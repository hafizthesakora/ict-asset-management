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enispa-my.sharepoint.com/personal/ninakuor_agyemang_nartey_external_eni_com/Documents/Desktop/"/>
    </mc:Choice>
  </mc:AlternateContent>
  <xr:revisionPtr revIDLastSave="2607" documentId="8_{1A6DEC81-01C0-413B-B4AA-A943F5F9719E}" xr6:coauthVersionLast="47" xr6:coauthVersionMax="47" xr10:uidLastSave="{2F468A54-48FC-4995-9FF6-E33164C96BFF}"/>
  <bookViews>
    <workbookView minimized="1" xWindow="760" yWindow="760" windowWidth="28800" windowHeight="15370" firstSheet="7" activeTab="19" xr2:uid="{87261FEC-41B5-4B3F-8807-E256A53F8CDD}"/>
  </bookViews>
  <sheets>
    <sheet name="Laptop" sheetId="1" r:id="rId1"/>
    <sheet name="Monitor" sheetId="3" r:id="rId2"/>
    <sheet name="System unit" sheetId="4" r:id="rId3"/>
    <sheet name="Docking station" sheetId="2" r:id="rId4"/>
    <sheet name="IP Phone" sheetId="8" r:id="rId5"/>
    <sheet name="Server" sheetId="5" r:id="rId6"/>
    <sheet name="Printer" sheetId="7" r:id="rId7"/>
    <sheet name="Plotter" sheetId="20" r:id="rId8"/>
    <sheet name="Switch&amp;Router&amp;Firewall" sheetId="9" r:id="rId9"/>
    <sheet name="Projector" sheetId="21" r:id="rId10"/>
    <sheet name="Video Conferencing" sheetId="19" r:id="rId11"/>
    <sheet name="Mobile Phone" sheetId="18" r:id="rId12"/>
    <sheet name="Smartboard" sheetId="6" r:id="rId13"/>
    <sheet name="Access control" sheetId="11" r:id="rId14"/>
    <sheet name="Camera" sheetId="12" r:id="rId15"/>
    <sheet name="Radio" sheetId="14" r:id="rId16"/>
    <sheet name="Drone" sheetId="13" r:id="rId17"/>
    <sheet name="Software" sheetId="17" r:id="rId18"/>
    <sheet name="Wireless controller" sheetId="16" r:id="rId19"/>
    <sheet name="Outstanding" sheetId="22" r:id="rId20"/>
    <sheet name="Sheet1" sheetId="23" r:id="rId21"/>
  </sheets>
  <definedNames>
    <definedName name="_xlnm._FilterDatabase" localSheetId="3" hidden="1">'Docking station'!$B$1:$E$226</definedName>
    <definedName name="_xlnm._FilterDatabase" localSheetId="4" hidden="1">'IP Phone'!$B$1:$L$256</definedName>
    <definedName name="_xlnm._FilterDatabase" localSheetId="0" hidden="1">Laptop!$B$1:$F$486</definedName>
    <definedName name="_xlnm._FilterDatabase" localSheetId="1" hidden="1">Monitor!$A$1:$H$476</definedName>
    <definedName name="_xlnm._FilterDatabase" localSheetId="19" hidden="1">Outstanding!$A$1:$U$3010</definedName>
    <definedName name="_xlnm._FilterDatabase" localSheetId="8" hidden="1">'Switch&amp;Router&amp;Firewall'!$B$29:$H$202</definedName>
    <definedName name="_xlnm._FilterDatabase" localSheetId="2" hidden="1">'System unit'!$B$1:$I$122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23" l="1"/>
  <c r="L3006" i="22" l="1"/>
  <c r="L3005" i="22"/>
  <c r="L3004" i="22"/>
  <c r="L3003" i="22"/>
  <c r="L3002" i="22"/>
  <c r="L3001" i="22"/>
  <c r="L3000" i="22"/>
  <c r="L2999" i="22"/>
  <c r="L2998" i="22"/>
  <c r="L2997" i="22"/>
  <c r="L2996" i="22"/>
  <c r="L2995" i="22"/>
  <c r="L2994" i="22"/>
  <c r="L2993" i="22"/>
  <c r="L2992" i="22"/>
  <c r="L2991" i="22"/>
  <c r="L2990" i="22"/>
  <c r="L2989" i="22"/>
  <c r="L2988" i="22"/>
  <c r="L2987" i="22"/>
  <c r="L2986" i="22"/>
  <c r="L2985" i="22"/>
  <c r="L2984" i="22"/>
  <c r="L2983" i="22"/>
  <c r="L2982" i="22"/>
  <c r="L2981" i="22"/>
  <c r="L2980" i="22"/>
  <c r="L2979" i="22"/>
  <c r="L2978" i="22"/>
  <c r="L2977" i="22"/>
  <c r="L2976" i="22"/>
  <c r="L2975" i="22"/>
  <c r="L2974" i="22"/>
  <c r="L2973" i="22"/>
  <c r="L2972" i="22"/>
  <c r="L2971" i="22"/>
  <c r="L2970" i="22"/>
  <c r="L2969" i="22"/>
  <c r="L2968" i="22"/>
  <c r="L2967" i="22"/>
  <c r="L2966" i="22"/>
  <c r="L2965" i="22"/>
  <c r="L2964" i="22"/>
  <c r="L2963" i="22"/>
  <c r="L2962" i="22"/>
  <c r="L2961" i="22"/>
  <c r="L2960" i="22"/>
  <c r="L2959" i="22"/>
  <c r="L2958" i="22"/>
  <c r="L2957" i="22"/>
  <c r="L2956" i="22"/>
  <c r="L2955" i="22"/>
  <c r="L2954" i="22"/>
  <c r="L2953" i="22"/>
  <c r="L2952" i="22"/>
  <c r="L2951" i="22"/>
  <c r="L2950" i="22"/>
  <c r="L2949" i="22"/>
  <c r="L2948" i="22"/>
  <c r="L2947" i="22"/>
  <c r="L2946" i="22"/>
  <c r="L2945" i="22"/>
  <c r="L2944" i="22"/>
  <c r="L2943" i="22"/>
  <c r="L2942" i="22"/>
  <c r="L2941" i="22"/>
  <c r="L2940" i="22"/>
  <c r="L2939" i="22"/>
  <c r="L2938" i="22"/>
  <c r="L2937" i="22"/>
  <c r="L2936" i="22"/>
  <c r="L2935" i="22"/>
  <c r="L2934" i="22"/>
  <c r="L2933" i="22"/>
  <c r="L2932" i="22"/>
  <c r="L2931" i="22"/>
  <c r="L2930" i="22"/>
  <c r="L2929" i="22"/>
  <c r="L2928" i="22"/>
  <c r="L2927" i="22"/>
  <c r="L2926" i="22"/>
  <c r="L2925" i="22"/>
  <c r="L2924" i="22"/>
  <c r="L2923" i="22"/>
  <c r="L2922" i="22"/>
  <c r="L2921" i="22"/>
  <c r="L2920" i="22"/>
  <c r="L2919" i="22"/>
  <c r="L2918" i="22"/>
  <c r="L2917" i="22"/>
  <c r="L2916" i="22"/>
  <c r="L2915" i="22"/>
  <c r="L2914" i="22"/>
  <c r="L2913" i="22"/>
  <c r="L2912" i="22"/>
  <c r="L2911" i="22"/>
  <c r="L2910" i="22"/>
  <c r="L2909" i="22"/>
  <c r="L2908" i="22"/>
  <c r="L2907" i="22"/>
  <c r="L2906" i="22"/>
  <c r="L2905" i="22"/>
  <c r="L2904" i="22"/>
  <c r="L2903" i="22"/>
  <c r="L2902" i="22"/>
  <c r="L2901" i="22"/>
  <c r="L2900" i="22"/>
  <c r="L2899" i="22"/>
  <c r="L2898" i="22"/>
  <c r="L2897" i="22"/>
  <c r="L2896" i="22"/>
  <c r="L2895" i="22"/>
  <c r="L2894" i="22"/>
  <c r="L2893" i="22"/>
  <c r="L2892" i="22"/>
  <c r="L2891" i="22"/>
  <c r="L2890" i="22"/>
  <c r="L2889" i="22"/>
  <c r="L2888" i="22"/>
  <c r="L2887" i="22"/>
  <c r="L2886" i="22"/>
  <c r="L2885" i="22"/>
  <c r="L2884" i="22"/>
  <c r="L2883" i="22"/>
  <c r="L2882" i="22"/>
  <c r="L2881" i="22"/>
  <c r="L2880" i="22"/>
  <c r="L2879" i="22"/>
  <c r="L2878" i="22"/>
  <c r="L2877" i="22"/>
  <c r="L2876" i="22"/>
  <c r="L2875" i="22"/>
  <c r="L2874" i="22"/>
  <c r="L2873" i="22"/>
  <c r="L2872" i="22"/>
  <c r="L2871" i="22"/>
  <c r="L2870" i="22"/>
  <c r="L2869" i="22"/>
  <c r="L2868" i="22"/>
  <c r="L2867" i="22"/>
  <c r="L2866" i="22"/>
  <c r="L2865" i="22"/>
  <c r="L2864" i="22"/>
  <c r="L2863" i="22"/>
  <c r="L2862" i="22"/>
  <c r="L2861" i="22"/>
  <c r="L2860" i="22"/>
  <c r="L2859" i="22"/>
  <c r="L2858" i="22"/>
  <c r="L2857" i="22"/>
  <c r="L2856" i="22"/>
  <c r="L2855" i="22"/>
  <c r="L2854" i="22"/>
  <c r="L2853" i="22"/>
  <c r="L2852" i="22"/>
  <c r="L2851" i="22"/>
  <c r="L2850" i="22"/>
  <c r="L2849" i="22"/>
  <c r="L2848" i="22"/>
  <c r="L2847" i="22"/>
  <c r="L2846" i="22"/>
  <c r="L2845" i="22"/>
  <c r="L2844" i="22"/>
  <c r="L2843" i="22"/>
  <c r="L2842" i="22"/>
  <c r="L2841" i="22"/>
  <c r="L2840" i="22"/>
  <c r="L2839" i="22"/>
  <c r="L2838" i="22"/>
  <c r="L2837" i="22"/>
  <c r="L2836" i="22"/>
  <c r="L2835" i="22"/>
  <c r="L2834" i="22"/>
  <c r="L2833" i="22"/>
  <c r="L2832" i="22"/>
  <c r="L2831" i="22"/>
  <c r="L2830" i="22"/>
  <c r="L2829" i="22"/>
  <c r="L2828" i="22"/>
  <c r="L2827" i="22"/>
  <c r="L2826" i="22"/>
  <c r="L2825" i="22"/>
  <c r="L2824" i="22"/>
  <c r="L2823" i="22"/>
  <c r="L2822" i="22"/>
  <c r="L2821" i="22"/>
  <c r="L2820" i="22"/>
  <c r="L2819" i="22"/>
  <c r="L2818" i="22"/>
  <c r="L2817" i="22"/>
  <c r="L2816" i="22"/>
  <c r="L2815" i="22"/>
  <c r="L2814" i="22"/>
  <c r="L2813" i="22"/>
  <c r="L2812" i="22"/>
  <c r="L2811" i="22"/>
  <c r="L2810" i="22"/>
  <c r="L2809" i="22"/>
  <c r="L2808" i="22"/>
  <c r="L2807" i="22"/>
  <c r="L2806" i="22"/>
  <c r="L2805" i="22"/>
  <c r="L2804" i="22"/>
  <c r="L2803" i="22"/>
  <c r="L2802" i="22"/>
  <c r="L2801" i="22"/>
  <c r="L2800" i="22"/>
  <c r="L2799" i="22"/>
  <c r="L2798" i="22"/>
  <c r="L2797" i="22"/>
  <c r="L2796" i="22"/>
  <c r="L2795" i="22"/>
  <c r="L2794" i="22"/>
  <c r="L2793" i="22"/>
  <c r="L2792" i="22"/>
  <c r="L2791" i="22"/>
  <c r="L2790" i="22"/>
  <c r="L2789" i="22"/>
  <c r="L2788" i="22"/>
  <c r="L2787" i="22"/>
  <c r="L2786" i="22"/>
  <c r="L2785" i="22"/>
  <c r="L2784" i="22"/>
  <c r="L2783" i="22"/>
  <c r="L2782" i="22"/>
  <c r="L2781" i="22"/>
  <c r="L2780" i="22"/>
  <c r="L2779" i="22"/>
  <c r="L2778" i="22"/>
  <c r="L2777" i="22"/>
  <c r="L2776" i="22"/>
  <c r="L2775" i="22"/>
  <c r="L2774" i="22"/>
  <c r="L2773" i="22"/>
  <c r="L2772" i="22"/>
  <c r="L2771" i="22"/>
  <c r="L2770" i="22"/>
  <c r="L2769" i="22"/>
  <c r="L2768" i="22"/>
  <c r="L2767" i="22"/>
  <c r="L2766" i="22"/>
  <c r="L2765" i="22"/>
  <c r="L2764" i="22"/>
  <c r="L2763" i="22"/>
  <c r="L2762" i="22"/>
  <c r="L2761" i="22"/>
  <c r="L2760" i="22"/>
  <c r="L2759" i="22"/>
  <c r="L2758" i="22"/>
  <c r="L2757" i="22"/>
  <c r="L2756" i="22"/>
  <c r="L2755" i="22"/>
  <c r="L2754" i="22"/>
  <c r="L2753" i="22"/>
  <c r="L2752" i="22"/>
  <c r="L2751" i="22"/>
  <c r="L2750" i="22"/>
  <c r="L2749" i="22"/>
  <c r="L2748" i="22"/>
  <c r="L2747" i="22"/>
  <c r="L2746" i="22"/>
  <c r="L2745" i="22"/>
  <c r="L2744" i="22"/>
  <c r="L2743" i="22"/>
  <c r="L2742" i="22"/>
  <c r="L2741" i="22"/>
  <c r="L2740" i="22"/>
  <c r="L2739" i="22"/>
  <c r="L2738" i="22"/>
  <c r="L2737" i="22"/>
  <c r="L2736" i="22"/>
  <c r="L2735" i="22"/>
  <c r="L2734" i="22"/>
  <c r="L2733" i="22"/>
  <c r="L2732" i="22"/>
  <c r="L2731" i="22"/>
  <c r="L2730" i="22"/>
  <c r="L2729" i="22"/>
  <c r="L2728" i="22"/>
  <c r="L2727" i="22"/>
  <c r="L2726" i="22"/>
  <c r="L2725" i="22"/>
  <c r="L2724" i="22"/>
  <c r="L2723" i="22"/>
  <c r="L2722" i="22"/>
  <c r="L2721" i="22"/>
  <c r="L2720" i="22"/>
  <c r="L2719" i="22"/>
  <c r="L2718" i="22"/>
  <c r="L2717" i="22"/>
  <c r="L2716" i="22"/>
  <c r="L2715" i="22"/>
  <c r="L2714" i="22"/>
  <c r="L2713" i="22"/>
  <c r="L2712" i="22"/>
  <c r="L2711" i="22"/>
  <c r="L2710" i="22"/>
  <c r="L2709" i="22"/>
  <c r="L2708" i="22"/>
  <c r="L2707" i="22"/>
  <c r="L2706" i="22"/>
  <c r="L2705" i="22"/>
  <c r="L2704" i="22"/>
  <c r="L2703" i="22"/>
  <c r="L2702" i="22"/>
  <c r="L2701" i="22"/>
  <c r="L2700" i="22"/>
  <c r="L2699" i="22"/>
  <c r="L2698" i="22"/>
  <c r="L2697" i="22"/>
  <c r="L2696" i="22"/>
  <c r="L2695" i="22"/>
  <c r="L2694" i="22"/>
  <c r="L2693" i="22"/>
  <c r="L2692" i="22"/>
  <c r="L2691" i="22"/>
  <c r="L2690" i="22"/>
  <c r="L2689" i="22"/>
  <c r="L2688" i="22"/>
  <c r="L2687" i="22"/>
  <c r="L2686" i="22"/>
  <c r="L2685" i="22"/>
  <c r="L2684" i="22"/>
  <c r="L2683" i="22"/>
  <c r="L2682" i="22"/>
  <c r="L2681" i="22"/>
  <c r="L2680" i="22"/>
  <c r="L2679" i="22"/>
  <c r="L2678" i="22"/>
  <c r="L2677" i="22"/>
  <c r="L2676" i="22"/>
  <c r="L2675" i="22"/>
  <c r="L2674" i="22"/>
  <c r="L2673" i="22"/>
  <c r="L2672" i="22"/>
  <c r="L2671" i="22"/>
  <c r="L2670" i="22"/>
  <c r="L2669" i="22"/>
  <c r="L2668" i="22"/>
  <c r="L2667" i="22"/>
  <c r="L2666" i="22"/>
  <c r="L2665" i="22"/>
  <c r="L2664" i="22"/>
  <c r="L2663" i="22"/>
  <c r="L2662" i="22"/>
  <c r="L2661" i="22"/>
  <c r="L2660" i="22"/>
  <c r="L2659" i="22"/>
  <c r="L2658" i="22"/>
  <c r="L2657" i="22"/>
  <c r="L2656" i="22"/>
  <c r="L2655" i="22"/>
  <c r="L2654" i="22"/>
  <c r="L2653" i="22"/>
  <c r="L2652" i="22"/>
  <c r="L2651" i="22"/>
  <c r="L2650" i="22"/>
  <c r="L2649" i="22"/>
  <c r="L2648" i="22"/>
  <c r="L2647" i="22"/>
  <c r="L2646" i="22"/>
  <c r="L2645" i="22"/>
  <c r="L2644" i="22"/>
  <c r="L2643" i="22"/>
  <c r="L2642" i="22"/>
  <c r="L2641" i="22"/>
  <c r="L2640" i="22"/>
  <c r="L2639" i="22"/>
  <c r="L2638" i="22"/>
  <c r="L2637" i="22"/>
  <c r="L2636" i="22"/>
  <c r="L2635" i="22"/>
  <c r="L2634" i="22"/>
  <c r="L2633" i="22"/>
  <c r="L2632" i="22"/>
  <c r="L2631" i="22"/>
  <c r="L2630" i="22"/>
  <c r="L2629" i="22"/>
  <c r="L2628" i="22"/>
  <c r="L2627" i="22"/>
  <c r="L2626" i="22"/>
  <c r="L2625" i="22"/>
  <c r="L2624" i="22"/>
  <c r="L2623" i="22"/>
  <c r="L2622" i="22"/>
  <c r="L2621" i="22"/>
  <c r="L2620" i="22"/>
  <c r="L2619" i="22"/>
  <c r="L2618" i="22"/>
  <c r="L2617" i="22"/>
  <c r="L2616" i="22"/>
  <c r="L2615" i="22"/>
  <c r="L2614" i="22"/>
  <c r="L2613" i="22"/>
  <c r="L2612" i="22"/>
  <c r="L2611" i="22"/>
  <c r="L2610" i="22"/>
  <c r="L2609" i="22"/>
  <c r="L2608" i="22"/>
  <c r="L2607" i="22"/>
  <c r="L2606" i="22"/>
  <c r="L2605" i="22"/>
  <c r="L2604" i="22"/>
  <c r="L2603" i="22"/>
  <c r="L2602" i="22"/>
  <c r="L2601" i="22"/>
  <c r="L2600" i="22"/>
  <c r="L2599" i="22"/>
  <c r="L2598" i="22"/>
  <c r="L2597" i="22"/>
  <c r="L2596" i="22"/>
  <c r="L2595" i="22"/>
  <c r="L2594" i="22"/>
  <c r="L2593" i="22"/>
  <c r="L2592" i="22"/>
  <c r="L2591" i="22"/>
  <c r="L2590" i="22"/>
  <c r="L2589" i="22"/>
  <c r="L2588" i="22"/>
  <c r="L2587" i="22"/>
  <c r="L2586" i="22"/>
  <c r="L2585" i="22"/>
  <c r="L2584" i="22"/>
  <c r="L2583" i="22"/>
  <c r="L2582" i="22"/>
  <c r="L2581" i="22"/>
  <c r="L2580" i="22"/>
  <c r="L2579" i="22"/>
  <c r="L2578" i="22"/>
  <c r="L2577" i="22"/>
  <c r="L2576" i="22"/>
  <c r="L2575" i="22"/>
  <c r="L2574" i="22"/>
  <c r="L2573" i="22"/>
  <c r="L2572" i="22"/>
  <c r="L2571" i="22"/>
  <c r="L2570" i="22"/>
  <c r="L2569" i="22"/>
  <c r="L2568" i="22"/>
  <c r="L2567" i="22"/>
  <c r="L2566" i="22"/>
  <c r="L2565" i="22"/>
  <c r="L2564" i="22"/>
  <c r="L2563" i="22"/>
  <c r="L2562" i="22"/>
  <c r="L2561" i="22"/>
  <c r="L2560" i="22"/>
  <c r="L2559" i="22"/>
  <c r="L2558" i="22"/>
  <c r="L2557" i="22"/>
  <c r="L2556" i="22"/>
  <c r="L2555" i="22"/>
  <c r="L2554" i="22"/>
  <c r="L2553" i="22"/>
  <c r="L2552" i="22"/>
  <c r="L2551" i="22"/>
  <c r="L2550" i="22"/>
  <c r="L2549" i="22"/>
  <c r="L2548" i="22"/>
  <c r="L2547" i="22"/>
  <c r="L2546" i="22"/>
  <c r="L2545" i="22"/>
  <c r="L2544" i="22"/>
  <c r="L2543" i="22"/>
  <c r="L2542" i="22"/>
  <c r="L2541" i="22"/>
  <c r="L2540" i="22"/>
  <c r="L2539" i="22"/>
  <c r="L2538" i="22"/>
  <c r="L2537" i="22"/>
  <c r="L2536" i="22"/>
  <c r="L2535" i="22"/>
  <c r="L2534" i="22"/>
  <c r="L2533" i="22"/>
  <c r="L2532" i="22"/>
  <c r="L2531" i="22"/>
  <c r="L2530" i="22"/>
  <c r="L2529" i="22"/>
  <c r="L2528" i="22"/>
  <c r="L2527" i="22"/>
  <c r="L2526" i="22"/>
  <c r="L2525" i="22"/>
  <c r="L2524" i="22"/>
  <c r="L2523" i="22"/>
  <c r="L2522" i="22"/>
  <c r="L2521" i="22"/>
  <c r="L2520" i="22"/>
  <c r="L2519" i="22"/>
  <c r="L2518" i="22"/>
  <c r="L2517" i="22"/>
  <c r="L2516" i="22"/>
  <c r="L2515" i="22"/>
  <c r="L2514" i="22"/>
  <c r="L2513" i="22"/>
  <c r="L2512" i="22"/>
  <c r="L2511" i="22"/>
  <c r="L2510" i="22"/>
  <c r="L2509" i="22"/>
  <c r="L2508" i="22"/>
  <c r="L2507" i="22"/>
  <c r="L2506" i="22"/>
  <c r="L2505" i="22"/>
  <c r="L2504" i="22"/>
  <c r="L2503" i="22"/>
  <c r="L2502" i="22"/>
  <c r="L2501" i="22"/>
  <c r="L2500" i="22"/>
  <c r="L2499" i="22"/>
  <c r="L2498" i="22"/>
  <c r="L2497" i="22"/>
  <c r="L2496" i="22"/>
  <c r="L2495" i="22"/>
  <c r="L2494" i="22"/>
  <c r="L2493" i="22"/>
  <c r="L2492" i="22"/>
  <c r="L2491" i="22"/>
  <c r="L2490" i="22"/>
  <c r="L2489" i="22"/>
  <c r="L2488" i="22"/>
  <c r="L2487" i="22"/>
  <c r="L2486" i="22"/>
  <c r="L2485" i="22"/>
  <c r="L2484" i="22"/>
  <c r="L2483" i="22"/>
  <c r="L2482" i="22"/>
  <c r="L2481" i="22"/>
  <c r="L2480" i="22"/>
  <c r="L2479" i="22"/>
  <c r="L2478" i="22"/>
  <c r="L2477" i="22"/>
  <c r="L2476" i="22"/>
  <c r="L2475" i="22"/>
  <c r="L2474" i="22"/>
  <c r="L2473" i="22"/>
  <c r="L2472" i="22"/>
  <c r="L2471" i="22"/>
  <c r="L2470" i="22"/>
  <c r="L2469" i="22"/>
  <c r="L2468" i="22"/>
  <c r="L2467" i="22"/>
  <c r="L2466" i="22"/>
  <c r="L2465" i="22"/>
  <c r="L2464" i="22"/>
  <c r="L2463" i="22"/>
  <c r="L2462" i="22"/>
  <c r="L2461" i="22"/>
  <c r="L2460" i="22"/>
  <c r="L2459" i="22"/>
  <c r="L2458" i="22"/>
  <c r="L2457" i="22"/>
  <c r="L2456" i="22"/>
  <c r="L2455" i="22"/>
  <c r="L2454" i="22"/>
  <c r="L2453" i="22"/>
  <c r="L2452" i="22"/>
  <c r="L2451" i="22"/>
  <c r="L2450" i="22"/>
  <c r="L2449" i="22"/>
  <c r="L2448" i="22"/>
  <c r="L2447" i="22"/>
  <c r="L2446" i="22"/>
  <c r="L2445" i="22"/>
  <c r="L2444" i="22"/>
  <c r="L2443" i="22"/>
  <c r="L2442" i="22"/>
  <c r="L2439" i="22"/>
  <c r="L2438" i="22"/>
  <c r="K2437" i="22"/>
  <c r="K2436" i="22"/>
  <c r="L2436" i="22" s="1"/>
  <c r="K2435" i="22"/>
  <c r="K2434" i="22"/>
  <c r="K2433" i="22"/>
  <c r="L2433" i="22" s="1"/>
  <c r="K2432" i="22"/>
  <c r="L2432" i="22" s="1"/>
  <c r="K2431" i="22"/>
  <c r="L2431" i="22" s="1"/>
  <c r="K2430" i="22"/>
  <c r="L2430" i="22" s="1"/>
  <c r="K2429" i="22"/>
  <c r="L2429" i="22" s="1"/>
  <c r="K2428" i="22"/>
  <c r="L2428" i="22" s="1"/>
  <c r="J2427" i="22"/>
  <c r="K2427" i="22" s="1"/>
  <c r="L2427" i="22" s="1"/>
  <c r="I2427" i="22"/>
  <c r="J2426" i="22"/>
  <c r="K2426" i="22" s="1"/>
  <c r="L2426" i="22" s="1"/>
  <c r="I2426" i="22"/>
  <c r="J2425" i="22"/>
  <c r="K2425" i="22" s="1"/>
  <c r="L2425" i="22" s="1"/>
  <c r="I2425" i="22"/>
  <c r="J2424" i="22"/>
  <c r="K2424" i="22" s="1"/>
  <c r="L2424" i="22" s="1"/>
  <c r="I2424" i="22"/>
  <c r="J2423" i="22"/>
  <c r="K2423" i="22" s="1"/>
  <c r="I2423" i="22"/>
  <c r="J2286" i="22"/>
  <c r="K2286" i="22" s="1"/>
  <c r="L2286" i="22" s="1"/>
  <c r="J2285" i="22"/>
  <c r="K2285" i="22" s="1"/>
  <c r="L2285" i="22" s="1"/>
  <c r="J2284" i="22"/>
  <c r="K2284" i="22" s="1"/>
  <c r="L2284" i="22" s="1"/>
  <c r="J2283" i="22"/>
  <c r="I2283" i="22"/>
  <c r="K2282" i="22"/>
  <c r="L2282" i="22" s="1"/>
  <c r="J2281" i="22"/>
  <c r="K2281" i="22" s="1"/>
  <c r="I2281" i="22"/>
  <c r="K2280" i="22"/>
  <c r="L2280" i="22" s="1"/>
  <c r="I2280" i="22"/>
  <c r="K2279" i="22"/>
  <c r="L2279" i="22" s="1"/>
  <c r="I2279" i="22"/>
  <c r="J2278" i="22"/>
  <c r="K2278" i="22" s="1"/>
  <c r="L2278" i="22" s="1"/>
  <c r="J2277" i="22"/>
  <c r="K2277" i="22" s="1"/>
  <c r="L2277" i="22" s="1"/>
  <c r="J2276" i="22"/>
  <c r="I2276" i="22" s="1"/>
  <c r="J2275" i="22"/>
  <c r="K2275" i="22" s="1"/>
  <c r="L2275" i="22" s="1"/>
  <c r="J2274" i="22"/>
  <c r="K2274" i="22" s="1"/>
  <c r="L2274" i="22" s="1"/>
  <c r="J2273" i="22"/>
  <c r="I2273" i="22" s="1"/>
  <c r="J2272" i="22"/>
  <c r="K2272" i="22" s="1"/>
  <c r="L2272" i="22" s="1"/>
  <c r="J2271" i="22"/>
  <c r="K2271" i="22" s="1"/>
  <c r="L2271" i="22" s="1"/>
  <c r="J2270" i="22"/>
  <c r="I2270" i="22" s="1"/>
  <c r="J2269" i="22"/>
  <c r="K2269" i="22" s="1"/>
  <c r="L2269" i="22" s="1"/>
  <c r="J2268" i="22"/>
  <c r="K2268" i="22" s="1"/>
  <c r="L2268" i="22" s="1"/>
  <c r="J2267" i="22"/>
  <c r="I2267" i="22" s="1"/>
  <c r="J2266" i="22"/>
  <c r="K2266" i="22" s="1"/>
  <c r="L2266" i="22" s="1"/>
  <c r="J2265" i="22"/>
  <c r="K2265" i="22" s="1"/>
  <c r="L2265" i="22" s="1"/>
  <c r="J2264" i="22"/>
  <c r="I2264" i="22" s="1"/>
  <c r="J2263" i="22"/>
  <c r="K2263" i="22" s="1"/>
  <c r="L2263" i="22" s="1"/>
  <c r="J2262" i="22"/>
  <c r="K2262" i="22" s="1"/>
  <c r="L2262" i="22" s="1"/>
  <c r="J2261" i="22"/>
  <c r="I2261" i="22" s="1"/>
  <c r="J2260" i="22"/>
  <c r="K2260" i="22" s="1"/>
  <c r="L2260" i="22" s="1"/>
  <c r="J2259" i="22"/>
  <c r="K2259" i="22" s="1"/>
  <c r="L2259" i="22" s="1"/>
  <c r="J2258" i="22"/>
  <c r="I2258" i="22" s="1"/>
  <c r="J2257" i="22"/>
  <c r="K2257" i="22" s="1"/>
  <c r="L2257" i="22" s="1"/>
  <c r="J2256" i="22"/>
  <c r="K2256" i="22" s="1"/>
  <c r="L2256" i="22" s="1"/>
  <c r="J2255" i="22"/>
  <c r="I2255" i="22" s="1"/>
  <c r="J2254" i="22"/>
  <c r="K2254" i="22" s="1"/>
  <c r="L2254" i="22" s="1"/>
  <c r="J2253" i="22"/>
  <c r="K2253" i="22" s="1"/>
  <c r="L2253" i="22" s="1"/>
  <c r="J2252" i="22"/>
  <c r="I2252" i="22" s="1"/>
  <c r="J2251" i="22"/>
  <c r="K2251" i="22" s="1"/>
  <c r="L2251" i="22" s="1"/>
  <c r="J2250" i="22"/>
  <c r="K2250" i="22" s="1"/>
  <c r="L2250" i="22" s="1"/>
  <c r="J2249" i="22"/>
  <c r="I2249" i="22" s="1"/>
  <c r="J2248" i="22"/>
  <c r="K2248" i="22" s="1"/>
  <c r="L2248" i="22" s="1"/>
  <c r="J2247" i="22"/>
  <c r="K2247" i="22" s="1"/>
  <c r="L2247" i="22" s="1"/>
  <c r="J2246" i="22"/>
  <c r="I2246" i="22" s="1"/>
  <c r="J2245" i="22"/>
  <c r="I2245" i="22" s="1"/>
  <c r="J2244" i="22"/>
  <c r="K2244" i="22" s="1"/>
  <c r="L2244" i="22" s="1"/>
  <c r="J2243" i="22"/>
  <c r="I2243" i="22" s="1"/>
  <c r="J2242" i="22"/>
  <c r="K2242" i="22" s="1"/>
  <c r="L2242" i="22" s="1"/>
  <c r="J2241" i="22"/>
  <c r="K2241" i="22" s="1"/>
  <c r="L2241" i="22" s="1"/>
  <c r="J2240" i="22"/>
  <c r="I2240" i="22" s="1"/>
  <c r="J2239" i="22"/>
  <c r="I2239" i="22" s="1"/>
  <c r="J2238" i="22"/>
  <c r="K2238" i="22" s="1"/>
  <c r="L2238" i="22" s="1"/>
  <c r="J2237" i="22"/>
  <c r="I2237" i="22" s="1"/>
  <c r="J2236" i="22"/>
  <c r="K2236" i="22" s="1"/>
  <c r="L2236" i="22" s="1"/>
  <c r="J2235" i="22"/>
  <c r="I2235" i="22" s="1"/>
  <c r="J2234" i="22"/>
  <c r="I2234" i="22" s="1"/>
  <c r="J2233" i="22"/>
  <c r="K2233" i="22" s="1"/>
  <c r="L2233" i="22" s="1"/>
  <c r="J2232" i="22"/>
  <c r="I2232" i="22" s="1"/>
  <c r="J2231" i="22"/>
  <c r="K2231" i="22" s="1"/>
  <c r="L2231" i="22" s="1"/>
  <c r="J2230" i="22"/>
  <c r="K2230" i="22" s="1"/>
  <c r="L2230" i="22" s="1"/>
  <c r="J2229" i="22"/>
  <c r="I2229" i="22" s="1"/>
  <c r="J2228" i="22"/>
  <c r="K2228" i="22" s="1"/>
  <c r="L2228" i="22" s="1"/>
  <c r="J2227" i="22"/>
  <c r="J2226" i="22"/>
  <c r="I2226" i="22" s="1"/>
  <c r="J2225" i="22"/>
  <c r="I2225" i="22" s="1"/>
  <c r="J2224" i="22"/>
  <c r="K2224" i="22" s="1"/>
  <c r="L2224" i="22" s="1"/>
  <c r="J2223" i="22"/>
  <c r="I2223" i="22" s="1"/>
  <c r="J2222" i="22"/>
  <c r="K2222" i="22" s="1"/>
  <c r="L2222" i="22" s="1"/>
  <c r="J2221" i="22"/>
  <c r="K2221" i="22" s="1"/>
  <c r="L2221" i="22" s="1"/>
  <c r="J2220" i="22"/>
  <c r="I2220" i="22" s="1"/>
  <c r="J2219" i="22"/>
  <c r="K2219" i="22" s="1"/>
  <c r="L2219" i="22" s="1"/>
  <c r="J2218" i="22"/>
  <c r="K2218" i="22" s="1"/>
  <c r="L2218" i="22" s="1"/>
  <c r="J2217" i="22"/>
  <c r="I2217" i="22" s="1"/>
  <c r="J2216" i="22"/>
  <c r="I2216" i="22" s="1"/>
  <c r="J2215" i="22"/>
  <c r="K2215" i="22" s="1"/>
  <c r="L2215" i="22" s="1"/>
  <c r="J2214" i="22"/>
  <c r="I2214" i="22" s="1"/>
  <c r="J2213" i="22"/>
  <c r="K2213" i="22" s="1"/>
  <c r="L2213" i="22" s="1"/>
  <c r="J2212" i="22"/>
  <c r="K2212" i="22" s="1"/>
  <c r="L2212" i="22" s="1"/>
  <c r="J2211" i="22"/>
  <c r="I2211" i="22" s="1"/>
  <c r="J2210" i="22"/>
  <c r="K2210" i="22" s="1"/>
  <c r="L2210" i="22" s="1"/>
  <c r="J2209" i="22"/>
  <c r="K2209" i="22" s="1"/>
  <c r="L2209" i="22" s="1"/>
  <c r="J2208" i="22"/>
  <c r="I2208" i="22" s="1"/>
  <c r="J2207" i="22"/>
  <c r="K2207" i="22" s="1"/>
  <c r="L2207" i="22" s="1"/>
  <c r="J2206" i="22"/>
  <c r="K2206" i="22" s="1"/>
  <c r="L2206" i="22" s="1"/>
  <c r="J2205" i="22"/>
  <c r="I2205" i="22" s="1"/>
  <c r="J2204" i="22"/>
  <c r="K2204" i="22" s="1"/>
  <c r="L2204" i="22" s="1"/>
  <c r="J2203" i="22"/>
  <c r="K2203" i="22" s="1"/>
  <c r="L2203" i="22" s="1"/>
  <c r="J2202" i="22"/>
  <c r="I2202" i="22" s="1"/>
  <c r="J2201" i="22"/>
  <c r="I2201" i="22" s="1"/>
  <c r="J2200" i="22"/>
  <c r="K2200" i="22" s="1"/>
  <c r="L2200" i="22" s="1"/>
  <c r="J2199" i="22"/>
  <c r="I2199" i="22" s="1"/>
  <c r="J2198" i="22"/>
  <c r="K2198" i="22" s="1"/>
  <c r="L2198" i="22" s="1"/>
  <c r="J2197" i="22"/>
  <c r="K2197" i="22" s="1"/>
  <c r="L2197" i="22" s="1"/>
  <c r="J2196" i="22"/>
  <c r="I2196" i="22" s="1"/>
  <c r="J2195" i="22"/>
  <c r="K2195" i="22" s="1"/>
  <c r="L2195" i="22" s="1"/>
  <c r="J2194" i="22"/>
  <c r="K2194" i="22" s="1"/>
  <c r="L2194" i="22" s="1"/>
  <c r="J2193" i="22"/>
  <c r="I2193" i="22" s="1"/>
  <c r="J2192" i="22"/>
  <c r="K2192" i="22" s="1"/>
  <c r="L2192" i="22" s="1"/>
  <c r="J2191" i="22"/>
  <c r="J2190" i="22"/>
  <c r="I2190" i="22" s="1"/>
  <c r="J2189" i="22"/>
  <c r="K2189" i="22" s="1"/>
  <c r="L2189" i="22" s="1"/>
  <c r="J2188" i="22"/>
  <c r="I2188" i="22" s="1"/>
  <c r="J2187" i="22"/>
  <c r="I2187" i="22" s="1"/>
  <c r="J2186" i="22"/>
  <c r="K2186" i="22" s="1"/>
  <c r="L2186" i="22" s="1"/>
  <c r="J2185" i="22"/>
  <c r="K2185" i="22" s="1"/>
  <c r="L2185" i="22" s="1"/>
  <c r="J2184" i="22"/>
  <c r="I2184" i="22" s="1"/>
  <c r="J2183" i="22"/>
  <c r="I2183" i="22" s="1"/>
  <c r="J2182" i="22"/>
  <c r="K2182" i="22" s="1"/>
  <c r="L2182" i="22" s="1"/>
  <c r="J2181" i="22"/>
  <c r="I2181" i="22" s="1"/>
  <c r="J2180" i="22"/>
  <c r="K2180" i="22" s="1"/>
  <c r="L2180" i="22" s="1"/>
  <c r="J2179" i="22"/>
  <c r="K2179" i="22" s="1"/>
  <c r="L2179" i="22" s="1"/>
  <c r="J2178" i="22"/>
  <c r="I2178" i="22" s="1"/>
  <c r="J2177" i="22"/>
  <c r="K2177" i="22" s="1"/>
  <c r="L2177" i="22" s="1"/>
  <c r="J2176" i="22"/>
  <c r="K2176" i="22" s="1"/>
  <c r="L2176" i="22" s="1"/>
  <c r="J2175" i="22"/>
  <c r="I2175" i="22" s="1"/>
  <c r="J2174" i="22"/>
  <c r="K2174" i="22" s="1"/>
  <c r="L2174" i="22" s="1"/>
  <c r="J2173" i="22"/>
  <c r="J2172" i="22"/>
  <c r="I2172" i="22" s="1"/>
  <c r="J2171" i="22"/>
  <c r="K2171" i="22" s="1"/>
  <c r="L2171" i="22" s="1"/>
  <c r="J2170" i="22"/>
  <c r="I2170" i="22" s="1"/>
  <c r="J2169" i="22"/>
  <c r="I2169" i="22" s="1"/>
  <c r="J2168" i="22"/>
  <c r="K2168" i="22" s="1"/>
  <c r="L2168" i="22" s="1"/>
  <c r="J2167" i="22"/>
  <c r="K2167" i="22" s="1"/>
  <c r="L2167" i="22" s="1"/>
  <c r="J2166" i="22"/>
  <c r="I2166" i="22" s="1"/>
  <c r="J2165" i="22"/>
  <c r="K2165" i="22" s="1"/>
  <c r="L2165" i="22" s="1"/>
  <c r="J2164" i="22"/>
  <c r="K2164" i="22" s="1"/>
  <c r="L2164" i="22" s="1"/>
  <c r="J2163" i="22"/>
  <c r="I2163" i="22" s="1"/>
  <c r="J2162" i="22"/>
  <c r="I2162" i="22" s="1"/>
  <c r="J2161" i="22"/>
  <c r="K2161" i="22" s="1"/>
  <c r="L2161" i="22" s="1"/>
  <c r="J2160" i="22"/>
  <c r="I2160" i="22" s="1"/>
  <c r="J2159" i="22"/>
  <c r="K2159" i="22" s="1"/>
  <c r="L2159" i="22" s="1"/>
  <c r="J2158" i="22"/>
  <c r="K2158" i="22" s="1"/>
  <c r="L2158" i="22" s="1"/>
  <c r="J2157" i="22"/>
  <c r="I2157" i="22" s="1"/>
  <c r="J2156" i="22"/>
  <c r="K2156" i="22" s="1"/>
  <c r="L2156" i="22" s="1"/>
  <c r="J2155" i="22"/>
  <c r="J2154" i="22"/>
  <c r="I2154" i="22" s="1"/>
  <c r="J2153" i="22"/>
  <c r="K2153" i="22" s="1"/>
  <c r="L2153" i="22" s="1"/>
  <c r="J2152" i="22"/>
  <c r="I2152" i="22" s="1"/>
  <c r="J2151" i="22"/>
  <c r="I2151" i="22" s="1"/>
  <c r="J2150" i="22"/>
  <c r="K2150" i="22" s="1"/>
  <c r="L2150" i="22" s="1"/>
  <c r="J2149" i="22"/>
  <c r="K2149" i="22" s="1"/>
  <c r="L2149" i="22" s="1"/>
  <c r="J2148" i="22"/>
  <c r="I2148" i="22" s="1"/>
  <c r="J2147" i="22"/>
  <c r="K2147" i="22" s="1"/>
  <c r="L2147" i="22" s="1"/>
  <c r="J2146" i="22"/>
  <c r="K2146" i="22" s="1"/>
  <c r="L2146" i="22" s="1"/>
  <c r="J2145" i="22"/>
  <c r="I2145" i="22" s="1"/>
  <c r="J2144" i="22"/>
  <c r="K2144" i="22" s="1"/>
  <c r="L2144" i="22" s="1"/>
  <c r="J2143" i="22"/>
  <c r="K2143" i="22" s="1"/>
  <c r="L2143" i="22" s="1"/>
  <c r="J2142" i="22"/>
  <c r="I2142" i="22" s="1"/>
  <c r="J2141" i="22"/>
  <c r="K2141" i="22" s="1"/>
  <c r="L2141" i="22" s="1"/>
  <c r="J2140" i="22"/>
  <c r="I2140" i="22" s="1"/>
  <c r="J2139" i="22"/>
  <c r="I2139" i="22" s="1"/>
  <c r="J2138" i="22"/>
  <c r="K2138" i="22" s="1"/>
  <c r="L2138" i="22" s="1"/>
  <c r="J2137" i="22"/>
  <c r="J2136" i="22"/>
  <c r="I2136" i="22" s="1"/>
  <c r="J2135" i="22"/>
  <c r="K2135" i="22" s="1"/>
  <c r="L2135" i="22" s="1"/>
  <c r="J2134" i="22"/>
  <c r="I2134" i="22" s="1"/>
  <c r="J2133" i="22"/>
  <c r="I2133" i="22" s="1"/>
  <c r="J2132" i="22"/>
  <c r="K2132" i="22" s="1"/>
  <c r="L2132" i="22" s="1"/>
  <c r="J2131" i="22"/>
  <c r="I2131" i="22" s="1"/>
  <c r="J2130" i="22"/>
  <c r="I2130" i="22" s="1"/>
  <c r="J2129" i="22"/>
  <c r="K2129" i="22" s="1"/>
  <c r="L2129" i="22" s="1"/>
  <c r="J2128" i="22"/>
  <c r="K2128" i="22" s="1"/>
  <c r="L2128" i="22" s="1"/>
  <c r="J2127" i="22"/>
  <c r="I2127" i="22" s="1"/>
  <c r="J2126" i="22"/>
  <c r="K2126" i="22" s="1"/>
  <c r="L2126" i="22" s="1"/>
  <c r="J2125" i="22"/>
  <c r="K2125" i="22" s="1"/>
  <c r="L2125" i="22" s="1"/>
  <c r="J2124" i="22"/>
  <c r="I2124" i="22" s="1"/>
  <c r="J2123" i="22"/>
  <c r="K2123" i="22" s="1"/>
  <c r="L2123" i="22" s="1"/>
  <c r="J2122" i="22"/>
  <c r="K2122" i="22" s="1"/>
  <c r="L2122" i="22" s="1"/>
  <c r="J2121" i="22"/>
  <c r="I2121" i="22" s="1"/>
  <c r="J2120" i="22"/>
  <c r="K2120" i="22" s="1"/>
  <c r="L2120" i="22" s="1"/>
  <c r="J2119" i="22"/>
  <c r="J2118" i="22"/>
  <c r="I2118" i="22" s="1"/>
  <c r="J2117" i="22"/>
  <c r="I2117" i="22" s="1"/>
  <c r="J2116" i="22"/>
  <c r="I2116" i="22" s="1"/>
  <c r="J2115" i="22"/>
  <c r="I2115" i="22" s="1"/>
  <c r="J2114" i="22"/>
  <c r="K2114" i="22" s="1"/>
  <c r="L2114" i="22" s="1"/>
  <c r="J2113" i="22"/>
  <c r="K2113" i="22" s="1"/>
  <c r="L2113" i="22" s="1"/>
  <c r="J2112" i="22"/>
  <c r="I2112" i="22" s="1"/>
  <c r="J2111" i="22"/>
  <c r="I2111" i="22" s="1"/>
  <c r="J2110" i="22"/>
  <c r="K2110" i="22" s="1"/>
  <c r="L2110" i="22" s="1"/>
  <c r="J2109" i="22"/>
  <c r="I2109" i="22" s="1"/>
  <c r="J2108" i="22"/>
  <c r="K2108" i="22" s="1"/>
  <c r="L2108" i="22" s="1"/>
  <c r="J2107" i="22"/>
  <c r="K2107" i="22" s="1"/>
  <c r="L2107" i="22" s="1"/>
  <c r="J2106" i="22"/>
  <c r="I2106" i="22" s="1"/>
  <c r="J2105" i="22"/>
  <c r="I2105" i="22" s="1"/>
  <c r="J2104" i="22"/>
  <c r="K2104" i="22" s="1"/>
  <c r="L2104" i="22" s="1"/>
  <c r="J2103" i="22"/>
  <c r="I2103" i="22" s="1"/>
  <c r="J2102" i="22"/>
  <c r="K2102" i="22" s="1"/>
  <c r="L2102" i="22" s="1"/>
  <c r="J2101" i="22"/>
  <c r="J2100" i="22"/>
  <c r="I2100" i="22" s="1"/>
  <c r="J2099" i="22"/>
  <c r="K2099" i="22" s="1"/>
  <c r="L2099" i="22" s="1"/>
  <c r="J2098" i="22"/>
  <c r="I2098" i="22" s="1"/>
  <c r="J2097" i="22"/>
  <c r="I2097" i="22" s="1"/>
  <c r="J2096" i="22"/>
  <c r="K2096" i="22" s="1"/>
  <c r="L2096" i="22" s="1"/>
  <c r="J2095" i="22"/>
  <c r="K2095" i="22" s="1"/>
  <c r="L2095" i="22" s="1"/>
  <c r="J2094" i="22"/>
  <c r="I2094" i="22" s="1"/>
  <c r="J2093" i="22"/>
  <c r="K2093" i="22" s="1"/>
  <c r="L2093" i="22" s="1"/>
  <c r="J2092" i="22"/>
  <c r="K2092" i="22" s="1"/>
  <c r="L2092" i="22" s="1"/>
  <c r="J2091" i="22"/>
  <c r="K2091" i="22" s="1"/>
  <c r="L2091" i="22" s="1"/>
  <c r="J2090" i="22"/>
  <c r="K2090" i="22" s="1"/>
  <c r="L2090" i="22" s="1"/>
  <c r="J2089" i="22"/>
  <c r="K2089" i="22" s="1"/>
  <c r="L2089" i="22" s="1"/>
  <c r="J2088" i="22"/>
  <c r="K2088" i="22" s="1"/>
  <c r="L2088" i="22" s="1"/>
  <c r="J2087" i="22"/>
  <c r="I2087" i="22" s="1"/>
  <c r="J2086" i="22"/>
  <c r="K2086" i="22" s="1"/>
  <c r="L2086" i="22" s="1"/>
  <c r="J2085" i="22"/>
  <c r="I2085" i="22" s="1"/>
  <c r="J2084" i="22"/>
  <c r="K2084" i="22" s="1"/>
  <c r="L2084" i="22" s="1"/>
  <c r="J2083" i="22"/>
  <c r="K2083" i="22" s="1"/>
  <c r="L2083" i="22" s="1"/>
  <c r="J2082" i="22"/>
  <c r="I2082" i="22" s="1"/>
  <c r="J2081" i="22"/>
  <c r="K2081" i="22" s="1"/>
  <c r="L2081" i="22" s="1"/>
  <c r="J2080" i="22"/>
  <c r="K2080" i="22" s="1"/>
  <c r="L2080" i="22" s="1"/>
  <c r="J2079" i="22"/>
  <c r="I2079" i="22" s="1"/>
  <c r="J2078" i="22"/>
  <c r="K2078" i="22" s="1"/>
  <c r="L2078" i="22" s="1"/>
  <c r="J2077" i="22"/>
  <c r="I2077" i="22" s="1"/>
  <c r="J2076" i="22"/>
  <c r="K2076" i="22" s="1"/>
  <c r="L2076" i="22" s="1"/>
  <c r="J2075" i="22"/>
  <c r="K2075" i="22" s="1"/>
  <c r="L2075" i="22" s="1"/>
  <c r="J2074" i="22"/>
  <c r="J2073" i="22"/>
  <c r="K2073" i="22" s="1"/>
  <c r="L2073" i="22" s="1"/>
  <c r="J2072" i="22"/>
  <c r="K2072" i="22" s="1"/>
  <c r="L2072" i="22" s="1"/>
  <c r="J2071" i="22"/>
  <c r="K2071" i="22" s="1"/>
  <c r="L2071" i="22" s="1"/>
  <c r="J2070" i="22"/>
  <c r="K2070" i="22" s="1"/>
  <c r="L2070" i="22" s="1"/>
  <c r="J2069" i="22"/>
  <c r="K2069" i="22" s="1"/>
  <c r="L2069" i="22" s="1"/>
  <c r="J2068" i="22"/>
  <c r="I2068" i="22" s="1"/>
  <c r="J2067" i="22"/>
  <c r="I2067" i="22" s="1"/>
  <c r="J2066" i="22"/>
  <c r="K2066" i="22" s="1"/>
  <c r="L2066" i="22" s="1"/>
  <c r="J2065" i="22"/>
  <c r="K2065" i="22" s="1"/>
  <c r="L2065" i="22" s="1"/>
  <c r="J2064" i="22"/>
  <c r="K2064" i="22" s="1"/>
  <c r="L2064" i="22" s="1"/>
  <c r="J2063" i="22"/>
  <c r="K2063" i="22" s="1"/>
  <c r="L2063" i="22" s="1"/>
  <c r="J2062" i="22"/>
  <c r="K2062" i="22" s="1"/>
  <c r="L2062" i="22" s="1"/>
  <c r="J2061" i="22"/>
  <c r="K2061" i="22" s="1"/>
  <c r="L2061" i="22" s="1"/>
  <c r="J2060" i="22"/>
  <c r="K2060" i="22" s="1"/>
  <c r="L2060" i="22" s="1"/>
  <c r="J2059" i="22"/>
  <c r="K2059" i="22" s="1"/>
  <c r="L2059" i="22" s="1"/>
  <c r="J2058" i="22"/>
  <c r="K2058" i="22" s="1"/>
  <c r="L2058" i="22" s="1"/>
  <c r="J2057" i="22"/>
  <c r="K2057" i="22" s="1"/>
  <c r="L2057" i="22" s="1"/>
  <c r="J2056" i="22"/>
  <c r="K2056" i="22" s="1"/>
  <c r="L2056" i="22" s="1"/>
  <c r="J2055" i="22"/>
  <c r="K2055" i="22" s="1"/>
  <c r="L2055" i="22" s="1"/>
  <c r="J2054" i="22"/>
  <c r="I2054" i="22" s="1"/>
  <c r="J2053" i="22"/>
  <c r="K2053" i="22" s="1"/>
  <c r="L2053" i="22" s="1"/>
  <c r="J2052" i="22"/>
  <c r="K2052" i="22" s="1"/>
  <c r="L2052" i="22" s="1"/>
  <c r="J2051" i="22"/>
  <c r="K2051" i="22" s="1"/>
  <c r="L2051" i="22" s="1"/>
  <c r="J2050" i="22"/>
  <c r="K2050" i="22" s="1"/>
  <c r="L2050" i="22" s="1"/>
  <c r="J2049" i="22"/>
  <c r="K2049" i="22" s="1"/>
  <c r="L2049" i="22" s="1"/>
  <c r="J2048" i="22"/>
  <c r="K2048" i="22" s="1"/>
  <c r="L2048" i="22" s="1"/>
  <c r="J2047" i="22"/>
  <c r="K2047" i="22" s="1"/>
  <c r="L2047" i="22" s="1"/>
  <c r="J2046" i="22"/>
  <c r="I2046" i="22" s="1"/>
  <c r="J2045" i="22"/>
  <c r="K2045" i="22" s="1"/>
  <c r="L2045" i="22" s="1"/>
  <c r="J2044" i="22"/>
  <c r="I2044" i="22" s="1"/>
  <c r="J2043" i="22"/>
  <c r="K2043" i="22" s="1"/>
  <c r="L2043" i="22" s="1"/>
  <c r="J2042" i="22"/>
  <c r="K2042" i="22" s="1"/>
  <c r="L2042" i="22" s="1"/>
  <c r="J2041" i="22"/>
  <c r="I2041" i="22" s="1"/>
  <c r="J2040" i="22"/>
  <c r="K2040" i="22" s="1"/>
  <c r="L2040" i="22" s="1"/>
  <c r="J2039" i="22"/>
  <c r="K2039" i="22" s="1"/>
  <c r="L2039" i="22" s="1"/>
  <c r="J2038" i="22"/>
  <c r="I2038" i="22" s="1"/>
  <c r="J2037" i="22"/>
  <c r="I2037" i="22" s="1"/>
  <c r="J2036" i="22"/>
  <c r="K2036" i="22" s="1"/>
  <c r="L2036" i="22" s="1"/>
  <c r="J2035" i="22"/>
  <c r="I2035" i="22" s="1"/>
  <c r="J2034" i="22"/>
  <c r="I2034" i="22" s="1"/>
  <c r="J2033" i="22"/>
  <c r="K2033" i="22" s="1"/>
  <c r="L2033" i="22" s="1"/>
  <c r="J2032" i="22"/>
  <c r="I2032" i="22" s="1"/>
  <c r="J2031" i="22"/>
  <c r="K2031" i="22" s="1"/>
  <c r="L2031" i="22" s="1"/>
  <c r="J2030" i="22"/>
  <c r="K2030" i="22" s="1"/>
  <c r="L2030" i="22" s="1"/>
  <c r="J2029" i="22"/>
  <c r="I2029" i="22" s="1"/>
  <c r="J2028" i="22"/>
  <c r="I2028" i="22" s="1"/>
  <c r="J2027" i="22"/>
  <c r="I2027" i="22" s="1"/>
  <c r="J2026" i="22"/>
  <c r="I2026" i="22" s="1"/>
  <c r="J2025" i="22"/>
  <c r="K2025" i="22" s="1"/>
  <c r="L2025" i="22" s="1"/>
  <c r="J2024" i="22"/>
  <c r="K2024" i="22" s="1"/>
  <c r="L2024" i="22" s="1"/>
  <c r="J2023" i="22"/>
  <c r="I2023" i="22" s="1"/>
  <c r="J2022" i="22"/>
  <c r="K2022" i="22" s="1"/>
  <c r="L2022" i="22" s="1"/>
  <c r="J2021" i="22"/>
  <c r="K2021" i="22" s="1"/>
  <c r="L2021" i="22" s="1"/>
  <c r="J2020" i="22"/>
  <c r="I2020" i="22" s="1"/>
  <c r="J2019" i="22"/>
  <c r="I2019" i="22" s="1"/>
  <c r="J2018" i="22"/>
  <c r="I2018" i="22" s="1"/>
  <c r="J2017" i="22"/>
  <c r="I2017" i="22" s="1"/>
  <c r="J2016" i="22"/>
  <c r="K2016" i="22" s="1"/>
  <c r="L2016" i="22" s="1"/>
  <c r="J2015" i="22"/>
  <c r="K2015" i="22" s="1"/>
  <c r="L2015" i="22" s="1"/>
  <c r="J2014" i="22"/>
  <c r="I2014" i="22" s="1"/>
  <c r="J2013" i="22"/>
  <c r="K2013" i="22" s="1"/>
  <c r="L2013" i="22" s="1"/>
  <c r="J2012" i="22"/>
  <c r="K2012" i="22" s="1"/>
  <c r="L2012" i="22" s="1"/>
  <c r="J2011" i="22"/>
  <c r="I2011" i="22" s="1"/>
  <c r="J2010" i="22"/>
  <c r="I2010" i="22" s="1"/>
  <c r="J2009" i="22"/>
  <c r="K2009" i="22" s="1"/>
  <c r="L2009" i="22" s="1"/>
  <c r="J2008" i="22"/>
  <c r="I2008" i="22" s="1"/>
  <c r="J2007" i="22"/>
  <c r="K2007" i="22" s="1"/>
  <c r="L2007" i="22" s="1"/>
  <c r="K2006" i="22"/>
  <c r="L2006" i="22" s="1"/>
  <c r="J2005" i="22"/>
  <c r="K2005" i="22" s="1"/>
  <c r="L2005" i="22" s="1"/>
  <c r="I2005" i="22"/>
  <c r="J2004" i="22"/>
  <c r="K2004" i="22" s="1"/>
  <c r="L2004" i="22" s="1"/>
  <c r="I2004" i="22"/>
  <c r="J2003" i="22"/>
  <c r="K2003" i="22" s="1"/>
  <c r="L2003" i="22" s="1"/>
  <c r="I2003" i="22"/>
  <c r="J2002" i="22"/>
  <c r="K2002" i="22" s="1"/>
  <c r="L2002" i="22" s="1"/>
  <c r="I2002" i="22"/>
  <c r="J2001" i="22"/>
  <c r="K2001" i="22" s="1"/>
  <c r="L2001" i="22" s="1"/>
  <c r="I2001" i="22"/>
  <c r="J2000" i="22"/>
  <c r="K2000" i="22" s="1"/>
  <c r="L2000" i="22" s="1"/>
  <c r="I2000" i="22"/>
  <c r="J1999" i="22"/>
  <c r="K1999" i="22" s="1"/>
  <c r="L1999" i="22" s="1"/>
  <c r="I1999" i="22"/>
  <c r="J1998" i="22"/>
  <c r="K1998" i="22" s="1"/>
  <c r="L1998" i="22" s="1"/>
  <c r="I1998" i="22"/>
  <c r="J1997" i="22"/>
  <c r="K1997" i="22" s="1"/>
  <c r="L1997" i="22" s="1"/>
  <c r="I1997" i="22"/>
  <c r="J1996" i="22"/>
  <c r="K1996" i="22" s="1"/>
  <c r="L1996" i="22" s="1"/>
  <c r="I1996" i="22"/>
  <c r="J1995" i="22"/>
  <c r="K1995" i="22" s="1"/>
  <c r="L1995" i="22" s="1"/>
  <c r="I1995" i="22"/>
  <c r="J1994" i="22"/>
  <c r="K1994" i="22" s="1"/>
  <c r="L1994" i="22" s="1"/>
  <c r="I1994" i="22"/>
  <c r="J1993" i="22"/>
  <c r="K1993" i="22" s="1"/>
  <c r="L1993" i="22" s="1"/>
  <c r="I1993" i="22"/>
  <c r="J1992" i="22"/>
  <c r="K1992" i="22" s="1"/>
  <c r="L1992" i="22" s="1"/>
  <c r="I1992" i="22"/>
  <c r="J1991" i="22"/>
  <c r="K1991" i="22" s="1"/>
  <c r="L1991" i="22" s="1"/>
  <c r="I1991" i="22"/>
  <c r="J1990" i="22"/>
  <c r="K1990" i="22" s="1"/>
  <c r="L1990" i="22" s="1"/>
  <c r="I1990" i="22"/>
  <c r="J1989" i="22"/>
  <c r="K1989" i="22" s="1"/>
  <c r="L1989" i="22" s="1"/>
  <c r="I1989" i="22"/>
  <c r="J1988" i="22"/>
  <c r="K1988" i="22" s="1"/>
  <c r="L1988" i="22" s="1"/>
  <c r="I1988" i="22"/>
  <c r="J1987" i="22"/>
  <c r="K1987" i="22" s="1"/>
  <c r="L1987" i="22" s="1"/>
  <c r="J1986" i="22"/>
  <c r="K1986" i="22" s="1"/>
  <c r="L1986" i="22" s="1"/>
  <c r="J1985" i="22"/>
  <c r="K1985" i="22" s="1"/>
  <c r="L1985" i="22" s="1"/>
  <c r="J1984" i="22"/>
  <c r="K1984" i="22" s="1"/>
  <c r="L1984" i="22" s="1"/>
  <c r="J1983" i="22"/>
  <c r="K1983" i="22" s="1"/>
  <c r="L1983" i="22" s="1"/>
  <c r="J1982" i="22"/>
  <c r="K1982" i="22" s="1"/>
  <c r="J1981" i="22"/>
  <c r="K1981" i="22" s="1"/>
  <c r="L1981" i="22" s="1"/>
  <c r="I1981" i="22"/>
  <c r="J1980" i="22"/>
  <c r="K1980" i="22" s="1"/>
  <c r="L1980" i="22" s="1"/>
  <c r="I1980" i="22"/>
  <c r="J1979" i="22"/>
  <c r="K1979" i="22" s="1"/>
  <c r="L1979" i="22" s="1"/>
  <c r="K1978" i="22"/>
  <c r="L1978" i="22" s="1"/>
  <c r="J1977" i="22"/>
  <c r="K1977" i="22" s="1"/>
  <c r="L1977" i="22" s="1"/>
  <c r="I1977" i="22"/>
  <c r="J1976" i="22"/>
  <c r="K1976" i="22" s="1"/>
  <c r="L1976" i="22" s="1"/>
  <c r="I1976" i="22"/>
  <c r="J1975" i="22"/>
  <c r="K1975" i="22" s="1"/>
  <c r="L1975" i="22" s="1"/>
  <c r="I1975" i="22"/>
  <c r="J1974" i="22"/>
  <c r="K1974" i="22" s="1"/>
  <c r="L1974" i="22" s="1"/>
  <c r="I1974" i="22"/>
  <c r="J1973" i="22"/>
  <c r="K1973" i="22" s="1"/>
  <c r="L1973" i="22" s="1"/>
  <c r="I1973" i="22"/>
  <c r="J1972" i="22"/>
  <c r="K1972" i="22" s="1"/>
  <c r="L1972" i="22" s="1"/>
  <c r="I1972" i="22"/>
  <c r="K1971" i="22"/>
  <c r="L1971" i="22" s="1"/>
  <c r="J1970" i="22"/>
  <c r="K1970" i="22" s="1"/>
  <c r="L1970" i="22" s="1"/>
  <c r="I1970" i="22"/>
  <c r="J1969" i="22"/>
  <c r="K1969" i="22" s="1"/>
  <c r="L1969" i="22" s="1"/>
  <c r="I1969" i="22"/>
  <c r="J1968" i="22"/>
  <c r="K1968" i="22" s="1"/>
  <c r="L1968" i="22" s="1"/>
  <c r="I1968" i="22"/>
  <c r="J1967" i="22"/>
  <c r="K1967" i="22" s="1"/>
  <c r="L1967" i="22" s="1"/>
  <c r="I1967" i="22"/>
  <c r="J1966" i="22"/>
  <c r="K1966" i="22" s="1"/>
  <c r="L1966" i="22" s="1"/>
  <c r="I1966" i="22"/>
  <c r="K1965" i="22"/>
  <c r="L1965" i="22" s="1"/>
  <c r="J1964" i="22"/>
  <c r="K1964" i="22" s="1"/>
  <c r="L1964" i="22" s="1"/>
  <c r="I1964" i="22"/>
  <c r="J1963" i="22"/>
  <c r="K1963" i="22" s="1"/>
  <c r="L1963" i="22" s="1"/>
  <c r="I1963" i="22"/>
  <c r="J1962" i="22"/>
  <c r="K1962" i="22" s="1"/>
  <c r="L1962" i="22" s="1"/>
  <c r="I1962" i="22"/>
  <c r="J1961" i="22"/>
  <c r="K1961" i="22" s="1"/>
  <c r="L1961" i="22" s="1"/>
  <c r="I1961" i="22"/>
  <c r="J1960" i="22"/>
  <c r="K1960" i="22" s="1"/>
  <c r="L1960" i="22" s="1"/>
  <c r="I1960" i="22"/>
  <c r="J1959" i="22"/>
  <c r="K1959" i="22" s="1"/>
  <c r="L1959" i="22" s="1"/>
  <c r="I1959" i="22"/>
  <c r="J1958" i="22"/>
  <c r="K1958" i="22" s="1"/>
  <c r="L1958" i="22" s="1"/>
  <c r="I1958" i="22"/>
  <c r="J1957" i="22"/>
  <c r="K1957" i="22" s="1"/>
  <c r="L1957" i="22" s="1"/>
  <c r="I1957" i="22"/>
  <c r="J1956" i="22"/>
  <c r="K1956" i="22" s="1"/>
  <c r="L1956" i="22" s="1"/>
  <c r="I1956" i="22"/>
  <c r="J1955" i="22"/>
  <c r="K1955" i="22" s="1"/>
  <c r="L1955" i="22" s="1"/>
  <c r="I1955" i="22"/>
  <c r="J1954" i="22"/>
  <c r="K1954" i="22" s="1"/>
  <c r="L1954" i="22" s="1"/>
  <c r="I1954" i="22"/>
  <c r="J1953" i="22"/>
  <c r="K1953" i="22" s="1"/>
  <c r="L1953" i="22" s="1"/>
  <c r="I1953" i="22"/>
  <c r="J1952" i="22"/>
  <c r="K1952" i="22" s="1"/>
  <c r="L1952" i="22" s="1"/>
  <c r="I1952" i="22"/>
  <c r="K1951" i="22"/>
  <c r="L1951" i="22" s="1"/>
  <c r="J1950" i="22"/>
  <c r="K1950" i="22" s="1"/>
  <c r="L1950" i="22" s="1"/>
  <c r="I1950" i="22"/>
  <c r="J1949" i="22"/>
  <c r="K1949" i="22" s="1"/>
  <c r="L1949" i="22" s="1"/>
  <c r="I1949" i="22"/>
  <c r="J1948" i="22"/>
  <c r="K1948" i="22" s="1"/>
  <c r="L1948" i="22" s="1"/>
  <c r="I1948" i="22"/>
  <c r="J1947" i="22"/>
  <c r="K1947" i="22" s="1"/>
  <c r="L1947" i="22" s="1"/>
  <c r="I1947" i="22"/>
  <c r="J1946" i="22"/>
  <c r="K1946" i="22" s="1"/>
  <c r="L1946" i="22" s="1"/>
  <c r="I1946" i="22"/>
  <c r="J1945" i="22"/>
  <c r="K1945" i="22" s="1"/>
  <c r="L1945" i="22" s="1"/>
  <c r="I1945" i="22"/>
  <c r="J1944" i="22"/>
  <c r="K1944" i="22" s="1"/>
  <c r="L1944" i="22" s="1"/>
  <c r="I1944" i="22"/>
  <c r="J1943" i="22"/>
  <c r="K1943" i="22" s="1"/>
  <c r="L1943" i="22" s="1"/>
  <c r="I1943" i="22"/>
  <c r="J1942" i="22"/>
  <c r="K1942" i="22" s="1"/>
  <c r="L1942" i="22" s="1"/>
  <c r="I1942" i="22"/>
  <c r="J1941" i="22"/>
  <c r="K1941" i="22" s="1"/>
  <c r="L1941" i="22" s="1"/>
  <c r="I1941" i="22"/>
  <c r="J1940" i="22"/>
  <c r="K1940" i="22" s="1"/>
  <c r="L1940" i="22" s="1"/>
  <c r="I1940" i="22"/>
  <c r="J1939" i="22"/>
  <c r="K1939" i="22" s="1"/>
  <c r="L1939" i="22" s="1"/>
  <c r="I1939" i="22"/>
  <c r="J1938" i="22"/>
  <c r="K1938" i="22" s="1"/>
  <c r="L1938" i="22" s="1"/>
  <c r="I1938" i="22"/>
  <c r="J1937" i="22"/>
  <c r="K1937" i="22" s="1"/>
  <c r="L1937" i="22" s="1"/>
  <c r="I1937" i="22"/>
  <c r="J1936" i="22"/>
  <c r="K1936" i="22" s="1"/>
  <c r="L1936" i="22" s="1"/>
  <c r="I1936" i="22"/>
  <c r="J1935" i="22"/>
  <c r="K1935" i="22" s="1"/>
  <c r="L1935" i="22" s="1"/>
  <c r="I1935" i="22"/>
  <c r="J1934" i="22"/>
  <c r="K1934" i="22" s="1"/>
  <c r="L1934" i="22" s="1"/>
  <c r="I1934" i="22"/>
  <c r="J1933" i="22"/>
  <c r="K1933" i="22" s="1"/>
  <c r="L1933" i="22" s="1"/>
  <c r="I1933" i="22"/>
  <c r="J1932" i="22"/>
  <c r="K1932" i="22" s="1"/>
  <c r="L1932" i="22" s="1"/>
  <c r="I1932" i="22"/>
  <c r="J1931" i="22"/>
  <c r="K1931" i="22" s="1"/>
  <c r="L1931" i="22" s="1"/>
  <c r="I1931" i="22"/>
  <c r="J1930" i="22"/>
  <c r="K1930" i="22" s="1"/>
  <c r="L1930" i="22" s="1"/>
  <c r="I1930" i="22"/>
  <c r="J1929" i="22"/>
  <c r="K1929" i="22" s="1"/>
  <c r="L1929" i="22" s="1"/>
  <c r="I1929" i="22"/>
  <c r="J1928" i="22"/>
  <c r="K1928" i="22" s="1"/>
  <c r="L1928" i="22" s="1"/>
  <c r="I1928" i="22"/>
  <c r="J1927" i="22"/>
  <c r="K1927" i="22" s="1"/>
  <c r="L1927" i="22" s="1"/>
  <c r="I1927" i="22"/>
  <c r="J1926" i="22"/>
  <c r="K1926" i="22" s="1"/>
  <c r="L1926" i="22" s="1"/>
  <c r="I1926" i="22"/>
  <c r="J1925" i="22"/>
  <c r="K1925" i="22" s="1"/>
  <c r="L1925" i="22" s="1"/>
  <c r="I1925" i="22"/>
  <c r="J1924" i="22"/>
  <c r="K1924" i="22" s="1"/>
  <c r="L1924" i="22" s="1"/>
  <c r="I1924" i="22"/>
  <c r="J1923" i="22"/>
  <c r="K1923" i="22" s="1"/>
  <c r="L1923" i="22" s="1"/>
  <c r="I1923" i="22"/>
  <c r="J1922" i="22"/>
  <c r="K1922" i="22" s="1"/>
  <c r="L1922" i="22" s="1"/>
  <c r="I1922" i="22"/>
  <c r="J1921" i="22"/>
  <c r="K1921" i="22" s="1"/>
  <c r="L1921" i="22" s="1"/>
  <c r="I1921" i="22"/>
  <c r="J1920" i="22"/>
  <c r="K1920" i="22" s="1"/>
  <c r="L1920" i="22" s="1"/>
  <c r="I1920" i="22"/>
  <c r="J1919" i="22"/>
  <c r="K1919" i="22" s="1"/>
  <c r="L1919" i="22" s="1"/>
  <c r="I1919" i="22"/>
  <c r="J1918" i="22"/>
  <c r="K1918" i="22" s="1"/>
  <c r="L1918" i="22" s="1"/>
  <c r="I1918" i="22"/>
  <c r="J1917" i="22"/>
  <c r="K1917" i="22" s="1"/>
  <c r="L1917" i="22" s="1"/>
  <c r="I1917" i="22"/>
  <c r="J1916" i="22"/>
  <c r="K1916" i="22" s="1"/>
  <c r="L1916" i="22" s="1"/>
  <c r="I1916" i="22"/>
  <c r="J1915" i="22"/>
  <c r="K1915" i="22" s="1"/>
  <c r="L1915" i="22" s="1"/>
  <c r="I1915" i="22"/>
  <c r="J1914" i="22"/>
  <c r="K1914" i="22" s="1"/>
  <c r="L1914" i="22" s="1"/>
  <c r="I1914" i="22"/>
  <c r="J1913" i="22"/>
  <c r="K1913" i="22" s="1"/>
  <c r="L1913" i="22" s="1"/>
  <c r="I1913" i="22"/>
  <c r="J1912" i="22"/>
  <c r="K1912" i="22" s="1"/>
  <c r="L1912" i="22" s="1"/>
  <c r="I1912" i="22"/>
  <c r="J1911" i="22"/>
  <c r="K1911" i="22" s="1"/>
  <c r="L1911" i="22" s="1"/>
  <c r="I1911" i="22"/>
  <c r="J1910" i="22"/>
  <c r="K1910" i="22" s="1"/>
  <c r="L1910" i="22" s="1"/>
  <c r="I1910" i="22"/>
  <c r="J1909" i="22"/>
  <c r="K1909" i="22" s="1"/>
  <c r="L1909" i="22" s="1"/>
  <c r="I1909" i="22"/>
  <c r="J1908" i="22"/>
  <c r="K1908" i="22" s="1"/>
  <c r="L1908" i="22" s="1"/>
  <c r="I1908" i="22"/>
  <c r="J1907" i="22"/>
  <c r="K1907" i="22" s="1"/>
  <c r="L1907" i="22" s="1"/>
  <c r="I1907" i="22"/>
  <c r="J1906" i="22"/>
  <c r="K1906" i="22" s="1"/>
  <c r="L1906" i="22" s="1"/>
  <c r="I1906" i="22"/>
  <c r="J1905" i="22"/>
  <c r="K1905" i="22" s="1"/>
  <c r="L1905" i="22" s="1"/>
  <c r="I1905" i="22"/>
  <c r="J1904" i="22"/>
  <c r="K1904" i="22" s="1"/>
  <c r="L1904" i="22" s="1"/>
  <c r="I1904" i="22"/>
  <c r="J1903" i="22"/>
  <c r="K1903" i="22" s="1"/>
  <c r="L1903" i="22" s="1"/>
  <c r="I1903" i="22"/>
  <c r="J1902" i="22"/>
  <c r="K1902" i="22" s="1"/>
  <c r="L1902" i="22" s="1"/>
  <c r="I1902" i="22"/>
  <c r="J1901" i="22"/>
  <c r="K1901" i="22" s="1"/>
  <c r="L1901" i="22" s="1"/>
  <c r="I1901" i="22"/>
  <c r="J1900" i="22"/>
  <c r="K1900" i="22" s="1"/>
  <c r="L1900" i="22" s="1"/>
  <c r="I1900" i="22"/>
  <c r="J1899" i="22"/>
  <c r="K1899" i="22" s="1"/>
  <c r="L1899" i="22" s="1"/>
  <c r="I1899" i="22"/>
  <c r="J1898" i="22"/>
  <c r="K1898" i="22" s="1"/>
  <c r="L1898" i="22" s="1"/>
  <c r="I1898" i="22"/>
  <c r="J1897" i="22"/>
  <c r="K1897" i="22" s="1"/>
  <c r="L1897" i="22" s="1"/>
  <c r="I1897" i="22"/>
  <c r="J1896" i="22"/>
  <c r="K1896" i="22" s="1"/>
  <c r="L1896" i="22" s="1"/>
  <c r="I1896" i="22"/>
  <c r="J1895" i="22"/>
  <c r="K1895" i="22" s="1"/>
  <c r="L1895" i="22" s="1"/>
  <c r="I1895" i="22"/>
  <c r="J1894" i="22"/>
  <c r="K1894" i="22" s="1"/>
  <c r="L1894" i="22" s="1"/>
  <c r="I1894" i="22"/>
  <c r="J1893" i="22"/>
  <c r="K1893" i="22" s="1"/>
  <c r="L1893" i="22" s="1"/>
  <c r="I1893" i="22"/>
  <c r="J1892" i="22"/>
  <c r="K1892" i="22" s="1"/>
  <c r="L1892" i="22" s="1"/>
  <c r="I1892" i="22"/>
  <c r="J1891" i="22"/>
  <c r="K1891" i="22" s="1"/>
  <c r="L1891" i="22" s="1"/>
  <c r="I1891" i="22"/>
  <c r="J1890" i="22"/>
  <c r="K1890" i="22" s="1"/>
  <c r="L1890" i="22" s="1"/>
  <c r="I1890" i="22"/>
  <c r="J1889" i="22"/>
  <c r="K1889" i="22" s="1"/>
  <c r="L1889" i="22" s="1"/>
  <c r="I1889" i="22"/>
  <c r="J1888" i="22"/>
  <c r="K1888" i="22" s="1"/>
  <c r="L1888" i="22" s="1"/>
  <c r="I1888" i="22"/>
  <c r="J1887" i="22"/>
  <c r="K1887" i="22" s="1"/>
  <c r="L1887" i="22" s="1"/>
  <c r="I1887" i="22"/>
  <c r="J1886" i="22"/>
  <c r="K1886" i="22" s="1"/>
  <c r="L1886" i="22" s="1"/>
  <c r="I1886" i="22"/>
  <c r="J1885" i="22"/>
  <c r="K1885" i="22" s="1"/>
  <c r="L1885" i="22" s="1"/>
  <c r="I1885" i="22"/>
  <c r="J1884" i="22"/>
  <c r="K1884" i="22" s="1"/>
  <c r="L1884" i="22" s="1"/>
  <c r="I1884" i="22"/>
  <c r="J1883" i="22"/>
  <c r="K1883" i="22" s="1"/>
  <c r="L1883" i="22" s="1"/>
  <c r="I1883" i="22"/>
  <c r="J1882" i="22"/>
  <c r="K1882" i="22" s="1"/>
  <c r="L1882" i="22" s="1"/>
  <c r="I1882" i="22"/>
  <c r="J1881" i="22"/>
  <c r="K1881" i="22" s="1"/>
  <c r="L1881" i="22" s="1"/>
  <c r="I1881" i="22"/>
  <c r="J1880" i="22"/>
  <c r="K1880" i="22" s="1"/>
  <c r="L1880" i="22" s="1"/>
  <c r="I1880" i="22"/>
  <c r="J1879" i="22"/>
  <c r="K1879" i="22" s="1"/>
  <c r="L1879" i="22" s="1"/>
  <c r="I1879" i="22"/>
  <c r="J1878" i="22"/>
  <c r="K1878" i="22" s="1"/>
  <c r="L1878" i="22" s="1"/>
  <c r="I1878" i="22"/>
  <c r="J1877" i="22"/>
  <c r="K1877" i="22" s="1"/>
  <c r="L1877" i="22" s="1"/>
  <c r="I1877" i="22"/>
  <c r="J1876" i="22"/>
  <c r="K1876" i="22" s="1"/>
  <c r="L1876" i="22" s="1"/>
  <c r="I1876" i="22"/>
  <c r="J1875" i="22"/>
  <c r="K1875" i="22" s="1"/>
  <c r="L1875" i="22" s="1"/>
  <c r="I1875" i="22"/>
  <c r="J1874" i="22"/>
  <c r="K1874" i="22" s="1"/>
  <c r="L1874" i="22" s="1"/>
  <c r="I1874" i="22"/>
  <c r="J1873" i="22"/>
  <c r="K1873" i="22" s="1"/>
  <c r="L1873" i="22" s="1"/>
  <c r="I1873" i="22"/>
  <c r="J1872" i="22"/>
  <c r="K1872" i="22" s="1"/>
  <c r="L1872" i="22" s="1"/>
  <c r="I1872" i="22"/>
  <c r="J1871" i="22"/>
  <c r="K1871" i="22" s="1"/>
  <c r="L1871" i="22" s="1"/>
  <c r="I1871" i="22"/>
  <c r="J1870" i="22"/>
  <c r="K1870" i="22" s="1"/>
  <c r="L1870" i="22" s="1"/>
  <c r="I1870" i="22"/>
  <c r="J1869" i="22"/>
  <c r="K1869" i="22" s="1"/>
  <c r="L1869" i="22" s="1"/>
  <c r="I1869" i="22"/>
  <c r="J1868" i="22"/>
  <c r="K1868" i="22" s="1"/>
  <c r="L1868" i="22" s="1"/>
  <c r="I1868" i="22"/>
  <c r="J1867" i="22"/>
  <c r="K1867" i="22" s="1"/>
  <c r="L1867" i="22" s="1"/>
  <c r="I1867" i="22"/>
  <c r="J1866" i="22"/>
  <c r="K1866" i="22" s="1"/>
  <c r="L1866" i="22" s="1"/>
  <c r="I1866" i="22"/>
  <c r="J1865" i="22"/>
  <c r="K1865" i="22" s="1"/>
  <c r="L1865" i="22" s="1"/>
  <c r="I1865" i="22"/>
  <c r="J1864" i="22"/>
  <c r="K1864" i="22" s="1"/>
  <c r="L1864" i="22" s="1"/>
  <c r="I1864" i="22"/>
  <c r="J1863" i="22"/>
  <c r="K1863" i="22" s="1"/>
  <c r="L1863" i="22" s="1"/>
  <c r="I1863" i="22"/>
  <c r="J1862" i="22"/>
  <c r="K1862" i="22" s="1"/>
  <c r="L1862" i="22" s="1"/>
  <c r="I1862" i="22"/>
  <c r="J1861" i="22"/>
  <c r="K1861" i="22" s="1"/>
  <c r="L1861" i="22" s="1"/>
  <c r="I1861" i="22"/>
  <c r="J1860" i="22"/>
  <c r="K1860" i="22" s="1"/>
  <c r="L1860" i="22" s="1"/>
  <c r="I1860" i="22"/>
  <c r="J1859" i="22"/>
  <c r="K1859" i="22" s="1"/>
  <c r="L1859" i="22" s="1"/>
  <c r="I1859" i="22"/>
  <c r="J1858" i="22"/>
  <c r="K1858" i="22" s="1"/>
  <c r="L1858" i="22" s="1"/>
  <c r="I1858" i="22"/>
  <c r="J1857" i="22"/>
  <c r="K1857" i="22" s="1"/>
  <c r="L1857" i="22" s="1"/>
  <c r="I1857" i="22"/>
  <c r="J1856" i="22"/>
  <c r="K1856" i="22" s="1"/>
  <c r="L1856" i="22" s="1"/>
  <c r="I1856" i="22"/>
  <c r="J1855" i="22"/>
  <c r="K1855" i="22" s="1"/>
  <c r="L1855" i="22" s="1"/>
  <c r="I1855" i="22"/>
  <c r="J1854" i="22"/>
  <c r="K1854" i="22" s="1"/>
  <c r="L1854" i="22" s="1"/>
  <c r="I1854" i="22"/>
  <c r="J1853" i="22"/>
  <c r="K1853" i="22" s="1"/>
  <c r="L1853" i="22" s="1"/>
  <c r="I1853" i="22"/>
  <c r="J1852" i="22"/>
  <c r="K1852" i="22" s="1"/>
  <c r="L1852" i="22" s="1"/>
  <c r="I1852" i="22"/>
  <c r="J1851" i="22"/>
  <c r="K1851" i="22" s="1"/>
  <c r="I1851" i="22"/>
  <c r="J1850" i="22"/>
  <c r="K1850" i="22" s="1"/>
  <c r="L1850" i="22" s="1"/>
  <c r="I1850" i="22"/>
  <c r="J1849" i="22"/>
  <c r="K1849" i="22" s="1"/>
  <c r="L1849" i="22" s="1"/>
  <c r="I1849" i="22"/>
  <c r="J1848" i="22"/>
  <c r="K1848" i="22" s="1"/>
  <c r="L1848" i="22" s="1"/>
  <c r="I1848" i="22"/>
  <c r="J1847" i="22"/>
  <c r="K1847" i="22" s="1"/>
  <c r="L1847" i="22" s="1"/>
  <c r="I1847" i="22"/>
  <c r="J1846" i="22"/>
  <c r="K1846" i="22" s="1"/>
  <c r="L1846" i="22" s="1"/>
  <c r="I1846" i="22"/>
  <c r="J1845" i="22"/>
  <c r="K1845" i="22" s="1"/>
  <c r="L1845" i="22" s="1"/>
  <c r="I1845" i="22"/>
  <c r="J1844" i="22"/>
  <c r="K1844" i="22" s="1"/>
  <c r="L1844" i="22" s="1"/>
  <c r="I1844" i="22"/>
  <c r="J1843" i="22"/>
  <c r="K1843" i="22" s="1"/>
  <c r="L1843" i="22" s="1"/>
  <c r="I1843" i="22"/>
  <c r="J1842" i="22"/>
  <c r="K1842" i="22" s="1"/>
  <c r="L1842" i="22" s="1"/>
  <c r="I1842" i="22"/>
  <c r="J1841" i="22"/>
  <c r="K1841" i="22" s="1"/>
  <c r="L1841" i="22" s="1"/>
  <c r="I1841" i="22"/>
  <c r="J1840" i="22"/>
  <c r="K1840" i="22" s="1"/>
  <c r="L1840" i="22" s="1"/>
  <c r="I1840" i="22"/>
  <c r="J1839" i="22"/>
  <c r="K1839" i="22" s="1"/>
  <c r="L1839" i="22" s="1"/>
  <c r="I1839" i="22"/>
  <c r="J1838" i="22"/>
  <c r="K1838" i="22" s="1"/>
  <c r="L1838" i="22" s="1"/>
  <c r="I1838" i="22"/>
  <c r="J1837" i="22"/>
  <c r="K1837" i="22" s="1"/>
  <c r="L1837" i="22" s="1"/>
  <c r="I1837" i="22"/>
  <c r="J1836" i="22"/>
  <c r="K1836" i="22" s="1"/>
  <c r="L1836" i="22" s="1"/>
  <c r="I1836" i="22"/>
  <c r="J1835" i="22"/>
  <c r="K1835" i="22" s="1"/>
  <c r="L1835" i="22" s="1"/>
  <c r="I1835" i="22"/>
  <c r="J1834" i="22"/>
  <c r="K1834" i="22" s="1"/>
  <c r="L1834" i="22" s="1"/>
  <c r="I1834" i="22"/>
  <c r="J1833" i="22"/>
  <c r="K1833" i="22" s="1"/>
  <c r="L1833" i="22" s="1"/>
  <c r="I1833" i="22"/>
  <c r="J1832" i="22"/>
  <c r="K1832" i="22" s="1"/>
  <c r="I1832" i="22"/>
  <c r="K1831" i="22"/>
  <c r="L1831" i="22" s="1"/>
  <c r="K1830" i="22"/>
  <c r="L1830" i="22" s="1"/>
  <c r="K1829" i="22"/>
  <c r="L1829" i="22" s="1"/>
  <c r="K1828" i="22"/>
  <c r="L1828" i="22" s="1"/>
  <c r="K1827" i="22"/>
  <c r="L1827" i="22" s="1"/>
  <c r="K1826" i="22"/>
  <c r="L1826" i="22" s="1"/>
  <c r="K1825" i="22"/>
  <c r="L1825" i="22" s="1"/>
  <c r="K1824" i="22"/>
  <c r="L1824" i="22" s="1"/>
  <c r="K1823" i="22"/>
  <c r="L1823" i="22" s="1"/>
  <c r="K1822" i="22"/>
  <c r="L1822" i="22" s="1"/>
  <c r="K1821" i="22"/>
  <c r="L1821" i="22" s="1"/>
  <c r="K1820" i="22"/>
  <c r="L1820" i="22" s="1"/>
  <c r="K1819" i="22"/>
  <c r="L1819" i="22" s="1"/>
  <c r="K1818" i="22"/>
  <c r="L1818" i="22" s="1"/>
  <c r="J1817" i="22"/>
  <c r="K1817" i="22" s="1"/>
  <c r="L1817" i="22" s="1"/>
  <c r="I1817" i="22"/>
  <c r="J1816" i="22"/>
  <c r="K1816" i="22" s="1"/>
  <c r="L1816" i="22" s="1"/>
  <c r="I1816" i="22"/>
  <c r="J1815" i="22"/>
  <c r="K1815" i="22" s="1"/>
  <c r="L1815" i="22" s="1"/>
  <c r="I1815" i="22"/>
  <c r="J1814" i="22"/>
  <c r="K1814" i="22" s="1"/>
  <c r="L1814" i="22" s="1"/>
  <c r="I1814" i="22"/>
  <c r="J1813" i="22"/>
  <c r="K1813" i="22" s="1"/>
  <c r="L1813" i="22" s="1"/>
  <c r="I1813" i="22"/>
  <c r="J1812" i="22"/>
  <c r="K1812" i="22" s="1"/>
  <c r="L1812" i="22" s="1"/>
  <c r="I1812" i="22"/>
  <c r="J1811" i="22"/>
  <c r="K1811" i="22" s="1"/>
  <c r="L1811" i="22" s="1"/>
  <c r="I1811" i="22"/>
  <c r="J1810" i="22"/>
  <c r="K1810" i="22" s="1"/>
  <c r="L1810" i="22" s="1"/>
  <c r="I1810" i="22"/>
  <c r="J1809" i="22"/>
  <c r="K1809" i="22" s="1"/>
  <c r="L1809" i="22" s="1"/>
  <c r="I1809" i="22"/>
  <c r="J1808" i="22"/>
  <c r="K1808" i="22" s="1"/>
  <c r="L1808" i="22" s="1"/>
  <c r="I1808" i="22"/>
  <c r="J1807" i="22"/>
  <c r="K1807" i="22" s="1"/>
  <c r="L1807" i="22" s="1"/>
  <c r="I1807" i="22"/>
  <c r="J1806" i="22"/>
  <c r="K1806" i="22" s="1"/>
  <c r="L1806" i="22" s="1"/>
  <c r="I1806" i="22"/>
  <c r="J1805" i="22"/>
  <c r="K1805" i="22" s="1"/>
  <c r="L1805" i="22" s="1"/>
  <c r="I1805" i="22"/>
  <c r="J1804" i="22"/>
  <c r="K1804" i="22" s="1"/>
  <c r="L1804" i="22" s="1"/>
  <c r="I1804" i="22"/>
  <c r="J1803" i="22"/>
  <c r="K1803" i="22" s="1"/>
  <c r="L1803" i="22" s="1"/>
  <c r="I1803" i="22"/>
  <c r="J1802" i="22"/>
  <c r="K1802" i="22" s="1"/>
  <c r="L1802" i="22" s="1"/>
  <c r="I1802" i="22"/>
  <c r="J1801" i="22"/>
  <c r="K1801" i="22" s="1"/>
  <c r="L1801" i="22" s="1"/>
  <c r="I1801" i="22"/>
  <c r="J1800" i="22"/>
  <c r="K1800" i="22" s="1"/>
  <c r="L1800" i="22" s="1"/>
  <c r="I1800" i="22"/>
  <c r="J1799" i="22"/>
  <c r="K1799" i="22" s="1"/>
  <c r="L1799" i="22" s="1"/>
  <c r="I1799" i="22"/>
  <c r="J1798" i="22"/>
  <c r="K1798" i="22" s="1"/>
  <c r="L1798" i="22" s="1"/>
  <c r="I1798" i="22"/>
  <c r="J1797" i="22"/>
  <c r="K1797" i="22" s="1"/>
  <c r="L1797" i="22" s="1"/>
  <c r="I1797" i="22"/>
  <c r="J1796" i="22"/>
  <c r="K1796" i="22" s="1"/>
  <c r="L1796" i="22" s="1"/>
  <c r="I1796" i="22"/>
  <c r="J1795" i="22"/>
  <c r="K1795" i="22" s="1"/>
  <c r="L1795" i="22" s="1"/>
  <c r="I1795" i="22"/>
  <c r="J1794" i="22"/>
  <c r="K1794" i="22" s="1"/>
  <c r="L1794" i="22" s="1"/>
  <c r="I1794" i="22"/>
  <c r="J1793" i="22"/>
  <c r="K1793" i="22" s="1"/>
  <c r="L1793" i="22" s="1"/>
  <c r="I1793" i="22"/>
  <c r="J1792" i="22"/>
  <c r="K1792" i="22" s="1"/>
  <c r="L1792" i="22" s="1"/>
  <c r="I1792" i="22"/>
  <c r="J1791" i="22"/>
  <c r="K1791" i="22" s="1"/>
  <c r="L1791" i="22" s="1"/>
  <c r="I1791" i="22"/>
  <c r="J1790" i="22"/>
  <c r="K1790" i="22" s="1"/>
  <c r="L1790" i="22" s="1"/>
  <c r="I1790" i="22"/>
  <c r="J1789" i="22"/>
  <c r="K1789" i="22" s="1"/>
  <c r="L1789" i="22" s="1"/>
  <c r="I1789" i="22"/>
  <c r="J1788" i="22"/>
  <c r="K1788" i="22" s="1"/>
  <c r="L1788" i="22" s="1"/>
  <c r="I1788" i="22"/>
  <c r="J1787" i="22"/>
  <c r="K1787" i="22" s="1"/>
  <c r="L1787" i="22" s="1"/>
  <c r="I1787" i="22"/>
  <c r="J1786" i="22"/>
  <c r="K1786" i="22" s="1"/>
  <c r="L1786" i="22" s="1"/>
  <c r="I1786" i="22"/>
  <c r="J1785" i="22"/>
  <c r="K1785" i="22" s="1"/>
  <c r="L1785" i="22" s="1"/>
  <c r="I1785" i="22"/>
  <c r="J1784" i="22"/>
  <c r="K1784" i="22" s="1"/>
  <c r="L1784" i="22" s="1"/>
  <c r="I1784" i="22"/>
  <c r="J1783" i="22"/>
  <c r="K1783" i="22" s="1"/>
  <c r="L1783" i="22" s="1"/>
  <c r="I1783" i="22"/>
  <c r="J1782" i="22"/>
  <c r="K1782" i="22" s="1"/>
  <c r="L1782" i="22" s="1"/>
  <c r="I1782" i="22"/>
  <c r="J1781" i="22"/>
  <c r="K1781" i="22" s="1"/>
  <c r="L1781" i="22" s="1"/>
  <c r="I1781" i="22"/>
  <c r="J1780" i="22"/>
  <c r="K1780" i="22" s="1"/>
  <c r="L1780" i="22" s="1"/>
  <c r="I1780" i="22"/>
  <c r="J1779" i="22"/>
  <c r="K1779" i="22" s="1"/>
  <c r="L1779" i="22" s="1"/>
  <c r="I1779" i="22"/>
  <c r="J1778" i="22"/>
  <c r="K1778" i="22" s="1"/>
  <c r="L1778" i="22" s="1"/>
  <c r="I1778" i="22"/>
  <c r="J1777" i="22"/>
  <c r="K1777" i="22" s="1"/>
  <c r="L1777" i="22" s="1"/>
  <c r="I1777" i="22"/>
  <c r="J1776" i="22"/>
  <c r="K1776" i="22" s="1"/>
  <c r="L1776" i="22" s="1"/>
  <c r="I1776" i="22"/>
  <c r="J1775" i="22"/>
  <c r="K1775" i="22" s="1"/>
  <c r="L1775" i="22" s="1"/>
  <c r="I1775" i="22"/>
  <c r="J1774" i="22"/>
  <c r="K1774" i="22" s="1"/>
  <c r="L1774" i="22" s="1"/>
  <c r="I1774" i="22"/>
  <c r="J1773" i="22"/>
  <c r="K1773" i="22" s="1"/>
  <c r="L1773" i="22" s="1"/>
  <c r="I1773" i="22"/>
  <c r="J1772" i="22"/>
  <c r="K1772" i="22" s="1"/>
  <c r="L1772" i="22" s="1"/>
  <c r="I1772" i="22"/>
  <c r="J1771" i="22"/>
  <c r="K1771" i="22" s="1"/>
  <c r="L1771" i="22" s="1"/>
  <c r="I1771" i="22"/>
  <c r="J1770" i="22"/>
  <c r="K1770" i="22" s="1"/>
  <c r="L1770" i="22" s="1"/>
  <c r="I1770" i="22"/>
  <c r="J1769" i="22"/>
  <c r="K1769" i="22" s="1"/>
  <c r="L1769" i="22" s="1"/>
  <c r="I1769" i="22"/>
  <c r="J1768" i="22"/>
  <c r="K1768" i="22" s="1"/>
  <c r="L1768" i="22" s="1"/>
  <c r="I1768" i="22"/>
  <c r="J1767" i="22"/>
  <c r="K1767" i="22" s="1"/>
  <c r="L1767" i="22" s="1"/>
  <c r="I1767" i="22"/>
  <c r="J1766" i="22"/>
  <c r="K1766" i="22" s="1"/>
  <c r="L1766" i="22" s="1"/>
  <c r="I1766" i="22"/>
  <c r="J1765" i="22"/>
  <c r="K1765" i="22" s="1"/>
  <c r="L1765" i="22" s="1"/>
  <c r="I1765" i="22"/>
  <c r="J1764" i="22"/>
  <c r="K1764" i="22" s="1"/>
  <c r="L1764" i="22" s="1"/>
  <c r="I1764" i="22"/>
  <c r="J1763" i="22"/>
  <c r="K1763" i="22" s="1"/>
  <c r="L1763" i="22" s="1"/>
  <c r="I1763" i="22"/>
  <c r="J1762" i="22"/>
  <c r="K1762" i="22" s="1"/>
  <c r="L1762" i="22" s="1"/>
  <c r="I1762" i="22"/>
  <c r="J1761" i="22"/>
  <c r="K1761" i="22" s="1"/>
  <c r="L1761" i="22" s="1"/>
  <c r="I1761" i="22"/>
  <c r="J1760" i="22"/>
  <c r="K1760" i="22" s="1"/>
  <c r="L1760" i="22" s="1"/>
  <c r="I1760" i="22"/>
  <c r="J1759" i="22"/>
  <c r="K1759" i="22" s="1"/>
  <c r="L1759" i="22" s="1"/>
  <c r="I1759" i="22"/>
  <c r="J1758" i="22"/>
  <c r="K1758" i="22" s="1"/>
  <c r="L1758" i="22" s="1"/>
  <c r="I1758" i="22"/>
  <c r="J1757" i="22"/>
  <c r="K1757" i="22" s="1"/>
  <c r="L1757" i="22" s="1"/>
  <c r="I1757" i="22"/>
  <c r="J1756" i="22"/>
  <c r="K1756" i="22" s="1"/>
  <c r="L1756" i="22" s="1"/>
  <c r="I1756" i="22"/>
  <c r="J1755" i="22"/>
  <c r="K1755" i="22" s="1"/>
  <c r="L1755" i="22" s="1"/>
  <c r="I1755" i="22"/>
  <c r="J1754" i="22"/>
  <c r="K1754" i="22" s="1"/>
  <c r="L1754" i="22" s="1"/>
  <c r="I1754" i="22"/>
  <c r="J1753" i="22"/>
  <c r="K1753" i="22" s="1"/>
  <c r="L1753" i="22" s="1"/>
  <c r="I1753" i="22"/>
  <c r="J1752" i="22"/>
  <c r="K1752" i="22" s="1"/>
  <c r="L1752" i="22" s="1"/>
  <c r="I1752" i="22"/>
  <c r="J1751" i="22"/>
  <c r="K1751" i="22" s="1"/>
  <c r="L1751" i="22" s="1"/>
  <c r="I1751" i="22"/>
  <c r="J1750" i="22"/>
  <c r="K1750" i="22" s="1"/>
  <c r="L1750" i="22" s="1"/>
  <c r="I1750" i="22"/>
  <c r="J1749" i="22"/>
  <c r="K1749" i="22" s="1"/>
  <c r="L1749" i="22" s="1"/>
  <c r="I1749" i="22"/>
  <c r="J1748" i="22"/>
  <c r="K1748" i="22" s="1"/>
  <c r="L1748" i="22" s="1"/>
  <c r="I1748" i="22"/>
  <c r="J1747" i="22"/>
  <c r="K1747" i="22" s="1"/>
  <c r="L1747" i="22" s="1"/>
  <c r="I1747" i="22"/>
  <c r="J1746" i="22"/>
  <c r="K1746" i="22" s="1"/>
  <c r="L1746" i="22" s="1"/>
  <c r="I1746" i="22"/>
  <c r="J1745" i="22"/>
  <c r="K1745" i="22" s="1"/>
  <c r="L1745" i="22" s="1"/>
  <c r="I1745" i="22"/>
  <c r="J1744" i="22"/>
  <c r="K1744" i="22" s="1"/>
  <c r="L1744" i="22" s="1"/>
  <c r="I1744" i="22"/>
  <c r="J1743" i="22"/>
  <c r="K1743" i="22" s="1"/>
  <c r="L1743" i="22" s="1"/>
  <c r="I1743" i="22"/>
  <c r="J1742" i="22"/>
  <c r="K1742" i="22" s="1"/>
  <c r="L1742" i="22" s="1"/>
  <c r="I1742" i="22"/>
  <c r="J1741" i="22"/>
  <c r="K1741" i="22" s="1"/>
  <c r="L1741" i="22" s="1"/>
  <c r="I1741" i="22"/>
  <c r="J1740" i="22"/>
  <c r="K1740" i="22" s="1"/>
  <c r="L1740" i="22" s="1"/>
  <c r="I1740" i="22"/>
  <c r="J1739" i="22"/>
  <c r="K1739" i="22" s="1"/>
  <c r="L1739" i="22" s="1"/>
  <c r="I1739" i="22"/>
  <c r="J1738" i="22"/>
  <c r="K1738" i="22" s="1"/>
  <c r="L1738" i="22" s="1"/>
  <c r="I1738" i="22"/>
  <c r="J1737" i="22"/>
  <c r="K1737" i="22" s="1"/>
  <c r="L1737" i="22" s="1"/>
  <c r="I1737" i="22"/>
  <c r="J1736" i="22"/>
  <c r="K1736" i="22" s="1"/>
  <c r="L1736" i="22" s="1"/>
  <c r="I1736" i="22"/>
  <c r="J1735" i="22"/>
  <c r="K1735" i="22" s="1"/>
  <c r="L1735" i="22" s="1"/>
  <c r="I1735" i="22"/>
  <c r="J1734" i="22"/>
  <c r="K1734" i="22" s="1"/>
  <c r="L1734" i="22" s="1"/>
  <c r="I1734" i="22"/>
  <c r="J1733" i="22"/>
  <c r="K1733" i="22" s="1"/>
  <c r="L1733" i="22" s="1"/>
  <c r="I1733" i="22"/>
  <c r="K1732" i="22"/>
  <c r="L1732" i="22" s="1"/>
  <c r="K1731" i="22"/>
  <c r="L1731" i="22" s="1"/>
  <c r="K1730" i="22"/>
  <c r="L1730" i="22" s="1"/>
  <c r="K1729" i="22"/>
  <c r="L1729" i="22" s="1"/>
  <c r="K1728" i="22"/>
  <c r="L1728" i="22" s="1"/>
  <c r="J1727" i="22"/>
  <c r="K1727" i="22" s="1"/>
  <c r="L1727" i="22" s="1"/>
  <c r="I1727" i="22"/>
  <c r="J1726" i="22"/>
  <c r="K1726" i="22" s="1"/>
  <c r="L1726" i="22" s="1"/>
  <c r="I1726" i="22"/>
  <c r="J1725" i="22"/>
  <c r="K1725" i="22" s="1"/>
  <c r="L1725" i="22" s="1"/>
  <c r="I1725" i="22"/>
  <c r="J1724" i="22"/>
  <c r="K1724" i="22" s="1"/>
  <c r="L1724" i="22" s="1"/>
  <c r="I1724" i="22"/>
  <c r="J1723" i="22"/>
  <c r="K1723" i="22" s="1"/>
  <c r="L1723" i="22" s="1"/>
  <c r="I1723" i="22"/>
  <c r="I1722" i="22"/>
  <c r="J1722" i="22" s="1"/>
  <c r="K1722" i="22" s="1"/>
  <c r="L1722" i="22" s="1"/>
  <c r="I1721" i="22"/>
  <c r="J1721" i="22" s="1"/>
  <c r="K1719" i="22"/>
  <c r="L1719" i="22" s="1"/>
  <c r="K1718" i="22"/>
  <c r="L1718" i="22" s="1"/>
  <c r="K1717" i="22"/>
  <c r="L1717" i="22" s="1"/>
  <c r="K1716" i="22"/>
  <c r="L1716" i="22" s="1"/>
  <c r="K1715" i="22"/>
  <c r="L1715" i="22" s="1"/>
  <c r="K1714" i="22"/>
  <c r="L1714" i="22" s="1"/>
  <c r="K1713" i="22"/>
  <c r="L1713" i="22" s="1"/>
  <c r="K1712" i="22"/>
  <c r="K1711" i="22"/>
  <c r="L1711" i="22" s="1"/>
  <c r="K1710" i="22"/>
  <c r="L1710" i="22" s="1"/>
  <c r="I1710" i="22"/>
  <c r="K1709" i="22"/>
  <c r="L1709" i="22" s="1"/>
  <c r="I1709" i="22"/>
  <c r="K1708" i="22"/>
  <c r="L1708" i="22" s="1"/>
  <c r="K1707" i="22"/>
  <c r="L1707" i="22" s="1"/>
  <c r="K1706" i="22"/>
  <c r="L1706" i="22" s="1"/>
  <c r="K1705" i="22"/>
  <c r="L1705" i="22" s="1"/>
  <c r="K1704" i="22"/>
  <c r="L1704" i="22" s="1"/>
  <c r="K1703" i="22"/>
  <c r="L1703" i="22" s="1"/>
  <c r="K1702" i="22"/>
  <c r="L1702" i="22" s="1"/>
  <c r="K1701" i="22"/>
  <c r="L1701" i="22" s="1"/>
  <c r="K1700" i="22"/>
  <c r="L1700" i="22" s="1"/>
  <c r="D1700" i="22"/>
  <c r="K1699" i="22"/>
  <c r="L1699" i="22" s="1"/>
  <c r="K1698" i="22"/>
  <c r="L1698" i="22" s="1"/>
  <c r="K1697" i="22"/>
  <c r="L1697" i="22" s="1"/>
  <c r="K1696" i="22"/>
  <c r="L1696" i="22" s="1"/>
  <c r="K1695" i="22"/>
  <c r="L1695" i="22" s="1"/>
  <c r="K1694" i="22"/>
  <c r="L1694" i="22" s="1"/>
  <c r="K1693" i="22"/>
  <c r="L1693" i="22" s="1"/>
  <c r="K1692" i="22"/>
  <c r="L1692" i="22" s="1"/>
  <c r="K1691" i="22"/>
  <c r="L1691" i="22" s="1"/>
  <c r="K1690" i="22"/>
  <c r="L1690" i="22" s="1"/>
  <c r="K1689" i="22"/>
  <c r="J1688" i="22"/>
  <c r="K1688" i="22" s="1"/>
  <c r="L1688" i="22" s="1"/>
  <c r="I1688" i="22"/>
  <c r="J1687" i="22"/>
  <c r="K1687" i="22" s="1"/>
  <c r="L1687" i="22" s="1"/>
  <c r="I1687" i="22"/>
  <c r="K1686" i="22"/>
  <c r="L1686" i="22" s="1"/>
  <c r="J1685" i="22"/>
  <c r="K1684" i="22"/>
  <c r="L1684" i="22" s="1"/>
  <c r="L1683" i="22"/>
  <c r="L1682" i="22"/>
  <c r="L1681" i="22"/>
  <c r="L1680" i="22"/>
  <c r="L1679" i="22"/>
  <c r="L1678" i="22"/>
  <c r="L1677" i="22"/>
  <c r="L1676" i="22"/>
  <c r="L1675" i="22"/>
  <c r="L1674" i="22"/>
  <c r="L1673" i="22"/>
  <c r="L1672" i="22"/>
  <c r="L1671" i="22"/>
  <c r="L1670" i="22"/>
  <c r="L1669" i="22"/>
  <c r="L1668" i="22"/>
  <c r="L1667" i="22"/>
  <c r="L1666" i="22"/>
  <c r="L1665" i="22"/>
  <c r="L1664" i="22"/>
  <c r="J1664" i="22"/>
  <c r="I1664" i="22"/>
  <c r="L1663" i="22"/>
  <c r="L1662" i="22"/>
  <c r="L1661" i="22"/>
  <c r="L1660" i="22"/>
  <c r="L1659" i="22"/>
  <c r="L1658" i="22"/>
  <c r="L1657" i="22"/>
  <c r="L1656" i="22"/>
  <c r="L1655" i="22"/>
  <c r="L1654" i="22"/>
  <c r="L1653" i="22"/>
  <c r="L1652" i="22"/>
  <c r="L1651" i="22"/>
  <c r="L1650" i="22"/>
  <c r="L1649" i="22"/>
  <c r="L1648" i="22"/>
  <c r="L1647" i="22"/>
  <c r="L1646" i="22"/>
  <c r="L1645" i="22"/>
  <c r="L1644" i="22"/>
  <c r="L1643" i="22"/>
  <c r="L1642" i="22"/>
  <c r="L1641" i="22"/>
  <c r="L1640" i="22"/>
  <c r="L1639" i="22"/>
  <c r="L1638" i="22"/>
  <c r="L1637" i="22"/>
  <c r="L1636" i="22"/>
  <c r="L1635" i="22"/>
  <c r="L1634" i="22"/>
  <c r="L1633" i="22"/>
  <c r="L1632" i="22"/>
  <c r="L1631" i="22"/>
  <c r="L1630" i="22"/>
  <c r="L1629" i="22"/>
  <c r="L1628" i="22"/>
  <c r="L1627" i="22"/>
  <c r="L1626" i="22"/>
  <c r="L1625" i="22"/>
  <c r="L1624" i="22"/>
  <c r="J1624" i="22"/>
  <c r="I1624" i="22"/>
  <c r="L1623" i="22"/>
  <c r="L1622" i="22"/>
  <c r="L1621" i="22"/>
  <c r="L1620" i="22"/>
  <c r="L1619" i="22"/>
  <c r="L1618" i="22"/>
  <c r="L1617" i="22"/>
  <c r="L1616" i="22"/>
  <c r="L1615" i="22"/>
  <c r="L1614" i="22"/>
  <c r="L1613" i="22"/>
  <c r="L1612" i="22"/>
  <c r="L1611" i="22"/>
  <c r="L1610" i="22"/>
  <c r="L1609" i="22"/>
  <c r="L1608" i="22"/>
  <c r="L1607" i="22"/>
  <c r="L1606" i="22"/>
  <c r="L1605" i="22"/>
  <c r="L1604" i="22"/>
  <c r="L1603" i="22"/>
  <c r="L1602" i="22"/>
  <c r="L1601" i="22"/>
  <c r="L1600" i="22"/>
  <c r="L1599" i="22"/>
  <c r="L1598" i="22"/>
  <c r="L1597" i="22"/>
  <c r="L1596" i="22"/>
  <c r="L1595" i="22"/>
  <c r="L1594" i="22"/>
  <c r="L1593" i="22"/>
  <c r="L1592" i="22"/>
  <c r="L1591" i="22"/>
  <c r="L1590" i="22"/>
  <c r="L1589" i="22"/>
  <c r="L1588" i="22"/>
  <c r="L1587" i="22"/>
  <c r="L1586" i="22"/>
  <c r="L1585" i="22"/>
  <c r="L1584" i="22"/>
  <c r="K1583" i="22"/>
  <c r="L1583" i="22" s="1"/>
  <c r="J1583" i="22"/>
  <c r="I1583" i="22" s="1"/>
  <c r="K1582" i="22"/>
  <c r="L1582" i="22" s="1"/>
  <c r="J1582" i="22"/>
  <c r="I1582" i="22" s="1"/>
  <c r="K1581" i="22"/>
  <c r="L1581" i="22" s="1"/>
  <c r="J1581" i="22"/>
  <c r="I1581" i="22" s="1"/>
  <c r="K1580" i="22"/>
  <c r="L1580" i="22" s="1"/>
  <c r="J1580" i="22"/>
  <c r="I1580" i="22" s="1"/>
  <c r="K1579" i="22"/>
  <c r="L1579" i="22" s="1"/>
  <c r="J1579" i="22"/>
  <c r="I1579" i="22" s="1"/>
  <c r="K1578" i="22"/>
  <c r="L1578" i="22" s="1"/>
  <c r="J1578" i="22"/>
  <c r="I1578" i="22" s="1"/>
  <c r="K1577" i="22"/>
  <c r="L1577" i="22" s="1"/>
  <c r="J1577" i="22"/>
  <c r="I1577" i="22" s="1"/>
  <c r="K1576" i="22"/>
  <c r="L1576" i="22" s="1"/>
  <c r="J1576" i="22"/>
  <c r="I1576" i="22" s="1"/>
  <c r="K1575" i="22"/>
  <c r="L1575" i="22" s="1"/>
  <c r="J1575" i="22"/>
  <c r="I1575" i="22" s="1"/>
  <c r="K1574" i="22"/>
  <c r="L1574" i="22" s="1"/>
  <c r="J1574" i="22"/>
  <c r="I1574" i="22" s="1"/>
  <c r="K1573" i="22"/>
  <c r="L1573" i="22" s="1"/>
  <c r="J1573" i="22"/>
  <c r="I1573" i="22" s="1"/>
  <c r="K1572" i="22"/>
  <c r="L1572" i="22" s="1"/>
  <c r="J1572" i="22"/>
  <c r="I1572" i="22" s="1"/>
  <c r="K1571" i="22"/>
  <c r="L1571" i="22" s="1"/>
  <c r="J1571" i="22"/>
  <c r="I1571" i="22" s="1"/>
  <c r="K1570" i="22"/>
  <c r="L1570" i="22" s="1"/>
  <c r="J1570" i="22"/>
  <c r="I1570" i="22" s="1"/>
  <c r="K1569" i="22"/>
  <c r="L1569" i="22" s="1"/>
  <c r="J1569" i="22"/>
  <c r="I1569" i="22" s="1"/>
  <c r="K1568" i="22"/>
  <c r="L1568" i="22" s="1"/>
  <c r="J1568" i="22"/>
  <c r="I1568" i="22" s="1"/>
  <c r="K1567" i="22"/>
  <c r="L1567" i="22" s="1"/>
  <c r="J1567" i="22"/>
  <c r="I1567" i="22" s="1"/>
  <c r="K1566" i="22"/>
  <c r="L1566" i="22" s="1"/>
  <c r="J1566" i="22"/>
  <c r="I1566" i="22" s="1"/>
  <c r="K1565" i="22"/>
  <c r="L1565" i="22" s="1"/>
  <c r="J1565" i="22"/>
  <c r="I1565" i="22" s="1"/>
  <c r="K1564" i="22"/>
  <c r="L1564" i="22" s="1"/>
  <c r="J1564" i="22"/>
  <c r="I1564" i="22" s="1"/>
  <c r="K1563" i="22"/>
  <c r="L1563" i="22" s="1"/>
  <c r="J1563" i="22"/>
  <c r="I1563" i="22" s="1"/>
  <c r="K1562" i="22"/>
  <c r="L1562" i="22" s="1"/>
  <c r="J1562" i="22"/>
  <c r="I1562" i="22" s="1"/>
  <c r="K1561" i="22"/>
  <c r="L1561" i="22" s="1"/>
  <c r="J1561" i="22"/>
  <c r="I1561" i="22" s="1"/>
  <c r="K1560" i="22"/>
  <c r="L1560" i="22" s="1"/>
  <c r="J1560" i="22"/>
  <c r="I1560" i="22" s="1"/>
  <c r="K1559" i="22"/>
  <c r="L1559" i="22" s="1"/>
  <c r="J1559" i="22"/>
  <c r="I1559" i="22" s="1"/>
  <c r="K1558" i="22"/>
  <c r="L1558" i="22" s="1"/>
  <c r="J1558" i="22"/>
  <c r="I1558" i="22" s="1"/>
  <c r="K1557" i="22"/>
  <c r="L1557" i="22" s="1"/>
  <c r="J1557" i="22"/>
  <c r="I1557" i="22" s="1"/>
  <c r="K1556" i="22"/>
  <c r="L1556" i="22" s="1"/>
  <c r="J1556" i="22"/>
  <c r="I1556" i="22" s="1"/>
  <c r="K1555" i="22"/>
  <c r="L1555" i="22" s="1"/>
  <c r="J1555" i="22"/>
  <c r="I1555" i="22" s="1"/>
  <c r="K1554" i="22"/>
  <c r="L1554" i="22" s="1"/>
  <c r="J1554" i="22"/>
  <c r="I1554" i="22" s="1"/>
  <c r="K1553" i="22"/>
  <c r="L1553" i="22" s="1"/>
  <c r="J1553" i="22"/>
  <c r="I1553" i="22" s="1"/>
  <c r="K1552" i="22"/>
  <c r="L1552" i="22" s="1"/>
  <c r="J1552" i="22"/>
  <c r="I1552" i="22" s="1"/>
  <c r="K1551" i="22"/>
  <c r="L1551" i="22" s="1"/>
  <c r="J1551" i="22"/>
  <c r="I1551" i="22" s="1"/>
  <c r="K1550" i="22"/>
  <c r="L1550" i="22" s="1"/>
  <c r="J1550" i="22"/>
  <c r="I1550" i="22" s="1"/>
  <c r="K1549" i="22"/>
  <c r="L1549" i="22" s="1"/>
  <c r="J1549" i="22"/>
  <c r="I1549" i="22" s="1"/>
  <c r="K1548" i="22"/>
  <c r="L1548" i="22" s="1"/>
  <c r="J1548" i="22"/>
  <c r="I1548" i="22" s="1"/>
  <c r="K1547" i="22"/>
  <c r="L1547" i="22" s="1"/>
  <c r="J1547" i="22"/>
  <c r="I1547" i="22" s="1"/>
  <c r="K1546" i="22"/>
  <c r="L1546" i="22" s="1"/>
  <c r="J1546" i="22"/>
  <c r="I1546" i="22" s="1"/>
  <c r="K1545" i="22"/>
  <c r="L1545" i="22" s="1"/>
  <c r="J1545" i="22"/>
  <c r="I1545" i="22" s="1"/>
  <c r="K1544" i="22"/>
  <c r="L1544" i="22" s="1"/>
  <c r="J1544" i="22"/>
  <c r="I1544" i="22" s="1"/>
  <c r="K1543" i="22"/>
  <c r="L1543" i="22" s="1"/>
  <c r="J1543" i="22"/>
  <c r="I1543" i="22" s="1"/>
  <c r="K1542" i="22"/>
  <c r="L1542" i="22" s="1"/>
  <c r="J1542" i="22"/>
  <c r="I1542" i="22" s="1"/>
  <c r="K1541" i="22"/>
  <c r="L1541" i="22" s="1"/>
  <c r="J1541" i="22"/>
  <c r="I1541" i="22" s="1"/>
  <c r="K1540" i="22"/>
  <c r="L1540" i="22" s="1"/>
  <c r="J1540" i="22"/>
  <c r="I1540" i="22" s="1"/>
  <c r="K1539" i="22"/>
  <c r="L1539" i="22" s="1"/>
  <c r="J1539" i="22"/>
  <c r="I1539" i="22" s="1"/>
  <c r="K1538" i="22"/>
  <c r="L1538" i="22" s="1"/>
  <c r="J1538" i="22"/>
  <c r="I1538" i="22" s="1"/>
  <c r="K1537" i="22"/>
  <c r="L1537" i="22" s="1"/>
  <c r="J1537" i="22"/>
  <c r="I1537" i="22" s="1"/>
  <c r="K1536" i="22"/>
  <c r="L1536" i="22" s="1"/>
  <c r="J1536" i="22"/>
  <c r="I1536" i="22" s="1"/>
  <c r="K1535" i="22"/>
  <c r="L1535" i="22" s="1"/>
  <c r="J1535" i="22"/>
  <c r="I1535" i="22" s="1"/>
  <c r="K1534" i="22"/>
  <c r="L1534" i="22" s="1"/>
  <c r="J1534" i="22"/>
  <c r="I1534" i="22" s="1"/>
  <c r="L1533" i="22"/>
  <c r="J1533" i="22"/>
  <c r="L1532" i="22"/>
  <c r="J1532" i="22"/>
  <c r="L1531" i="22"/>
  <c r="J1531" i="22"/>
  <c r="L1530" i="22"/>
  <c r="J1530" i="22"/>
  <c r="L1529" i="22"/>
  <c r="J1529" i="22"/>
  <c r="L1528" i="22"/>
  <c r="J1528" i="22"/>
  <c r="L1527" i="22"/>
  <c r="J1527" i="22"/>
  <c r="L1526" i="22"/>
  <c r="J1526" i="22"/>
  <c r="L1525" i="22"/>
  <c r="J1525" i="22"/>
  <c r="L1524" i="22"/>
  <c r="J1524" i="22"/>
  <c r="L1523" i="22"/>
  <c r="J1523" i="22"/>
  <c r="L1522" i="22"/>
  <c r="J1522" i="22"/>
  <c r="L1521" i="22"/>
  <c r="J1521" i="22"/>
  <c r="L1520" i="22"/>
  <c r="J1520" i="22"/>
  <c r="L1519" i="22"/>
  <c r="J1519" i="22"/>
  <c r="L1518" i="22"/>
  <c r="J1518" i="22"/>
  <c r="L1517" i="22"/>
  <c r="J1517" i="22"/>
  <c r="L1516" i="22"/>
  <c r="J1516" i="22"/>
  <c r="L1515" i="22"/>
  <c r="J1515" i="22"/>
  <c r="L1514" i="22"/>
  <c r="J1514" i="22"/>
  <c r="L1513" i="22"/>
  <c r="J1513" i="22"/>
  <c r="L1512" i="22"/>
  <c r="J1512" i="22"/>
  <c r="L1511" i="22"/>
  <c r="J1511" i="22"/>
  <c r="L1510" i="22"/>
  <c r="J1510" i="22"/>
  <c r="L1509" i="22"/>
  <c r="J1509" i="22"/>
  <c r="L1508" i="22"/>
  <c r="J1508" i="22"/>
  <c r="L1507" i="22"/>
  <c r="J1507" i="22"/>
  <c r="L1506" i="22"/>
  <c r="J1506" i="22"/>
  <c r="L1505" i="22"/>
  <c r="J1505" i="22"/>
  <c r="L1504" i="22"/>
  <c r="J1504" i="22"/>
  <c r="L1503" i="22"/>
  <c r="J1503" i="22"/>
  <c r="L1502" i="22"/>
  <c r="J1502" i="22"/>
  <c r="L1501" i="22"/>
  <c r="J1501" i="22"/>
  <c r="L1500" i="22"/>
  <c r="J1500" i="22"/>
  <c r="L1499" i="22"/>
  <c r="J1499" i="22"/>
  <c r="L1498" i="22"/>
  <c r="J1498" i="22"/>
  <c r="L1497" i="22"/>
  <c r="J1497" i="22"/>
  <c r="L1496" i="22"/>
  <c r="J1496" i="22"/>
  <c r="L1495" i="22"/>
  <c r="J1495" i="22"/>
  <c r="L1494" i="22"/>
  <c r="J1494" i="22"/>
  <c r="L1493" i="22"/>
  <c r="J1493" i="22"/>
  <c r="L1492" i="22"/>
  <c r="J1492" i="22"/>
  <c r="L1491" i="22"/>
  <c r="J1491" i="22"/>
  <c r="L1490" i="22"/>
  <c r="J1490" i="22"/>
  <c r="L1489" i="22"/>
  <c r="J1489" i="22"/>
  <c r="L1488" i="22"/>
  <c r="J1488" i="22"/>
  <c r="L1487" i="22"/>
  <c r="J1487" i="22"/>
  <c r="L1486" i="22"/>
  <c r="J1486" i="22"/>
  <c r="L1485" i="22"/>
  <c r="J1485" i="22"/>
  <c r="L1484" i="22"/>
  <c r="J1484" i="22"/>
  <c r="L1483" i="22"/>
  <c r="J1483" i="22"/>
  <c r="L1482" i="22"/>
  <c r="J1482" i="22"/>
  <c r="L1481" i="22"/>
  <c r="J1481" i="22"/>
  <c r="L1480" i="22"/>
  <c r="J1480" i="22"/>
  <c r="L1479" i="22"/>
  <c r="J1479" i="22"/>
  <c r="L1478" i="22"/>
  <c r="J1478" i="22"/>
  <c r="L1477" i="22"/>
  <c r="J1477" i="22"/>
  <c r="L1476" i="22"/>
  <c r="J1476" i="22"/>
  <c r="L1475" i="22"/>
  <c r="J1475" i="22"/>
  <c r="L1474" i="22"/>
  <c r="J1474" i="22"/>
  <c r="L1473" i="22"/>
  <c r="J1473" i="22"/>
  <c r="L1472" i="22"/>
  <c r="J1472" i="22"/>
  <c r="L1471" i="22"/>
  <c r="J1471" i="22"/>
  <c r="L1470" i="22"/>
  <c r="J1470" i="22"/>
  <c r="L1469" i="22"/>
  <c r="J1469" i="22"/>
  <c r="L1468" i="22"/>
  <c r="J1468" i="22"/>
  <c r="L1467" i="22"/>
  <c r="J1467" i="22"/>
  <c r="L1466" i="22"/>
  <c r="J1466" i="22"/>
  <c r="L1465" i="22"/>
  <c r="J1465" i="22"/>
  <c r="L1464" i="22"/>
  <c r="J1464" i="22"/>
  <c r="L1463" i="22"/>
  <c r="J1463" i="22"/>
  <c r="L1462" i="22"/>
  <c r="J1462" i="22"/>
  <c r="L1461" i="22"/>
  <c r="J1461" i="22"/>
  <c r="L1460" i="22"/>
  <c r="J1460" i="22"/>
  <c r="L1459" i="22"/>
  <c r="J1459" i="22"/>
  <c r="L1458" i="22"/>
  <c r="J1458" i="22"/>
  <c r="L1457" i="22"/>
  <c r="J1457" i="22"/>
  <c r="L1456" i="22"/>
  <c r="J1456" i="22"/>
  <c r="L1455" i="22"/>
  <c r="J1455" i="22"/>
  <c r="L1454" i="22"/>
  <c r="J1454" i="22"/>
  <c r="I1454" i="22" s="1"/>
  <c r="L1423" i="22"/>
  <c r="J1423" i="22"/>
  <c r="L1422" i="22"/>
  <c r="J1422" i="22"/>
  <c r="L1421" i="22"/>
  <c r="J1421" i="22"/>
  <c r="L1420" i="22"/>
  <c r="J1420" i="22"/>
  <c r="L1419" i="22"/>
  <c r="J1419" i="22"/>
  <c r="L1418" i="22"/>
  <c r="J1418" i="22"/>
  <c r="L1417" i="22"/>
  <c r="J1417" i="22"/>
  <c r="L1416" i="22"/>
  <c r="J1416" i="22"/>
  <c r="L1415" i="22"/>
  <c r="J1415" i="22"/>
  <c r="L1414" i="22"/>
  <c r="J1414" i="22"/>
  <c r="L1413" i="22"/>
  <c r="J1413" i="22"/>
  <c r="L1412" i="22"/>
  <c r="J1412" i="22"/>
  <c r="L1411" i="22"/>
  <c r="J1411" i="22"/>
  <c r="L1410" i="22"/>
  <c r="J1410" i="22"/>
  <c r="L1409" i="22"/>
  <c r="J1409" i="22"/>
  <c r="L1408" i="22"/>
  <c r="J1408" i="22"/>
  <c r="L1407" i="22"/>
  <c r="J1407" i="22"/>
  <c r="L1404" i="22"/>
  <c r="J1404" i="22"/>
  <c r="L1403" i="22"/>
  <c r="J1403" i="22"/>
  <c r="L1402" i="22"/>
  <c r="J1402" i="22"/>
  <c r="L1401" i="22"/>
  <c r="J1401" i="22"/>
  <c r="L1400" i="22"/>
  <c r="J1400" i="22"/>
  <c r="L1399" i="22"/>
  <c r="J1399" i="22"/>
  <c r="L1398" i="22"/>
  <c r="J1398" i="22"/>
  <c r="L1397" i="22"/>
  <c r="J1397" i="22"/>
  <c r="L1396" i="22"/>
  <c r="J1396" i="22"/>
  <c r="L1395" i="22"/>
  <c r="J1395" i="22"/>
  <c r="L1394" i="22"/>
  <c r="J1394" i="22"/>
  <c r="L1393" i="22"/>
  <c r="J1393" i="22"/>
  <c r="L1392" i="22"/>
  <c r="J1392" i="22"/>
  <c r="I1392" i="22"/>
  <c r="L1391" i="22"/>
  <c r="J1391" i="22"/>
  <c r="L1390" i="22"/>
  <c r="J1390" i="22"/>
  <c r="L1389" i="22"/>
  <c r="J1389" i="22"/>
  <c r="L1388" i="22"/>
  <c r="J1388" i="22"/>
  <c r="L1387" i="22"/>
  <c r="J1387" i="22"/>
  <c r="L1386" i="22"/>
  <c r="J1386" i="22"/>
  <c r="L1385" i="22"/>
  <c r="J1385" i="22"/>
  <c r="L1384" i="22"/>
  <c r="J1384" i="22"/>
  <c r="L1383" i="22"/>
  <c r="J1383" i="22"/>
  <c r="L1382" i="22"/>
  <c r="J1382" i="22"/>
  <c r="L1381" i="22"/>
  <c r="J1381" i="22"/>
  <c r="L1380" i="22"/>
  <c r="J1380" i="22"/>
  <c r="L1379" i="22"/>
  <c r="J1379" i="22"/>
  <c r="L1378" i="22"/>
  <c r="J1378" i="22"/>
  <c r="L1377" i="22"/>
  <c r="J1377" i="22"/>
  <c r="L1376" i="22"/>
  <c r="J1376" i="22"/>
  <c r="L1375" i="22"/>
  <c r="J1375" i="22"/>
  <c r="L1374" i="22"/>
  <c r="J1374" i="22"/>
  <c r="L1373" i="22"/>
  <c r="J1373" i="22"/>
  <c r="L1372" i="22"/>
  <c r="J1372" i="22"/>
  <c r="L1371" i="22"/>
  <c r="J1371" i="22"/>
  <c r="L1370" i="22"/>
  <c r="J1370" i="22"/>
  <c r="L1369" i="22"/>
  <c r="J1369" i="22"/>
  <c r="L1368" i="22"/>
  <c r="J1368" i="22"/>
  <c r="L1367" i="22"/>
  <c r="J1367" i="22"/>
  <c r="L1366" i="22"/>
  <c r="J1366" i="22"/>
  <c r="L1365" i="22"/>
  <c r="J1365" i="22"/>
  <c r="L1364" i="22"/>
  <c r="J1364" i="22"/>
  <c r="L1363" i="22"/>
  <c r="J1363" i="22"/>
  <c r="L1362" i="22"/>
  <c r="J1362" i="22"/>
  <c r="L1361" i="22"/>
  <c r="J1361" i="22"/>
  <c r="L1360" i="22"/>
  <c r="J1360" i="22"/>
  <c r="L1359" i="22"/>
  <c r="J1359" i="22"/>
  <c r="L1358" i="22"/>
  <c r="J1358" i="22"/>
  <c r="L1357" i="22"/>
  <c r="J1357" i="22"/>
  <c r="L1356" i="22"/>
  <c r="J1356" i="22"/>
  <c r="L1355" i="22"/>
  <c r="J1355" i="22"/>
  <c r="L1354" i="22"/>
  <c r="J1354" i="22"/>
  <c r="L1353" i="22"/>
  <c r="J1353" i="22"/>
  <c r="L1352" i="22"/>
  <c r="J1352" i="22"/>
  <c r="I1352" i="22"/>
  <c r="L1351" i="22"/>
  <c r="J1351" i="22"/>
  <c r="I1351" i="22"/>
  <c r="L1350" i="22"/>
  <c r="J1350" i="22"/>
  <c r="I1350" i="22"/>
  <c r="L1349" i="22"/>
  <c r="J1349" i="22"/>
  <c r="I1349" i="22"/>
  <c r="L1348" i="22"/>
  <c r="J1348" i="22"/>
  <c r="I1348" i="22"/>
  <c r="L1347" i="22"/>
  <c r="J1347" i="22"/>
  <c r="I1347" i="22"/>
  <c r="L1346" i="22"/>
  <c r="J1346" i="22"/>
  <c r="I1346" i="22"/>
  <c r="L1345" i="22"/>
  <c r="J1345" i="22"/>
  <c r="I1345" i="22"/>
  <c r="L1344" i="22"/>
  <c r="J1344" i="22"/>
  <c r="I1344" i="22"/>
  <c r="L1343" i="22"/>
  <c r="J1343" i="22"/>
  <c r="I1343" i="22"/>
  <c r="L1342" i="22"/>
  <c r="J1342" i="22"/>
  <c r="I1342" i="22"/>
  <c r="L1341" i="22"/>
  <c r="J1341" i="22"/>
  <c r="I1341" i="22"/>
  <c r="L1340" i="22"/>
  <c r="J1340" i="22"/>
  <c r="I1340" i="22"/>
  <c r="L1339" i="22"/>
  <c r="J1339" i="22"/>
  <c r="I1339" i="22"/>
  <c r="L1338" i="22"/>
  <c r="J1338" i="22"/>
  <c r="I1338" i="22"/>
  <c r="L1337" i="22"/>
  <c r="J1337" i="22"/>
  <c r="I1337" i="22"/>
  <c r="L1336" i="22"/>
  <c r="J1336" i="22"/>
  <c r="I1336" i="22"/>
  <c r="L1335" i="22"/>
  <c r="J1335" i="22"/>
  <c r="I1335" i="22"/>
  <c r="L1334" i="22"/>
  <c r="J1334" i="22"/>
  <c r="I1334" i="22"/>
  <c r="L1333" i="22"/>
  <c r="J1333" i="22"/>
  <c r="I1333" i="22"/>
  <c r="L1332" i="22"/>
  <c r="J1332" i="22"/>
  <c r="I1332" i="22"/>
  <c r="L1331" i="22"/>
  <c r="J1331" i="22"/>
  <c r="I1331" i="22"/>
  <c r="L1330" i="22"/>
  <c r="J1330" i="22"/>
  <c r="I1330" i="22"/>
  <c r="L1329" i="22"/>
  <c r="J1329" i="22"/>
  <c r="I1329" i="22"/>
  <c r="L1328" i="22"/>
  <c r="J1328" i="22"/>
  <c r="I1328" i="22"/>
  <c r="L1327" i="22"/>
  <c r="J1327" i="22"/>
  <c r="I1327" i="22"/>
  <c r="L1326" i="22"/>
  <c r="J1326" i="22"/>
  <c r="I1326" i="22"/>
  <c r="L1325" i="22"/>
  <c r="J1325" i="22"/>
  <c r="I1325" i="22"/>
  <c r="L1323" i="22"/>
  <c r="J1323" i="22"/>
  <c r="I1323" i="22"/>
  <c r="L1322" i="22"/>
  <c r="J1322" i="22"/>
  <c r="I1322" i="22"/>
  <c r="L1321" i="22"/>
  <c r="J1321" i="22"/>
  <c r="I1321" i="22"/>
  <c r="L1320" i="22"/>
  <c r="J1320" i="22"/>
  <c r="I1320" i="22"/>
  <c r="L1319" i="22"/>
  <c r="J1319" i="22"/>
  <c r="I1319" i="22"/>
  <c r="L1318" i="22"/>
  <c r="J1318" i="22"/>
  <c r="I1318" i="22"/>
  <c r="L1317" i="22"/>
  <c r="J1317" i="22"/>
  <c r="I1317" i="22"/>
  <c r="L1316" i="22"/>
  <c r="J1316" i="22"/>
  <c r="I1316" i="22"/>
  <c r="L1315" i="22"/>
  <c r="J1315" i="22"/>
  <c r="I1315" i="22"/>
  <c r="L1314" i="22"/>
  <c r="J1314" i="22"/>
  <c r="I1314" i="22"/>
  <c r="L1313" i="22"/>
  <c r="J1313" i="22"/>
  <c r="I1313" i="22"/>
  <c r="L1312" i="22"/>
  <c r="J1312" i="22"/>
  <c r="I1312" i="22"/>
  <c r="L1311" i="22"/>
  <c r="J1311" i="22"/>
  <c r="I1311" i="22"/>
  <c r="L1310" i="22"/>
  <c r="J1310" i="22"/>
  <c r="I1310" i="22"/>
  <c r="L1309" i="22"/>
  <c r="J1309" i="22"/>
  <c r="I1309" i="22"/>
  <c r="L1308" i="22"/>
  <c r="J1308" i="22"/>
  <c r="I1308" i="22"/>
  <c r="L1307" i="22"/>
  <c r="J1307" i="22"/>
  <c r="I1307" i="22"/>
  <c r="L1306" i="22"/>
  <c r="J1306" i="22"/>
  <c r="I1306" i="22"/>
  <c r="L1305" i="22"/>
  <c r="J1305" i="22"/>
  <c r="I1305" i="22"/>
  <c r="L1304" i="22"/>
  <c r="J1304" i="22"/>
  <c r="I1304" i="22"/>
  <c r="L1303" i="22"/>
  <c r="J1303" i="22"/>
  <c r="I1303" i="22"/>
  <c r="L1302" i="22"/>
  <c r="J1302" i="22"/>
  <c r="I1302" i="22"/>
  <c r="L1301" i="22"/>
  <c r="J1301" i="22"/>
  <c r="I1301" i="22"/>
  <c r="L1300" i="22"/>
  <c r="J1300" i="22"/>
  <c r="I1300" i="22"/>
  <c r="L1299" i="22"/>
  <c r="J1299" i="22"/>
  <c r="I1299" i="22"/>
  <c r="L1298" i="22"/>
  <c r="J1298" i="22"/>
  <c r="I1298" i="22"/>
  <c r="L1297" i="22"/>
  <c r="J1297" i="22"/>
  <c r="I1297" i="22"/>
  <c r="L1296" i="22"/>
  <c r="J1296" i="22"/>
  <c r="I1296" i="22"/>
  <c r="L1295" i="22"/>
  <c r="L1294" i="22"/>
  <c r="L1293" i="22"/>
  <c r="L1292" i="22"/>
  <c r="L1291" i="22"/>
  <c r="L1290" i="22"/>
  <c r="L1289" i="22"/>
  <c r="L1288" i="22"/>
  <c r="L1287" i="22"/>
  <c r="L1285" i="22"/>
  <c r="I1285" i="22"/>
  <c r="L1284" i="22"/>
  <c r="I1284" i="22"/>
  <c r="L1283" i="22"/>
  <c r="I1283" i="22"/>
  <c r="L1282" i="22"/>
  <c r="I1282" i="22"/>
  <c r="L1281" i="22"/>
  <c r="I1281" i="22"/>
  <c r="L1280" i="22"/>
  <c r="I1280" i="22"/>
  <c r="L1279" i="22"/>
  <c r="I1279" i="22"/>
  <c r="L1278" i="22"/>
  <c r="I1278" i="22"/>
  <c r="L1276" i="22"/>
  <c r="I1276" i="22"/>
  <c r="L1275" i="22"/>
  <c r="J1275" i="22"/>
  <c r="I1275" i="22"/>
  <c r="L1274" i="22"/>
  <c r="L1273" i="22"/>
  <c r="L1272" i="22"/>
  <c r="L1271" i="22"/>
  <c r="L1270" i="22"/>
  <c r="L1269" i="22"/>
  <c r="L1268" i="22"/>
  <c r="L1267" i="22"/>
  <c r="L1266" i="22"/>
  <c r="L1265" i="22"/>
  <c r="L1264" i="22"/>
  <c r="L1263" i="22"/>
  <c r="L1262" i="22"/>
  <c r="L1261" i="22"/>
  <c r="L1260" i="22"/>
  <c r="L1259" i="22"/>
  <c r="L1258" i="22"/>
  <c r="L1257" i="22"/>
  <c r="L1256" i="22"/>
  <c r="L1255" i="22"/>
  <c r="L1254" i="22"/>
  <c r="L1253" i="22"/>
  <c r="L1251" i="22"/>
  <c r="L1250" i="22"/>
  <c r="L1249" i="22"/>
  <c r="L1248" i="22"/>
  <c r="L1247" i="22"/>
  <c r="L1246" i="22"/>
  <c r="L1245" i="22"/>
  <c r="L1244" i="22"/>
  <c r="J1244" i="22"/>
  <c r="I1244" i="22"/>
  <c r="L1243" i="22"/>
  <c r="J1243" i="22"/>
  <c r="I1243" i="22" s="1"/>
  <c r="L1240" i="22"/>
  <c r="J1240" i="22"/>
  <c r="I1240" i="22" s="1"/>
  <c r="L1239" i="22"/>
  <c r="J1239" i="22"/>
  <c r="I1239" i="22" s="1"/>
  <c r="L1238" i="22"/>
  <c r="J1238" i="22"/>
  <c r="I1238" i="22" s="1"/>
  <c r="L1237" i="22"/>
  <c r="J1237" i="22"/>
  <c r="I1237" i="22" s="1"/>
  <c r="L1236" i="22"/>
  <c r="I1236" i="22"/>
  <c r="L1235" i="22"/>
  <c r="I1235" i="22"/>
  <c r="L1234" i="22"/>
  <c r="I1234" i="22"/>
  <c r="L1233" i="22"/>
  <c r="I1233" i="22"/>
  <c r="L1232" i="22"/>
  <c r="I1232" i="22"/>
  <c r="L1231" i="22"/>
  <c r="I1231" i="22"/>
  <c r="L1230" i="22"/>
  <c r="I1230" i="22"/>
  <c r="L1229" i="22"/>
  <c r="I1229" i="22"/>
  <c r="L1228" i="22"/>
  <c r="I1228" i="22"/>
  <c r="L1227" i="22"/>
  <c r="I1227" i="22"/>
  <c r="L1226" i="22"/>
  <c r="I1226" i="22"/>
  <c r="L1225" i="22"/>
  <c r="I1225" i="22"/>
  <c r="L1224" i="22"/>
  <c r="I1224" i="22"/>
  <c r="L1223" i="22"/>
  <c r="I1223" i="22"/>
  <c r="L1222" i="22"/>
  <c r="I1222" i="22"/>
  <c r="L1221" i="22"/>
  <c r="I1221" i="22"/>
  <c r="L1220" i="22"/>
  <c r="I1220" i="22"/>
  <c r="L1219" i="22"/>
  <c r="I1219" i="22"/>
  <c r="L1218" i="22"/>
  <c r="I1218" i="22"/>
  <c r="K1217" i="22"/>
  <c r="L1217" i="22" s="1"/>
  <c r="J1217" i="22"/>
  <c r="I1217" i="22"/>
  <c r="K1216" i="22"/>
  <c r="L1216" i="22" s="1"/>
  <c r="J1216" i="22"/>
  <c r="I1216" i="22"/>
  <c r="K1215" i="22"/>
  <c r="L1215" i="22" s="1"/>
  <c r="J1215" i="22"/>
  <c r="I1215" i="22"/>
  <c r="K1214" i="22"/>
  <c r="L1214" i="22" s="1"/>
  <c r="J1214" i="22"/>
  <c r="I1214" i="22"/>
  <c r="K1213" i="22"/>
  <c r="L1213" i="22" s="1"/>
  <c r="J1213" i="22"/>
  <c r="I1213" i="22"/>
  <c r="K1212" i="22"/>
  <c r="L1212" i="22" s="1"/>
  <c r="J1212" i="22"/>
  <c r="I1212" i="22"/>
  <c r="K1211" i="22"/>
  <c r="L1211" i="22" s="1"/>
  <c r="J1211" i="22"/>
  <c r="I1211" i="22"/>
  <c r="K1210" i="22"/>
  <c r="L1210" i="22" s="1"/>
  <c r="J1210" i="22"/>
  <c r="I1210" i="22"/>
  <c r="K1209" i="22"/>
  <c r="L1209" i="22" s="1"/>
  <c r="J1209" i="22"/>
  <c r="I1209" i="22"/>
  <c r="K1208" i="22"/>
  <c r="L1208" i="22" s="1"/>
  <c r="J1208" i="22"/>
  <c r="I1208" i="22"/>
  <c r="K1207" i="22"/>
  <c r="L1207" i="22" s="1"/>
  <c r="J1207" i="22"/>
  <c r="I1207" i="22"/>
  <c r="K1206" i="22"/>
  <c r="L1206" i="22" s="1"/>
  <c r="J1206" i="22"/>
  <c r="I1206" i="22"/>
  <c r="K1205" i="22"/>
  <c r="L1205" i="22" s="1"/>
  <c r="J1205" i="22"/>
  <c r="I1205" i="22"/>
  <c r="K1204" i="22"/>
  <c r="L1204" i="22" s="1"/>
  <c r="J1204" i="22"/>
  <c r="I1204" i="22"/>
  <c r="K1203" i="22"/>
  <c r="L1203" i="22" s="1"/>
  <c r="J1203" i="22"/>
  <c r="I1203" i="22"/>
  <c r="K1202" i="22"/>
  <c r="L1202" i="22" s="1"/>
  <c r="J1202" i="22"/>
  <c r="I1202" i="22"/>
  <c r="K1201" i="22"/>
  <c r="L1201" i="22" s="1"/>
  <c r="J1201" i="22"/>
  <c r="I1201" i="22"/>
  <c r="K1200" i="22"/>
  <c r="L1200" i="22" s="1"/>
  <c r="J1200" i="22"/>
  <c r="I1200" i="22"/>
  <c r="K1199" i="22"/>
  <c r="L1199" i="22" s="1"/>
  <c r="J1199" i="22"/>
  <c r="I1199" i="22"/>
  <c r="K1198" i="22"/>
  <c r="L1198" i="22" s="1"/>
  <c r="J1198" i="22"/>
  <c r="I1198" i="22"/>
  <c r="K1197" i="22"/>
  <c r="L1197" i="22" s="1"/>
  <c r="J1197" i="22"/>
  <c r="I1197" i="22"/>
  <c r="K1196" i="22"/>
  <c r="L1196" i="22" s="1"/>
  <c r="J1196" i="22"/>
  <c r="I1196" i="22"/>
  <c r="K1195" i="22"/>
  <c r="L1195" i="22" s="1"/>
  <c r="J1195" i="22"/>
  <c r="I1195" i="22"/>
  <c r="K1194" i="22"/>
  <c r="L1194" i="22" s="1"/>
  <c r="J1194" i="22"/>
  <c r="I1194" i="22"/>
  <c r="K1193" i="22"/>
  <c r="L1193" i="22" s="1"/>
  <c r="J1193" i="22"/>
  <c r="I1193" i="22"/>
  <c r="K1192" i="22"/>
  <c r="L1192" i="22" s="1"/>
  <c r="J1192" i="22"/>
  <c r="I1192" i="22"/>
  <c r="K1191" i="22"/>
  <c r="L1191" i="22" s="1"/>
  <c r="J1191" i="22"/>
  <c r="I1191" i="22"/>
  <c r="K1190" i="22"/>
  <c r="L1190" i="22" s="1"/>
  <c r="J1190" i="22"/>
  <c r="I1190" i="22"/>
  <c r="K1189" i="22"/>
  <c r="L1189" i="22" s="1"/>
  <c r="J1189" i="22"/>
  <c r="I1189" i="22"/>
  <c r="K1188" i="22"/>
  <c r="J1188" i="22"/>
  <c r="I1188" i="22"/>
  <c r="L1187" i="22"/>
  <c r="J1187" i="22"/>
  <c r="I1187" i="22"/>
  <c r="L1186" i="22"/>
  <c r="J1186" i="22"/>
  <c r="I1186" i="22"/>
  <c r="L1185" i="22"/>
  <c r="J1185" i="22"/>
  <c r="I1185" i="22"/>
  <c r="L1184" i="22"/>
  <c r="J1184" i="22"/>
  <c r="I1184" i="22"/>
  <c r="L1183" i="22"/>
  <c r="J1183" i="22"/>
  <c r="I1183" i="22"/>
  <c r="L1182" i="22"/>
  <c r="J1182" i="22"/>
  <c r="I1182" i="22"/>
  <c r="L1181" i="22"/>
  <c r="J1181" i="22"/>
  <c r="I1181" i="22"/>
  <c r="L1180" i="22"/>
  <c r="J1180" i="22"/>
  <c r="I1180" i="22"/>
  <c r="L1179" i="22"/>
  <c r="J1179" i="22"/>
  <c r="I1179" i="22"/>
  <c r="L1178" i="22"/>
  <c r="J1178" i="22"/>
  <c r="I1178" i="22"/>
  <c r="L1177" i="22"/>
  <c r="J1177" i="22"/>
  <c r="I1177" i="22"/>
  <c r="L1176" i="22"/>
  <c r="J1176" i="22"/>
  <c r="I1176" i="22"/>
  <c r="L1175" i="22"/>
  <c r="J1175" i="22"/>
  <c r="I1175" i="22"/>
  <c r="L1174" i="22"/>
  <c r="J1174" i="22"/>
  <c r="I1174" i="22"/>
  <c r="L1173" i="22"/>
  <c r="J1173" i="22"/>
  <c r="I1173" i="22"/>
  <c r="L1172" i="22"/>
  <c r="J1172" i="22"/>
  <c r="I1172" i="22"/>
  <c r="L1171" i="22"/>
  <c r="J1171" i="22"/>
  <c r="I1171" i="22"/>
  <c r="L1170" i="22"/>
  <c r="J1170" i="22"/>
  <c r="I1170" i="22"/>
  <c r="L1169" i="22"/>
  <c r="J1169" i="22"/>
  <c r="I1169" i="22"/>
  <c r="L1168" i="22"/>
  <c r="J1168" i="22"/>
  <c r="I1168" i="22"/>
  <c r="L1167" i="22"/>
  <c r="J1167" i="22"/>
  <c r="I1167" i="22"/>
  <c r="L1166" i="22"/>
  <c r="J1166" i="22"/>
  <c r="I1166" i="22"/>
  <c r="L1165" i="22"/>
  <c r="J1165" i="22"/>
  <c r="I1165" i="22"/>
  <c r="L1163" i="22"/>
  <c r="J1163" i="22"/>
  <c r="I1163" i="22"/>
  <c r="L1162" i="22"/>
  <c r="J1162" i="22"/>
  <c r="I1162" i="22"/>
  <c r="L1160" i="22"/>
  <c r="J1160" i="22"/>
  <c r="I1160" i="22"/>
  <c r="L1159" i="22"/>
  <c r="J1159" i="22"/>
  <c r="I1159" i="22"/>
  <c r="L1158" i="22"/>
  <c r="J1158" i="22"/>
  <c r="I1158" i="22"/>
  <c r="L1157" i="22"/>
  <c r="J1157" i="22"/>
  <c r="I1157" i="22"/>
  <c r="L1156" i="22"/>
  <c r="J1156" i="22"/>
  <c r="I1156" i="22"/>
  <c r="L1155" i="22"/>
  <c r="J1155" i="22"/>
  <c r="I1155" i="22"/>
  <c r="L1154" i="22"/>
  <c r="J1154" i="22"/>
  <c r="I1154" i="22"/>
  <c r="L1153" i="22"/>
  <c r="J1153" i="22"/>
  <c r="I1153" i="22"/>
  <c r="L1152" i="22"/>
  <c r="J1152" i="22"/>
  <c r="I1152" i="22"/>
  <c r="L1151" i="22"/>
  <c r="J1151" i="22"/>
  <c r="I1151" i="22"/>
  <c r="L1150" i="22"/>
  <c r="J1150" i="22"/>
  <c r="I1150" i="22"/>
  <c r="L1149" i="22"/>
  <c r="J1149" i="22"/>
  <c r="I1149" i="22"/>
  <c r="L1148" i="22"/>
  <c r="J1148" i="22"/>
  <c r="I1148" i="22"/>
  <c r="L1147" i="22"/>
  <c r="J1147" i="22"/>
  <c r="I1147" i="22"/>
  <c r="L1146" i="22"/>
  <c r="J1146" i="22"/>
  <c r="I1146" i="22"/>
  <c r="L1145" i="22"/>
  <c r="J1145" i="22"/>
  <c r="I1145" i="22"/>
  <c r="L1144" i="22"/>
  <c r="J1144" i="22"/>
  <c r="I1144" i="22"/>
  <c r="L1143" i="22"/>
  <c r="J1143" i="22"/>
  <c r="I1143" i="22"/>
  <c r="L1142" i="22"/>
  <c r="J1142" i="22"/>
  <c r="I1142" i="22"/>
  <c r="L1141" i="22"/>
  <c r="J1141" i="22"/>
  <c r="I1141" i="22"/>
  <c r="L1140" i="22"/>
  <c r="J1140" i="22"/>
  <c r="I1140" i="22"/>
  <c r="L1139" i="22"/>
  <c r="J1139" i="22"/>
  <c r="I1139" i="22"/>
  <c r="L1138" i="22"/>
  <c r="J1138" i="22"/>
  <c r="I1138" i="22"/>
  <c r="L1137" i="22"/>
  <c r="J1137" i="22"/>
  <c r="I1137" i="22"/>
  <c r="L1136" i="22"/>
  <c r="J1136" i="22"/>
  <c r="I1136" i="22"/>
  <c r="L1135" i="22"/>
  <c r="J1135" i="22"/>
  <c r="I1135" i="22"/>
  <c r="L1134" i="22"/>
  <c r="J1134" i="22"/>
  <c r="I1134" i="22"/>
  <c r="L1133" i="22"/>
  <c r="J1133" i="22"/>
  <c r="I1133" i="22"/>
  <c r="L1132" i="22"/>
  <c r="J1132" i="22"/>
  <c r="I1132" i="22"/>
  <c r="L1131" i="22"/>
  <c r="J1131" i="22"/>
  <c r="I1131" i="22"/>
  <c r="L1130" i="22"/>
  <c r="J1130" i="22"/>
  <c r="I1130" i="22"/>
  <c r="L1129" i="22"/>
  <c r="J1129" i="22"/>
  <c r="I1129" i="22"/>
  <c r="L1128" i="22"/>
  <c r="J1128" i="22"/>
  <c r="I1128" i="22"/>
  <c r="L1127" i="22"/>
  <c r="J1127" i="22"/>
  <c r="I1127" i="22"/>
  <c r="L1126" i="22"/>
  <c r="J1126" i="22"/>
  <c r="I1126" i="22"/>
  <c r="L1125" i="22"/>
  <c r="J1125" i="22"/>
  <c r="I1125" i="22"/>
  <c r="L1124" i="22"/>
  <c r="J1124" i="22"/>
  <c r="I1124" i="22"/>
  <c r="L1123" i="22"/>
  <c r="J1123" i="22"/>
  <c r="I1123" i="22"/>
  <c r="L1122" i="22"/>
  <c r="J1122" i="22"/>
  <c r="I1122" i="22"/>
  <c r="L1121" i="22"/>
  <c r="J1121" i="22"/>
  <c r="I1121" i="22"/>
  <c r="L1120" i="22"/>
  <c r="J1120" i="22"/>
  <c r="I1120" i="22"/>
  <c r="L1119" i="22"/>
  <c r="J1119" i="22"/>
  <c r="I1119" i="22"/>
  <c r="L1118" i="22"/>
  <c r="J1118" i="22"/>
  <c r="I1118" i="22"/>
  <c r="L1117" i="22"/>
  <c r="J1117" i="22"/>
  <c r="I1117" i="22"/>
  <c r="L1116" i="22"/>
  <c r="J1116" i="22"/>
  <c r="I1116" i="22"/>
  <c r="L1115" i="22"/>
  <c r="J1115" i="22"/>
  <c r="I1115" i="22"/>
  <c r="L1114" i="22"/>
  <c r="J1114" i="22"/>
  <c r="I1114" i="22"/>
  <c r="L1113" i="22"/>
  <c r="J1113" i="22"/>
  <c r="I1113" i="22"/>
  <c r="L1112" i="22"/>
  <c r="J1112" i="22"/>
  <c r="I1112" i="22"/>
  <c r="L1111" i="22"/>
  <c r="J1111" i="22"/>
  <c r="I1111" i="22"/>
  <c r="L1110" i="22"/>
  <c r="J1110" i="22"/>
  <c r="I1110" i="22"/>
  <c r="L1109" i="22"/>
  <c r="J1109" i="22"/>
  <c r="I1109" i="22"/>
  <c r="L1108" i="22"/>
  <c r="J1108" i="22"/>
  <c r="I1108" i="22"/>
  <c r="L1107" i="22"/>
  <c r="J1107" i="22"/>
  <c r="I1107" i="22"/>
  <c r="L1106" i="22"/>
  <c r="J1106" i="22"/>
  <c r="I1106" i="22"/>
  <c r="L1105" i="22"/>
  <c r="J1105" i="22"/>
  <c r="I1105" i="22"/>
  <c r="L1104" i="22"/>
  <c r="J1104" i="22"/>
  <c r="I1104" i="22"/>
  <c r="L1103" i="22"/>
  <c r="J1103" i="22"/>
  <c r="I1103" i="22"/>
  <c r="L1102" i="22"/>
  <c r="J1102" i="22"/>
  <c r="I1102" i="22"/>
  <c r="L1101" i="22"/>
  <c r="J1101" i="22"/>
  <c r="I1101" i="22"/>
  <c r="L1100" i="22"/>
  <c r="J1100" i="22"/>
  <c r="I1100" i="22"/>
  <c r="L1099" i="22"/>
  <c r="J1099" i="22"/>
  <c r="I1099" i="22"/>
  <c r="L1098" i="22"/>
  <c r="J1098" i="22"/>
  <c r="I1098" i="22"/>
  <c r="L1097" i="22"/>
  <c r="J1097" i="22"/>
  <c r="I1097" i="22"/>
  <c r="L1094" i="22"/>
  <c r="J1094" i="22"/>
  <c r="I1094" i="22"/>
  <c r="L1093" i="22"/>
  <c r="J1093" i="22"/>
  <c r="I1093" i="22"/>
  <c r="L1092" i="22"/>
  <c r="J1092" i="22"/>
  <c r="I1092" i="22"/>
  <c r="L1091" i="22"/>
  <c r="J1091" i="22"/>
  <c r="I1091" i="22"/>
  <c r="L1090" i="22"/>
  <c r="J1090" i="22"/>
  <c r="I1090" i="22"/>
  <c r="L1089" i="22"/>
  <c r="J1089" i="22"/>
  <c r="I1089" i="22"/>
  <c r="L1088" i="22"/>
  <c r="J1088" i="22"/>
  <c r="I1088" i="22"/>
  <c r="L1087" i="22"/>
  <c r="J1087" i="22"/>
  <c r="I1087" i="22"/>
  <c r="L1086" i="22"/>
  <c r="J1086" i="22"/>
  <c r="I1086" i="22"/>
  <c r="L1085" i="22"/>
  <c r="J1085" i="22"/>
  <c r="I1085" i="22"/>
  <c r="L1084" i="22"/>
  <c r="J1084" i="22"/>
  <c r="I1084" i="22"/>
  <c r="L1083" i="22"/>
  <c r="J1083" i="22"/>
  <c r="I1083" i="22"/>
  <c r="L1082" i="22"/>
  <c r="J1082" i="22"/>
  <c r="I1082" i="22"/>
  <c r="L1081" i="22"/>
  <c r="J1081" i="22"/>
  <c r="I1081" i="22"/>
  <c r="L1080" i="22"/>
  <c r="J1080" i="22"/>
  <c r="I1080" i="22"/>
  <c r="L1079" i="22"/>
  <c r="J1079" i="22"/>
  <c r="I1079" i="22"/>
  <c r="L1078" i="22"/>
  <c r="J1078" i="22"/>
  <c r="I1078" i="22"/>
  <c r="L1077" i="22"/>
  <c r="J1077" i="22"/>
  <c r="I1077" i="22"/>
  <c r="L1076" i="22"/>
  <c r="J1076" i="22"/>
  <c r="I1076" i="22"/>
  <c r="L1075" i="22"/>
  <c r="J1075" i="22"/>
  <c r="I1075" i="22"/>
  <c r="L1074" i="22"/>
  <c r="J1074" i="22"/>
  <c r="I1074" i="22"/>
  <c r="L1073" i="22"/>
  <c r="I1073" i="22"/>
  <c r="L1072" i="22"/>
  <c r="I1072" i="22"/>
  <c r="L1071" i="22"/>
  <c r="I1071" i="22"/>
  <c r="L1070" i="22"/>
  <c r="I1070" i="22"/>
  <c r="L1069" i="22"/>
  <c r="I1069" i="22"/>
  <c r="L1068" i="22"/>
  <c r="I1068" i="22"/>
  <c r="L1067" i="22"/>
  <c r="I1067" i="22"/>
  <c r="L1066" i="22"/>
  <c r="I1066" i="22"/>
  <c r="L1065" i="22"/>
  <c r="I1065" i="22"/>
  <c r="L1064" i="22"/>
  <c r="I1064" i="22"/>
  <c r="L1063" i="22"/>
  <c r="I1063" i="22"/>
  <c r="L1062" i="22"/>
  <c r="I1062" i="22"/>
  <c r="L1061" i="22"/>
  <c r="I1061" i="22"/>
  <c r="L1060" i="22"/>
  <c r="I1060" i="22"/>
  <c r="L1059" i="22"/>
  <c r="I1059" i="22"/>
  <c r="L1058" i="22"/>
  <c r="I1058" i="22"/>
  <c r="L1057" i="22"/>
  <c r="I1057" i="22"/>
  <c r="L1056" i="22"/>
  <c r="I1056" i="22"/>
  <c r="L1055" i="22"/>
  <c r="I1055" i="22"/>
  <c r="L1054" i="22"/>
  <c r="I1054" i="22"/>
  <c r="L1053" i="22"/>
  <c r="I1053" i="22"/>
  <c r="L1052" i="22"/>
  <c r="I1052" i="22"/>
  <c r="L1051" i="22"/>
  <c r="I1051" i="22"/>
  <c r="K1049" i="22"/>
  <c r="L1049" i="22" s="1"/>
  <c r="K1048" i="22"/>
  <c r="L1048" i="22" s="1"/>
  <c r="J1047" i="22"/>
  <c r="K1047" i="22" s="1"/>
  <c r="L1047" i="22" s="1"/>
  <c r="I1047" i="22"/>
  <c r="K1046" i="22"/>
  <c r="L1046" i="22" s="1"/>
  <c r="I1046" i="22"/>
  <c r="K1045" i="22"/>
  <c r="L1045" i="22" s="1"/>
  <c r="I1045" i="22"/>
  <c r="J1044" i="22"/>
  <c r="K1044" i="22" s="1"/>
  <c r="L1044" i="22" s="1"/>
  <c r="I1044" i="22"/>
  <c r="J1043" i="22"/>
  <c r="K1043" i="22" s="1"/>
  <c r="L1043" i="22" s="1"/>
  <c r="I1043" i="22"/>
  <c r="J1042" i="22"/>
  <c r="K1042" i="22" s="1"/>
  <c r="L1042" i="22" s="1"/>
  <c r="I1042" i="22"/>
  <c r="J1041" i="22"/>
  <c r="K1041" i="22" s="1"/>
  <c r="L1041" i="22" s="1"/>
  <c r="I1041" i="22"/>
  <c r="J1040" i="22"/>
  <c r="K1040" i="22" s="1"/>
  <c r="L1040" i="22" s="1"/>
  <c r="I1040" i="22"/>
  <c r="J1039" i="22"/>
  <c r="K1039" i="22" s="1"/>
  <c r="L1039" i="22" s="1"/>
  <c r="I1039" i="22"/>
  <c r="J1038" i="22"/>
  <c r="K1038" i="22" s="1"/>
  <c r="L1038" i="22" s="1"/>
  <c r="I1038" i="22"/>
  <c r="J1037" i="22"/>
  <c r="K1037" i="22" s="1"/>
  <c r="L1037" i="22" s="1"/>
  <c r="I1037" i="22"/>
  <c r="J1036" i="22"/>
  <c r="K1036" i="22" s="1"/>
  <c r="L1036" i="22" s="1"/>
  <c r="I1036" i="22"/>
  <c r="J1035" i="22"/>
  <c r="I1035" i="22"/>
  <c r="J1021" i="22"/>
  <c r="K1021" i="22" s="1"/>
  <c r="L1021" i="22" s="1"/>
  <c r="I1021" i="22"/>
  <c r="J1020" i="22"/>
  <c r="K1020" i="22" s="1"/>
  <c r="L1020" i="22" s="1"/>
  <c r="I1020" i="22"/>
  <c r="J1017" i="22"/>
  <c r="K1017" i="22" s="1"/>
  <c r="L1017" i="22" s="1"/>
  <c r="I1017" i="22"/>
  <c r="J1016" i="22"/>
  <c r="K1016" i="22" s="1"/>
  <c r="L1016" i="22" s="1"/>
  <c r="I1016" i="22"/>
  <c r="J1014" i="22"/>
  <c r="I1014" i="22"/>
  <c r="K1011" i="22"/>
  <c r="L1011" i="22" s="1"/>
  <c r="I1011" i="22"/>
  <c r="J1010" i="22"/>
  <c r="K1010" i="22" s="1"/>
  <c r="L1010" i="22" s="1"/>
  <c r="J1009" i="22"/>
  <c r="K1009" i="22" s="1"/>
  <c r="L1009" i="22" s="1"/>
  <c r="J1008" i="22"/>
  <c r="K1008" i="22" s="1"/>
  <c r="L1008" i="22" s="1"/>
  <c r="J1007" i="22"/>
  <c r="K1007" i="22" s="1"/>
  <c r="L1007" i="22" s="1"/>
  <c r="J1006" i="22"/>
  <c r="K1006" i="22" s="1"/>
  <c r="L1006" i="22" s="1"/>
  <c r="J1005" i="22"/>
  <c r="K1005" i="22" s="1"/>
  <c r="L1005" i="22" s="1"/>
  <c r="J1004" i="22"/>
  <c r="K1004" i="22" s="1"/>
  <c r="L1004" i="22" s="1"/>
  <c r="J1003" i="22"/>
  <c r="I1003" i="22" s="1"/>
  <c r="J1002" i="22"/>
  <c r="K1002" i="22" s="1"/>
  <c r="L1002" i="22" s="1"/>
  <c r="J1001" i="22"/>
  <c r="K1001" i="22" s="1"/>
  <c r="L1001" i="22" s="1"/>
  <c r="J1000" i="22"/>
  <c r="K1000" i="22" s="1"/>
  <c r="L1000" i="22" s="1"/>
  <c r="J999" i="22"/>
  <c r="I999" i="22" s="1"/>
  <c r="J998" i="22"/>
  <c r="K998" i="22" s="1"/>
  <c r="L998" i="22" s="1"/>
  <c r="J997" i="22"/>
  <c r="K997" i="22" s="1"/>
  <c r="L997" i="22" s="1"/>
  <c r="J996" i="22"/>
  <c r="K996" i="22" s="1"/>
  <c r="L996" i="22" s="1"/>
  <c r="J995" i="22"/>
  <c r="K995" i="22" s="1"/>
  <c r="L995" i="22" s="1"/>
  <c r="J994" i="22"/>
  <c r="K994" i="22" s="1"/>
  <c r="L994" i="22" s="1"/>
  <c r="J993" i="22"/>
  <c r="K993" i="22" s="1"/>
  <c r="L993" i="22" s="1"/>
  <c r="J992" i="22"/>
  <c r="K992" i="22" s="1"/>
  <c r="L992" i="22" s="1"/>
  <c r="J991" i="22"/>
  <c r="I991" i="22" s="1"/>
  <c r="J990" i="22"/>
  <c r="K990" i="22" s="1"/>
  <c r="L990" i="22" s="1"/>
  <c r="J989" i="22"/>
  <c r="K989" i="22" s="1"/>
  <c r="L989" i="22" s="1"/>
  <c r="J988" i="22"/>
  <c r="K988" i="22" s="1"/>
  <c r="L988" i="22" s="1"/>
  <c r="J987" i="22"/>
  <c r="I987" i="22" s="1"/>
  <c r="J986" i="22"/>
  <c r="K986" i="22" s="1"/>
  <c r="L986" i="22" s="1"/>
  <c r="J985" i="22"/>
  <c r="I985" i="22" s="1"/>
  <c r="J984" i="22"/>
  <c r="K984" i="22" s="1"/>
  <c r="L984" i="22" s="1"/>
  <c r="J983" i="22"/>
  <c r="K983" i="22" s="1"/>
  <c r="L983" i="22" s="1"/>
  <c r="J982" i="22"/>
  <c r="K982" i="22" s="1"/>
  <c r="L982" i="22" s="1"/>
  <c r="J981" i="22"/>
  <c r="K981" i="22" s="1"/>
  <c r="L981" i="22" s="1"/>
  <c r="J980" i="22"/>
  <c r="K980" i="22" s="1"/>
  <c r="L980" i="22" s="1"/>
  <c r="J979" i="22"/>
  <c r="I979" i="22" s="1"/>
  <c r="J978" i="22"/>
  <c r="K978" i="22" s="1"/>
  <c r="L978" i="22" s="1"/>
  <c r="J977" i="22"/>
  <c r="K977" i="22" s="1"/>
  <c r="L977" i="22" s="1"/>
  <c r="J976" i="22"/>
  <c r="K976" i="22" s="1"/>
  <c r="L976" i="22" s="1"/>
  <c r="J975" i="22"/>
  <c r="K975" i="22" s="1"/>
  <c r="L975" i="22" s="1"/>
  <c r="J974" i="22"/>
  <c r="K974" i="22" s="1"/>
  <c r="L974" i="22" s="1"/>
  <c r="J973" i="22"/>
  <c r="K973" i="22" s="1"/>
  <c r="L973" i="22" s="1"/>
  <c r="J972" i="22"/>
  <c r="K972" i="22" s="1"/>
  <c r="L972" i="22" s="1"/>
  <c r="J971" i="22"/>
  <c r="K971" i="22" s="1"/>
  <c r="L971" i="22" s="1"/>
  <c r="J970" i="22"/>
  <c r="K970" i="22" s="1"/>
  <c r="L970" i="22" s="1"/>
  <c r="J969" i="22"/>
  <c r="K969" i="22" s="1"/>
  <c r="L969" i="22" s="1"/>
  <c r="J968" i="22"/>
  <c r="K968" i="22" s="1"/>
  <c r="L968" i="22" s="1"/>
  <c r="J967" i="22"/>
  <c r="K967" i="22" s="1"/>
  <c r="L967" i="22" s="1"/>
  <c r="J966" i="22"/>
  <c r="K966" i="22" s="1"/>
  <c r="L966" i="22" s="1"/>
  <c r="J965" i="22"/>
  <c r="K965" i="22" s="1"/>
  <c r="L965" i="22" s="1"/>
  <c r="J964" i="22"/>
  <c r="K964" i="22" s="1"/>
  <c r="L964" i="22" s="1"/>
  <c r="J963" i="22"/>
  <c r="K963" i="22" s="1"/>
  <c r="L963" i="22" s="1"/>
  <c r="J962" i="22"/>
  <c r="K962" i="22" s="1"/>
  <c r="L962" i="22" s="1"/>
  <c r="J961" i="22"/>
  <c r="K961" i="22" s="1"/>
  <c r="L961" i="22" s="1"/>
  <c r="J960" i="22"/>
  <c r="K960" i="22" s="1"/>
  <c r="L960" i="22" s="1"/>
  <c r="J959" i="22"/>
  <c r="K959" i="22" s="1"/>
  <c r="L959" i="22" s="1"/>
  <c r="J958" i="22"/>
  <c r="K958" i="22" s="1"/>
  <c r="L958" i="22" s="1"/>
  <c r="J957" i="22"/>
  <c r="K957" i="22" s="1"/>
  <c r="L957" i="22" s="1"/>
  <c r="J956" i="22"/>
  <c r="K956" i="22" s="1"/>
  <c r="L956" i="22" s="1"/>
  <c r="J955" i="22"/>
  <c r="K955" i="22" s="1"/>
  <c r="L955" i="22" s="1"/>
  <c r="J954" i="22"/>
  <c r="K954" i="22" s="1"/>
  <c r="L954" i="22" s="1"/>
  <c r="J953" i="22"/>
  <c r="K953" i="22" s="1"/>
  <c r="L953" i="22" s="1"/>
  <c r="J952" i="22"/>
  <c r="K952" i="22" s="1"/>
  <c r="L952" i="22" s="1"/>
  <c r="J951" i="22"/>
  <c r="K951" i="22" s="1"/>
  <c r="L951" i="22" s="1"/>
  <c r="J950" i="22"/>
  <c r="K950" i="22" s="1"/>
  <c r="L950" i="22" s="1"/>
  <c r="J949" i="22"/>
  <c r="K949" i="22" s="1"/>
  <c r="L949" i="22" s="1"/>
  <c r="J948" i="22"/>
  <c r="K948" i="22" s="1"/>
  <c r="L948" i="22" s="1"/>
  <c r="J947" i="22"/>
  <c r="K947" i="22" s="1"/>
  <c r="L947" i="22" s="1"/>
  <c r="J946" i="22"/>
  <c r="K946" i="22" s="1"/>
  <c r="L946" i="22" s="1"/>
  <c r="J945" i="22"/>
  <c r="K945" i="22" s="1"/>
  <c r="L945" i="22" s="1"/>
  <c r="J944" i="22"/>
  <c r="K944" i="22" s="1"/>
  <c r="L944" i="22" s="1"/>
  <c r="J943" i="22"/>
  <c r="K943" i="22" s="1"/>
  <c r="L943" i="22" s="1"/>
  <c r="J942" i="22"/>
  <c r="K942" i="22" s="1"/>
  <c r="L942" i="22" s="1"/>
  <c r="J941" i="22"/>
  <c r="K941" i="22" s="1"/>
  <c r="L941" i="22" s="1"/>
  <c r="J940" i="22"/>
  <c r="K940" i="22" s="1"/>
  <c r="L940" i="22" s="1"/>
  <c r="J939" i="22"/>
  <c r="K939" i="22" s="1"/>
  <c r="L939" i="22" s="1"/>
  <c r="J938" i="22"/>
  <c r="K938" i="22" s="1"/>
  <c r="L938" i="22" s="1"/>
  <c r="J937" i="22"/>
  <c r="K937" i="22" s="1"/>
  <c r="L937" i="22" s="1"/>
  <c r="J936" i="22"/>
  <c r="K936" i="22" s="1"/>
  <c r="L936" i="22" s="1"/>
  <c r="J935" i="22"/>
  <c r="K935" i="22" s="1"/>
  <c r="L935" i="22" s="1"/>
  <c r="J934" i="22"/>
  <c r="K934" i="22" s="1"/>
  <c r="L934" i="22" s="1"/>
  <c r="J933" i="22"/>
  <c r="K933" i="22" s="1"/>
  <c r="L933" i="22" s="1"/>
  <c r="J932" i="22"/>
  <c r="K932" i="22" s="1"/>
  <c r="L932" i="22" s="1"/>
  <c r="J931" i="22"/>
  <c r="K931" i="22" s="1"/>
  <c r="L931" i="22" s="1"/>
  <c r="J930" i="22"/>
  <c r="K930" i="22" s="1"/>
  <c r="L930" i="22" s="1"/>
  <c r="J929" i="22"/>
  <c r="K929" i="22" s="1"/>
  <c r="L929" i="22" s="1"/>
  <c r="J928" i="22"/>
  <c r="K928" i="22" s="1"/>
  <c r="L928" i="22" s="1"/>
  <c r="J927" i="22"/>
  <c r="K927" i="22" s="1"/>
  <c r="L927" i="22" s="1"/>
  <c r="J926" i="22"/>
  <c r="K926" i="22" s="1"/>
  <c r="L926" i="22" s="1"/>
  <c r="J925" i="22"/>
  <c r="K925" i="22" s="1"/>
  <c r="L925" i="22" s="1"/>
  <c r="J924" i="22"/>
  <c r="K924" i="22" s="1"/>
  <c r="L924" i="22" s="1"/>
  <c r="J923" i="22"/>
  <c r="K923" i="22" s="1"/>
  <c r="L923" i="22" s="1"/>
  <c r="J922" i="22"/>
  <c r="K922" i="22" s="1"/>
  <c r="L922" i="22" s="1"/>
  <c r="J921" i="22"/>
  <c r="K921" i="22" s="1"/>
  <c r="L921" i="22" s="1"/>
  <c r="J920" i="22"/>
  <c r="K920" i="22" s="1"/>
  <c r="L920" i="22" s="1"/>
  <c r="J919" i="22"/>
  <c r="K919" i="22" s="1"/>
  <c r="L919" i="22" s="1"/>
  <c r="J918" i="22"/>
  <c r="K918" i="22" s="1"/>
  <c r="L918" i="22" s="1"/>
  <c r="J917" i="22"/>
  <c r="K917" i="22" s="1"/>
  <c r="L917" i="22" s="1"/>
  <c r="J916" i="22"/>
  <c r="K916" i="22" s="1"/>
  <c r="L916" i="22" s="1"/>
  <c r="J915" i="22"/>
  <c r="K915" i="22" s="1"/>
  <c r="L915" i="22" s="1"/>
  <c r="J914" i="22"/>
  <c r="K914" i="22" s="1"/>
  <c r="L914" i="22" s="1"/>
  <c r="J913" i="22"/>
  <c r="K913" i="22" s="1"/>
  <c r="L913" i="22" s="1"/>
  <c r="J912" i="22"/>
  <c r="K912" i="22" s="1"/>
  <c r="L912" i="22" s="1"/>
  <c r="J911" i="22"/>
  <c r="K911" i="22" s="1"/>
  <c r="L911" i="22" s="1"/>
  <c r="J910" i="22"/>
  <c r="K910" i="22" s="1"/>
  <c r="L910" i="22" s="1"/>
  <c r="J909" i="22"/>
  <c r="K909" i="22" s="1"/>
  <c r="L909" i="22" s="1"/>
  <c r="J908" i="22"/>
  <c r="K908" i="22" s="1"/>
  <c r="L908" i="22" s="1"/>
  <c r="J907" i="22"/>
  <c r="K907" i="22" s="1"/>
  <c r="L907" i="22" s="1"/>
  <c r="J906" i="22"/>
  <c r="K906" i="22" s="1"/>
  <c r="L906" i="22" s="1"/>
  <c r="J905" i="22"/>
  <c r="K905" i="22" s="1"/>
  <c r="L905" i="22" s="1"/>
  <c r="J904" i="22"/>
  <c r="K904" i="22" s="1"/>
  <c r="L904" i="22" s="1"/>
  <c r="J903" i="22"/>
  <c r="K903" i="22" s="1"/>
  <c r="L903" i="22" s="1"/>
  <c r="J902" i="22"/>
  <c r="K902" i="22" s="1"/>
  <c r="L902" i="22" s="1"/>
  <c r="J901" i="22"/>
  <c r="K901" i="22" s="1"/>
  <c r="L901" i="22" s="1"/>
  <c r="J900" i="22"/>
  <c r="K900" i="22" s="1"/>
  <c r="L900" i="22" s="1"/>
  <c r="J899" i="22"/>
  <c r="K899" i="22" s="1"/>
  <c r="L899" i="22" s="1"/>
  <c r="J898" i="22"/>
  <c r="K898" i="22" s="1"/>
  <c r="L898" i="22" s="1"/>
  <c r="J897" i="22"/>
  <c r="K897" i="22" s="1"/>
  <c r="L897" i="22" s="1"/>
  <c r="J896" i="22"/>
  <c r="K896" i="22" s="1"/>
  <c r="L896" i="22" s="1"/>
  <c r="J895" i="22"/>
  <c r="K895" i="22" s="1"/>
  <c r="L895" i="22" s="1"/>
  <c r="J894" i="22"/>
  <c r="K894" i="22" s="1"/>
  <c r="L894" i="22" s="1"/>
  <c r="J893" i="22"/>
  <c r="K893" i="22" s="1"/>
  <c r="L893" i="22" s="1"/>
  <c r="J892" i="22"/>
  <c r="K892" i="22" s="1"/>
  <c r="L892" i="22" s="1"/>
  <c r="J891" i="22"/>
  <c r="K891" i="22" s="1"/>
  <c r="L891" i="22" s="1"/>
  <c r="J890" i="22"/>
  <c r="K890" i="22" s="1"/>
  <c r="L890" i="22" s="1"/>
  <c r="J889" i="22"/>
  <c r="K889" i="22" s="1"/>
  <c r="L889" i="22" s="1"/>
  <c r="J888" i="22"/>
  <c r="K888" i="22" s="1"/>
  <c r="L888" i="22" s="1"/>
  <c r="J887" i="22"/>
  <c r="K887" i="22" s="1"/>
  <c r="L887" i="22" s="1"/>
  <c r="J886" i="22"/>
  <c r="K886" i="22" s="1"/>
  <c r="L886" i="22" s="1"/>
  <c r="J885" i="22"/>
  <c r="K885" i="22" s="1"/>
  <c r="L885" i="22" s="1"/>
  <c r="J884" i="22"/>
  <c r="K884" i="22" s="1"/>
  <c r="L884" i="22" s="1"/>
  <c r="J883" i="22"/>
  <c r="K883" i="22" s="1"/>
  <c r="L883" i="22" s="1"/>
  <c r="J882" i="22"/>
  <c r="K882" i="22" s="1"/>
  <c r="L882" i="22" s="1"/>
  <c r="J881" i="22"/>
  <c r="K881" i="22" s="1"/>
  <c r="L881" i="22" s="1"/>
  <c r="J880" i="22"/>
  <c r="K880" i="22" s="1"/>
  <c r="L880" i="22" s="1"/>
  <c r="J879" i="22"/>
  <c r="K879" i="22" s="1"/>
  <c r="L879" i="22" s="1"/>
  <c r="I878" i="22"/>
  <c r="J878" i="22" s="1"/>
  <c r="K878" i="22" s="1"/>
  <c r="L878" i="22" s="1"/>
  <c r="J877" i="22"/>
  <c r="I877" i="22" s="1"/>
  <c r="J876" i="22"/>
  <c r="I876" i="22" s="1"/>
  <c r="J875" i="22"/>
  <c r="K875" i="22" s="1"/>
  <c r="L875" i="22" s="1"/>
  <c r="J874" i="22"/>
  <c r="I874" i="22" s="1"/>
  <c r="J873" i="22"/>
  <c r="I873" i="22" s="1"/>
  <c r="J872" i="22"/>
  <c r="K872" i="22" s="1"/>
  <c r="L872" i="22" s="1"/>
  <c r="J871" i="22"/>
  <c r="J870" i="22"/>
  <c r="I870" i="22" s="1"/>
  <c r="J869" i="22"/>
  <c r="K869" i="22" s="1"/>
  <c r="L869" i="22" s="1"/>
  <c r="J868" i="22"/>
  <c r="I868" i="22" s="1"/>
  <c r="J867" i="22"/>
  <c r="I867" i="22" s="1"/>
  <c r="J866" i="22"/>
  <c r="K866" i="22" s="1"/>
  <c r="L866" i="22" s="1"/>
  <c r="J865" i="22"/>
  <c r="I865" i="22" s="1"/>
  <c r="J864" i="22"/>
  <c r="J863" i="22"/>
  <c r="K863" i="22" s="1"/>
  <c r="L863" i="22" s="1"/>
  <c r="J862" i="22"/>
  <c r="I862" i="22" s="1"/>
  <c r="J861" i="22"/>
  <c r="K861" i="22" s="1"/>
  <c r="L861" i="22" s="1"/>
  <c r="J860" i="22"/>
  <c r="K860" i="22" s="1"/>
  <c r="L860" i="22" s="1"/>
  <c r="J859" i="22"/>
  <c r="I859" i="22" s="1"/>
  <c r="J858" i="22"/>
  <c r="K858" i="22" s="1"/>
  <c r="L858" i="22" s="1"/>
  <c r="J857" i="22"/>
  <c r="K857" i="22" s="1"/>
  <c r="L857" i="22" s="1"/>
  <c r="J856" i="22"/>
  <c r="I856" i="22" s="1"/>
  <c r="J855" i="22"/>
  <c r="K855" i="22" s="1"/>
  <c r="L855" i="22" s="1"/>
  <c r="J854" i="22"/>
  <c r="I854" i="22" s="1"/>
  <c r="J853" i="22"/>
  <c r="I853" i="22" s="1"/>
  <c r="J852" i="22"/>
  <c r="K852" i="22" s="1"/>
  <c r="L852" i="22" s="1"/>
  <c r="J851" i="22"/>
  <c r="J850" i="22"/>
  <c r="I850" i="22" s="1"/>
  <c r="J849" i="22"/>
  <c r="I849" i="22" s="1"/>
  <c r="J848" i="22"/>
  <c r="K848" i="22" s="1"/>
  <c r="L848" i="22" s="1"/>
  <c r="J847" i="22"/>
  <c r="I847" i="22" s="1"/>
  <c r="J846" i="22"/>
  <c r="K846" i="22" s="1"/>
  <c r="L846" i="22" s="1"/>
  <c r="J845" i="22"/>
  <c r="K845" i="22" s="1"/>
  <c r="L845" i="22" s="1"/>
  <c r="J844" i="22"/>
  <c r="I844" i="22" s="1"/>
  <c r="J843" i="22"/>
  <c r="K843" i="22" s="1"/>
  <c r="L843" i="22" s="1"/>
  <c r="J842" i="22"/>
  <c r="K842" i="22" s="1"/>
  <c r="L842" i="22" s="1"/>
  <c r="J841" i="22"/>
  <c r="I841" i="22" s="1"/>
  <c r="J840" i="22"/>
  <c r="K840" i="22" s="1"/>
  <c r="L840" i="22" s="1"/>
  <c r="J839" i="22"/>
  <c r="K839" i="22" s="1"/>
  <c r="L839" i="22" s="1"/>
  <c r="J838" i="22"/>
  <c r="J837" i="22"/>
  <c r="K837" i="22" s="1"/>
  <c r="L837" i="22" s="1"/>
  <c r="J836" i="22"/>
  <c r="I836" i="22" s="1"/>
  <c r="J835" i="22"/>
  <c r="I835" i="22" s="1"/>
  <c r="J834" i="22"/>
  <c r="K834" i="22" s="1"/>
  <c r="L834" i="22" s="1"/>
  <c r="J833" i="22"/>
  <c r="K833" i="22" s="1"/>
  <c r="L833" i="22" s="1"/>
  <c r="J832" i="22"/>
  <c r="I832" i="22" s="1"/>
  <c r="J831" i="22"/>
  <c r="I831" i="22" s="1"/>
  <c r="J830" i="22"/>
  <c r="K830" i="22" s="1"/>
  <c r="L830" i="22" s="1"/>
  <c r="J829" i="22"/>
  <c r="I829" i="22" s="1"/>
  <c r="J828" i="22"/>
  <c r="J827" i="22"/>
  <c r="I827" i="22" s="1"/>
  <c r="J826" i="22"/>
  <c r="I826" i="22" s="1"/>
  <c r="J825" i="22"/>
  <c r="K825" i="22" s="1"/>
  <c r="L825" i="22" s="1"/>
  <c r="J824" i="22"/>
  <c r="K824" i="22" s="1"/>
  <c r="L824" i="22" s="1"/>
  <c r="J823" i="22"/>
  <c r="I823" i="22" s="1"/>
  <c r="J822" i="22"/>
  <c r="K822" i="22" s="1"/>
  <c r="L822" i="22" s="1"/>
  <c r="J821" i="22"/>
  <c r="I821" i="22" s="1"/>
  <c r="J820" i="22"/>
  <c r="I820" i="22" s="1"/>
  <c r="J819" i="22"/>
  <c r="K819" i="22" s="1"/>
  <c r="L819" i="22" s="1"/>
  <c r="J818" i="22"/>
  <c r="I818" i="22" s="1"/>
  <c r="J817" i="22"/>
  <c r="I817" i="22" s="1"/>
  <c r="J816" i="22"/>
  <c r="I816" i="22" s="1"/>
  <c r="J815" i="22"/>
  <c r="J814" i="22"/>
  <c r="I814" i="22" s="1"/>
  <c r="J813" i="22"/>
  <c r="I813" i="22" s="1"/>
  <c r="J812" i="22"/>
  <c r="K812" i="22" s="1"/>
  <c r="L812" i="22" s="1"/>
  <c r="J811" i="22"/>
  <c r="I811" i="22" s="1"/>
  <c r="J810" i="22"/>
  <c r="K810" i="22" s="1"/>
  <c r="L810" i="22" s="1"/>
  <c r="J809" i="22"/>
  <c r="K809" i="22" s="1"/>
  <c r="L809" i="22" s="1"/>
  <c r="J808" i="22"/>
  <c r="I808" i="22" s="1"/>
  <c r="J807" i="22"/>
  <c r="K807" i="22" s="1"/>
  <c r="L807" i="22" s="1"/>
  <c r="J806" i="22"/>
  <c r="K806" i="22" s="1"/>
  <c r="L806" i="22" s="1"/>
  <c r="J805" i="22"/>
  <c r="I805" i="22" s="1"/>
  <c r="J804" i="22"/>
  <c r="K804" i="22" s="1"/>
  <c r="L804" i="22" s="1"/>
  <c r="J803" i="22"/>
  <c r="K803" i="22" s="1"/>
  <c r="L803" i="22" s="1"/>
  <c r="J802" i="22"/>
  <c r="J801" i="22"/>
  <c r="K801" i="22" s="1"/>
  <c r="L801" i="22" s="1"/>
  <c r="J800" i="22"/>
  <c r="I800" i="22" s="1"/>
  <c r="J799" i="22"/>
  <c r="I799" i="22" s="1"/>
  <c r="J798" i="22"/>
  <c r="I798" i="22" s="1"/>
  <c r="J797" i="22"/>
  <c r="K797" i="22" s="1"/>
  <c r="L797" i="22" s="1"/>
  <c r="J796" i="22"/>
  <c r="I796" i="22" s="1"/>
  <c r="J795" i="22"/>
  <c r="I795" i="22" s="1"/>
  <c r="J794" i="22"/>
  <c r="K794" i="22" s="1"/>
  <c r="L794" i="22" s="1"/>
  <c r="J793" i="22"/>
  <c r="I793" i="22" s="1"/>
  <c r="J792" i="22"/>
  <c r="J791" i="22"/>
  <c r="K791" i="22" s="1"/>
  <c r="L791" i="22" s="1"/>
  <c r="J790" i="22"/>
  <c r="I790" i="22" s="1"/>
  <c r="J789" i="22"/>
  <c r="K789" i="22" s="1"/>
  <c r="L789" i="22" s="1"/>
  <c r="J788" i="22"/>
  <c r="K788" i="22" s="1"/>
  <c r="L788" i="22" s="1"/>
  <c r="J787" i="22"/>
  <c r="I787" i="22" s="1"/>
  <c r="J786" i="22"/>
  <c r="K786" i="22" s="1"/>
  <c r="L786" i="22" s="1"/>
  <c r="J785" i="22"/>
  <c r="K785" i="22" s="1"/>
  <c r="L785" i="22" s="1"/>
  <c r="J784" i="22"/>
  <c r="I784" i="22" s="1"/>
  <c r="J783" i="22"/>
  <c r="K783" i="22" s="1"/>
  <c r="L783" i="22" s="1"/>
  <c r="J782" i="22"/>
  <c r="I782" i="22" s="1"/>
  <c r="J781" i="22"/>
  <c r="I781" i="22" s="1"/>
  <c r="J780" i="22"/>
  <c r="K780" i="22" s="1"/>
  <c r="L780" i="22" s="1"/>
  <c r="J779" i="22"/>
  <c r="J778" i="22"/>
  <c r="I778" i="22" s="1"/>
  <c r="J777" i="22"/>
  <c r="I777" i="22" s="1"/>
  <c r="J776" i="22"/>
  <c r="K776" i="22" s="1"/>
  <c r="L776" i="22" s="1"/>
  <c r="J775" i="22"/>
  <c r="I775" i="22" s="1"/>
  <c r="J774" i="22"/>
  <c r="K774" i="22" s="1"/>
  <c r="L774" i="22" s="1"/>
  <c r="J773" i="22"/>
  <c r="K773" i="22" s="1"/>
  <c r="L773" i="22" s="1"/>
  <c r="J772" i="22"/>
  <c r="I772" i="22" s="1"/>
  <c r="J771" i="22"/>
  <c r="K771" i="22" s="1"/>
  <c r="L771" i="22" s="1"/>
  <c r="J770" i="22"/>
  <c r="K770" i="22" s="1"/>
  <c r="L770" i="22" s="1"/>
  <c r="J769" i="22"/>
  <c r="I769" i="22" s="1"/>
  <c r="J768" i="22"/>
  <c r="K768" i="22" s="1"/>
  <c r="L768" i="22" s="1"/>
  <c r="J767" i="22"/>
  <c r="I767" i="22" s="1"/>
  <c r="J766" i="22"/>
  <c r="J765" i="22"/>
  <c r="K765" i="22" s="1"/>
  <c r="L765" i="22" s="1"/>
  <c r="J764" i="22"/>
  <c r="I764" i="22" s="1"/>
  <c r="J763" i="22"/>
  <c r="I763" i="22" s="1"/>
  <c r="J762" i="22"/>
  <c r="K762" i="22" s="1"/>
  <c r="L762" i="22" s="1"/>
  <c r="J761" i="22"/>
  <c r="K761" i="22" s="1"/>
  <c r="L761" i="22" s="1"/>
  <c r="J760" i="22"/>
  <c r="I760" i="22" s="1"/>
  <c r="J759" i="22"/>
  <c r="I759" i="22" s="1"/>
  <c r="J758" i="22"/>
  <c r="K758" i="22" s="1"/>
  <c r="L758" i="22" s="1"/>
  <c r="J757" i="22"/>
  <c r="I757" i="22" s="1"/>
  <c r="J756" i="22"/>
  <c r="J755" i="22"/>
  <c r="K755" i="22" s="1"/>
  <c r="L755" i="22" s="1"/>
  <c r="J754" i="22"/>
  <c r="I754" i="22" s="1"/>
  <c r="J753" i="22"/>
  <c r="K753" i="22" s="1"/>
  <c r="L753" i="22" s="1"/>
  <c r="J752" i="22"/>
  <c r="J751" i="22"/>
  <c r="I751" i="22" s="1"/>
  <c r="J750" i="22"/>
  <c r="K750" i="22" s="1"/>
  <c r="L750" i="22" s="1"/>
  <c r="J749" i="22"/>
  <c r="K749" i="22" s="1"/>
  <c r="L749" i="22" s="1"/>
  <c r="J748" i="22"/>
  <c r="I748" i="22" s="1"/>
  <c r="J747" i="22"/>
  <c r="K747" i="22" s="1"/>
  <c r="L747" i="22" s="1"/>
  <c r="J746" i="22"/>
  <c r="I746" i="22" s="1"/>
  <c r="J745" i="22"/>
  <c r="I745" i="22" s="1"/>
  <c r="J744" i="22"/>
  <c r="I744" i="22" s="1"/>
  <c r="J743" i="22"/>
  <c r="J742" i="22"/>
  <c r="I742" i="22" s="1"/>
  <c r="J741" i="22"/>
  <c r="I741" i="22" s="1"/>
  <c r="J740" i="22"/>
  <c r="K740" i="22" s="1"/>
  <c r="L740" i="22" s="1"/>
  <c r="J739" i="22"/>
  <c r="J738" i="22"/>
  <c r="K738" i="22" s="1"/>
  <c r="L738" i="22" s="1"/>
  <c r="J737" i="22"/>
  <c r="K737" i="22" s="1"/>
  <c r="L737" i="22" s="1"/>
  <c r="J736" i="22"/>
  <c r="K736" i="22" s="1"/>
  <c r="L736" i="22" s="1"/>
  <c r="J735" i="22"/>
  <c r="K735" i="22" s="1"/>
  <c r="L735" i="22" s="1"/>
  <c r="J734" i="22"/>
  <c r="K734" i="22" s="1"/>
  <c r="L734" i="22" s="1"/>
  <c r="J733" i="22"/>
  <c r="I733" i="22" s="1"/>
  <c r="J732" i="22"/>
  <c r="K732" i="22" s="1"/>
  <c r="L732" i="22" s="1"/>
  <c r="J731" i="22"/>
  <c r="K731" i="22" s="1"/>
  <c r="L731" i="22" s="1"/>
  <c r="J730" i="22"/>
  <c r="K730" i="22" s="1"/>
  <c r="L730" i="22" s="1"/>
  <c r="J729" i="22"/>
  <c r="K729" i="22" s="1"/>
  <c r="L729" i="22" s="1"/>
  <c r="J728" i="22"/>
  <c r="K728" i="22" s="1"/>
  <c r="L728" i="22" s="1"/>
  <c r="J727" i="22"/>
  <c r="K727" i="22" s="1"/>
  <c r="L727" i="22" s="1"/>
  <c r="J726" i="22"/>
  <c r="K726" i="22" s="1"/>
  <c r="L726" i="22" s="1"/>
  <c r="J725" i="22"/>
  <c r="K725" i="22" s="1"/>
  <c r="L725" i="22" s="1"/>
  <c r="J724" i="22"/>
  <c r="K724" i="22" s="1"/>
  <c r="L724" i="22" s="1"/>
  <c r="J723" i="22"/>
  <c r="K723" i="22" s="1"/>
  <c r="L723" i="22" s="1"/>
  <c r="J722" i="22"/>
  <c r="K722" i="22" s="1"/>
  <c r="L722" i="22" s="1"/>
  <c r="J721" i="22"/>
  <c r="J720" i="22"/>
  <c r="K720" i="22" s="1"/>
  <c r="L720" i="22" s="1"/>
  <c r="J719" i="22"/>
  <c r="I719" i="22" s="1"/>
  <c r="J718" i="22"/>
  <c r="J717" i="22"/>
  <c r="K717" i="22" s="1"/>
  <c r="L717" i="22" s="1"/>
  <c r="J716" i="22"/>
  <c r="I716" i="22" s="1"/>
  <c r="J715" i="22"/>
  <c r="J714" i="22"/>
  <c r="K714" i="22" s="1"/>
  <c r="L714" i="22" s="1"/>
  <c r="J713" i="22"/>
  <c r="K713" i="22" s="1"/>
  <c r="L713" i="22" s="1"/>
  <c r="J712" i="22"/>
  <c r="J711" i="22"/>
  <c r="I711" i="22" s="1"/>
  <c r="J710" i="22"/>
  <c r="K710" i="22" s="1"/>
  <c r="L710" i="22" s="1"/>
  <c r="J709" i="22"/>
  <c r="J708" i="22"/>
  <c r="K708" i="22" s="1"/>
  <c r="L708" i="22" s="1"/>
  <c r="J707" i="22"/>
  <c r="I707" i="22" s="1"/>
  <c r="J706" i="22"/>
  <c r="J705" i="22"/>
  <c r="K705" i="22" s="1"/>
  <c r="L705" i="22" s="1"/>
  <c r="J704" i="22"/>
  <c r="I704" i="22" s="1"/>
  <c r="J703" i="22"/>
  <c r="J702" i="22"/>
  <c r="K702" i="22" s="1"/>
  <c r="L702" i="22" s="1"/>
  <c r="J701" i="22"/>
  <c r="K701" i="22" s="1"/>
  <c r="L701" i="22" s="1"/>
  <c r="J700" i="22"/>
  <c r="J699" i="22"/>
  <c r="I699" i="22" s="1"/>
  <c r="J698" i="22"/>
  <c r="I698" i="22" s="1"/>
  <c r="J697" i="22"/>
  <c r="J696" i="22"/>
  <c r="K696" i="22" s="1"/>
  <c r="L696" i="22" s="1"/>
  <c r="J695" i="22"/>
  <c r="I695" i="22" s="1"/>
  <c r="J694" i="22"/>
  <c r="J693" i="22"/>
  <c r="I693" i="22" s="1"/>
  <c r="J692" i="22"/>
  <c r="I692" i="22" s="1"/>
  <c r="J691" i="22"/>
  <c r="J690" i="22"/>
  <c r="K690" i="22" s="1"/>
  <c r="L690" i="22" s="1"/>
  <c r="J689" i="22"/>
  <c r="K689" i="22" s="1"/>
  <c r="L689" i="22" s="1"/>
  <c r="J687" i="22"/>
  <c r="J686" i="22"/>
  <c r="I686" i="22" s="1"/>
  <c r="J685" i="22"/>
  <c r="K685" i="22" s="1"/>
  <c r="L685" i="22" s="1"/>
  <c r="J684" i="22"/>
  <c r="J683" i="22"/>
  <c r="I683" i="22" s="1"/>
  <c r="J682" i="22"/>
  <c r="K682" i="22" s="1"/>
  <c r="L682" i="22" s="1"/>
  <c r="J681" i="22"/>
  <c r="J680" i="22"/>
  <c r="I680" i="22" s="1"/>
  <c r="J679" i="22"/>
  <c r="I679" i="22" s="1"/>
  <c r="J678" i="22"/>
  <c r="J677" i="22"/>
  <c r="K677" i="22" s="1"/>
  <c r="L677" i="22" s="1"/>
  <c r="J676" i="22"/>
  <c r="K676" i="22" s="1"/>
  <c r="L676" i="22" s="1"/>
  <c r="J675" i="22"/>
  <c r="J674" i="22"/>
  <c r="I674" i="22" s="1"/>
  <c r="J673" i="22"/>
  <c r="K673" i="22" s="1"/>
  <c r="L673" i="22" s="1"/>
  <c r="J672" i="22"/>
  <c r="J671" i="22"/>
  <c r="I671" i="22" s="1"/>
  <c r="J670" i="22"/>
  <c r="K670" i="22" s="1"/>
  <c r="L670" i="22" s="1"/>
  <c r="J669" i="22"/>
  <c r="J662" i="22"/>
  <c r="K662" i="22" s="1"/>
  <c r="L662" i="22" s="1"/>
  <c r="J661" i="22"/>
  <c r="J660" i="22"/>
  <c r="K660" i="22" s="1"/>
  <c r="L660" i="22" s="1"/>
  <c r="J659" i="22"/>
  <c r="K659" i="22" s="1"/>
  <c r="L659" i="22" s="1"/>
  <c r="J658" i="22"/>
  <c r="K658" i="22" s="1"/>
  <c r="L658" i="22" s="1"/>
  <c r="J657" i="22"/>
  <c r="K657" i="22" s="1"/>
  <c r="L657" i="22" s="1"/>
  <c r="J656" i="22"/>
  <c r="J655" i="22"/>
  <c r="K655" i="22" s="1"/>
  <c r="L655" i="22" s="1"/>
  <c r="J653" i="22"/>
  <c r="I653" i="22" s="1"/>
  <c r="J652" i="22"/>
  <c r="J651" i="22"/>
  <c r="K651" i="22" s="1"/>
  <c r="L651" i="22" s="1"/>
  <c r="J650" i="22"/>
  <c r="I650" i="22" s="1"/>
  <c r="J649" i="22"/>
  <c r="J648" i="22"/>
  <c r="K648" i="22" s="1"/>
  <c r="L648" i="22" s="1"/>
  <c r="J647" i="22"/>
  <c r="K647" i="22" s="1"/>
  <c r="L647" i="22" s="1"/>
  <c r="J645" i="22"/>
  <c r="J644" i="22"/>
  <c r="K644" i="22" s="1"/>
  <c r="L644" i="22" s="1"/>
  <c r="J643" i="22"/>
  <c r="K643" i="22" s="1"/>
  <c r="L643" i="22" s="1"/>
  <c r="J642" i="22"/>
  <c r="J641" i="22"/>
  <c r="I641" i="22" s="1"/>
  <c r="J640" i="22"/>
  <c r="K640" i="22" s="1"/>
  <c r="L640" i="22" s="1"/>
  <c r="J639" i="22"/>
  <c r="J638" i="22"/>
  <c r="K638" i="22" s="1"/>
  <c r="L638" i="22" s="1"/>
  <c r="J637" i="22"/>
  <c r="K637" i="22" s="1"/>
  <c r="L637" i="22" s="1"/>
  <c r="J636" i="22"/>
  <c r="J635" i="22"/>
  <c r="K635" i="22" s="1"/>
  <c r="L635" i="22" s="1"/>
  <c r="J634" i="22"/>
  <c r="K634" i="22" s="1"/>
  <c r="L634" i="22" s="1"/>
  <c r="J633" i="22"/>
  <c r="J632" i="22"/>
  <c r="K632" i="22" s="1"/>
  <c r="L632" i="22" s="1"/>
  <c r="J631" i="22"/>
  <c r="I631" i="22" s="1"/>
  <c r="J630" i="22"/>
  <c r="K630" i="22" s="1"/>
  <c r="L630" i="22" s="1"/>
  <c r="J629" i="22"/>
  <c r="K629" i="22" s="1"/>
  <c r="L629" i="22" s="1"/>
  <c r="J628" i="22"/>
  <c r="K628" i="22" s="1"/>
  <c r="L628" i="22" s="1"/>
  <c r="J627" i="22"/>
  <c r="K627" i="22" s="1"/>
  <c r="L627" i="22" s="1"/>
  <c r="J626" i="22"/>
  <c r="K626" i="22" s="1"/>
  <c r="L626" i="22" s="1"/>
  <c r="J625" i="22"/>
  <c r="K625" i="22" s="1"/>
  <c r="L625" i="22" s="1"/>
  <c r="J624" i="22"/>
  <c r="K624" i="22" s="1"/>
  <c r="L624" i="22" s="1"/>
  <c r="J622" i="22"/>
  <c r="K622" i="22" s="1"/>
  <c r="L622" i="22" s="1"/>
  <c r="J621" i="22"/>
  <c r="K621" i="22" s="1"/>
  <c r="L621" i="22" s="1"/>
  <c r="J620" i="22"/>
  <c r="K620" i="22" s="1"/>
  <c r="L620" i="22" s="1"/>
  <c r="J619" i="22"/>
  <c r="K619" i="22" s="1"/>
  <c r="L619" i="22" s="1"/>
  <c r="J618" i="22"/>
  <c r="I618" i="22" s="1"/>
  <c r="J615" i="22"/>
  <c r="K615" i="22" s="1"/>
  <c r="L615" i="22" s="1"/>
  <c r="J614" i="22"/>
  <c r="I614" i="22" s="1"/>
  <c r="J611" i="22"/>
  <c r="I611" i="22" s="1"/>
  <c r="J610" i="22"/>
  <c r="K610" i="22" s="1"/>
  <c r="L610" i="22" s="1"/>
  <c r="J609" i="22"/>
  <c r="I609" i="22" s="1"/>
  <c r="J608" i="22"/>
  <c r="K608" i="22" s="1"/>
  <c r="L608" i="22" s="1"/>
  <c r="J607" i="22"/>
  <c r="K607" i="22" s="1"/>
  <c r="L607" i="22" s="1"/>
  <c r="J606" i="22"/>
  <c r="K606" i="22" s="1"/>
  <c r="L606" i="22" s="1"/>
  <c r="J605" i="22"/>
  <c r="K605" i="22" s="1"/>
  <c r="L605" i="22" s="1"/>
  <c r="J604" i="22"/>
  <c r="K604" i="22" s="1"/>
  <c r="L604" i="22" s="1"/>
  <c r="J603" i="22"/>
  <c r="K603" i="22" s="1"/>
  <c r="L603" i="22" s="1"/>
  <c r="J602" i="22"/>
  <c r="I602" i="22" s="1"/>
  <c r="J601" i="22"/>
  <c r="K601" i="22" s="1"/>
  <c r="L601" i="22" s="1"/>
  <c r="J600" i="22"/>
  <c r="J599" i="22"/>
  <c r="K599" i="22" s="1"/>
  <c r="L599" i="22" s="1"/>
  <c r="J598" i="22"/>
  <c r="K598" i="22" s="1"/>
  <c r="L598" i="22" s="1"/>
  <c r="J597" i="22"/>
  <c r="K597" i="22" s="1"/>
  <c r="L597" i="22" s="1"/>
  <c r="J594" i="22"/>
  <c r="K594" i="22" s="1"/>
  <c r="L594" i="22" s="1"/>
  <c r="J593" i="22"/>
  <c r="K593" i="22" s="1"/>
  <c r="L593" i="22" s="1"/>
  <c r="J592" i="22"/>
  <c r="K592" i="22" s="1"/>
  <c r="L592" i="22" s="1"/>
  <c r="J591" i="22"/>
  <c r="K591" i="22" s="1"/>
  <c r="L591" i="22" s="1"/>
  <c r="J590" i="22"/>
  <c r="K590" i="22" s="1"/>
  <c r="L590" i="22" s="1"/>
  <c r="J589" i="22"/>
  <c r="K589" i="22" s="1"/>
  <c r="L589" i="22" s="1"/>
  <c r="J588" i="22"/>
  <c r="K588" i="22" s="1"/>
  <c r="L588" i="22" s="1"/>
  <c r="J587" i="22"/>
  <c r="I587" i="22" s="1"/>
  <c r="J586" i="22"/>
  <c r="K586" i="22" s="1"/>
  <c r="L586" i="22" s="1"/>
  <c r="J585" i="22"/>
  <c r="I585" i="22" s="1"/>
  <c r="J584" i="22"/>
  <c r="K584" i="22" s="1"/>
  <c r="L584" i="22" s="1"/>
  <c r="J583" i="22"/>
  <c r="K583" i="22" s="1"/>
  <c r="L583" i="22" s="1"/>
  <c r="J582" i="22"/>
  <c r="K582" i="22" s="1"/>
  <c r="L582" i="22" s="1"/>
  <c r="J581" i="22"/>
  <c r="K581" i="22" s="1"/>
  <c r="L581" i="22" s="1"/>
  <c r="J580" i="22"/>
  <c r="K580" i="22" s="1"/>
  <c r="L580" i="22" s="1"/>
  <c r="J579" i="22"/>
  <c r="I579" i="22" s="1"/>
  <c r="J578" i="22"/>
  <c r="K578" i="22" s="1"/>
  <c r="L578" i="22" s="1"/>
  <c r="J577" i="22"/>
  <c r="K577" i="22" s="1"/>
  <c r="L577" i="22" s="1"/>
  <c r="J576" i="22"/>
  <c r="I576" i="22" s="1"/>
  <c r="J575" i="22"/>
  <c r="J574" i="22"/>
  <c r="I574" i="22" s="1"/>
  <c r="J573" i="22"/>
  <c r="K573" i="22" s="1"/>
  <c r="L573" i="22" s="1"/>
  <c r="J572" i="22"/>
  <c r="K572" i="22" s="1"/>
  <c r="L572" i="22" s="1"/>
  <c r="J571" i="22"/>
  <c r="K571" i="22" s="1"/>
  <c r="L571" i="22" s="1"/>
  <c r="J570" i="22"/>
  <c r="K570" i="22" s="1"/>
  <c r="L570" i="22" s="1"/>
  <c r="J569" i="22"/>
  <c r="K569" i="22" s="1"/>
  <c r="L569" i="22" s="1"/>
  <c r="J568" i="22"/>
  <c r="K568" i="22" s="1"/>
  <c r="L568" i="22" s="1"/>
  <c r="J567" i="22"/>
  <c r="K567" i="22" s="1"/>
  <c r="L567" i="22" s="1"/>
  <c r="J566" i="22"/>
  <c r="K566" i="22" s="1"/>
  <c r="L566" i="22" s="1"/>
  <c r="J565" i="22"/>
  <c r="K565" i="22" s="1"/>
  <c r="L565" i="22" s="1"/>
  <c r="J564" i="22"/>
  <c r="K564" i="22" s="1"/>
  <c r="L564" i="22" s="1"/>
  <c r="J563" i="22"/>
  <c r="K563" i="22" s="1"/>
  <c r="L563" i="22" s="1"/>
  <c r="J562" i="22"/>
  <c r="K562" i="22" s="1"/>
  <c r="L562" i="22" s="1"/>
  <c r="J561" i="22"/>
  <c r="I561" i="22" s="1"/>
  <c r="J560" i="22"/>
  <c r="K560" i="22" s="1"/>
  <c r="L560" i="22" s="1"/>
  <c r="J559" i="22"/>
  <c r="K559" i="22" s="1"/>
  <c r="L559" i="22" s="1"/>
  <c r="J558" i="22"/>
  <c r="I558" i="22" s="1"/>
  <c r="J557" i="22"/>
  <c r="K557" i="22" s="1"/>
  <c r="L557" i="22" s="1"/>
  <c r="J556" i="22"/>
  <c r="I556" i="22" s="1"/>
  <c r="J555" i="22"/>
  <c r="I555" i="22" s="1"/>
  <c r="J554" i="22"/>
  <c r="K554" i="22" s="1"/>
  <c r="L554" i="22" s="1"/>
  <c r="J553" i="22"/>
  <c r="J552" i="22"/>
  <c r="K552" i="22" s="1"/>
  <c r="L552" i="22" s="1"/>
  <c r="J551" i="22"/>
  <c r="I551" i="22" s="1"/>
  <c r="J550" i="22"/>
  <c r="K550" i="22" s="1"/>
  <c r="L550" i="22" s="1"/>
  <c r="J549" i="22"/>
  <c r="K549" i="22" s="1"/>
  <c r="L549" i="22" s="1"/>
  <c r="J548" i="22"/>
  <c r="K548" i="22" s="1"/>
  <c r="L548" i="22" s="1"/>
  <c r="J547" i="22"/>
  <c r="K547" i="22" s="1"/>
  <c r="L547" i="22" s="1"/>
  <c r="J546" i="22"/>
  <c r="K546" i="22" s="1"/>
  <c r="L546" i="22" s="1"/>
  <c r="J545" i="22"/>
  <c r="K545" i="22" s="1"/>
  <c r="L545" i="22" s="1"/>
  <c r="J544" i="22"/>
  <c r="K544" i="22" s="1"/>
  <c r="L544" i="22" s="1"/>
  <c r="J543" i="22"/>
  <c r="I543" i="22" s="1"/>
  <c r="J542" i="22"/>
  <c r="K542" i="22" s="1"/>
  <c r="L542" i="22" s="1"/>
  <c r="J541" i="22"/>
  <c r="K541" i="22" s="1"/>
  <c r="L541" i="22" s="1"/>
  <c r="J540" i="22"/>
  <c r="K540" i="22" s="1"/>
  <c r="L540" i="22" s="1"/>
  <c r="J539" i="22"/>
  <c r="K539" i="22" s="1"/>
  <c r="L539" i="22" s="1"/>
  <c r="J538" i="22"/>
  <c r="I538" i="22" s="1"/>
  <c r="J537" i="22"/>
  <c r="K537" i="22" s="1"/>
  <c r="L537" i="22" s="1"/>
  <c r="J536" i="22"/>
  <c r="K536" i="22" s="1"/>
  <c r="L536" i="22" s="1"/>
  <c r="J535" i="22"/>
  <c r="I535" i="22" s="1"/>
  <c r="J534" i="22"/>
  <c r="K534" i="22" s="1"/>
  <c r="L534" i="22" s="1"/>
  <c r="J533" i="22"/>
  <c r="K533" i="22" s="1"/>
  <c r="L533" i="22" s="1"/>
  <c r="J532" i="22"/>
  <c r="I532" i="22" s="1"/>
  <c r="J531" i="22"/>
  <c r="K531" i="22" s="1"/>
  <c r="L531" i="22" s="1"/>
  <c r="J528" i="22"/>
  <c r="K528" i="22" s="1"/>
  <c r="L528" i="22" s="1"/>
  <c r="J527" i="22"/>
  <c r="I527" i="22" s="1"/>
  <c r="J526" i="22"/>
  <c r="K526" i="22" s="1"/>
  <c r="L526" i="22" s="1"/>
  <c r="J525" i="22"/>
  <c r="K525" i="22" s="1"/>
  <c r="L525" i="22" s="1"/>
  <c r="J524" i="22"/>
  <c r="I524" i="22" s="1"/>
  <c r="J523" i="22"/>
  <c r="K523" i="22" s="1"/>
  <c r="L523" i="22" s="1"/>
  <c r="J522" i="22"/>
  <c r="K522" i="22" s="1"/>
  <c r="L522" i="22" s="1"/>
  <c r="J521" i="22"/>
  <c r="I521" i="22" s="1"/>
  <c r="J520" i="22"/>
  <c r="K520" i="22" s="1"/>
  <c r="L520" i="22" s="1"/>
  <c r="J519" i="22"/>
  <c r="K519" i="22" s="1"/>
  <c r="L519" i="22" s="1"/>
  <c r="J518" i="22"/>
  <c r="I518" i="22" s="1"/>
  <c r="J517" i="22"/>
  <c r="K517" i="22" s="1"/>
  <c r="L517" i="22" s="1"/>
  <c r="J516" i="22"/>
  <c r="K516" i="22" s="1"/>
  <c r="L516" i="22" s="1"/>
  <c r="J515" i="22"/>
  <c r="I515" i="22" s="1"/>
  <c r="J514" i="22"/>
  <c r="K514" i="22" s="1"/>
  <c r="L514" i="22" s="1"/>
  <c r="J513" i="22"/>
  <c r="K513" i="22" s="1"/>
  <c r="L513" i="22" s="1"/>
  <c r="J512" i="22"/>
  <c r="I512" i="22" s="1"/>
  <c r="J511" i="22"/>
  <c r="I511" i="22" s="1"/>
  <c r="J510" i="22"/>
  <c r="K510" i="22" s="1"/>
  <c r="L510" i="22" s="1"/>
  <c r="J509" i="22"/>
  <c r="I509" i="22" s="1"/>
  <c r="J508" i="22"/>
  <c r="I508" i="22" s="1"/>
  <c r="J507" i="22"/>
  <c r="K507" i="22" s="1"/>
  <c r="L507" i="22" s="1"/>
  <c r="J506" i="22"/>
  <c r="I506" i="22" s="1"/>
  <c r="J505" i="22"/>
  <c r="K505" i="22" s="1"/>
  <c r="L505" i="22" s="1"/>
  <c r="J504" i="22"/>
  <c r="K504" i="22" s="1"/>
  <c r="L504" i="22" s="1"/>
  <c r="J503" i="22"/>
  <c r="I503" i="22" s="1"/>
  <c r="J502" i="22"/>
  <c r="K502" i="22" s="1"/>
  <c r="L502" i="22" s="1"/>
  <c r="J501" i="22"/>
  <c r="K501" i="22" s="1"/>
  <c r="L501" i="22" s="1"/>
  <c r="J500" i="22"/>
  <c r="I500" i="22" s="1"/>
  <c r="J499" i="22"/>
  <c r="K499" i="22" s="1"/>
  <c r="L499" i="22" s="1"/>
  <c r="J498" i="22"/>
  <c r="K498" i="22" s="1"/>
  <c r="L498" i="22" s="1"/>
  <c r="J497" i="22"/>
  <c r="I497" i="22" s="1"/>
  <c r="J496" i="22"/>
  <c r="K496" i="22" s="1"/>
  <c r="L496" i="22" s="1"/>
  <c r="J495" i="22"/>
  <c r="K495" i="22" s="1"/>
  <c r="L495" i="22" s="1"/>
  <c r="J494" i="22"/>
  <c r="I494" i="22" s="1"/>
  <c r="J493" i="22"/>
  <c r="K493" i="22" s="1"/>
  <c r="L493" i="22" s="1"/>
  <c r="J492" i="22"/>
  <c r="K492" i="22" s="1"/>
  <c r="L492" i="22" s="1"/>
  <c r="J491" i="22"/>
  <c r="I491" i="22" s="1"/>
  <c r="J490" i="22"/>
  <c r="K490" i="22" s="1"/>
  <c r="L490" i="22" s="1"/>
  <c r="J489" i="22"/>
  <c r="K489" i="22" s="1"/>
  <c r="L489" i="22" s="1"/>
  <c r="J488" i="22"/>
  <c r="I488" i="22" s="1"/>
  <c r="J487" i="22"/>
  <c r="I487" i="22" s="1"/>
  <c r="J486" i="22"/>
  <c r="K486" i="22" s="1"/>
  <c r="L486" i="22" s="1"/>
  <c r="J485" i="22"/>
  <c r="I485" i="22" s="1"/>
  <c r="J484" i="22"/>
  <c r="K484" i="22" s="1"/>
  <c r="L484" i="22" s="1"/>
  <c r="J483" i="22"/>
  <c r="K483" i="22" s="1"/>
  <c r="L483" i="22" s="1"/>
  <c r="J482" i="22"/>
  <c r="I482" i="22" s="1"/>
  <c r="J481" i="22"/>
  <c r="K481" i="22" s="1"/>
  <c r="L481" i="22" s="1"/>
  <c r="J480" i="22"/>
  <c r="K480" i="22" s="1"/>
  <c r="L480" i="22" s="1"/>
  <c r="J479" i="22"/>
  <c r="I479" i="22" s="1"/>
  <c r="J478" i="22"/>
  <c r="K478" i="22" s="1"/>
  <c r="L478" i="22" s="1"/>
  <c r="J477" i="22"/>
  <c r="K477" i="22" s="1"/>
  <c r="L477" i="22" s="1"/>
  <c r="J476" i="22"/>
  <c r="I476" i="22" s="1"/>
  <c r="J475" i="22"/>
  <c r="I475" i="22" s="1"/>
  <c r="J474" i="22"/>
  <c r="K474" i="22" s="1"/>
  <c r="L474" i="22" s="1"/>
  <c r="J473" i="22"/>
  <c r="I473" i="22" s="1"/>
  <c r="J472" i="22"/>
  <c r="K472" i="22" s="1"/>
  <c r="L472" i="22" s="1"/>
  <c r="J471" i="22"/>
  <c r="K471" i="22" s="1"/>
  <c r="L471" i="22" s="1"/>
  <c r="J470" i="22"/>
  <c r="I470" i="22" s="1"/>
  <c r="J469" i="22"/>
  <c r="K469" i="22" s="1"/>
  <c r="L469" i="22" s="1"/>
  <c r="J468" i="22"/>
  <c r="K468" i="22" s="1"/>
  <c r="L468" i="22" s="1"/>
  <c r="J467" i="22"/>
  <c r="I467" i="22" s="1"/>
  <c r="J466" i="22"/>
  <c r="K466" i="22" s="1"/>
  <c r="L466" i="22" s="1"/>
  <c r="J465" i="22"/>
  <c r="K465" i="22" s="1"/>
  <c r="L465" i="22" s="1"/>
  <c r="J464" i="22"/>
  <c r="I464" i="22" s="1"/>
  <c r="J463" i="22"/>
  <c r="I463" i="22" s="1"/>
  <c r="J462" i="22"/>
  <c r="K462" i="22" s="1"/>
  <c r="L462" i="22" s="1"/>
  <c r="J461" i="22"/>
  <c r="I461" i="22" s="1"/>
  <c r="J460" i="22"/>
  <c r="K460" i="22" s="1"/>
  <c r="L460" i="22" s="1"/>
  <c r="J459" i="22"/>
  <c r="K459" i="22" s="1"/>
  <c r="L459" i="22" s="1"/>
  <c r="J458" i="22"/>
  <c r="I458" i="22" s="1"/>
  <c r="J457" i="22"/>
  <c r="K457" i="22" s="1"/>
  <c r="L457" i="22" s="1"/>
  <c r="J456" i="22"/>
  <c r="K456" i="22" s="1"/>
  <c r="L456" i="22" s="1"/>
  <c r="J455" i="22"/>
  <c r="I455" i="22" s="1"/>
  <c r="J454" i="22"/>
  <c r="K454" i="22" s="1"/>
  <c r="L454" i="22" s="1"/>
  <c r="J453" i="22"/>
  <c r="K453" i="22" s="1"/>
  <c r="L453" i="22" s="1"/>
  <c r="J452" i="22"/>
  <c r="I452" i="22" s="1"/>
  <c r="J451" i="22"/>
  <c r="K451" i="22" s="1"/>
  <c r="L451" i="22" s="1"/>
  <c r="J450" i="22"/>
  <c r="K450" i="22" s="1"/>
  <c r="L450" i="22" s="1"/>
  <c r="J449" i="22"/>
  <c r="I449" i="22" s="1"/>
  <c r="J448" i="22"/>
  <c r="K448" i="22" s="1"/>
  <c r="L448" i="22" s="1"/>
  <c r="J447" i="22"/>
  <c r="K447" i="22" s="1"/>
  <c r="L447" i="22" s="1"/>
  <c r="J446" i="22"/>
  <c r="I446" i="22" s="1"/>
  <c r="J445" i="22"/>
  <c r="K445" i="22" s="1"/>
  <c r="L445" i="22" s="1"/>
  <c r="J444" i="22"/>
  <c r="K444" i="22" s="1"/>
  <c r="L444" i="22" s="1"/>
  <c r="J443" i="22"/>
  <c r="I443" i="22" s="1"/>
  <c r="J442" i="22"/>
  <c r="K442" i="22" s="1"/>
  <c r="L442" i="22" s="1"/>
  <c r="J441" i="22"/>
  <c r="K441" i="22" s="1"/>
  <c r="L441" i="22" s="1"/>
  <c r="J440" i="22"/>
  <c r="I440" i="22" s="1"/>
  <c r="J439" i="22"/>
  <c r="K439" i="22" s="1"/>
  <c r="L439" i="22" s="1"/>
  <c r="J438" i="22"/>
  <c r="K438" i="22" s="1"/>
  <c r="L438" i="22" s="1"/>
  <c r="J437" i="22"/>
  <c r="I437" i="22" s="1"/>
  <c r="J436" i="22"/>
  <c r="I436" i="22" s="1"/>
  <c r="J435" i="22"/>
  <c r="K435" i="22" s="1"/>
  <c r="L435" i="22" s="1"/>
  <c r="J434" i="22"/>
  <c r="I434" i="22" s="1"/>
  <c r="J433" i="22"/>
  <c r="K433" i="22" s="1"/>
  <c r="L433" i="22" s="1"/>
  <c r="J432" i="22"/>
  <c r="K432" i="22" s="1"/>
  <c r="L432" i="22" s="1"/>
  <c r="J431" i="22"/>
  <c r="I431" i="22" s="1"/>
  <c r="J430" i="22"/>
  <c r="K430" i="22" s="1"/>
  <c r="L430" i="22" s="1"/>
  <c r="J429" i="22"/>
  <c r="K429" i="22" s="1"/>
  <c r="L429" i="22" s="1"/>
  <c r="J428" i="22"/>
  <c r="I428" i="22" s="1"/>
  <c r="J427" i="22"/>
  <c r="I427" i="22" s="1"/>
  <c r="J426" i="22"/>
  <c r="K426" i="22" s="1"/>
  <c r="L426" i="22" s="1"/>
  <c r="J425" i="22"/>
  <c r="I425" i="22" s="1"/>
  <c r="J424" i="22"/>
  <c r="K424" i="22" s="1"/>
  <c r="L424" i="22" s="1"/>
  <c r="J423" i="22"/>
  <c r="K423" i="22" s="1"/>
  <c r="L423" i="22" s="1"/>
  <c r="J422" i="22"/>
  <c r="K422" i="22" s="1"/>
  <c r="L422" i="22" s="1"/>
  <c r="J421" i="22"/>
  <c r="I421" i="22" s="1"/>
  <c r="J420" i="22"/>
  <c r="K420" i="22" s="1"/>
  <c r="L420" i="22" s="1"/>
  <c r="J419" i="22"/>
  <c r="K419" i="22" s="1"/>
  <c r="L419" i="22" s="1"/>
  <c r="J418" i="22"/>
  <c r="I418" i="22" s="1"/>
  <c r="J417" i="22"/>
  <c r="K417" i="22" s="1"/>
  <c r="L417" i="22" s="1"/>
  <c r="J416" i="22"/>
  <c r="K416" i="22" s="1"/>
  <c r="L416" i="22" s="1"/>
  <c r="J415" i="22"/>
  <c r="I415" i="22" s="1"/>
  <c r="J414" i="22"/>
  <c r="K414" i="22" s="1"/>
  <c r="L414" i="22" s="1"/>
  <c r="J413" i="22"/>
  <c r="K413" i="22" s="1"/>
  <c r="L413" i="22" s="1"/>
  <c r="J412" i="22"/>
  <c r="I412" i="22" s="1"/>
  <c r="J411" i="22"/>
  <c r="K411" i="22" s="1"/>
  <c r="L411" i="22" s="1"/>
  <c r="J410" i="22"/>
  <c r="K410" i="22" s="1"/>
  <c r="L410" i="22" s="1"/>
  <c r="J409" i="22"/>
  <c r="I409" i="22" s="1"/>
  <c r="J408" i="22"/>
  <c r="K408" i="22" s="1"/>
  <c r="L408" i="22" s="1"/>
  <c r="J407" i="22"/>
  <c r="I407" i="22" s="1"/>
  <c r="J406" i="22"/>
  <c r="I406" i="22" s="1"/>
  <c r="J405" i="22"/>
  <c r="K405" i="22" s="1"/>
  <c r="L405" i="22" s="1"/>
  <c r="J404" i="22"/>
  <c r="I404" i="22" s="1"/>
  <c r="J403" i="22"/>
  <c r="I403" i="22" s="1"/>
  <c r="J402" i="22"/>
  <c r="K402" i="22" s="1"/>
  <c r="L402" i="22" s="1"/>
  <c r="J401" i="22"/>
  <c r="K401" i="22" s="1"/>
  <c r="L401" i="22" s="1"/>
  <c r="J400" i="22"/>
  <c r="I400" i="22" s="1"/>
  <c r="J399" i="22"/>
  <c r="K399" i="22" s="1"/>
  <c r="L399" i="22" s="1"/>
  <c r="J398" i="22"/>
  <c r="K398" i="22" s="1"/>
  <c r="L398" i="22" s="1"/>
  <c r="J397" i="22"/>
  <c r="I397" i="22" s="1"/>
  <c r="J396" i="22"/>
  <c r="K396" i="22" s="1"/>
  <c r="L396" i="22" s="1"/>
  <c r="I396" i="22"/>
  <c r="J395" i="22"/>
  <c r="K395" i="22" s="1"/>
  <c r="L395" i="22" s="1"/>
  <c r="I395" i="22"/>
  <c r="J394" i="22"/>
  <c r="K394" i="22" s="1"/>
  <c r="L394" i="22" s="1"/>
  <c r="I394" i="22"/>
  <c r="J393" i="22"/>
  <c r="K393" i="22" s="1"/>
  <c r="L393" i="22" s="1"/>
  <c r="I393" i="22"/>
  <c r="J392" i="22"/>
  <c r="K392" i="22" s="1"/>
  <c r="L392" i="22" s="1"/>
  <c r="I392" i="22"/>
  <c r="J391" i="22"/>
  <c r="K391" i="22" s="1"/>
  <c r="L391" i="22" s="1"/>
  <c r="I391" i="22"/>
  <c r="J390" i="22"/>
  <c r="K390" i="22" s="1"/>
  <c r="L390" i="22" s="1"/>
  <c r="I390" i="22"/>
  <c r="J389" i="22"/>
  <c r="K389" i="22" s="1"/>
  <c r="L389" i="22" s="1"/>
  <c r="I389" i="22"/>
  <c r="J388" i="22"/>
  <c r="K388" i="22" s="1"/>
  <c r="L388" i="22" s="1"/>
  <c r="I388" i="22"/>
  <c r="J387" i="22"/>
  <c r="K387" i="22" s="1"/>
  <c r="L387" i="22" s="1"/>
  <c r="I387" i="22"/>
  <c r="J386" i="22"/>
  <c r="K386" i="22" s="1"/>
  <c r="L386" i="22" s="1"/>
  <c r="I386" i="22"/>
  <c r="J385" i="22"/>
  <c r="K385" i="22" s="1"/>
  <c r="L385" i="22" s="1"/>
  <c r="I385" i="22"/>
  <c r="J384" i="22"/>
  <c r="K384" i="22" s="1"/>
  <c r="L384" i="22" s="1"/>
  <c r="I384" i="22"/>
  <c r="J383" i="22"/>
  <c r="K383" i="22" s="1"/>
  <c r="L383" i="22" s="1"/>
  <c r="I383" i="22"/>
  <c r="J382" i="22"/>
  <c r="K382" i="22" s="1"/>
  <c r="L382" i="22" s="1"/>
  <c r="I382" i="22"/>
  <c r="J381" i="22"/>
  <c r="K381" i="22" s="1"/>
  <c r="L381" i="22" s="1"/>
  <c r="I381" i="22"/>
  <c r="J380" i="22"/>
  <c r="K380" i="22" s="1"/>
  <c r="L380" i="22" s="1"/>
  <c r="I380" i="22"/>
  <c r="J379" i="22"/>
  <c r="K379" i="22" s="1"/>
  <c r="L379" i="22" s="1"/>
  <c r="I379" i="22"/>
  <c r="J378" i="22"/>
  <c r="K378" i="22" s="1"/>
  <c r="L378" i="22" s="1"/>
  <c r="I378" i="22"/>
  <c r="J377" i="22"/>
  <c r="K377" i="22" s="1"/>
  <c r="L377" i="22" s="1"/>
  <c r="I377" i="22"/>
  <c r="J376" i="22"/>
  <c r="K376" i="22" s="1"/>
  <c r="L376" i="22" s="1"/>
  <c r="I376" i="22"/>
  <c r="J375" i="22"/>
  <c r="K375" i="22" s="1"/>
  <c r="L375" i="22" s="1"/>
  <c r="I375" i="22"/>
  <c r="J372" i="22"/>
  <c r="K372" i="22" s="1"/>
  <c r="L372" i="22" s="1"/>
  <c r="I372" i="22"/>
  <c r="J371" i="22"/>
  <c r="K371" i="22" s="1"/>
  <c r="L371" i="22" s="1"/>
  <c r="I371" i="22"/>
  <c r="J370" i="22"/>
  <c r="K370" i="22" s="1"/>
  <c r="L370" i="22" s="1"/>
  <c r="I370" i="22"/>
  <c r="J369" i="22"/>
  <c r="K369" i="22" s="1"/>
  <c r="L369" i="22" s="1"/>
  <c r="I369" i="22"/>
  <c r="J368" i="22"/>
  <c r="K368" i="22" s="1"/>
  <c r="L368" i="22" s="1"/>
  <c r="I368" i="22"/>
  <c r="J367" i="22"/>
  <c r="K367" i="22" s="1"/>
  <c r="L367" i="22" s="1"/>
  <c r="I367" i="22"/>
  <c r="J366" i="22"/>
  <c r="K366" i="22" s="1"/>
  <c r="L366" i="22" s="1"/>
  <c r="I366" i="22"/>
  <c r="J365" i="22"/>
  <c r="K365" i="22" s="1"/>
  <c r="L365" i="22" s="1"/>
  <c r="I365" i="22"/>
  <c r="J364" i="22"/>
  <c r="K364" i="22" s="1"/>
  <c r="L364" i="22" s="1"/>
  <c r="I364" i="22"/>
  <c r="J363" i="22"/>
  <c r="K363" i="22" s="1"/>
  <c r="L363" i="22" s="1"/>
  <c r="I363" i="22"/>
  <c r="J362" i="22"/>
  <c r="K362" i="22" s="1"/>
  <c r="L362" i="22" s="1"/>
  <c r="I362" i="22"/>
  <c r="J361" i="22"/>
  <c r="K361" i="22" s="1"/>
  <c r="L361" i="22" s="1"/>
  <c r="I361" i="22"/>
  <c r="J359" i="22"/>
  <c r="K359" i="22" s="1"/>
  <c r="L359" i="22" s="1"/>
  <c r="I359" i="22"/>
  <c r="J358" i="22"/>
  <c r="K358" i="22" s="1"/>
  <c r="L358" i="22" s="1"/>
  <c r="I358" i="22"/>
  <c r="J357" i="22"/>
  <c r="K357" i="22" s="1"/>
  <c r="L357" i="22" s="1"/>
  <c r="I357" i="22"/>
  <c r="J356" i="22"/>
  <c r="K356" i="22" s="1"/>
  <c r="L356" i="22" s="1"/>
  <c r="I356" i="22"/>
  <c r="J355" i="22"/>
  <c r="K355" i="22" s="1"/>
  <c r="L355" i="22" s="1"/>
  <c r="I355" i="22"/>
  <c r="J354" i="22"/>
  <c r="K354" i="22" s="1"/>
  <c r="L354" i="22" s="1"/>
  <c r="I354" i="22"/>
  <c r="J353" i="22"/>
  <c r="K353" i="22" s="1"/>
  <c r="L353" i="22" s="1"/>
  <c r="I353" i="22"/>
  <c r="J352" i="22"/>
  <c r="K352" i="22" s="1"/>
  <c r="L352" i="22" s="1"/>
  <c r="I352" i="22"/>
  <c r="J351" i="22"/>
  <c r="K351" i="22" s="1"/>
  <c r="L351" i="22" s="1"/>
  <c r="I351" i="22"/>
  <c r="J350" i="22"/>
  <c r="K350" i="22" s="1"/>
  <c r="L350" i="22" s="1"/>
  <c r="I350" i="22"/>
  <c r="J349" i="22"/>
  <c r="K349" i="22" s="1"/>
  <c r="L349" i="22" s="1"/>
  <c r="I349" i="22"/>
  <c r="J348" i="22"/>
  <c r="K348" i="22" s="1"/>
  <c r="L348" i="22" s="1"/>
  <c r="I348" i="22"/>
  <c r="J347" i="22"/>
  <c r="K347" i="22" s="1"/>
  <c r="L347" i="22" s="1"/>
  <c r="I347" i="22"/>
  <c r="J346" i="22"/>
  <c r="K346" i="22" s="1"/>
  <c r="L346" i="22" s="1"/>
  <c r="I346" i="22"/>
  <c r="J345" i="22"/>
  <c r="K345" i="22" s="1"/>
  <c r="L345" i="22" s="1"/>
  <c r="I345" i="22"/>
  <c r="J344" i="22"/>
  <c r="K344" i="22" s="1"/>
  <c r="L344" i="22" s="1"/>
  <c r="I344" i="22"/>
  <c r="J343" i="22"/>
  <c r="K343" i="22" s="1"/>
  <c r="L343" i="22" s="1"/>
  <c r="I343" i="22"/>
  <c r="J342" i="22"/>
  <c r="K342" i="22" s="1"/>
  <c r="L342" i="22" s="1"/>
  <c r="I342" i="22"/>
  <c r="J341" i="22"/>
  <c r="K341" i="22" s="1"/>
  <c r="L341" i="22" s="1"/>
  <c r="I341" i="22"/>
  <c r="J340" i="22"/>
  <c r="K340" i="22" s="1"/>
  <c r="L340" i="22" s="1"/>
  <c r="I340" i="22"/>
  <c r="J339" i="22"/>
  <c r="K339" i="22" s="1"/>
  <c r="L339" i="22" s="1"/>
  <c r="I339" i="22"/>
  <c r="J338" i="22"/>
  <c r="K338" i="22" s="1"/>
  <c r="L338" i="22" s="1"/>
  <c r="I338" i="22"/>
  <c r="J337" i="22"/>
  <c r="K337" i="22" s="1"/>
  <c r="L337" i="22" s="1"/>
  <c r="I337" i="22"/>
  <c r="J336" i="22"/>
  <c r="K336" i="22" s="1"/>
  <c r="L336" i="22" s="1"/>
  <c r="I336" i="22"/>
  <c r="J335" i="22"/>
  <c r="K335" i="22" s="1"/>
  <c r="L335" i="22" s="1"/>
  <c r="I335" i="22"/>
  <c r="J334" i="22"/>
  <c r="K334" i="22" s="1"/>
  <c r="L334" i="22" s="1"/>
  <c r="I334" i="22"/>
  <c r="J333" i="22"/>
  <c r="K333" i="22" s="1"/>
  <c r="L333" i="22" s="1"/>
  <c r="I333" i="22"/>
  <c r="J332" i="22"/>
  <c r="K332" i="22" s="1"/>
  <c r="L332" i="22" s="1"/>
  <c r="I332" i="22"/>
  <c r="J331" i="22"/>
  <c r="K331" i="22" s="1"/>
  <c r="L331" i="22" s="1"/>
  <c r="I331" i="22"/>
  <c r="J330" i="22"/>
  <c r="K330" i="22" s="1"/>
  <c r="L330" i="22" s="1"/>
  <c r="I330" i="22"/>
  <c r="J329" i="22"/>
  <c r="K329" i="22" s="1"/>
  <c r="L329" i="22" s="1"/>
  <c r="I329" i="22"/>
  <c r="J328" i="22"/>
  <c r="K328" i="22" s="1"/>
  <c r="L328" i="22" s="1"/>
  <c r="I328" i="22"/>
  <c r="J327" i="22"/>
  <c r="K327" i="22" s="1"/>
  <c r="L327" i="22" s="1"/>
  <c r="I327" i="22"/>
  <c r="J326" i="22"/>
  <c r="K326" i="22" s="1"/>
  <c r="L326" i="22" s="1"/>
  <c r="I326" i="22"/>
  <c r="J325" i="22"/>
  <c r="K325" i="22" s="1"/>
  <c r="L325" i="22" s="1"/>
  <c r="I325" i="22"/>
  <c r="J324" i="22"/>
  <c r="K324" i="22" s="1"/>
  <c r="L324" i="22" s="1"/>
  <c r="I324" i="22"/>
  <c r="J323" i="22"/>
  <c r="K323" i="22" s="1"/>
  <c r="L323" i="22" s="1"/>
  <c r="I323" i="22"/>
  <c r="J322" i="22"/>
  <c r="K322" i="22" s="1"/>
  <c r="L322" i="22" s="1"/>
  <c r="I322" i="22"/>
  <c r="J321" i="22"/>
  <c r="K321" i="22" s="1"/>
  <c r="L321" i="22" s="1"/>
  <c r="I321" i="22"/>
  <c r="J320" i="22"/>
  <c r="K320" i="22" s="1"/>
  <c r="L320" i="22" s="1"/>
  <c r="I320" i="22"/>
  <c r="J319" i="22"/>
  <c r="K319" i="22" s="1"/>
  <c r="L319" i="22" s="1"/>
  <c r="I319" i="22"/>
  <c r="J318" i="22"/>
  <c r="K318" i="22" s="1"/>
  <c r="L318" i="22" s="1"/>
  <c r="I318" i="22"/>
  <c r="J317" i="22"/>
  <c r="K317" i="22" s="1"/>
  <c r="L317" i="22" s="1"/>
  <c r="I317" i="22"/>
  <c r="J316" i="22"/>
  <c r="K316" i="22" s="1"/>
  <c r="L316" i="22" s="1"/>
  <c r="I316" i="22"/>
  <c r="J315" i="22"/>
  <c r="K315" i="22" s="1"/>
  <c r="L315" i="22" s="1"/>
  <c r="I315" i="22"/>
  <c r="J314" i="22"/>
  <c r="K314" i="22" s="1"/>
  <c r="L314" i="22" s="1"/>
  <c r="I314" i="22"/>
  <c r="J313" i="22"/>
  <c r="K313" i="22" s="1"/>
  <c r="L313" i="22" s="1"/>
  <c r="I313" i="22"/>
  <c r="J312" i="22"/>
  <c r="K312" i="22" s="1"/>
  <c r="L312" i="22" s="1"/>
  <c r="I312" i="22"/>
  <c r="J311" i="22"/>
  <c r="K311" i="22" s="1"/>
  <c r="L311" i="22" s="1"/>
  <c r="I311" i="22"/>
  <c r="J310" i="22"/>
  <c r="K310" i="22" s="1"/>
  <c r="L310" i="22" s="1"/>
  <c r="I310" i="22"/>
  <c r="J309" i="22"/>
  <c r="K309" i="22" s="1"/>
  <c r="L309" i="22" s="1"/>
  <c r="I309" i="22"/>
  <c r="J308" i="22"/>
  <c r="K308" i="22" s="1"/>
  <c r="L308" i="22" s="1"/>
  <c r="I308" i="22"/>
  <c r="J306" i="22"/>
  <c r="K306" i="22" s="1"/>
  <c r="L306" i="22" s="1"/>
  <c r="I306" i="22"/>
  <c r="J305" i="22"/>
  <c r="K305" i="22" s="1"/>
  <c r="L305" i="22" s="1"/>
  <c r="I305" i="22"/>
  <c r="J304" i="22"/>
  <c r="K304" i="22" s="1"/>
  <c r="L304" i="22" s="1"/>
  <c r="I304" i="22"/>
  <c r="J303" i="22"/>
  <c r="K303" i="22" s="1"/>
  <c r="L303" i="22" s="1"/>
  <c r="I303" i="22"/>
  <c r="J302" i="22"/>
  <c r="K302" i="22" s="1"/>
  <c r="L302" i="22" s="1"/>
  <c r="I302" i="22"/>
  <c r="J301" i="22"/>
  <c r="K301" i="22" s="1"/>
  <c r="L301" i="22" s="1"/>
  <c r="I301" i="22"/>
  <c r="J300" i="22"/>
  <c r="K300" i="22" s="1"/>
  <c r="L300" i="22" s="1"/>
  <c r="I300" i="22"/>
  <c r="J299" i="22"/>
  <c r="K299" i="22" s="1"/>
  <c r="L299" i="22" s="1"/>
  <c r="I299" i="22"/>
  <c r="J298" i="22"/>
  <c r="K298" i="22" s="1"/>
  <c r="L298" i="22" s="1"/>
  <c r="I298" i="22"/>
  <c r="J297" i="22"/>
  <c r="K297" i="22" s="1"/>
  <c r="L297" i="22" s="1"/>
  <c r="I297" i="22"/>
  <c r="J296" i="22"/>
  <c r="K296" i="22" s="1"/>
  <c r="L296" i="22" s="1"/>
  <c r="I296" i="22"/>
  <c r="J295" i="22"/>
  <c r="K295" i="22" s="1"/>
  <c r="L295" i="22" s="1"/>
  <c r="I295" i="22"/>
  <c r="J294" i="22"/>
  <c r="K294" i="22" s="1"/>
  <c r="L294" i="22" s="1"/>
  <c r="I294" i="22"/>
  <c r="J293" i="22"/>
  <c r="K293" i="22" s="1"/>
  <c r="L293" i="22" s="1"/>
  <c r="I293" i="22"/>
  <c r="J292" i="22"/>
  <c r="K292" i="22" s="1"/>
  <c r="L292" i="22" s="1"/>
  <c r="I292" i="22"/>
  <c r="J291" i="22"/>
  <c r="K291" i="22" s="1"/>
  <c r="L291" i="22" s="1"/>
  <c r="I291" i="22"/>
  <c r="J290" i="22"/>
  <c r="K290" i="22" s="1"/>
  <c r="L290" i="22" s="1"/>
  <c r="I290" i="22"/>
  <c r="J289" i="22"/>
  <c r="K289" i="22" s="1"/>
  <c r="L289" i="22" s="1"/>
  <c r="I289" i="22"/>
  <c r="J288" i="22"/>
  <c r="K288" i="22" s="1"/>
  <c r="L288" i="22" s="1"/>
  <c r="I288" i="22"/>
  <c r="J287" i="22"/>
  <c r="K287" i="22" s="1"/>
  <c r="L287" i="22" s="1"/>
  <c r="I287" i="22"/>
  <c r="J286" i="22"/>
  <c r="K286" i="22" s="1"/>
  <c r="L286" i="22" s="1"/>
  <c r="I286" i="22"/>
  <c r="J285" i="22"/>
  <c r="K285" i="22" s="1"/>
  <c r="L285" i="22" s="1"/>
  <c r="I285" i="22"/>
  <c r="J284" i="22"/>
  <c r="K284" i="22" s="1"/>
  <c r="L284" i="22" s="1"/>
  <c r="I284" i="22"/>
  <c r="J282" i="22"/>
  <c r="K282" i="22" s="1"/>
  <c r="L282" i="22" s="1"/>
  <c r="I282" i="22"/>
  <c r="J280" i="22"/>
  <c r="K280" i="22" s="1"/>
  <c r="L280" i="22" s="1"/>
  <c r="I280" i="22"/>
  <c r="J279" i="22"/>
  <c r="K279" i="22" s="1"/>
  <c r="L279" i="22" s="1"/>
  <c r="I279" i="22"/>
  <c r="J278" i="22"/>
  <c r="K278" i="22" s="1"/>
  <c r="L278" i="22" s="1"/>
  <c r="I278" i="22"/>
  <c r="J277" i="22"/>
  <c r="K277" i="22" s="1"/>
  <c r="L277" i="22" s="1"/>
  <c r="I277" i="22"/>
  <c r="J276" i="22"/>
  <c r="K276" i="22" s="1"/>
  <c r="L276" i="22" s="1"/>
  <c r="I276" i="22"/>
  <c r="J275" i="22"/>
  <c r="K275" i="22" s="1"/>
  <c r="L275" i="22" s="1"/>
  <c r="I275" i="22"/>
  <c r="J274" i="22"/>
  <c r="K274" i="22" s="1"/>
  <c r="L274" i="22" s="1"/>
  <c r="I274" i="22"/>
  <c r="J273" i="22"/>
  <c r="K273" i="22" s="1"/>
  <c r="L273" i="22" s="1"/>
  <c r="I273" i="22"/>
  <c r="J272" i="22"/>
  <c r="K272" i="22" s="1"/>
  <c r="L272" i="22" s="1"/>
  <c r="I272" i="22"/>
  <c r="K271" i="22"/>
  <c r="L271" i="22" s="1"/>
  <c r="I271" i="22"/>
  <c r="K270" i="22"/>
  <c r="L270" i="22" s="1"/>
  <c r="I270" i="22"/>
  <c r="K269" i="22"/>
  <c r="L269" i="22" s="1"/>
  <c r="I269" i="22"/>
  <c r="K268" i="22"/>
  <c r="L268" i="22" s="1"/>
  <c r="I268" i="22"/>
  <c r="K267" i="22"/>
  <c r="L267" i="22" s="1"/>
  <c r="I267" i="22"/>
  <c r="K266" i="22"/>
  <c r="L266" i="22" s="1"/>
  <c r="I266" i="22"/>
  <c r="K265" i="22"/>
  <c r="L265" i="22" s="1"/>
  <c r="I265" i="22"/>
  <c r="K264" i="22"/>
  <c r="L264" i="22" s="1"/>
  <c r="I264" i="22"/>
  <c r="K263" i="22"/>
  <c r="L263" i="22" s="1"/>
  <c r="I263" i="22"/>
  <c r="J262" i="22"/>
  <c r="K262" i="22" s="1"/>
  <c r="L262" i="22" s="1"/>
  <c r="I262" i="22"/>
  <c r="K261" i="22"/>
  <c r="L261" i="22" s="1"/>
  <c r="I261" i="22"/>
  <c r="J260" i="22"/>
  <c r="K260" i="22" s="1"/>
  <c r="L260" i="22" s="1"/>
  <c r="I260" i="22"/>
  <c r="J259" i="22"/>
  <c r="K259" i="22" s="1"/>
  <c r="L259" i="22" s="1"/>
  <c r="I259" i="22"/>
  <c r="J258" i="22"/>
  <c r="K258" i="22" s="1"/>
  <c r="L258" i="22" s="1"/>
  <c r="I258" i="22"/>
  <c r="J257" i="22"/>
  <c r="K257" i="22" s="1"/>
  <c r="L257" i="22" s="1"/>
  <c r="I257" i="22"/>
  <c r="J256" i="22"/>
  <c r="K256" i="22" s="1"/>
  <c r="L256" i="22" s="1"/>
  <c r="I256" i="22"/>
  <c r="J255" i="22"/>
  <c r="I255" i="22"/>
  <c r="J254" i="22"/>
  <c r="K254" i="22" s="1"/>
  <c r="L254" i="22" s="1"/>
  <c r="I254" i="22"/>
  <c r="J253" i="22"/>
  <c r="K253" i="22" s="1"/>
  <c r="L253" i="22" s="1"/>
  <c r="I253" i="22"/>
  <c r="J252" i="22"/>
  <c r="K252" i="22" s="1"/>
  <c r="L252" i="22" s="1"/>
  <c r="I252" i="22"/>
  <c r="J251" i="22"/>
  <c r="K251" i="22" s="1"/>
  <c r="L251" i="22" s="1"/>
  <c r="I251" i="22"/>
  <c r="J250" i="22"/>
  <c r="K250" i="22" s="1"/>
  <c r="L250" i="22" s="1"/>
  <c r="I250" i="22"/>
  <c r="J248" i="22"/>
  <c r="K248" i="22" s="1"/>
  <c r="L248" i="22" s="1"/>
  <c r="I248" i="22"/>
  <c r="J245" i="22"/>
  <c r="K245" i="22" s="1"/>
  <c r="L245" i="22" s="1"/>
  <c r="I245" i="22"/>
  <c r="J244" i="22"/>
  <c r="K244" i="22" s="1"/>
  <c r="L244" i="22" s="1"/>
  <c r="I244" i="22"/>
  <c r="J243" i="22"/>
  <c r="K243" i="22" s="1"/>
  <c r="L243" i="22" s="1"/>
  <c r="I243" i="22"/>
  <c r="J242" i="22"/>
  <c r="K242" i="22" s="1"/>
  <c r="L242" i="22" s="1"/>
  <c r="I242" i="22"/>
  <c r="J241" i="22"/>
  <c r="K241" i="22" s="1"/>
  <c r="L241" i="22" s="1"/>
  <c r="I241" i="22"/>
  <c r="J240" i="22"/>
  <c r="K240" i="22" s="1"/>
  <c r="L240" i="22" s="1"/>
  <c r="I240" i="22"/>
  <c r="J239" i="22"/>
  <c r="K239" i="22" s="1"/>
  <c r="L239" i="22" s="1"/>
  <c r="I239" i="22"/>
  <c r="J238" i="22"/>
  <c r="K238" i="22" s="1"/>
  <c r="L238" i="22" s="1"/>
  <c r="I238" i="22"/>
  <c r="J236" i="22"/>
  <c r="K236" i="22" s="1"/>
  <c r="L236" i="22" s="1"/>
  <c r="I236" i="22"/>
  <c r="J235" i="22"/>
  <c r="K235" i="22" s="1"/>
  <c r="L235" i="22" s="1"/>
  <c r="I235" i="22"/>
  <c r="J234" i="22"/>
  <c r="K234" i="22" s="1"/>
  <c r="L234" i="22" s="1"/>
  <c r="I234" i="22"/>
  <c r="J233" i="22"/>
  <c r="K233" i="22" s="1"/>
  <c r="L233" i="22" s="1"/>
  <c r="I233" i="22"/>
  <c r="J232" i="22"/>
  <c r="K232" i="22" s="1"/>
  <c r="L232" i="22" s="1"/>
  <c r="I232" i="22"/>
  <c r="J231" i="22"/>
  <c r="K231" i="22" s="1"/>
  <c r="L231" i="22" s="1"/>
  <c r="I231" i="22"/>
  <c r="J230" i="22"/>
  <c r="K230" i="22" s="1"/>
  <c r="L230" i="22" s="1"/>
  <c r="I230" i="22"/>
  <c r="J229" i="22"/>
  <c r="K229" i="22" s="1"/>
  <c r="L229" i="22" s="1"/>
  <c r="I229" i="22"/>
  <c r="J228" i="22"/>
  <c r="K228" i="22" s="1"/>
  <c r="L228" i="22" s="1"/>
  <c r="I228" i="22"/>
  <c r="J227" i="22"/>
  <c r="K227" i="22" s="1"/>
  <c r="L227" i="22" s="1"/>
  <c r="I227" i="22"/>
  <c r="J226" i="22"/>
  <c r="K226" i="22" s="1"/>
  <c r="L226" i="22" s="1"/>
  <c r="I226" i="22"/>
  <c r="J225" i="22"/>
  <c r="K225" i="22" s="1"/>
  <c r="L225" i="22" s="1"/>
  <c r="I225" i="22"/>
  <c r="J224" i="22"/>
  <c r="K224" i="22" s="1"/>
  <c r="L224" i="22" s="1"/>
  <c r="I224" i="22"/>
  <c r="J223" i="22"/>
  <c r="I223" i="22"/>
  <c r="J222" i="22"/>
  <c r="K222" i="22" s="1"/>
  <c r="I222" i="22"/>
  <c r="K221" i="22"/>
  <c r="L221" i="22" s="1"/>
  <c r="K220" i="22"/>
  <c r="L220" i="22" s="1"/>
  <c r="K219" i="22"/>
  <c r="L219" i="22" s="1"/>
  <c r="K218" i="22"/>
  <c r="L218" i="22" s="1"/>
  <c r="K217" i="22"/>
  <c r="L217" i="22" s="1"/>
  <c r="K216" i="22"/>
  <c r="L216" i="22" s="1"/>
  <c r="K215" i="22"/>
  <c r="L215" i="22" s="1"/>
  <c r="K214" i="22"/>
  <c r="L214" i="22" s="1"/>
  <c r="K213" i="22"/>
  <c r="L213" i="22" s="1"/>
  <c r="K212" i="22"/>
  <c r="L212" i="22" s="1"/>
  <c r="K211" i="22"/>
  <c r="L211" i="22" s="1"/>
  <c r="K210" i="22"/>
  <c r="L210" i="22" s="1"/>
  <c r="K209" i="22"/>
  <c r="L209" i="22" s="1"/>
  <c r="K208" i="22"/>
  <c r="L208" i="22" s="1"/>
  <c r="K207" i="22"/>
  <c r="L207" i="22" s="1"/>
  <c r="K206" i="22"/>
  <c r="L206" i="22" s="1"/>
  <c r="K205" i="22"/>
  <c r="L205" i="22" s="1"/>
  <c r="K204" i="22"/>
  <c r="L204" i="22" s="1"/>
  <c r="K203" i="22"/>
  <c r="L203" i="22" s="1"/>
  <c r="K202" i="22"/>
  <c r="L202" i="22" s="1"/>
  <c r="K201" i="22"/>
  <c r="L201" i="22" s="1"/>
  <c r="K200" i="22"/>
  <c r="L200" i="22" s="1"/>
  <c r="K199" i="22"/>
  <c r="L199" i="22" s="1"/>
  <c r="K198" i="22"/>
  <c r="L198" i="22" s="1"/>
  <c r="K197" i="22"/>
  <c r="L197" i="22" s="1"/>
  <c r="K196" i="22"/>
  <c r="L196" i="22" s="1"/>
  <c r="K195" i="22"/>
  <c r="L195" i="22" s="1"/>
  <c r="K194" i="22"/>
  <c r="L194" i="22" s="1"/>
  <c r="K193" i="22"/>
  <c r="L193" i="22" s="1"/>
  <c r="K192" i="22"/>
  <c r="L192" i="22" s="1"/>
  <c r="K191" i="22"/>
  <c r="L191" i="22" s="1"/>
  <c r="K190" i="22"/>
  <c r="L190" i="22" s="1"/>
  <c r="K189" i="22"/>
  <c r="L189" i="22" s="1"/>
  <c r="K188" i="22"/>
  <c r="L188" i="22" s="1"/>
  <c r="K187" i="22"/>
  <c r="L187" i="22" s="1"/>
  <c r="K186" i="22"/>
  <c r="L186" i="22" s="1"/>
  <c r="K185" i="22"/>
  <c r="L185" i="22" s="1"/>
  <c r="K184" i="22"/>
  <c r="L184" i="22" s="1"/>
  <c r="K183" i="22"/>
  <c r="L183" i="22" s="1"/>
  <c r="K182" i="22"/>
  <c r="L182" i="22" s="1"/>
  <c r="K181" i="22"/>
  <c r="L181" i="22" s="1"/>
  <c r="K180" i="22"/>
  <c r="L180" i="22" s="1"/>
  <c r="K179" i="22"/>
  <c r="L179" i="22" s="1"/>
  <c r="K178" i="22"/>
  <c r="L178" i="22" s="1"/>
  <c r="K177" i="22"/>
  <c r="L177" i="22" s="1"/>
  <c r="K176" i="22"/>
  <c r="L176" i="22" s="1"/>
  <c r="K175" i="22"/>
  <c r="L175" i="22" s="1"/>
  <c r="K174" i="22"/>
  <c r="L174" i="22" s="1"/>
  <c r="K173" i="22"/>
  <c r="L173" i="22" s="1"/>
  <c r="K172" i="22"/>
  <c r="L172" i="22" s="1"/>
  <c r="K171" i="22"/>
  <c r="L171" i="22" s="1"/>
  <c r="K170" i="22"/>
  <c r="L170" i="22" s="1"/>
  <c r="K169" i="22"/>
  <c r="L169" i="22" s="1"/>
  <c r="K168" i="22"/>
  <c r="L168" i="22" s="1"/>
  <c r="K167" i="22"/>
  <c r="L167" i="22" s="1"/>
  <c r="K166" i="22"/>
  <c r="L166" i="22" s="1"/>
  <c r="K165" i="22"/>
  <c r="L165" i="22" s="1"/>
  <c r="K164" i="22"/>
  <c r="L164" i="22" s="1"/>
  <c r="K163" i="22"/>
  <c r="L163" i="22" s="1"/>
  <c r="K162" i="22"/>
  <c r="L162" i="22" s="1"/>
  <c r="K161" i="22"/>
  <c r="L161" i="22" s="1"/>
  <c r="K160" i="22"/>
  <c r="L160" i="22" s="1"/>
  <c r="K159" i="22"/>
  <c r="L159" i="22" s="1"/>
  <c r="K158" i="22"/>
  <c r="L158" i="22" s="1"/>
  <c r="K157" i="22"/>
  <c r="L157" i="22" s="1"/>
  <c r="K156" i="22"/>
  <c r="L156" i="22" s="1"/>
  <c r="K155" i="22"/>
  <c r="L155" i="22" s="1"/>
  <c r="K154" i="22"/>
  <c r="L154" i="22" s="1"/>
  <c r="K153" i="22"/>
  <c r="L153" i="22" s="1"/>
  <c r="K152" i="22"/>
  <c r="L152" i="22" s="1"/>
  <c r="K151" i="22"/>
  <c r="L151" i="22" s="1"/>
  <c r="K150" i="22"/>
  <c r="L150" i="22" s="1"/>
  <c r="K149" i="22"/>
  <c r="L149" i="22" s="1"/>
  <c r="K148" i="22"/>
  <c r="L148" i="22" s="1"/>
  <c r="K147" i="22"/>
  <c r="L147" i="22" s="1"/>
  <c r="K146" i="22"/>
  <c r="L146" i="22" s="1"/>
  <c r="K145" i="22"/>
  <c r="L145" i="22" s="1"/>
  <c r="K144" i="22"/>
  <c r="L144" i="22" s="1"/>
  <c r="K143" i="22"/>
  <c r="L143" i="22" s="1"/>
  <c r="K142" i="22"/>
  <c r="L142" i="22" s="1"/>
  <c r="K141" i="22"/>
  <c r="L141" i="22" s="1"/>
  <c r="K139" i="22"/>
  <c r="L139" i="22" s="1"/>
  <c r="K138" i="22"/>
  <c r="L138" i="22" s="1"/>
  <c r="K129" i="22"/>
  <c r="L129" i="22" s="1"/>
  <c r="K128" i="22"/>
  <c r="L128" i="22" s="1"/>
  <c r="K127" i="22"/>
  <c r="L127" i="22" s="1"/>
  <c r="K126" i="22"/>
  <c r="L126" i="22" s="1"/>
  <c r="K125" i="22"/>
  <c r="L125" i="22" s="1"/>
  <c r="K124" i="22"/>
  <c r="L124" i="22" s="1"/>
  <c r="K123" i="22"/>
  <c r="L123" i="22" s="1"/>
  <c r="K122" i="22"/>
  <c r="L122" i="22" s="1"/>
  <c r="K121" i="22"/>
  <c r="L121" i="22" s="1"/>
  <c r="K120" i="22"/>
  <c r="L120" i="22" s="1"/>
  <c r="K119" i="22"/>
  <c r="L119" i="22" s="1"/>
  <c r="K118" i="22"/>
  <c r="L118" i="22" s="1"/>
  <c r="K117" i="22"/>
  <c r="L117" i="22" s="1"/>
  <c r="K116" i="22"/>
  <c r="L116" i="22" s="1"/>
  <c r="K115" i="22"/>
  <c r="L115" i="22" s="1"/>
  <c r="K114" i="22"/>
  <c r="L114" i="22" s="1"/>
  <c r="K113" i="22"/>
  <c r="L113" i="22" s="1"/>
  <c r="K112" i="22"/>
  <c r="L112" i="22" s="1"/>
  <c r="K111" i="22"/>
  <c r="L111" i="22" s="1"/>
  <c r="K110" i="22"/>
  <c r="L110" i="22" s="1"/>
  <c r="K106" i="22"/>
  <c r="L106" i="22" s="1"/>
  <c r="K105" i="22"/>
  <c r="L105" i="22" s="1"/>
  <c r="K104" i="22"/>
  <c r="L104" i="22" s="1"/>
  <c r="K103" i="22"/>
  <c r="L103" i="22" s="1"/>
  <c r="K102" i="22"/>
  <c r="L102" i="22" s="1"/>
  <c r="K101" i="22"/>
  <c r="L101" i="22" s="1"/>
  <c r="K100" i="22"/>
  <c r="L100" i="22" s="1"/>
  <c r="K99" i="22"/>
  <c r="L99" i="22" s="1"/>
  <c r="K98" i="22"/>
  <c r="L98" i="22" s="1"/>
  <c r="K97" i="22"/>
  <c r="L97" i="22" s="1"/>
  <c r="K96" i="22"/>
  <c r="L96" i="22" s="1"/>
  <c r="K95" i="22"/>
  <c r="L95" i="22" s="1"/>
  <c r="K94" i="22"/>
  <c r="L94" i="22" s="1"/>
  <c r="K93" i="22"/>
  <c r="L93" i="22" s="1"/>
  <c r="K92" i="22"/>
  <c r="L92" i="22" s="1"/>
  <c r="K91" i="22"/>
  <c r="L91" i="22" s="1"/>
  <c r="K90" i="22"/>
  <c r="L90" i="22" s="1"/>
  <c r="K87" i="22"/>
  <c r="L87" i="22" s="1"/>
  <c r="K86" i="22"/>
  <c r="L86" i="22" s="1"/>
  <c r="K85" i="22"/>
  <c r="L85" i="22" s="1"/>
  <c r="K84" i="22"/>
  <c r="L84" i="22" s="1"/>
  <c r="K83" i="22"/>
  <c r="L83" i="22" s="1"/>
  <c r="K82" i="22"/>
  <c r="L82" i="22" s="1"/>
  <c r="K81" i="22"/>
  <c r="L81" i="22" s="1"/>
  <c r="K80" i="22"/>
  <c r="L80" i="22" s="1"/>
  <c r="I80" i="22"/>
  <c r="K79" i="22"/>
  <c r="L79" i="22" s="1"/>
  <c r="I79" i="22"/>
  <c r="K78" i="22"/>
  <c r="L78" i="22" s="1"/>
  <c r="I78" i="22"/>
  <c r="K77" i="22"/>
  <c r="L77" i="22" s="1"/>
  <c r="I77" i="22"/>
  <c r="K76" i="22"/>
  <c r="L76" i="22" s="1"/>
  <c r="I76" i="22"/>
  <c r="K75" i="22"/>
  <c r="L75" i="22" s="1"/>
  <c r="I75" i="22"/>
  <c r="K74" i="22"/>
  <c r="L74" i="22" s="1"/>
  <c r="I74" i="22"/>
  <c r="K73" i="22"/>
  <c r="L73" i="22" s="1"/>
  <c r="I73" i="22"/>
  <c r="K72" i="22"/>
  <c r="L72" i="22" s="1"/>
  <c r="I72" i="22"/>
  <c r="J71" i="22"/>
  <c r="K71" i="22" s="1"/>
  <c r="L71" i="22" s="1"/>
  <c r="I71" i="22"/>
  <c r="J70" i="22"/>
  <c r="K70" i="22" s="1"/>
  <c r="L70" i="22" s="1"/>
  <c r="I70" i="22"/>
  <c r="J69" i="22"/>
  <c r="K69" i="22" s="1"/>
  <c r="L69" i="22" s="1"/>
  <c r="I69" i="22"/>
  <c r="J68" i="22"/>
  <c r="K68" i="22" s="1"/>
  <c r="L68" i="22" s="1"/>
  <c r="I68" i="22"/>
  <c r="J67" i="22"/>
  <c r="K67" i="22" s="1"/>
  <c r="L67" i="22" s="1"/>
  <c r="I67" i="22"/>
  <c r="J66" i="22"/>
  <c r="K66" i="22" s="1"/>
  <c r="L66" i="22" s="1"/>
  <c r="I66" i="22"/>
  <c r="J65" i="22"/>
  <c r="K65" i="22" s="1"/>
  <c r="L65" i="22" s="1"/>
  <c r="I65" i="22"/>
  <c r="J64" i="22"/>
  <c r="K64" i="22" s="1"/>
  <c r="L64" i="22" s="1"/>
  <c r="I64" i="22"/>
  <c r="J63" i="22"/>
  <c r="K63" i="22" s="1"/>
  <c r="L63" i="22" s="1"/>
  <c r="I63" i="22"/>
  <c r="J62" i="22"/>
  <c r="K62" i="22" s="1"/>
  <c r="L62" i="22" s="1"/>
  <c r="I62" i="22"/>
  <c r="J61" i="22"/>
  <c r="K61" i="22" s="1"/>
  <c r="L61" i="22" s="1"/>
  <c r="I61" i="22"/>
  <c r="J60" i="22"/>
  <c r="K60" i="22" s="1"/>
  <c r="L60" i="22" s="1"/>
  <c r="I60" i="22"/>
  <c r="J59" i="22"/>
  <c r="K59" i="22" s="1"/>
  <c r="L59" i="22" s="1"/>
  <c r="I59" i="22"/>
  <c r="J58" i="22"/>
  <c r="K58" i="22" s="1"/>
  <c r="L58" i="22" s="1"/>
  <c r="I58" i="22"/>
  <c r="J57" i="22"/>
  <c r="K57" i="22" s="1"/>
  <c r="L57" i="22" s="1"/>
  <c r="I57" i="22"/>
  <c r="J56" i="22"/>
  <c r="K56" i="22" s="1"/>
  <c r="L56" i="22" s="1"/>
  <c r="I56" i="22"/>
  <c r="J55" i="22"/>
  <c r="K55" i="22" s="1"/>
  <c r="L55" i="22" s="1"/>
  <c r="I55" i="22"/>
  <c r="J54" i="22"/>
  <c r="K54" i="22" s="1"/>
  <c r="L54" i="22" s="1"/>
  <c r="I54" i="22"/>
  <c r="J53" i="22"/>
  <c r="I53" i="22"/>
  <c r="K52" i="22"/>
  <c r="L52" i="22" s="1"/>
  <c r="J51" i="22"/>
  <c r="K51" i="22" s="1"/>
  <c r="L51" i="22" s="1"/>
  <c r="K50" i="22"/>
  <c r="L50" i="22" s="1"/>
  <c r="K49" i="22"/>
  <c r="L49" i="22" s="1"/>
  <c r="K48" i="22"/>
  <c r="L48" i="22" s="1"/>
  <c r="K47" i="22"/>
  <c r="K46" i="22"/>
  <c r="L46" i="22" s="1"/>
  <c r="K45" i="22"/>
  <c r="L45" i="22" s="1"/>
  <c r="K44" i="22"/>
  <c r="L44" i="22" s="1"/>
  <c r="K43" i="22"/>
  <c r="L43" i="22" s="1"/>
  <c r="K42" i="22"/>
  <c r="L42" i="22" s="1"/>
  <c r="K41" i="22"/>
  <c r="L41" i="22" s="1"/>
  <c r="K40" i="22"/>
  <c r="L40" i="22" s="1"/>
  <c r="K39" i="22"/>
  <c r="L39" i="22" s="1"/>
  <c r="K38" i="22"/>
  <c r="L38" i="22" s="1"/>
  <c r="K37" i="22"/>
  <c r="L37" i="22" s="1"/>
  <c r="K36" i="22"/>
  <c r="L36" i="22" s="1"/>
  <c r="K35" i="22"/>
  <c r="L35" i="22" s="1"/>
  <c r="K34" i="22"/>
  <c r="L34" i="22" s="1"/>
  <c r="K33" i="22"/>
  <c r="L33" i="22" s="1"/>
  <c r="K32" i="22"/>
  <c r="L32" i="22" s="1"/>
  <c r="K31" i="22"/>
  <c r="L31" i="22" s="1"/>
  <c r="K30" i="22"/>
  <c r="L30" i="22" s="1"/>
  <c r="K29" i="22"/>
  <c r="L29" i="22" s="1"/>
  <c r="K28" i="22"/>
  <c r="L28" i="22" s="1"/>
  <c r="K27" i="22"/>
  <c r="L27" i="22" s="1"/>
  <c r="K26" i="22"/>
  <c r="L26" i="22" s="1"/>
  <c r="J25" i="22"/>
  <c r="K25" i="22" s="1"/>
  <c r="L25" i="22" s="1"/>
  <c r="I25" i="22"/>
  <c r="K24" i="22"/>
  <c r="L24" i="22" s="1"/>
  <c r="K23" i="22"/>
  <c r="L23" i="22" s="1"/>
  <c r="K22" i="22"/>
  <c r="L22" i="22" s="1"/>
  <c r="K21" i="22"/>
  <c r="L21" i="22" s="1"/>
  <c r="K20" i="22"/>
  <c r="L20" i="22" s="1"/>
  <c r="K19" i="22"/>
  <c r="L19" i="22" s="1"/>
  <c r="K18" i="22"/>
  <c r="L18" i="22" s="1"/>
  <c r="K17" i="22"/>
  <c r="L17" i="22" s="1"/>
  <c r="K16" i="22"/>
  <c r="L16" i="22" s="1"/>
  <c r="K15" i="22"/>
  <c r="L15" i="22" s="1"/>
  <c r="K14" i="22"/>
  <c r="L14" i="22" s="1"/>
  <c r="K13" i="22"/>
  <c r="L13" i="22" s="1"/>
  <c r="K12" i="22"/>
  <c r="L12" i="22" s="1"/>
  <c r="K11" i="22"/>
  <c r="L11" i="22" s="1"/>
  <c r="K10" i="22"/>
  <c r="L10" i="22" s="1"/>
  <c r="K9" i="22"/>
  <c r="L9" i="22" s="1"/>
  <c r="K8" i="22"/>
  <c r="L8" i="22" s="1"/>
  <c r="K7" i="22"/>
  <c r="L7" i="22" s="1"/>
  <c r="K6" i="22"/>
  <c r="L6" i="22" s="1"/>
  <c r="K5" i="22"/>
  <c r="K4" i="22"/>
  <c r="L4" i="22" s="1"/>
  <c r="K3" i="22"/>
  <c r="L3" i="22" s="1"/>
  <c r="K2" i="22"/>
  <c r="L2" i="22" s="1"/>
  <c r="K716" i="22" l="1"/>
  <c r="L716" i="22" s="1"/>
  <c r="K2133" i="22"/>
  <c r="L2133" i="22" s="1"/>
  <c r="K2087" i="22"/>
  <c r="L2087" i="22" s="1"/>
  <c r="K2175" i="22"/>
  <c r="L2175" i="22" s="1"/>
  <c r="K2214" i="22"/>
  <c r="L2214" i="22" s="1"/>
  <c r="K2237" i="22"/>
  <c r="L2237" i="22" s="1"/>
  <c r="K2034" i="22"/>
  <c r="L2034" i="22" s="1"/>
  <c r="I2092" i="22"/>
  <c r="I2266" i="22"/>
  <c r="K2079" i="22"/>
  <c r="L2079" i="22" s="1"/>
  <c r="K2201" i="22"/>
  <c r="L2201" i="22" s="1"/>
  <c r="K999" i="22"/>
  <c r="L999" i="22" s="1"/>
  <c r="K2018" i="22"/>
  <c r="L2018" i="22" s="1"/>
  <c r="K2105" i="22"/>
  <c r="L2105" i="22" s="1"/>
  <c r="I451" i="22"/>
  <c r="I572" i="22"/>
  <c r="K2139" i="22"/>
  <c r="L2139" i="22" s="1"/>
  <c r="K2020" i="22"/>
  <c r="L2020" i="22" s="1"/>
  <c r="I2090" i="22"/>
  <c r="I588" i="22"/>
  <c r="I768" i="22"/>
  <c r="K2111" i="22"/>
  <c r="L2111" i="22" s="1"/>
  <c r="I2204" i="22"/>
  <c r="I2050" i="22"/>
  <c r="I2228" i="22"/>
  <c r="I2007" i="22"/>
  <c r="I2016" i="22"/>
  <c r="K2046" i="22"/>
  <c r="L2046" i="22" s="1"/>
  <c r="K2067" i="22"/>
  <c r="L2067" i="22" s="1"/>
  <c r="K2160" i="22"/>
  <c r="L2160" i="22" s="1"/>
  <c r="K2276" i="22"/>
  <c r="L2276" i="22" s="1"/>
  <c r="I2108" i="22"/>
  <c r="I2009" i="22"/>
  <c r="I2049" i="22"/>
  <c r="K2162" i="22"/>
  <c r="L2162" i="22" s="1"/>
  <c r="I2248" i="22"/>
  <c r="I2110" i="22"/>
  <c r="I2260" i="22"/>
  <c r="I2104" i="22"/>
  <c r="I2218" i="22"/>
  <c r="I2200" i="22"/>
  <c r="I2015" i="22"/>
  <c r="I2192" i="22"/>
  <c r="K585" i="22"/>
  <c r="L585" i="22" s="1"/>
  <c r="I2063" i="22"/>
  <c r="I2072" i="22"/>
  <c r="I2125" i="22"/>
  <c r="I2231" i="22"/>
  <c r="I2250" i="22"/>
  <c r="I1986" i="22"/>
  <c r="K2011" i="22"/>
  <c r="L2011" i="22" s="1"/>
  <c r="K2027" i="22"/>
  <c r="L2027" i="22" s="1"/>
  <c r="I2073" i="22"/>
  <c r="K2136" i="22"/>
  <c r="L2136" i="22" s="1"/>
  <c r="I2242" i="22"/>
  <c r="K2117" i="22"/>
  <c r="L2117" i="22" s="1"/>
  <c r="K2270" i="22"/>
  <c r="L2270" i="22" s="1"/>
  <c r="I405" i="22"/>
  <c r="I520" i="22"/>
  <c r="I722" i="22"/>
  <c r="I1005" i="22"/>
  <c r="K2029" i="22"/>
  <c r="L2029" i="22" s="1"/>
  <c r="I2058" i="22"/>
  <c r="I2159" i="22"/>
  <c r="K2225" i="22"/>
  <c r="L2225" i="22" s="1"/>
  <c r="I2254" i="22"/>
  <c r="I2024" i="22"/>
  <c r="I2209" i="22"/>
  <c r="I429" i="22"/>
  <c r="I2265" i="22"/>
  <c r="I2025" i="22"/>
  <c r="I2043" i="22"/>
  <c r="I2070" i="22"/>
  <c r="I2078" i="22"/>
  <c r="I2096" i="22"/>
  <c r="I2153" i="22"/>
  <c r="I2171" i="22"/>
  <c r="I2219" i="22"/>
  <c r="I2275" i="22"/>
  <c r="I2114" i="22"/>
  <c r="I2144" i="22"/>
  <c r="I2194" i="22"/>
  <c r="I2212" i="22"/>
  <c r="I563" i="22"/>
  <c r="I840" i="22"/>
  <c r="I978" i="22"/>
  <c r="I1009" i="22"/>
  <c r="I2042" i="22"/>
  <c r="I2055" i="22"/>
  <c r="I2076" i="22"/>
  <c r="I2081" i="22"/>
  <c r="I2113" i="22"/>
  <c r="I2135" i="22"/>
  <c r="I2149" i="22"/>
  <c r="I2156" i="22"/>
  <c r="I2177" i="22"/>
  <c r="I2210" i="22"/>
  <c r="I2247" i="22"/>
  <c r="I2272" i="22"/>
  <c r="K2035" i="22"/>
  <c r="L2035" i="22" s="1"/>
  <c r="K2142" i="22"/>
  <c r="L2142" i="22" s="1"/>
  <c r="K2188" i="22"/>
  <c r="L2188" i="22" s="1"/>
  <c r="K2232" i="22"/>
  <c r="L2232" i="22" s="1"/>
  <c r="K2240" i="22"/>
  <c r="L2240" i="22" s="1"/>
  <c r="K2255" i="22"/>
  <c r="L2255" i="22" s="1"/>
  <c r="L2435" i="22"/>
  <c r="I2036" i="22"/>
  <c r="I2122" i="22"/>
  <c r="I2164" i="22"/>
  <c r="K2178" i="22"/>
  <c r="L2178" i="22" s="1"/>
  <c r="K2226" i="22"/>
  <c r="L2226" i="22" s="1"/>
  <c r="I2274" i="22"/>
  <c r="K2077" i="22"/>
  <c r="L2077" i="22" s="1"/>
  <c r="K2205" i="22"/>
  <c r="L2205" i="22" s="1"/>
  <c r="K2211" i="22"/>
  <c r="L2211" i="22" s="1"/>
  <c r="K1003" i="22"/>
  <c r="L1003" i="22" s="1"/>
  <c r="K2130" i="22"/>
  <c r="L2130" i="22" s="1"/>
  <c r="K683" i="22"/>
  <c r="L683" i="22" s="1"/>
  <c r="I1987" i="22"/>
  <c r="K2044" i="22"/>
  <c r="L2044" i="22" s="1"/>
  <c r="I2051" i="22"/>
  <c r="I2066" i="22"/>
  <c r="K2115" i="22"/>
  <c r="L2115" i="22" s="1"/>
  <c r="I2123" i="22"/>
  <c r="I2138" i="22"/>
  <c r="K2152" i="22"/>
  <c r="L2152" i="22" s="1"/>
  <c r="I2174" i="22"/>
  <c r="I2207" i="22"/>
  <c r="K2220" i="22"/>
  <c r="L2220" i="22" s="1"/>
  <c r="I2236" i="22"/>
  <c r="I559" i="22"/>
  <c r="I549" i="22"/>
  <c r="I605" i="22"/>
  <c r="I685" i="22"/>
  <c r="K777" i="22"/>
  <c r="L777" i="22" s="1"/>
  <c r="K836" i="22"/>
  <c r="L836" i="22" s="1"/>
  <c r="I2033" i="22"/>
  <c r="K2038" i="22"/>
  <c r="L2038" i="22" s="1"/>
  <c r="K2085" i="22"/>
  <c r="L2085" i="22" s="1"/>
  <c r="K2097" i="22"/>
  <c r="L2097" i="22" s="1"/>
  <c r="K2145" i="22"/>
  <c r="L2145" i="22" s="1"/>
  <c r="I2168" i="22"/>
  <c r="I2230" i="22"/>
  <c r="I433" i="22"/>
  <c r="I539" i="22"/>
  <c r="I647" i="22"/>
  <c r="I998" i="22"/>
  <c r="I2093" i="22"/>
  <c r="K2094" i="22"/>
  <c r="L2094" i="22" s="1"/>
  <c r="I2062" i="22"/>
  <c r="I2099" i="22"/>
  <c r="K2106" i="22"/>
  <c r="L2106" i="22" s="1"/>
  <c r="K2112" i="22"/>
  <c r="L2112" i="22" s="1"/>
  <c r="K2169" i="22"/>
  <c r="L2169" i="22" s="1"/>
  <c r="I2203" i="22"/>
  <c r="K2246" i="22"/>
  <c r="L2246" i="22" s="1"/>
  <c r="K650" i="22"/>
  <c r="L650" i="22" s="1"/>
  <c r="K2010" i="22"/>
  <c r="L2010" i="22" s="1"/>
  <c r="K2019" i="22"/>
  <c r="L2019" i="22" s="1"/>
  <c r="K2028" i="22"/>
  <c r="L2028" i="22" s="1"/>
  <c r="K2037" i="22"/>
  <c r="L2037" i="22" s="1"/>
  <c r="K2054" i="22"/>
  <c r="L2054" i="22" s="1"/>
  <c r="K2082" i="22"/>
  <c r="L2082" i="22" s="1"/>
  <c r="K2131" i="22"/>
  <c r="L2131" i="22" s="1"/>
  <c r="K2140" i="22"/>
  <c r="L2140" i="22" s="1"/>
  <c r="K2157" i="22"/>
  <c r="L2157" i="22" s="1"/>
  <c r="K2183" i="22"/>
  <c r="L2183" i="22" s="1"/>
  <c r="K2208" i="22"/>
  <c r="L2208" i="22" s="1"/>
  <c r="K2216" i="22"/>
  <c r="L2216" i="22" s="1"/>
  <c r="K2234" i="22"/>
  <c r="L2234" i="22" s="1"/>
  <c r="K2239" i="22"/>
  <c r="L2239" i="22" s="1"/>
  <c r="K2245" i="22"/>
  <c r="L2245" i="22" s="1"/>
  <c r="K407" i="22"/>
  <c r="L407" i="22" s="1"/>
  <c r="I580" i="22"/>
  <c r="I845" i="22"/>
  <c r="I2075" i="22"/>
  <c r="I2083" i="22"/>
  <c r="I2091" i="22"/>
  <c r="I2095" i="22"/>
  <c r="K2109" i="22"/>
  <c r="L2109" i="22" s="1"/>
  <c r="K2118" i="22"/>
  <c r="L2118" i="22" s="1"/>
  <c r="K2127" i="22"/>
  <c r="L2127" i="22" s="1"/>
  <c r="I2132" i="22"/>
  <c r="I2141" i="22"/>
  <c r="I2158" i="22"/>
  <c r="K2166" i="22"/>
  <c r="L2166" i="22" s="1"/>
  <c r="I2179" i="22"/>
  <c r="K2187" i="22"/>
  <c r="L2187" i="22" s="1"/>
  <c r="K2196" i="22"/>
  <c r="L2196" i="22" s="1"/>
  <c r="I2213" i="22"/>
  <c r="I2221" i="22"/>
  <c r="I2251" i="22"/>
  <c r="I2256" i="22"/>
  <c r="K2261" i="22"/>
  <c r="L2261" i="22" s="1"/>
  <c r="I2278" i="22"/>
  <c r="K508" i="22"/>
  <c r="L508" i="22" s="1"/>
  <c r="I531" i="22"/>
  <c r="K618" i="22"/>
  <c r="L618" i="22" s="1"/>
  <c r="K680" i="22"/>
  <c r="L680" i="22" s="1"/>
  <c r="I771" i="22"/>
  <c r="I992" i="22"/>
  <c r="I1984" i="22"/>
  <c r="I2012" i="22"/>
  <c r="I2021" i="22"/>
  <c r="I2030" i="22"/>
  <c r="I2039" i="22"/>
  <c r="I2047" i="22"/>
  <c r="I2059" i="22"/>
  <c r="I2071" i="22"/>
  <c r="I2080" i="22"/>
  <c r="I2084" i="22"/>
  <c r="I2088" i="22"/>
  <c r="K2100" i="22"/>
  <c r="L2100" i="22" s="1"/>
  <c r="I2120" i="22"/>
  <c r="I2129" i="22"/>
  <c r="I2146" i="22"/>
  <c r="I2150" i="22"/>
  <c r="I2167" i="22"/>
  <c r="I2176" i="22"/>
  <c r="I2180" i="22"/>
  <c r="K2184" i="22"/>
  <c r="L2184" i="22" s="1"/>
  <c r="I2197" i="22"/>
  <c r="K2217" i="22"/>
  <c r="L2217" i="22" s="1"/>
  <c r="I2222" i="22"/>
  <c r="I2257" i="22"/>
  <c r="I2263" i="22"/>
  <c r="K2267" i="22"/>
  <c r="L2267" i="22" s="1"/>
  <c r="K2273" i="22"/>
  <c r="L2273" i="22" s="1"/>
  <c r="I510" i="22"/>
  <c r="I583" i="22"/>
  <c r="K782" i="22"/>
  <c r="L782" i="22" s="1"/>
  <c r="K827" i="22"/>
  <c r="L827" i="22" s="1"/>
  <c r="I2048" i="22"/>
  <c r="I2052" i="22"/>
  <c r="I2056" i="22"/>
  <c r="I2060" i="22"/>
  <c r="I2064" i="22"/>
  <c r="I2102" i="22"/>
  <c r="K2124" i="22"/>
  <c r="L2124" i="22" s="1"/>
  <c r="I2147" i="22"/>
  <c r="K2154" i="22"/>
  <c r="L2154" i="22" s="1"/>
  <c r="K2163" i="22"/>
  <c r="L2163" i="22" s="1"/>
  <c r="I2185" i="22"/>
  <c r="I2189" i="22"/>
  <c r="K2193" i="22"/>
  <c r="L2193" i="22" s="1"/>
  <c r="I2198" i="22"/>
  <c r="I2206" i="22"/>
  <c r="K2252" i="22"/>
  <c r="L2252" i="22" s="1"/>
  <c r="I2269" i="22"/>
  <c r="L2437" i="22"/>
  <c r="I454" i="22"/>
  <c r="I544" i="22"/>
  <c r="I657" i="22"/>
  <c r="I994" i="22"/>
  <c r="I1985" i="22"/>
  <c r="K2008" i="22"/>
  <c r="L2008" i="22" s="1"/>
  <c r="I2013" i="22"/>
  <c r="K2017" i="22"/>
  <c r="L2017" i="22" s="1"/>
  <c r="I2022" i="22"/>
  <c r="K2026" i="22"/>
  <c r="L2026" i="22" s="1"/>
  <c r="I2031" i="22"/>
  <c r="I2040" i="22"/>
  <c r="K2068" i="22"/>
  <c r="L2068" i="22" s="1"/>
  <c r="I2089" i="22"/>
  <c r="I2107" i="22"/>
  <c r="I2143" i="22"/>
  <c r="K2172" i="22"/>
  <c r="L2172" i="22" s="1"/>
  <c r="K2202" i="22"/>
  <c r="L2202" i="22" s="1"/>
  <c r="K2258" i="22"/>
  <c r="L2258" i="22" s="1"/>
  <c r="K2264" i="22"/>
  <c r="L2264" i="22" s="1"/>
  <c r="L2434" i="22"/>
  <c r="I577" i="22"/>
  <c r="I624" i="22"/>
  <c r="I696" i="22"/>
  <c r="I2045" i="22"/>
  <c r="I2053" i="22"/>
  <c r="I2057" i="22"/>
  <c r="I2061" i="22"/>
  <c r="I2065" i="22"/>
  <c r="I2069" i="22"/>
  <c r="K2121" i="22"/>
  <c r="L2121" i="22" s="1"/>
  <c r="I2126" i="22"/>
  <c r="K2151" i="22"/>
  <c r="L2151" i="22" s="1"/>
  <c r="I2165" i="22"/>
  <c r="K2181" i="22"/>
  <c r="L2181" i="22" s="1"/>
  <c r="I2186" i="22"/>
  <c r="I2195" i="22"/>
  <c r="I2215" i="22"/>
  <c r="K2223" i="22"/>
  <c r="L2223" i="22" s="1"/>
  <c r="I2233" i="22"/>
  <c r="I2238" i="22"/>
  <c r="K2243" i="22"/>
  <c r="L2243" i="22" s="1"/>
  <c r="I426" i="22"/>
  <c r="I469" i="22"/>
  <c r="K798" i="22"/>
  <c r="L798" i="22" s="1"/>
  <c r="K821" i="22"/>
  <c r="L821" i="22" s="1"/>
  <c r="K2014" i="22"/>
  <c r="L2014" i="22" s="1"/>
  <c r="K2023" i="22"/>
  <c r="L2023" i="22" s="1"/>
  <c r="K2032" i="22"/>
  <c r="L2032" i="22" s="1"/>
  <c r="K2041" i="22"/>
  <c r="L2041" i="22" s="1"/>
  <c r="I2086" i="22"/>
  <c r="K2103" i="22"/>
  <c r="L2103" i="22" s="1"/>
  <c r="K2148" i="22"/>
  <c r="L2148" i="22" s="1"/>
  <c r="I2161" i="22"/>
  <c r="K2190" i="22"/>
  <c r="L2190" i="22" s="1"/>
  <c r="K2199" i="22"/>
  <c r="L2199" i="22" s="1"/>
  <c r="I2224" i="22"/>
  <c r="K2229" i="22"/>
  <c r="L2229" i="22" s="1"/>
  <c r="K2249" i="22"/>
  <c r="L2249" i="22" s="1"/>
  <c r="L1832" i="22"/>
  <c r="K1721" i="22"/>
  <c r="L1721" i="22" s="1"/>
  <c r="I2128" i="22"/>
  <c r="K1685" i="22"/>
  <c r="K2074" i="22"/>
  <c r="L2074" i="22" s="1"/>
  <c r="I2074" i="22"/>
  <c r="K2137" i="22"/>
  <c r="L2137" i="22" s="1"/>
  <c r="I2137" i="22"/>
  <c r="K2170" i="22"/>
  <c r="L2170" i="22" s="1"/>
  <c r="L1712" i="22"/>
  <c r="K2098" i="22"/>
  <c r="L2098" i="22" s="1"/>
  <c r="K2191" i="22"/>
  <c r="L2191" i="22" s="1"/>
  <c r="I2191" i="22"/>
  <c r="L2423" i="22"/>
  <c r="I1982" i="22"/>
  <c r="K2116" i="22"/>
  <c r="L2116" i="22" s="1"/>
  <c r="I2241" i="22"/>
  <c r="I2277" i="22"/>
  <c r="L2281" i="22"/>
  <c r="L1689" i="22"/>
  <c r="L1982" i="22"/>
  <c r="K2155" i="22"/>
  <c r="L2155" i="22" s="1"/>
  <c r="I2155" i="22"/>
  <c r="K2227" i="22"/>
  <c r="L2227" i="22" s="1"/>
  <c r="I2227" i="22"/>
  <c r="I1983" i="22"/>
  <c r="K2134" i="22"/>
  <c r="L2134" i="22" s="1"/>
  <c r="I2268" i="22"/>
  <c r="L1851" i="22"/>
  <c r="K2101" i="22"/>
  <c r="L2101" i="22" s="1"/>
  <c r="I2101" i="22"/>
  <c r="K2173" i="22"/>
  <c r="L2173" i="22" s="1"/>
  <c r="I2173" i="22"/>
  <c r="K2119" i="22"/>
  <c r="L2119" i="22" s="1"/>
  <c r="I2119" i="22"/>
  <c r="I2259" i="22"/>
  <c r="I2182" i="22"/>
  <c r="K2283" i="22"/>
  <c r="L2283" i="22" s="1"/>
  <c r="I2244" i="22"/>
  <c r="I2253" i="22"/>
  <c r="I2262" i="22"/>
  <c r="I2271" i="22"/>
  <c r="K2235" i="22"/>
  <c r="K698" i="22"/>
  <c r="L698" i="22" s="1"/>
  <c r="K746" i="22"/>
  <c r="L746" i="22" s="1"/>
  <c r="K795" i="22"/>
  <c r="L795" i="22" s="1"/>
  <c r="K816" i="22"/>
  <c r="L816" i="22" s="1"/>
  <c r="K527" i="22"/>
  <c r="L527" i="22" s="1"/>
  <c r="K674" i="22"/>
  <c r="L674" i="22" s="1"/>
  <c r="K491" i="22"/>
  <c r="L491" i="22" s="1"/>
  <c r="K558" i="22"/>
  <c r="L558" i="22" s="1"/>
  <c r="I632" i="22"/>
  <c r="I682" i="22"/>
  <c r="I755" i="22"/>
  <c r="I1010" i="22"/>
  <c r="K707" i="22"/>
  <c r="L707" i="22" s="1"/>
  <c r="K754" i="22"/>
  <c r="L754" i="22" s="1"/>
  <c r="I493" i="22"/>
  <c r="K511" i="22"/>
  <c r="L511" i="22" s="1"/>
  <c r="I569" i="22"/>
  <c r="K653" i="22"/>
  <c r="L653" i="22" s="1"/>
  <c r="I677" i="22"/>
  <c r="K692" i="22"/>
  <c r="L692" i="22" s="1"/>
  <c r="K719" i="22"/>
  <c r="L719" i="22" s="1"/>
  <c r="I749" i="22"/>
  <c r="K767" i="22"/>
  <c r="L767" i="22" s="1"/>
  <c r="K985" i="22"/>
  <c r="L985" i="22" s="1"/>
  <c r="K463" i="22"/>
  <c r="L463" i="22" s="1"/>
  <c r="I523" i="22"/>
  <c r="K543" i="22"/>
  <c r="L543" i="22" s="1"/>
  <c r="K711" i="22"/>
  <c r="L711" i="22" s="1"/>
  <c r="I830" i="22"/>
  <c r="I996" i="22"/>
  <c r="L1188" i="22"/>
  <c r="K455" i="22"/>
  <c r="L455" i="22" s="1"/>
  <c r="I465" i="22"/>
  <c r="I507" i="22"/>
  <c r="K579" i="22"/>
  <c r="L579" i="22" s="1"/>
  <c r="K611" i="22"/>
  <c r="L611" i="22" s="1"/>
  <c r="K671" i="22"/>
  <c r="L671" i="22" s="1"/>
  <c r="K679" i="22"/>
  <c r="L679" i="22" s="1"/>
  <c r="K695" i="22"/>
  <c r="L695" i="22" s="1"/>
  <c r="K555" i="22"/>
  <c r="L555" i="22" s="1"/>
  <c r="K704" i="22"/>
  <c r="L704" i="22" s="1"/>
  <c r="K733" i="22"/>
  <c r="L733" i="22" s="1"/>
  <c r="K813" i="22"/>
  <c r="L813" i="22" s="1"/>
  <c r="K831" i="22"/>
  <c r="L831" i="22" s="1"/>
  <c r="I408" i="22"/>
  <c r="K427" i="22"/>
  <c r="L427" i="22" s="1"/>
  <c r="I457" i="22"/>
  <c r="I498" i="22"/>
  <c r="I526" i="22"/>
  <c r="I564" i="22"/>
  <c r="I638" i="22"/>
  <c r="I673" i="22"/>
  <c r="K686" i="22"/>
  <c r="L686" i="22" s="1"/>
  <c r="I734" i="22"/>
  <c r="K744" i="22"/>
  <c r="L744" i="22" s="1"/>
  <c r="I753" i="22"/>
  <c r="K823" i="22"/>
  <c r="L823" i="22" s="1"/>
  <c r="K862" i="22"/>
  <c r="L862" i="22" s="1"/>
  <c r="I490" i="22"/>
  <c r="I557" i="22"/>
  <c r="I725" i="22"/>
  <c r="I842" i="22"/>
  <c r="I411" i="22"/>
  <c r="I439" i="22"/>
  <c r="I456" i="22"/>
  <c r="I472" i="22"/>
  <c r="I528" i="22"/>
  <c r="I552" i="22"/>
  <c r="I622" i="22"/>
  <c r="I701" i="22"/>
  <c r="I747" i="22"/>
  <c r="I857" i="22"/>
  <c r="I993" i="22"/>
  <c r="I1008" i="22"/>
  <c r="K631" i="22"/>
  <c r="L631" i="22" s="1"/>
  <c r="K764" i="22"/>
  <c r="L764" i="22" s="1"/>
  <c r="K841" i="22"/>
  <c r="L841" i="22" s="1"/>
  <c r="K849" i="22"/>
  <c r="L849" i="22" s="1"/>
  <c r="K867" i="22"/>
  <c r="L867" i="22" s="1"/>
  <c r="K742" i="22"/>
  <c r="L742" i="22" s="1"/>
  <c r="K987" i="22"/>
  <c r="L987" i="22" s="1"/>
  <c r="I413" i="22"/>
  <c r="K421" i="22"/>
  <c r="L421" i="22" s="1"/>
  <c r="K473" i="22"/>
  <c r="L473" i="22" s="1"/>
  <c r="I546" i="22"/>
  <c r="I625" i="22"/>
  <c r="K772" i="22"/>
  <c r="L772" i="22" s="1"/>
  <c r="K850" i="22"/>
  <c r="L850" i="22" s="1"/>
  <c r="K859" i="22"/>
  <c r="L859" i="22" s="1"/>
  <c r="I398" i="22"/>
  <c r="I435" i="22"/>
  <c r="I474" i="22"/>
  <c r="I499" i="22"/>
  <c r="I562" i="22"/>
  <c r="I606" i="22"/>
  <c r="I728" i="22"/>
  <c r="I773" i="22"/>
  <c r="I803" i="22"/>
  <c r="I812" i="22"/>
  <c r="I843" i="22"/>
  <c r="I989" i="22"/>
  <c r="I414" i="22"/>
  <c r="I422" i="22"/>
  <c r="I460" i="22"/>
  <c r="I525" i="22"/>
  <c r="I541" i="22"/>
  <c r="I640" i="22"/>
  <c r="I658" i="22"/>
  <c r="I736" i="22"/>
  <c r="I982" i="22"/>
  <c r="I534" i="22"/>
  <c r="I619" i="22"/>
  <c r="I627" i="22"/>
  <c r="I634" i="22"/>
  <c r="I872" i="22"/>
  <c r="K436" i="22"/>
  <c r="L436" i="22" s="1"/>
  <c r="K475" i="22"/>
  <c r="L475" i="22" s="1"/>
  <c r="K751" i="22"/>
  <c r="L751" i="22" s="1"/>
  <c r="K487" i="22"/>
  <c r="L487" i="22" s="1"/>
  <c r="K641" i="22"/>
  <c r="L641" i="22" s="1"/>
  <c r="K693" i="22"/>
  <c r="L693" i="22" s="1"/>
  <c r="K805" i="22"/>
  <c r="L805" i="22" s="1"/>
  <c r="I822" i="22"/>
  <c r="K854" i="22"/>
  <c r="L854" i="22" s="1"/>
  <c r="K409" i="22"/>
  <c r="L409" i="22" s="1"/>
  <c r="I417" i="22"/>
  <c r="I438" i="22"/>
  <c r="I471" i="22"/>
  <c r="I573" i="22"/>
  <c r="I610" i="22"/>
  <c r="I621" i="22"/>
  <c r="I635" i="22"/>
  <c r="K699" i="22"/>
  <c r="L699" i="22" s="1"/>
  <c r="I806" i="22"/>
  <c r="I424" i="22"/>
  <c r="I448" i="22"/>
  <c r="I489" i="22"/>
  <c r="I536" i="22"/>
  <c r="I630" i="22"/>
  <c r="L5" i="22"/>
  <c r="K400" i="22"/>
  <c r="L400" i="22" s="1"/>
  <c r="I423" i="22"/>
  <c r="I444" i="22"/>
  <c r="I466" i="22"/>
  <c r="I478" i="22"/>
  <c r="I483" i="22"/>
  <c r="I517" i="22"/>
  <c r="K556" i="22"/>
  <c r="L556" i="22" s="1"/>
  <c r="K561" i="22"/>
  <c r="L561" i="22" s="1"/>
  <c r="I567" i="22"/>
  <c r="I571" i="22"/>
  <c r="K576" i="22"/>
  <c r="L576" i="22" s="1"/>
  <c r="I581" i="22"/>
  <c r="I591" i="22"/>
  <c r="I597" i="22"/>
  <c r="K602" i="22"/>
  <c r="L602" i="22" s="1"/>
  <c r="I607" i="22"/>
  <c r="K614" i="22"/>
  <c r="L614" i="22" s="1"/>
  <c r="I628" i="22"/>
  <c r="I643" i="22"/>
  <c r="I660" i="22"/>
  <c r="I676" i="22"/>
  <c r="I720" i="22"/>
  <c r="I731" i="22"/>
  <c r="K778" i="22"/>
  <c r="L778" i="22" s="1"/>
  <c r="I785" i="22"/>
  <c r="K790" i="22"/>
  <c r="L790" i="22" s="1"/>
  <c r="K808" i="22"/>
  <c r="L808" i="22" s="1"/>
  <c r="I834" i="22"/>
  <c r="I852" i="22"/>
  <c r="I863" i="22"/>
  <c r="K876" i="22"/>
  <c r="L876" i="22" s="1"/>
  <c r="I402" i="22"/>
  <c r="I419" i="22"/>
  <c r="I462" i="22"/>
  <c r="I484" i="22"/>
  <c r="I496" i="22"/>
  <c r="I501" i="22"/>
  <c r="I537" i="22"/>
  <c r="I547" i="22"/>
  <c r="I582" i="22"/>
  <c r="I586" i="22"/>
  <c r="I598" i="22"/>
  <c r="I603" i="22"/>
  <c r="I608" i="22"/>
  <c r="I702" i="22"/>
  <c r="I726" i="22"/>
  <c r="I762" i="22"/>
  <c r="I780" i="22"/>
  <c r="I791" i="22"/>
  <c r="I804" i="22"/>
  <c r="I809" i="22"/>
  <c r="I858" i="22"/>
  <c r="K877" i="22"/>
  <c r="L877" i="22" s="1"/>
  <c r="I984" i="22"/>
  <c r="I1000" i="22"/>
  <c r="L47" i="22"/>
  <c r="I420" i="22"/>
  <c r="I445" i="22"/>
  <c r="I480" i="22"/>
  <c r="I502" i="22"/>
  <c r="I514" i="22"/>
  <c r="I519" i="22"/>
  <c r="I554" i="22"/>
  <c r="I568" i="22"/>
  <c r="I578" i="22"/>
  <c r="I592" i="22"/>
  <c r="I599" i="22"/>
  <c r="I629" i="22"/>
  <c r="I651" i="22"/>
  <c r="I662" i="22"/>
  <c r="I732" i="22"/>
  <c r="I786" i="22"/>
  <c r="K979" i="22"/>
  <c r="L979" i="22" s="1"/>
  <c r="I990" i="22"/>
  <c r="I1001" i="22"/>
  <c r="I1006" i="22"/>
  <c r="I689" i="22"/>
  <c r="I708" i="22"/>
  <c r="I713" i="22"/>
  <c r="I717" i="22"/>
  <c r="I737" i="22"/>
  <c r="I750" i="22"/>
  <c r="I848" i="22"/>
  <c r="I866" i="22"/>
  <c r="I980" i="22"/>
  <c r="I453" i="22"/>
  <c r="I492" i="22"/>
  <c r="K509" i="22"/>
  <c r="L509" i="22" s="1"/>
  <c r="I593" i="22"/>
  <c r="I723" i="22"/>
  <c r="K769" i="22"/>
  <c r="L769" i="22" s="1"/>
  <c r="I776" i="22"/>
  <c r="K787" i="22"/>
  <c r="L787" i="22" s="1"/>
  <c r="I794" i="22"/>
  <c r="K800" i="22"/>
  <c r="L800" i="22" s="1"/>
  <c r="K818" i="22"/>
  <c r="L818" i="22" s="1"/>
  <c r="I855" i="22"/>
  <c r="I861" i="22"/>
  <c r="K874" i="22"/>
  <c r="L874" i="22" s="1"/>
  <c r="I981" i="22"/>
  <c r="I986" i="22"/>
  <c r="K991" i="22"/>
  <c r="L991" i="22" s="1"/>
  <c r="I997" i="22"/>
  <c r="I1002" i="22"/>
  <c r="J1023" i="22"/>
  <c r="I399" i="22"/>
  <c r="K404" i="22"/>
  <c r="L404" i="22" s="1"/>
  <c r="I430" i="22"/>
  <c r="I442" i="22"/>
  <c r="I447" i="22"/>
  <c r="I481" i="22"/>
  <c r="I516" i="22"/>
  <c r="I540" i="22"/>
  <c r="I545" i="22"/>
  <c r="I550" i="22"/>
  <c r="I560" i="22"/>
  <c r="I565" i="22"/>
  <c r="I584" i="22"/>
  <c r="I601" i="22"/>
  <c r="I620" i="22"/>
  <c r="I626" i="22"/>
  <c r="I758" i="22"/>
  <c r="I770" i="22"/>
  <c r="I819" i="22"/>
  <c r="I825" i="22"/>
  <c r="I1023" i="22"/>
  <c r="I505" i="22"/>
  <c r="I570" i="22"/>
  <c r="I590" i="22"/>
  <c r="I594" i="22"/>
  <c r="I637" i="22"/>
  <c r="I648" i="22"/>
  <c r="I659" i="22"/>
  <c r="I670" i="22"/>
  <c r="I690" i="22"/>
  <c r="I705" i="22"/>
  <c r="I710" i="22"/>
  <c r="I714" i="22"/>
  <c r="I729" i="22"/>
  <c r="I783" i="22"/>
  <c r="I789" i="22"/>
  <c r="I807" i="22"/>
  <c r="I839" i="22"/>
  <c r="I875" i="22"/>
  <c r="K437" i="22"/>
  <c r="L437" i="22" s="1"/>
  <c r="K741" i="22"/>
  <c r="L741" i="22" s="1"/>
  <c r="K759" i="22"/>
  <c r="L759" i="22" s="1"/>
  <c r="K814" i="22"/>
  <c r="L814" i="22" s="1"/>
  <c r="K826" i="22"/>
  <c r="L826" i="22" s="1"/>
  <c r="K844" i="22"/>
  <c r="L844" i="22" s="1"/>
  <c r="I988" i="22"/>
  <c r="I1004" i="22"/>
  <c r="L222" i="22"/>
  <c r="I401" i="22"/>
  <c r="I441" i="22"/>
  <c r="I459" i="22"/>
  <c r="I477" i="22"/>
  <c r="I495" i="22"/>
  <c r="I513" i="22"/>
  <c r="I533" i="22"/>
  <c r="I548" i="22"/>
  <c r="K418" i="22"/>
  <c r="L418" i="22" s="1"/>
  <c r="K434" i="22"/>
  <c r="L434" i="22" s="1"/>
  <c r="K452" i="22"/>
  <c r="L452" i="22" s="1"/>
  <c r="K470" i="22"/>
  <c r="L470" i="22" s="1"/>
  <c r="K488" i="22"/>
  <c r="L488" i="22" s="1"/>
  <c r="K506" i="22"/>
  <c r="L506" i="22" s="1"/>
  <c r="K524" i="22"/>
  <c r="L524" i="22" s="1"/>
  <c r="K553" i="22"/>
  <c r="L553" i="22" s="1"/>
  <c r="I553" i="22"/>
  <c r="K574" i="22"/>
  <c r="L574" i="22" s="1"/>
  <c r="K587" i="22"/>
  <c r="L587" i="22" s="1"/>
  <c r="K633" i="22"/>
  <c r="L633" i="22" s="1"/>
  <c r="I633" i="22"/>
  <c r="K661" i="22"/>
  <c r="L661" i="22" s="1"/>
  <c r="I661" i="22"/>
  <c r="K223" i="22"/>
  <c r="L223" i="22" s="1"/>
  <c r="K415" i="22"/>
  <c r="L415" i="22" s="1"/>
  <c r="K431" i="22"/>
  <c r="L431" i="22" s="1"/>
  <c r="K449" i="22"/>
  <c r="L449" i="22" s="1"/>
  <c r="K467" i="22"/>
  <c r="L467" i="22" s="1"/>
  <c r="K485" i="22"/>
  <c r="L485" i="22" s="1"/>
  <c r="K503" i="22"/>
  <c r="L503" i="22" s="1"/>
  <c r="K521" i="22"/>
  <c r="L521" i="22" s="1"/>
  <c r="K575" i="22"/>
  <c r="L575" i="22" s="1"/>
  <c r="I575" i="22"/>
  <c r="K712" i="22"/>
  <c r="L712" i="22" s="1"/>
  <c r="I712" i="22"/>
  <c r="K53" i="22"/>
  <c r="K609" i="22"/>
  <c r="L609" i="22" s="1"/>
  <c r="K703" i="22"/>
  <c r="L703" i="22" s="1"/>
  <c r="I703" i="22"/>
  <c r="K412" i="22"/>
  <c r="L412" i="22" s="1"/>
  <c r="I416" i="22"/>
  <c r="K428" i="22"/>
  <c r="L428" i="22" s="1"/>
  <c r="I432" i="22"/>
  <c r="K446" i="22"/>
  <c r="L446" i="22" s="1"/>
  <c r="I450" i="22"/>
  <c r="K464" i="22"/>
  <c r="L464" i="22" s="1"/>
  <c r="I468" i="22"/>
  <c r="K482" i="22"/>
  <c r="L482" i="22" s="1"/>
  <c r="I486" i="22"/>
  <c r="K500" i="22"/>
  <c r="L500" i="22" s="1"/>
  <c r="I504" i="22"/>
  <c r="K518" i="22"/>
  <c r="L518" i="22" s="1"/>
  <c r="I522" i="22"/>
  <c r="K538" i="22"/>
  <c r="L538" i="22" s="1"/>
  <c r="I542" i="22"/>
  <c r="K600" i="22"/>
  <c r="L600" i="22" s="1"/>
  <c r="I600" i="22"/>
  <c r="K652" i="22"/>
  <c r="L652" i="22" s="1"/>
  <c r="I652" i="22"/>
  <c r="K694" i="22"/>
  <c r="L694" i="22" s="1"/>
  <c r="I694" i="22"/>
  <c r="K406" i="22"/>
  <c r="L406" i="22" s="1"/>
  <c r="K425" i="22"/>
  <c r="L425" i="22" s="1"/>
  <c r="K443" i="22"/>
  <c r="L443" i="22" s="1"/>
  <c r="K461" i="22"/>
  <c r="L461" i="22" s="1"/>
  <c r="K479" i="22"/>
  <c r="L479" i="22" s="1"/>
  <c r="K497" i="22"/>
  <c r="L497" i="22" s="1"/>
  <c r="K515" i="22"/>
  <c r="L515" i="22" s="1"/>
  <c r="K535" i="22"/>
  <c r="L535" i="22" s="1"/>
  <c r="K403" i="22"/>
  <c r="L403" i="22" s="1"/>
  <c r="I410" i="22"/>
  <c r="K551" i="22"/>
  <c r="L551" i="22" s="1"/>
  <c r="K684" i="22"/>
  <c r="L684" i="22" s="1"/>
  <c r="I684" i="22"/>
  <c r="K255" i="22"/>
  <c r="K440" i="22"/>
  <c r="L440" i="22" s="1"/>
  <c r="K458" i="22"/>
  <c r="L458" i="22" s="1"/>
  <c r="K476" i="22"/>
  <c r="L476" i="22" s="1"/>
  <c r="K494" i="22"/>
  <c r="L494" i="22" s="1"/>
  <c r="K512" i="22"/>
  <c r="L512" i="22" s="1"/>
  <c r="K532" i="22"/>
  <c r="L532" i="22" s="1"/>
  <c r="K397" i="22"/>
  <c r="L397" i="22" s="1"/>
  <c r="K642" i="22"/>
  <c r="L642" i="22" s="1"/>
  <c r="I642" i="22"/>
  <c r="K675" i="22"/>
  <c r="L675" i="22" s="1"/>
  <c r="I675" i="22"/>
  <c r="K743" i="22"/>
  <c r="L743" i="22" s="1"/>
  <c r="I743" i="22"/>
  <c r="K779" i="22"/>
  <c r="L779" i="22" s="1"/>
  <c r="I779" i="22"/>
  <c r="K864" i="22"/>
  <c r="L864" i="22" s="1"/>
  <c r="I864" i="22"/>
  <c r="I615" i="22"/>
  <c r="K828" i="22"/>
  <c r="L828" i="22" s="1"/>
  <c r="I828" i="22"/>
  <c r="K718" i="22"/>
  <c r="L718" i="22" s="1"/>
  <c r="I718" i="22"/>
  <c r="K792" i="22"/>
  <c r="L792" i="22" s="1"/>
  <c r="I792" i="22"/>
  <c r="K639" i="22"/>
  <c r="L639" i="22" s="1"/>
  <c r="I639" i="22"/>
  <c r="K649" i="22"/>
  <c r="L649" i="22" s="1"/>
  <c r="I649" i="22"/>
  <c r="K672" i="22"/>
  <c r="L672" i="22" s="1"/>
  <c r="I672" i="22"/>
  <c r="K681" i="22"/>
  <c r="L681" i="22" s="1"/>
  <c r="I681" i="22"/>
  <c r="K691" i="22"/>
  <c r="L691" i="22" s="1"/>
  <c r="I691" i="22"/>
  <c r="K700" i="22"/>
  <c r="L700" i="22" s="1"/>
  <c r="I700" i="22"/>
  <c r="K709" i="22"/>
  <c r="L709" i="22" s="1"/>
  <c r="I709" i="22"/>
  <c r="I739" i="22"/>
  <c r="K739" i="22"/>
  <c r="L739" i="22" s="1"/>
  <c r="K756" i="22"/>
  <c r="L756" i="22" s="1"/>
  <c r="I756" i="22"/>
  <c r="I566" i="22"/>
  <c r="I589" i="22"/>
  <c r="I604" i="22"/>
  <c r="I644" i="22"/>
  <c r="I655" i="22"/>
  <c r="I740" i="22"/>
  <c r="I838" i="22"/>
  <c r="K838" i="22"/>
  <c r="L838" i="22" s="1"/>
  <c r="K752" i="22"/>
  <c r="L752" i="22" s="1"/>
  <c r="I752" i="22"/>
  <c r="I802" i="22"/>
  <c r="K802" i="22"/>
  <c r="L802" i="22" s="1"/>
  <c r="K636" i="22"/>
  <c r="L636" i="22" s="1"/>
  <c r="I636" i="22"/>
  <c r="K645" i="22"/>
  <c r="L645" i="22" s="1"/>
  <c r="I645" i="22"/>
  <c r="K656" i="22"/>
  <c r="L656" i="22" s="1"/>
  <c r="I656" i="22"/>
  <c r="K669" i="22"/>
  <c r="L669" i="22" s="1"/>
  <c r="I669" i="22"/>
  <c r="K678" i="22"/>
  <c r="L678" i="22" s="1"/>
  <c r="I678" i="22"/>
  <c r="K687" i="22"/>
  <c r="L687" i="22" s="1"/>
  <c r="I687" i="22"/>
  <c r="K697" i="22"/>
  <c r="L697" i="22" s="1"/>
  <c r="I697" i="22"/>
  <c r="K706" i="22"/>
  <c r="L706" i="22" s="1"/>
  <c r="I706" i="22"/>
  <c r="K715" i="22"/>
  <c r="L715" i="22" s="1"/>
  <c r="I715" i="22"/>
  <c r="I766" i="22"/>
  <c r="K766" i="22"/>
  <c r="L766" i="22" s="1"/>
  <c r="K851" i="22"/>
  <c r="L851" i="22" s="1"/>
  <c r="I851" i="22"/>
  <c r="K721" i="22"/>
  <c r="L721" i="22" s="1"/>
  <c r="I721" i="22"/>
  <c r="K815" i="22"/>
  <c r="L815" i="22" s="1"/>
  <c r="I815" i="22"/>
  <c r="I871" i="22"/>
  <c r="K871" i="22"/>
  <c r="L871" i="22" s="1"/>
  <c r="K763" i="22"/>
  <c r="L763" i="22" s="1"/>
  <c r="K799" i="22"/>
  <c r="L799" i="22" s="1"/>
  <c r="K835" i="22"/>
  <c r="L835" i="22" s="1"/>
  <c r="K1035" i="22"/>
  <c r="K760" i="22"/>
  <c r="L760" i="22" s="1"/>
  <c r="K796" i="22"/>
  <c r="L796" i="22" s="1"/>
  <c r="K832" i="22"/>
  <c r="L832" i="22" s="1"/>
  <c r="K868" i="22"/>
  <c r="L868" i="22" s="1"/>
  <c r="K757" i="22"/>
  <c r="L757" i="22" s="1"/>
  <c r="K793" i="22"/>
  <c r="L793" i="22" s="1"/>
  <c r="K829" i="22"/>
  <c r="L829" i="22" s="1"/>
  <c r="K865" i="22"/>
  <c r="L865" i="22" s="1"/>
  <c r="I724" i="22"/>
  <c r="I727" i="22"/>
  <c r="I730" i="22"/>
  <c r="I735" i="22"/>
  <c r="I738" i="22"/>
  <c r="I761" i="22"/>
  <c r="I774" i="22"/>
  <c r="I797" i="22"/>
  <c r="I810" i="22"/>
  <c r="I833" i="22"/>
  <c r="I846" i="22"/>
  <c r="I869" i="22"/>
  <c r="K1014" i="22"/>
  <c r="K748" i="22"/>
  <c r="L748" i="22" s="1"/>
  <c r="K784" i="22"/>
  <c r="L784" i="22" s="1"/>
  <c r="K820" i="22"/>
  <c r="L820" i="22" s="1"/>
  <c r="K856" i="22"/>
  <c r="L856" i="22" s="1"/>
  <c r="K745" i="22"/>
  <c r="L745" i="22" s="1"/>
  <c r="I765" i="22"/>
  <c r="K781" i="22"/>
  <c r="L781" i="22" s="1"/>
  <c r="I788" i="22"/>
  <c r="I801" i="22"/>
  <c r="K817" i="22"/>
  <c r="L817" i="22" s="1"/>
  <c r="I824" i="22"/>
  <c r="I837" i="22"/>
  <c r="K853" i="22"/>
  <c r="L853" i="22" s="1"/>
  <c r="I860" i="22"/>
  <c r="K873" i="22"/>
  <c r="L873" i="22" s="1"/>
  <c r="K775" i="22"/>
  <c r="L775" i="22" s="1"/>
  <c r="K811" i="22"/>
  <c r="L811" i="22" s="1"/>
  <c r="K847" i="22"/>
  <c r="L847" i="22" s="1"/>
  <c r="K870" i="22"/>
  <c r="L870" i="22" s="1"/>
  <c r="I983" i="22"/>
  <c r="I995" i="22"/>
  <c r="I1007" i="22"/>
  <c r="L1685" i="22" l="1"/>
  <c r="L2235" i="22"/>
  <c r="L53" i="22"/>
  <c r="L255" i="22"/>
  <c r="L1035" i="22"/>
  <c r="L1014" i="22"/>
  <c r="L1023" i="22" s="1"/>
  <c r="K1023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EGH0059</author>
    <author>Atta Acheampong</author>
  </authors>
  <commentList>
    <comment ref="B1693" authorId="0" shapeId="0" xr:uid="{88BA305F-8367-437D-B98E-8F5D4D4596A5}">
      <text>
        <r>
          <rPr>
            <b/>
            <sz val="8"/>
            <color indexed="81"/>
            <rFont val="Tahoma"/>
            <family val="2"/>
          </rPr>
          <t>EGH0059:</t>
        </r>
        <r>
          <rPr>
            <sz val="8"/>
            <color indexed="81"/>
            <rFont val="Tahoma"/>
            <family val="2"/>
          </rPr>
          <t xml:space="preserve">
together with phones?
</t>
        </r>
      </text>
    </comment>
    <comment ref="A1721" authorId="1" shapeId="0" xr:uid="{5962F28A-E15F-411F-ABA0-10CF749ABAEC}">
      <text>
        <r>
          <rPr>
            <b/>
            <sz val="9"/>
            <color indexed="81"/>
            <rFont val="Tahoma"/>
            <family val="2"/>
          </rPr>
          <t>Atta Acheampong:</t>
        </r>
        <r>
          <rPr>
            <sz val="9"/>
            <color indexed="81"/>
            <rFont val="Tahoma"/>
            <family val="2"/>
          </rPr>
          <t xml:space="preserve">
Professional charges of GHC 3,290 (VAT INCLUSIVE) was apportioned to the various items based on the weight of amounts (1900000669)
NB: Two CISCO units with code MX 300 were added</t>
        </r>
      </text>
    </comment>
    <comment ref="A1722" authorId="1" shapeId="0" xr:uid="{3EC96255-CBEB-48BC-927E-2B52EBCA7C94}">
      <text>
        <r>
          <rPr>
            <b/>
            <sz val="9"/>
            <color indexed="81"/>
            <rFont val="Tahoma"/>
            <family val="2"/>
          </rPr>
          <t>Atta Acheampong:</t>
        </r>
        <r>
          <rPr>
            <sz val="9"/>
            <color indexed="81"/>
            <rFont val="Tahoma"/>
            <family val="2"/>
          </rPr>
          <t xml:space="preserve">
Professional charges of GHC 3,290 (VAT INCLUSIVE) was apportioned to the various items based on the weight of amounts (1900000669)
</t>
        </r>
      </text>
    </comment>
    <comment ref="A1723" authorId="1" shapeId="0" xr:uid="{5FCA6885-D957-4FBE-99AB-DEE6E4E6925A}">
      <text>
        <r>
          <rPr>
            <b/>
            <sz val="9"/>
            <color indexed="81"/>
            <rFont val="Tahoma"/>
            <family val="2"/>
          </rPr>
          <t>Atta Acheampong:</t>
        </r>
        <r>
          <rPr>
            <sz val="9"/>
            <color indexed="81"/>
            <rFont val="Tahoma"/>
            <family val="2"/>
          </rPr>
          <t xml:space="preserve">
Professional charges of GHC 3,290 (VAT INCLUSIVE) was apportioned to the various items based on the weight of amounts (1900000669)
</t>
        </r>
      </text>
    </comment>
  </commentList>
</comments>
</file>

<file path=xl/sharedStrings.xml><?xml version="1.0" encoding="utf-8"?>
<sst xmlns="http://schemas.openxmlformats.org/spreadsheetml/2006/main" count="48854" uniqueCount="6454">
  <si>
    <t>Asset Description</t>
  </si>
  <si>
    <t>Serial Number</t>
  </si>
  <si>
    <t>Year</t>
  </si>
  <si>
    <t>Status</t>
  </si>
  <si>
    <t>LENOVO ThinkPad T450</t>
  </si>
  <si>
    <t>PC073KR0</t>
  </si>
  <si>
    <t>2014</t>
  </si>
  <si>
    <t>LENOVO ThinkPad E480</t>
  </si>
  <si>
    <t>PF16D0J6</t>
  </si>
  <si>
    <t>LENOVO ThinkPad  T430</t>
  </si>
  <si>
    <t>PBL6N0B</t>
  </si>
  <si>
    <t>PBL6N0A</t>
  </si>
  <si>
    <t>PBL6N0T</t>
  </si>
  <si>
    <t>PBL6N0M</t>
  </si>
  <si>
    <t>ThinkPad T440, Intel 15-4300U(1.90 GHz, 3 MB)</t>
  </si>
  <si>
    <t>PF01YS28</t>
  </si>
  <si>
    <t>2015</t>
  </si>
  <si>
    <t>PF01YS15</t>
  </si>
  <si>
    <t>PF01YS1A</t>
  </si>
  <si>
    <t>Lenovo Thinkpad X 230</t>
  </si>
  <si>
    <t>PK1BTAC</t>
  </si>
  <si>
    <t>PK1BTAF</t>
  </si>
  <si>
    <t>Lenovo Thinkpad X240</t>
  </si>
  <si>
    <t>PB02EP6J</t>
  </si>
  <si>
    <t>PB022W76</t>
  </si>
  <si>
    <t>LENOVO THINKPAD T450</t>
  </si>
  <si>
    <t>PC04SN23</t>
  </si>
  <si>
    <t>2016</t>
  </si>
  <si>
    <t>PC04SN1X</t>
  </si>
  <si>
    <t>PC04SN22</t>
  </si>
  <si>
    <t>PC04SN1W</t>
  </si>
  <si>
    <t>PC0802GB</t>
  </si>
  <si>
    <t>PC04SN1V</t>
  </si>
  <si>
    <t>To be scrapped (Rachael Forkuah)</t>
  </si>
  <si>
    <t>PC073KR1</t>
  </si>
  <si>
    <t>PC05D4GY</t>
  </si>
  <si>
    <t>PC073KQN</t>
  </si>
  <si>
    <t>LENOVO THINKPAD x250</t>
  </si>
  <si>
    <t>PC04SL2K</t>
  </si>
  <si>
    <t>PC073KSC</t>
  </si>
  <si>
    <t>PC03SL2E</t>
  </si>
  <si>
    <t>PC073KSF</t>
  </si>
  <si>
    <t>To be scrapped (Sanzule)</t>
  </si>
  <si>
    <t>PC06SNX9</t>
  </si>
  <si>
    <t>LENOVO THINKPAD X260</t>
  </si>
  <si>
    <t>PC06SNXA</t>
  </si>
  <si>
    <t>2017</t>
  </si>
  <si>
    <t>PC04SL2D</t>
  </si>
  <si>
    <t>PC04SL2C</t>
  </si>
  <si>
    <t>PC06SNX7</t>
  </si>
  <si>
    <t>PC04SL2N</t>
  </si>
  <si>
    <t>PC04SL2F</t>
  </si>
  <si>
    <t>LENOVO THINKPAD L460</t>
  </si>
  <si>
    <t>PC045L2V</t>
  </si>
  <si>
    <t>PC06SNXB</t>
  </si>
  <si>
    <t>LENOVO THINKPAD L480</t>
  </si>
  <si>
    <t>PF16CW84</t>
  </si>
  <si>
    <t>To be scrapped</t>
  </si>
  <si>
    <t>PF16D0JP</t>
  </si>
  <si>
    <t>PC0JD5GU</t>
  </si>
  <si>
    <t>PC0E2LX4</t>
  </si>
  <si>
    <t>PC06SNXE</t>
  </si>
  <si>
    <t>LENOVO THINKPAD X270</t>
  </si>
  <si>
    <t>PC0SPPTC</t>
  </si>
  <si>
    <t>To be scrapped (Agigail)</t>
  </si>
  <si>
    <t>PC0SPMQC</t>
  </si>
  <si>
    <t>PC0SPMR8</t>
  </si>
  <si>
    <t>Gifty Coffie</t>
  </si>
  <si>
    <t>PC0SPMQS</t>
  </si>
  <si>
    <t>PC1VLBL0</t>
  </si>
  <si>
    <t>PC0KQ1DG</t>
  </si>
  <si>
    <t>PC0JD4GU</t>
  </si>
  <si>
    <t>PF16CYEK</t>
  </si>
  <si>
    <t>To be scrapped(Enoch Annor)</t>
  </si>
  <si>
    <t>PF16CW9U</t>
  </si>
  <si>
    <t>Patricia Acheampong</t>
  </si>
  <si>
    <t>PF1KZ4CQ</t>
  </si>
  <si>
    <t>Paula Selomey</t>
  </si>
  <si>
    <t>PF16CYET</t>
  </si>
  <si>
    <t>Raymond Seassey</t>
  </si>
  <si>
    <t>PF16CW8J</t>
  </si>
  <si>
    <t>PF16CYE8</t>
  </si>
  <si>
    <t>PF16DB7B</t>
  </si>
  <si>
    <t>PF0NNTA0</t>
  </si>
  <si>
    <t>PF0RVFEX</t>
  </si>
  <si>
    <t>PF0NNX2U</t>
  </si>
  <si>
    <t>To be scrapped (Dorcas Taki)</t>
  </si>
  <si>
    <t>PF0RVMRU</t>
  </si>
  <si>
    <t>Edward Yarney</t>
  </si>
  <si>
    <t>PF0RVFE5</t>
  </si>
  <si>
    <t>PF0RVFDV</t>
  </si>
  <si>
    <t>LENOVO THINKPAD L490</t>
  </si>
  <si>
    <t>PF1W6DTQ</t>
  </si>
  <si>
    <t>PF0RVKPA</t>
  </si>
  <si>
    <t>PF0RVPUH</t>
  </si>
  <si>
    <t>2018</t>
  </si>
  <si>
    <t>PF0LJ1HY</t>
  </si>
  <si>
    <t>PF0LQX58</t>
  </si>
  <si>
    <t>PC0GLKJA</t>
  </si>
  <si>
    <t>PF013SZ9</t>
  </si>
  <si>
    <t>PF0LJ05W</t>
  </si>
  <si>
    <t>PF0NNT74</t>
  </si>
  <si>
    <t>PF0NNR5Z</t>
  </si>
  <si>
    <t xml:space="preserve">Afriyie Loretta </t>
  </si>
  <si>
    <t>PF0RVHFB</t>
  </si>
  <si>
    <t>To be scrapped(Anita Boateng)</t>
  </si>
  <si>
    <t>PF0RVMQ7</t>
  </si>
  <si>
    <t>Ebenezer Biney</t>
  </si>
  <si>
    <t>PF0NNR6G</t>
  </si>
  <si>
    <t>To be scrapped (Ekow Hammah)</t>
  </si>
  <si>
    <t>PF0RVFDM</t>
  </si>
  <si>
    <t>PF0RVKNC</t>
  </si>
  <si>
    <t>PF0NNVAN</t>
  </si>
  <si>
    <t>To be scrapped (Mubarak Mahama)</t>
  </si>
  <si>
    <t>PF0NNVAA</t>
  </si>
  <si>
    <t>To be scrapped (Herman Sintim)</t>
  </si>
  <si>
    <t>PF0RVKN0</t>
  </si>
  <si>
    <t>PF0LJ07E</t>
  </si>
  <si>
    <t>PF0RVMQV</t>
  </si>
  <si>
    <t>PF0LJ03Y</t>
  </si>
  <si>
    <t>To be scrapped( Bernice Instiaba)</t>
  </si>
  <si>
    <t>PF0RVMSN</t>
  </si>
  <si>
    <t>To be returned (Solomon Karikari)</t>
  </si>
  <si>
    <t>PF0RVPUW</t>
  </si>
  <si>
    <t>PF0RVPV6</t>
  </si>
  <si>
    <t>PF0RVKPM</t>
  </si>
  <si>
    <t>PF0L35ZE</t>
  </si>
  <si>
    <t>PF0NNT7L</t>
  </si>
  <si>
    <t>PF0L506Z</t>
  </si>
  <si>
    <t>PF0LJ03N</t>
  </si>
  <si>
    <t>PC0SPPTG</t>
  </si>
  <si>
    <t>To be scrapped (Rita Afriyie)</t>
  </si>
  <si>
    <t>PC0SPMR6</t>
  </si>
  <si>
    <t>PC0SPPT2</t>
  </si>
  <si>
    <t>PC0SPMR9</t>
  </si>
  <si>
    <t>PC0SPMQL</t>
  </si>
  <si>
    <t>To be scrapped (Caroline Degboe)</t>
  </si>
  <si>
    <t>PC0SPMR3</t>
  </si>
  <si>
    <t>To be scrapped (Dorcas Wumbee)</t>
  </si>
  <si>
    <t>PC0SPMQW</t>
  </si>
  <si>
    <t>PC0SPPTE</t>
  </si>
  <si>
    <t>To be scrapped( Michelle Lartey)</t>
  </si>
  <si>
    <t>PC0SPMQN</t>
  </si>
  <si>
    <t>To be scrapped (Kuffour Poku)</t>
  </si>
  <si>
    <t>PC0SPMQV</t>
  </si>
  <si>
    <t>To be scrapped (Tetteh Thelma)</t>
  </si>
  <si>
    <t>PC0SPMQF</t>
  </si>
  <si>
    <t>PC0SPMR2</t>
  </si>
  <si>
    <t>PC0SPPT3</t>
  </si>
  <si>
    <t>PC0SPPTB</t>
  </si>
  <si>
    <t>PC0SPMQE</t>
  </si>
  <si>
    <t>To be scrapped(Mercy Yeboah)</t>
  </si>
  <si>
    <t>PC0KQ1DK</t>
  </si>
  <si>
    <t>PCOKQ1DL</t>
  </si>
  <si>
    <t>PC0JD4GY</t>
  </si>
  <si>
    <t>PC0KQ1D7</t>
  </si>
  <si>
    <t>PC0KQ1DD</t>
  </si>
  <si>
    <t>PC0KQ1DP</t>
  </si>
  <si>
    <t>PC0E2LX5</t>
  </si>
  <si>
    <t>PC0KQ1D4</t>
  </si>
  <si>
    <t>PC0KQ1D3</t>
  </si>
  <si>
    <t>PC0KQ1DB</t>
  </si>
  <si>
    <t>PC0JD4GV</t>
  </si>
  <si>
    <t>PC0KQ1DC0</t>
  </si>
  <si>
    <t>PC0E2LWZ</t>
  </si>
  <si>
    <t>PC0SOMQB</t>
  </si>
  <si>
    <t>PC0SOPMQD</t>
  </si>
  <si>
    <t>PC0SPMQA</t>
  </si>
  <si>
    <t>PCOSPMRF</t>
  </si>
  <si>
    <t>PC0SPMQU</t>
  </si>
  <si>
    <t>PC0SPMRF</t>
  </si>
  <si>
    <t>PCOSPMQU</t>
  </si>
  <si>
    <t>PC054L2V</t>
  </si>
  <si>
    <t>PF0NNTB0</t>
  </si>
  <si>
    <t>PF0LQE5Q</t>
  </si>
  <si>
    <t>PF0RVHFM</t>
  </si>
  <si>
    <t>PF0L35ZC</t>
  </si>
  <si>
    <t>PF0LQX5Q</t>
  </si>
  <si>
    <t>To be scrapped (Kezia Deguenon)</t>
  </si>
  <si>
    <t>PF0LQX64</t>
  </si>
  <si>
    <t>PF0LJ04B</t>
  </si>
  <si>
    <t>PF0RVMU0</t>
  </si>
  <si>
    <t>PC0802GC</t>
  </si>
  <si>
    <t>LENOVO THINKPAD L470</t>
  </si>
  <si>
    <t>PF1300WZ</t>
  </si>
  <si>
    <t>PF13057N</t>
  </si>
  <si>
    <t>Kelvin Larnyoh</t>
  </si>
  <si>
    <t>PF130348</t>
  </si>
  <si>
    <t>Kennedy Amankwah</t>
  </si>
  <si>
    <t>PF13033G</t>
  </si>
  <si>
    <t>Nadia Kuffour</t>
  </si>
  <si>
    <t>PF1300WN</t>
  </si>
  <si>
    <t>To be scrapped(Gilbert Amenuvor)</t>
  </si>
  <si>
    <t>PF13059M</t>
  </si>
  <si>
    <t>PF13034P</t>
  </si>
  <si>
    <t>PF130582</t>
  </si>
  <si>
    <t>PF1RZ4CQ</t>
  </si>
  <si>
    <t>2019</t>
  </si>
  <si>
    <t>PF1RZ4BD</t>
  </si>
  <si>
    <t>PP1KYYKG</t>
  </si>
  <si>
    <t>PF1KZ48V</t>
  </si>
  <si>
    <t>PF1KYWCN</t>
  </si>
  <si>
    <t>PF1KYYKZ</t>
  </si>
  <si>
    <t>PF1KYYJP</t>
  </si>
  <si>
    <t>PF1KYWBU</t>
  </si>
  <si>
    <t>PF1KYW9Q</t>
  </si>
  <si>
    <t>PF1KYU7R</t>
  </si>
  <si>
    <t>PF1KZ4AN</t>
  </si>
  <si>
    <t>PF1KYWBM</t>
  </si>
  <si>
    <t>PF1KYU75</t>
  </si>
  <si>
    <t>PF1KYYK2</t>
  </si>
  <si>
    <t>To be scrapped (Nana Ama Duodo)</t>
  </si>
  <si>
    <t>PF1KYWCC</t>
  </si>
  <si>
    <t>PF1KYYGT</t>
  </si>
  <si>
    <t>PF1KYYLD</t>
  </si>
  <si>
    <t>PF1KYYGK</t>
  </si>
  <si>
    <t>PF1KYYDB</t>
  </si>
  <si>
    <t>PF1KYWAY</t>
  </si>
  <si>
    <t>To be scrapped(Rosemary Huno)</t>
  </si>
  <si>
    <t>PF1KZ4AA</t>
  </si>
  <si>
    <t>PF1KYWAF</t>
  </si>
  <si>
    <t>PF1KYW9E</t>
  </si>
  <si>
    <t>PF1KZ49B</t>
  </si>
  <si>
    <t>PF1KZ4CC</t>
  </si>
  <si>
    <t>PF1KYYJ7</t>
  </si>
  <si>
    <t>PF1KYHK</t>
  </si>
  <si>
    <t>PF1KZ49U</t>
  </si>
  <si>
    <t>PF1KYWDG</t>
  </si>
  <si>
    <t>PF1KZ4BP</t>
  </si>
  <si>
    <t>LENOVO THINKPAD X280</t>
  </si>
  <si>
    <t>PC115RAT</t>
  </si>
  <si>
    <t>PC115RAF</t>
  </si>
  <si>
    <t>PC115RAW</t>
  </si>
  <si>
    <t>PC115RA8</t>
  </si>
  <si>
    <t>PC115RAX</t>
  </si>
  <si>
    <t>PC115RB8</t>
  </si>
  <si>
    <t>PC115RAH</t>
  </si>
  <si>
    <t>Daniel Adom Quansah</t>
  </si>
  <si>
    <t>PC115RB5</t>
  </si>
  <si>
    <t>PC115RBA</t>
  </si>
  <si>
    <t>PC115RAQ</t>
  </si>
  <si>
    <t>PC115RB2</t>
  </si>
  <si>
    <t>PC115RBB</t>
  </si>
  <si>
    <t>PC115RA7</t>
  </si>
  <si>
    <t>PC115RAC</t>
  </si>
  <si>
    <t>PC115RAM</t>
  </si>
  <si>
    <t>PC115RA9</t>
  </si>
  <si>
    <t>PC115RAG</t>
  </si>
  <si>
    <t>PC115RAZ</t>
  </si>
  <si>
    <t>PC115RAJ</t>
  </si>
  <si>
    <t>PC115RB1</t>
  </si>
  <si>
    <t>PC115RB6</t>
  </si>
  <si>
    <t>PC115RAA</t>
  </si>
  <si>
    <t>PC115RAE</t>
  </si>
  <si>
    <t>PC115RAN</t>
  </si>
  <si>
    <t>PC115RAB</t>
  </si>
  <si>
    <t>PC115RAK</t>
  </si>
  <si>
    <t>PC115RAY</t>
  </si>
  <si>
    <t>PC115RAR</t>
  </si>
  <si>
    <t>Stephen Konadu</t>
  </si>
  <si>
    <t>PC115RBO</t>
  </si>
  <si>
    <t>PC115RB9</t>
  </si>
  <si>
    <t>Anthony Frimpong-Manso</t>
  </si>
  <si>
    <t>PC115RAL</t>
  </si>
  <si>
    <t>Sharon Dowuona-Hammond</t>
  </si>
  <si>
    <t>PC115RAV</t>
  </si>
  <si>
    <t>PC115RB7</t>
  </si>
  <si>
    <t>PC115RAP</t>
  </si>
  <si>
    <t>PC115RB4</t>
  </si>
  <si>
    <t>PC115RBC</t>
  </si>
  <si>
    <t>PC115RA5</t>
  </si>
  <si>
    <t>PC115RB3</t>
  </si>
  <si>
    <t>PC115RBD</t>
  </si>
  <si>
    <t>PC115RAD</t>
  </si>
  <si>
    <t>LENOVO L14 LAPTOP</t>
  </si>
  <si>
    <t>PW04S930</t>
  </si>
  <si>
    <t>2023</t>
  </si>
  <si>
    <t>BUKARI AMAMAT</t>
  </si>
  <si>
    <t>PW04S939</t>
  </si>
  <si>
    <t>PW04S92W</t>
  </si>
  <si>
    <t>DIYA RAMADAN B. NASER</t>
  </si>
  <si>
    <t>PW04S92K</t>
  </si>
  <si>
    <t>MOHAMMED ADAMS</t>
  </si>
  <si>
    <t>PW04S92Z</t>
  </si>
  <si>
    <t>ANNAN RICKSON</t>
  </si>
  <si>
    <t>PW04S92V</t>
  </si>
  <si>
    <t>Aleksei Zhelev</t>
  </si>
  <si>
    <t>PW04S932</t>
  </si>
  <si>
    <t>LAWRENCE ANNAN KERMAH</t>
  </si>
  <si>
    <t>PW04S933</t>
  </si>
  <si>
    <t>ATTA ACHEAMPONG</t>
  </si>
  <si>
    <t>PW04S92T</t>
  </si>
  <si>
    <t>ERIC AGYEI-GYAN</t>
  </si>
  <si>
    <t>PW04S92G</t>
  </si>
  <si>
    <t>DANIEL OFOSU OWUSU</t>
  </si>
  <si>
    <t>PF1W6G2N</t>
  </si>
  <si>
    <t>2022</t>
  </si>
  <si>
    <t>PF1W6G3W</t>
  </si>
  <si>
    <t>Princess Phoebe Adjei</t>
  </si>
  <si>
    <t>PF1W6G45</t>
  </si>
  <si>
    <t>Alimeyawu Jamal</t>
  </si>
  <si>
    <t>PF1W6G1L</t>
  </si>
  <si>
    <t>PF1W6DW2</t>
  </si>
  <si>
    <t>Barbara Comfort Abusah</t>
  </si>
  <si>
    <t>PF1W6J9W</t>
  </si>
  <si>
    <t>COLE ROBERT</t>
  </si>
  <si>
    <t>PF1W6DVP</t>
  </si>
  <si>
    <t>PF1W6G4J</t>
  </si>
  <si>
    <t>Bridget Dohzie</t>
  </si>
  <si>
    <t>PF1W6G31</t>
  </si>
  <si>
    <t>PF1W6DSK</t>
  </si>
  <si>
    <t>Daniel Worlanyo</t>
  </si>
  <si>
    <t>PF1W6G16</t>
  </si>
  <si>
    <t>PF1W6G2A</t>
  </si>
  <si>
    <t>PF1W6G0T</t>
  </si>
  <si>
    <t>PF1W6G3C</t>
  </si>
  <si>
    <t>PF1W6G5A</t>
  </si>
  <si>
    <t>Louis Nyanzu</t>
  </si>
  <si>
    <t>PF1W6G4Y</t>
  </si>
  <si>
    <t>Louisa Accam</t>
  </si>
  <si>
    <t>PF1W6DSZ</t>
  </si>
  <si>
    <t>PF1W6DV3</t>
  </si>
  <si>
    <t>PF1W6DWD</t>
  </si>
  <si>
    <t>PF1W6DRN</t>
  </si>
  <si>
    <t>Yaw Asante Offei</t>
  </si>
  <si>
    <t>PF1CW6C5</t>
  </si>
  <si>
    <t>PF1W6G1X</t>
  </si>
  <si>
    <t>PF3KCDG5</t>
  </si>
  <si>
    <t>LENOVO THINKPAD E14</t>
  </si>
  <si>
    <t>PF3KAW9G</t>
  </si>
  <si>
    <t>Osei-Sarpong Ama</t>
  </si>
  <si>
    <t>Paul Minsung Gyeng</t>
  </si>
  <si>
    <t>PF3CH3C6</t>
  </si>
  <si>
    <t>Rennny Osei-Barimah</t>
  </si>
  <si>
    <t>PF3CBL1T</t>
  </si>
  <si>
    <t>PF3CBHRA</t>
  </si>
  <si>
    <t>Galvis Mauricio</t>
  </si>
  <si>
    <t>PF3CBT9R</t>
  </si>
  <si>
    <t>Abdul Manan</t>
  </si>
  <si>
    <t>PF2TYTQK</t>
  </si>
  <si>
    <t>Paul Amoh</t>
  </si>
  <si>
    <t>PF3CH2NT</t>
  </si>
  <si>
    <t>Nicola Petralito</t>
  </si>
  <si>
    <t>PF3CH2NF</t>
  </si>
  <si>
    <t>Chusaini Muhammad</t>
  </si>
  <si>
    <t>PF3CBA32</t>
  </si>
  <si>
    <t>Albert Aikins Freeman</t>
  </si>
  <si>
    <t>PF3CBL41</t>
  </si>
  <si>
    <t>PF3CGVXY</t>
  </si>
  <si>
    <t>PF23CB9ZX</t>
  </si>
  <si>
    <t>PF3CB9ZH</t>
  </si>
  <si>
    <t>To be scrapped (Stephen Konadu)</t>
  </si>
  <si>
    <t>PF3KAQPJ</t>
  </si>
  <si>
    <t>Nicholas Clerk</t>
  </si>
  <si>
    <t>PF3CGW2F</t>
  </si>
  <si>
    <t>Omar Zardi</t>
  </si>
  <si>
    <t>PF3CGPKD</t>
  </si>
  <si>
    <t>Edmund Otoo</t>
  </si>
  <si>
    <t>PF3CGTCV</t>
  </si>
  <si>
    <t>Evamaria Sarkodee</t>
  </si>
  <si>
    <t>PF3KCB95</t>
  </si>
  <si>
    <t>Anthony/ Daniel</t>
  </si>
  <si>
    <t>PF3CGMGR</t>
  </si>
  <si>
    <t>PF3KCDEJ</t>
  </si>
  <si>
    <t>PF3CGRK7</t>
  </si>
  <si>
    <t>George Kyei</t>
  </si>
  <si>
    <t>PF3CH1WV</t>
  </si>
  <si>
    <t>Gideon Tibilah</t>
  </si>
  <si>
    <t>PF3KCG0M</t>
  </si>
  <si>
    <t>Mary Akotua</t>
  </si>
  <si>
    <t>PF3KCFX2</t>
  </si>
  <si>
    <t>PF17Q0T0</t>
  </si>
  <si>
    <t>Sebastian Abaidoo</t>
  </si>
  <si>
    <t>PF3KAW68</t>
  </si>
  <si>
    <t>Manza Kainyah</t>
  </si>
  <si>
    <t>PF3CGW1R</t>
  </si>
  <si>
    <t>PF3CBSCS</t>
  </si>
  <si>
    <t>Emmanuel Adu Gyamfi</t>
  </si>
  <si>
    <t>PF3CGW07</t>
  </si>
  <si>
    <t>Mustapha Nurudeen</t>
  </si>
  <si>
    <t>PF3CBA3S</t>
  </si>
  <si>
    <t>Nana Yaa Sika Ofori</t>
  </si>
  <si>
    <t>PF3KASY7</t>
  </si>
  <si>
    <t>Paul Kalevor</t>
  </si>
  <si>
    <t>PF3KCG11</t>
  </si>
  <si>
    <t>Richard Osei</t>
  </si>
  <si>
    <t>PF3CBA0W</t>
  </si>
  <si>
    <t>Richmond Godwyll</t>
  </si>
  <si>
    <t>PF3KCDF1</t>
  </si>
  <si>
    <t>Sani Mohammed</t>
  </si>
  <si>
    <t>PF3CBL37</t>
  </si>
  <si>
    <t>PF3CBWV5</t>
  </si>
  <si>
    <t>Amos Obuobi</t>
  </si>
  <si>
    <t>PF3KASXS</t>
  </si>
  <si>
    <t>Kenneth Koffie</t>
  </si>
  <si>
    <t>PF2JPES9</t>
  </si>
  <si>
    <t>Bernard Sackitey</t>
  </si>
  <si>
    <t>PF2JPETA</t>
  </si>
  <si>
    <t>To be returned(Mohamed Ben Hedi)</t>
  </si>
  <si>
    <t>PF3KAW7N</t>
  </si>
  <si>
    <t>Bridgeman Dzeklo</t>
  </si>
  <si>
    <t>PF3CH746</t>
  </si>
  <si>
    <t>Amin Abdul-Rahman</t>
  </si>
  <si>
    <t>PF3KAW5W</t>
  </si>
  <si>
    <t>Davide Feltracco</t>
  </si>
  <si>
    <t>PF3KCFYW</t>
  </si>
  <si>
    <t>Jemima Kwakyewaa</t>
  </si>
  <si>
    <t>PF3CGK8S</t>
  </si>
  <si>
    <t>PF3KCB6Y</t>
  </si>
  <si>
    <t xml:space="preserve">Fiona Laryea </t>
  </si>
  <si>
    <t>PF3CGK8G</t>
  </si>
  <si>
    <t>Freida Quagraine(To be scrapped)</t>
  </si>
  <si>
    <t>PF3KAW7A</t>
  </si>
  <si>
    <t>Giovanni Rosiello</t>
  </si>
  <si>
    <t>PF3KCB8Q</t>
  </si>
  <si>
    <t>Irene Ofori Ansong</t>
  </si>
  <si>
    <t>PF3CB9ZX</t>
  </si>
  <si>
    <t>Sefadzi Akaba</t>
  </si>
  <si>
    <t>PF3KAW8V</t>
  </si>
  <si>
    <t>Tomasso Tagliaffiero</t>
  </si>
  <si>
    <t>PF3CGMHD</t>
  </si>
  <si>
    <t>Margaret Kuma-Mintah</t>
  </si>
  <si>
    <t>PF3CBA0C</t>
  </si>
  <si>
    <t>PF3CBL2M</t>
  </si>
  <si>
    <t>PF3KASZA</t>
  </si>
  <si>
    <t>Stolen(Zuleika Mate)</t>
  </si>
  <si>
    <t>PF3CGMFG</t>
  </si>
  <si>
    <t>Nana Akua Danso</t>
  </si>
  <si>
    <t>PF3KCFYJ</t>
  </si>
  <si>
    <t>PF3CBXPK</t>
  </si>
  <si>
    <t>Salman Bin Masood</t>
  </si>
  <si>
    <t>PF3CGMFV</t>
  </si>
  <si>
    <t>Marian Dentu</t>
  </si>
  <si>
    <t>PF3CH1Y0</t>
  </si>
  <si>
    <t>Ndachie Kainyah</t>
  </si>
  <si>
    <t>LENOVO ThinkPad L15</t>
  </si>
  <si>
    <t>PW04SFXW</t>
  </si>
  <si>
    <t>ISHMAEL AMIHERE</t>
  </si>
  <si>
    <t>PW04SFXT</t>
  </si>
  <si>
    <t>MICHAEL ETENG</t>
  </si>
  <si>
    <t>PW04SFX5</t>
  </si>
  <si>
    <t>PW04SFXN</t>
  </si>
  <si>
    <t>AMIN ALHASSAN DUANI</t>
  </si>
  <si>
    <t>PW04SFXB</t>
  </si>
  <si>
    <t>Emmanuel Twum-Barimah</t>
  </si>
  <si>
    <t>PW04SFY4</t>
  </si>
  <si>
    <t>JAMAL ALIMEYAWU</t>
  </si>
  <si>
    <t>PW04SFXV</t>
  </si>
  <si>
    <t>BILLY HAIZEL</t>
  </si>
  <si>
    <t>PW04SFWY</t>
  </si>
  <si>
    <t>FRANCIS CUDJO</t>
  </si>
  <si>
    <t>PW04SFXY</t>
  </si>
  <si>
    <t>MAXINE ASIMENU</t>
  </si>
  <si>
    <t>PW04SFY1</t>
  </si>
  <si>
    <t>CYRIL AVEVOR</t>
  </si>
  <si>
    <t>PW04SFXF</t>
  </si>
  <si>
    <t>RICHARD KWAKWA</t>
  </si>
  <si>
    <t>PW04SFXP</t>
  </si>
  <si>
    <t>PW04SFX4</t>
  </si>
  <si>
    <t>AUDREY SESHIE</t>
  </si>
  <si>
    <t>PW04SFX9</t>
  </si>
  <si>
    <t>SAMUEL OFORI</t>
  </si>
  <si>
    <t>PW04S92Y</t>
  </si>
  <si>
    <t>Leticia Akogbor</t>
  </si>
  <si>
    <t>PW04SFXC</t>
  </si>
  <si>
    <t>Angela Akabzaa</t>
  </si>
  <si>
    <t>PW04SFX6</t>
  </si>
  <si>
    <t>Alexis Danso</t>
  </si>
  <si>
    <t>PW04SFY0</t>
  </si>
  <si>
    <t>Elizabeth Owusu Ansah</t>
  </si>
  <si>
    <t>PW04SFXR</t>
  </si>
  <si>
    <t>Frank Ampadukyere</t>
  </si>
  <si>
    <t xml:space="preserve">LENOVO ThinkPad X390 </t>
  </si>
  <si>
    <t>PC1F70D5</t>
  </si>
  <si>
    <t>PC1F70DS</t>
  </si>
  <si>
    <t>Charles Kwesi Seddoh</t>
  </si>
  <si>
    <t>PC1F70DP</t>
  </si>
  <si>
    <t>Mathew Ansah</t>
  </si>
  <si>
    <t>PC1F70DV</t>
  </si>
  <si>
    <t xml:space="preserve">	PC1F70DF</t>
  </si>
  <si>
    <t>Michelle Zarli</t>
  </si>
  <si>
    <t>PC1F70D6</t>
  </si>
  <si>
    <t>Michael Paa Koomson</t>
  </si>
  <si>
    <t>PC1F70DB</t>
  </si>
  <si>
    <t>Felix Odame</t>
  </si>
  <si>
    <t>PC1F70D7</t>
  </si>
  <si>
    <t>PC1F70DG</t>
  </si>
  <si>
    <t>PC1F70D9</t>
  </si>
  <si>
    <t>Righteous Anlimah</t>
  </si>
  <si>
    <t>PC1F70DH</t>
  </si>
  <si>
    <t>Gina Amoako</t>
  </si>
  <si>
    <t>LENOVO ThinkPad L13 I5 512GB 13.3''</t>
  </si>
  <si>
    <t>R912PM6J</t>
  </si>
  <si>
    <t>R912PMBE</t>
  </si>
  <si>
    <t>R912PM69</t>
  </si>
  <si>
    <t>Adwoa Effrim-Williams</t>
  </si>
  <si>
    <t>R912PM6D</t>
  </si>
  <si>
    <t>Sally Afia Adjei</t>
  </si>
  <si>
    <t>R912PM6G</t>
  </si>
  <si>
    <t>R912PM6B</t>
  </si>
  <si>
    <t>R912PM6A</t>
  </si>
  <si>
    <t>Marilyn Babson</t>
  </si>
  <si>
    <t>R912PM6F</t>
  </si>
  <si>
    <t>Paul Essuman</t>
  </si>
  <si>
    <t>PC1F70DD</t>
  </si>
  <si>
    <t>LENOVO ThinkPad X1eXTREME Gen 3</t>
  </si>
  <si>
    <t>R912J8XS</t>
  </si>
  <si>
    <t>Nana Yaw Abrokwa</t>
  </si>
  <si>
    <t>R912J8XR</t>
  </si>
  <si>
    <t>IT Store</t>
  </si>
  <si>
    <t>R912JX8Q</t>
  </si>
  <si>
    <t>R912J8XP</t>
  </si>
  <si>
    <t>R912J8XN</t>
  </si>
  <si>
    <t>PW04SFXO</t>
  </si>
  <si>
    <t>Caroline Degboe</t>
  </si>
  <si>
    <t>PW04SFX1</t>
  </si>
  <si>
    <t>Emmanuel Quandahor</t>
  </si>
  <si>
    <t>PW04SFX7</t>
  </si>
  <si>
    <t>PW04SFX3</t>
  </si>
  <si>
    <t>Gilbert Amenuvor</t>
  </si>
  <si>
    <t>PW04SFY3</t>
  </si>
  <si>
    <t>Irene arhin</t>
  </si>
  <si>
    <t>PW04SFXL</t>
  </si>
  <si>
    <t>CHARLES ANTWI KWARTENG</t>
  </si>
  <si>
    <t>PW04SFXK</t>
  </si>
  <si>
    <t>Maxwell Quarme</t>
  </si>
  <si>
    <t>PW04SFXZ</t>
  </si>
  <si>
    <t>PW04S92X</t>
  </si>
  <si>
    <t>Anabel Glover</t>
  </si>
  <si>
    <t>PW04SFXJ</t>
  </si>
  <si>
    <t>EKOW HAMMAH</t>
  </si>
  <si>
    <t>PW04S934</t>
  </si>
  <si>
    <t>Godfred Dzasi</t>
  </si>
  <si>
    <t>PW04SFXS</t>
  </si>
  <si>
    <t>Mark OseiAsibey</t>
  </si>
  <si>
    <t>PW04SFXM</t>
  </si>
  <si>
    <t>Richard AmoLarbi</t>
  </si>
  <si>
    <t>PW04SFX2</t>
  </si>
  <si>
    <t>Prosper Anabire</t>
  </si>
  <si>
    <t>PW04SFXD</t>
  </si>
  <si>
    <t>Germaine Mensah</t>
  </si>
  <si>
    <t>PW04SFXQ</t>
  </si>
  <si>
    <t>Rashad Alaru Alasco</t>
  </si>
  <si>
    <t>PW04SFXE</t>
  </si>
  <si>
    <t>Michael Davis</t>
  </si>
  <si>
    <t>PW04SFWZ</t>
  </si>
  <si>
    <t>Mafoudh Sabeur</t>
  </si>
  <si>
    <t>PW04SFP0</t>
  </si>
  <si>
    <t>Saviour Humali</t>
  </si>
  <si>
    <t>PW04SFX8</t>
  </si>
  <si>
    <t>EDMONDO ARENA LO RIGGIO</t>
  </si>
  <si>
    <t>PW04SFXG</t>
  </si>
  <si>
    <t>PW04SFY2</t>
  </si>
  <si>
    <t>Fraziano Gaetano</t>
  </si>
  <si>
    <t>PW04SFXH</t>
  </si>
  <si>
    <t>GERALD YEBOAH ASUAMAH</t>
  </si>
  <si>
    <t>PW04SFXA</t>
  </si>
  <si>
    <t>Joseph Nyankson</t>
  </si>
  <si>
    <t xml:space="preserve">LENOVO ThinkPad L14 </t>
  </si>
  <si>
    <t>PW04S92J</t>
  </si>
  <si>
    <t>ABDULLAH SUMAILA</t>
  </si>
  <si>
    <t>PW04S92P</t>
  </si>
  <si>
    <t>Ruby  Offeibea Adu</t>
  </si>
  <si>
    <t>PW04S937</t>
  </si>
  <si>
    <t>Samira Sumaila</t>
  </si>
  <si>
    <t>PW04S92D</t>
  </si>
  <si>
    <t>KWASI AMOA MENSAH</t>
  </si>
  <si>
    <t>PW04S936</t>
  </si>
  <si>
    <t>PW04S92C</t>
  </si>
  <si>
    <t>Amos Aidoo</t>
  </si>
  <si>
    <t>PW04S92E</t>
  </si>
  <si>
    <t>To be returned (Gabrielle Fuggini)</t>
  </si>
  <si>
    <t>PW04S92F</t>
  </si>
  <si>
    <t>Frank Erzah Buah</t>
  </si>
  <si>
    <t>PW04S92M</t>
  </si>
  <si>
    <t>Aminata Mohamed Kokoleh</t>
  </si>
  <si>
    <t>PW04S92Q</t>
  </si>
  <si>
    <t>Emmanuel Gyinae</t>
  </si>
  <si>
    <t>PW04S92H</t>
  </si>
  <si>
    <t>Noble Amankwah-Ampofo</t>
  </si>
  <si>
    <t>PW04S931</t>
  </si>
  <si>
    <t>Nelson Akompi</t>
  </si>
  <si>
    <t>PW04S92S</t>
  </si>
  <si>
    <t>Francis Samanhyia</t>
  </si>
  <si>
    <t>PW04S92B</t>
  </si>
  <si>
    <t>PW04S935</t>
  </si>
  <si>
    <t>Jonathan Neequaye</t>
  </si>
  <si>
    <t>PW04S92N</t>
  </si>
  <si>
    <t>Edward Amoni</t>
  </si>
  <si>
    <t>PF2TYSPC</t>
  </si>
  <si>
    <t>Godwin Locher</t>
  </si>
  <si>
    <t>PW04S92R</t>
  </si>
  <si>
    <t>DENNIS ASAMOAH</t>
  </si>
  <si>
    <t>Lenovo Thinkpad L14</t>
  </si>
  <si>
    <t>PW0B82HP</t>
  </si>
  <si>
    <t>2024</t>
  </si>
  <si>
    <t>Abigail-Muriel Antwi Oduro</t>
  </si>
  <si>
    <t>PW0B82GY</t>
  </si>
  <si>
    <t>Isaac Biney</t>
  </si>
  <si>
    <t>PW0B82HD</t>
  </si>
  <si>
    <t>Derrick Adu</t>
  </si>
  <si>
    <t>PW0B82H2</t>
  </si>
  <si>
    <t>Thelma Tetteh</t>
  </si>
  <si>
    <t>PW0B82H9</t>
  </si>
  <si>
    <t>Francis Akumfi</t>
  </si>
  <si>
    <t>PW0B82GW</t>
  </si>
  <si>
    <t>Dorothy Osei Kesewaa</t>
  </si>
  <si>
    <t>PW0B82HH</t>
  </si>
  <si>
    <t>PW0B82HA</t>
  </si>
  <si>
    <t>Anita Boateng</t>
  </si>
  <si>
    <t>PW0B82GP</t>
  </si>
  <si>
    <t>Godfred Afranie</t>
  </si>
  <si>
    <t>PW0B82GQ</t>
  </si>
  <si>
    <t>Alexander Amponsah</t>
  </si>
  <si>
    <t>PW0B82H1</t>
  </si>
  <si>
    <t>Andrews Elleah</t>
  </si>
  <si>
    <t>PW0B82GX</t>
  </si>
  <si>
    <t>Dorcas Wumbee</t>
  </si>
  <si>
    <t>PW0B82GT</t>
  </si>
  <si>
    <t>Dorcas Ann Taki</t>
  </si>
  <si>
    <t>PW0B82GM</t>
  </si>
  <si>
    <t>David Blay</t>
  </si>
  <si>
    <t>PW0B82GN</t>
  </si>
  <si>
    <t>Rita Afriyie</t>
  </si>
  <si>
    <t>PW0B82HN</t>
  </si>
  <si>
    <t>George Locher</t>
  </si>
  <si>
    <t>PW0B82H7</t>
  </si>
  <si>
    <t>PW0B82HM</t>
  </si>
  <si>
    <t>Kofi Minka</t>
  </si>
  <si>
    <t>PW0B82H4</t>
  </si>
  <si>
    <t>Roberto Costa</t>
  </si>
  <si>
    <t>PW0B82GR</t>
  </si>
  <si>
    <t xml:space="preserve">Hermann Sintim-Aboagye </t>
  </si>
  <si>
    <t>PW0B82H6</t>
  </si>
  <si>
    <t>Racheal Forkuoh</t>
  </si>
  <si>
    <t>PW0B82HC</t>
  </si>
  <si>
    <t>Charlotte Kugbey</t>
  </si>
  <si>
    <t>PW0B82HB</t>
  </si>
  <si>
    <t>Mubarak Mahamah</t>
  </si>
  <si>
    <t>PW0B82GS</t>
  </si>
  <si>
    <t>Felix Kyei</t>
  </si>
  <si>
    <t>PW0B82HT</t>
  </si>
  <si>
    <t>Nana Ama Baah Duodu</t>
  </si>
  <si>
    <t>PW0B82H5</t>
  </si>
  <si>
    <t>Kezia Fifa Deguenon</t>
  </si>
  <si>
    <t>PW0B82HS</t>
  </si>
  <si>
    <t>Bernice Finny</t>
  </si>
  <si>
    <t>PW0B82HG</t>
  </si>
  <si>
    <t>Anthony Ahenkorah</t>
  </si>
  <si>
    <t>PW0B82GZ</t>
  </si>
  <si>
    <t>Abena Awuku-Larbi</t>
  </si>
  <si>
    <t>PW0B82HQ</t>
  </si>
  <si>
    <t>Seth Owusu Agyemang</t>
  </si>
  <si>
    <t>PW0B82GV</t>
  </si>
  <si>
    <t>Mercy Yeboah</t>
  </si>
  <si>
    <t>PW0B82HE</t>
  </si>
  <si>
    <t>Zuleika Mate</t>
  </si>
  <si>
    <t>PW0B82HF</t>
  </si>
  <si>
    <t>Predescu Viorel Sorin</t>
  </si>
  <si>
    <t>PW0B82H0</t>
  </si>
  <si>
    <t>Daniel Iorio</t>
  </si>
  <si>
    <t>PW0B82HK</t>
  </si>
  <si>
    <t>Rosemary Huno</t>
  </si>
  <si>
    <t>PW0B82HR</t>
  </si>
  <si>
    <t>Sena Mawuyra</t>
  </si>
  <si>
    <t>PW0B82HJ</t>
  </si>
  <si>
    <t>Christabel Hesse</t>
  </si>
  <si>
    <t>PW0B82H8</t>
  </si>
  <si>
    <t>Ishamael Danso</t>
  </si>
  <si>
    <t>PW0B82HL</t>
  </si>
  <si>
    <t>Fafa Agormor</t>
  </si>
  <si>
    <t>PW0B82H3</t>
  </si>
  <si>
    <t>Michelle Lartey</t>
  </si>
  <si>
    <t>Lenovo Thinkpad X1</t>
  </si>
  <si>
    <t>PF34HN7M</t>
  </si>
  <si>
    <t>Andre Kofi Davids</t>
  </si>
  <si>
    <t>PF34YCMX</t>
  </si>
  <si>
    <t>Daniel Obiri</t>
  </si>
  <si>
    <t>PF35C312</t>
  </si>
  <si>
    <t>PF35CNKV</t>
  </si>
  <si>
    <t>PF34Z4X5</t>
  </si>
  <si>
    <t>Abena Owusu</t>
  </si>
  <si>
    <t>PF34Y5V3</t>
  </si>
  <si>
    <t>Freida Quagraine</t>
  </si>
  <si>
    <t>PF34HPWC</t>
  </si>
  <si>
    <t>Tribelli Achille</t>
  </si>
  <si>
    <t>PF366528</t>
  </si>
  <si>
    <t>PF34GERB</t>
  </si>
  <si>
    <t>Henri Leman</t>
  </si>
  <si>
    <t>PF35BHYL</t>
  </si>
  <si>
    <t>PF35B6TA</t>
  </si>
  <si>
    <t>Iori Davide</t>
  </si>
  <si>
    <t>PF34Z9QW</t>
  </si>
  <si>
    <t>Frederick Osei-Bonsu</t>
  </si>
  <si>
    <t>PF366TP9</t>
  </si>
  <si>
    <t>PF34Z59V</t>
  </si>
  <si>
    <t>PF34Z17B</t>
  </si>
  <si>
    <t>PF35BKJ5</t>
  </si>
  <si>
    <t>Vicenzo Ragone</t>
  </si>
  <si>
    <t>PF35BSGP</t>
  </si>
  <si>
    <t>Mohsen Maamouri</t>
  </si>
  <si>
    <t>PF34YBS</t>
  </si>
  <si>
    <t>PF34YSZ6</t>
  </si>
  <si>
    <t>Vittorio De Luca</t>
  </si>
  <si>
    <t>PF366E8B</t>
  </si>
  <si>
    <t>Marco Tolla</t>
  </si>
  <si>
    <t>PF35C4PN</t>
  </si>
  <si>
    <t>Kimathi Rawlings</t>
  </si>
  <si>
    <t>PF34GD63</t>
  </si>
  <si>
    <t>PF33ZYQ9</t>
  </si>
  <si>
    <t>Maurizio Pinna 2</t>
  </si>
  <si>
    <t>PF366NPD</t>
  </si>
  <si>
    <t>Paolo Familiari</t>
  </si>
  <si>
    <t>PF34HAK1</t>
  </si>
  <si>
    <t>PF3HHGV2</t>
  </si>
  <si>
    <t>PF34H5CV</t>
  </si>
  <si>
    <t>Maame Bartels-Kodwo</t>
  </si>
  <si>
    <t>PF34GZ6D</t>
  </si>
  <si>
    <t>Vittorio Marongiu</t>
  </si>
  <si>
    <t>PF34GETB</t>
  </si>
  <si>
    <t>PF34XXME</t>
  </si>
  <si>
    <t>PF35C6JE</t>
  </si>
  <si>
    <t>PF366SBH</t>
  </si>
  <si>
    <t>Baluri Bukari</t>
  </si>
  <si>
    <t>PF34XBMM</t>
  </si>
  <si>
    <t>Brian Alexander Adomako</t>
  </si>
  <si>
    <t>PF366PEP</t>
  </si>
  <si>
    <t>Maurizio Pinna</t>
  </si>
  <si>
    <t>PF34Z5D1</t>
  </si>
  <si>
    <t>Anthonio Pasquale</t>
  </si>
  <si>
    <t>PF34J085</t>
  </si>
  <si>
    <t>Puerari Sveva Silvia Teresa</t>
  </si>
  <si>
    <t>PF35C40S</t>
  </si>
  <si>
    <t>Michele Zarli</t>
  </si>
  <si>
    <t xml:space="preserve">Name </t>
  </si>
  <si>
    <t>Brand</t>
  </si>
  <si>
    <t xml:space="preserve">Item </t>
  </si>
  <si>
    <t>Model Type</t>
  </si>
  <si>
    <t>Item Serial Number</t>
  </si>
  <si>
    <t>Location</t>
  </si>
  <si>
    <t>Lenovo</t>
  </si>
  <si>
    <t>Monitor</t>
  </si>
  <si>
    <t>P32p-20</t>
  </si>
  <si>
    <t>VNA8K6RP</t>
  </si>
  <si>
    <t>MD</t>
  </si>
  <si>
    <t>T24d-10</t>
  </si>
  <si>
    <t>V5TG7432</t>
  </si>
  <si>
    <t>Executive Assistant</t>
  </si>
  <si>
    <t>T24i-30</t>
  </si>
  <si>
    <t>VTQ95051</t>
  </si>
  <si>
    <t>Business Negotiation</t>
  </si>
  <si>
    <t>VTQ99509</t>
  </si>
  <si>
    <t>Adams Mohammed</t>
  </si>
  <si>
    <t>T2454pA</t>
  </si>
  <si>
    <t>V1N87912</t>
  </si>
  <si>
    <t>V1N87886</t>
  </si>
  <si>
    <t>Atta Acheampong</t>
  </si>
  <si>
    <t>V1N31604</t>
  </si>
  <si>
    <t>T24D</t>
  </si>
  <si>
    <t>V3019TLC</t>
  </si>
  <si>
    <t>Koffie Keneth</t>
  </si>
  <si>
    <t>V5CG0618</t>
  </si>
  <si>
    <t>V3019TVX</t>
  </si>
  <si>
    <t>V5CG0615</t>
  </si>
  <si>
    <t>V5CG0620</t>
  </si>
  <si>
    <t>Maxine Asimenu</t>
  </si>
  <si>
    <t>V3014THA</t>
  </si>
  <si>
    <t>V5CG0569</t>
  </si>
  <si>
    <t>Nana Ama Inkoom</t>
  </si>
  <si>
    <t>V3019TT1</t>
  </si>
  <si>
    <t>V3019TVC</t>
  </si>
  <si>
    <t>Abena Aboagyewaah Owusu</t>
  </si>
  <si>
    <t>V5CG0584</t>
  </si>
  <si>
    <t>Legal</t>
  </si>
  <si>
    <t>V3019TK0</t>
  </si>
  <si>
    <t>Abena Awuku Larbi</t>
  </si>
  <si>
    <t>V3019TKA</t>
  </si>
  <si>
    <t>VK898203</t>
  </si>
  <si>
    <t>Sharon Hammond</t>
  </si>
  <si>
    <t>V3019TKV</t>
  </si>
  <si>
    <t>Baluri Kassim Bukari</t>
  </si>
  <si>
    <t>V5TG7429</t>
  </si>
  <si>
    <t xml:space="preserve">Local Content </t>
  </si>
  <si>
    <t>V5TG7473</t>
  </si>
  <si>
    <t>Eric Gyan-Agyei</t>
  </si>
  <si>
    <t>V5CG0607</t>
  </si>
  <si>
    <t xml:space="preserve">V3019TWB </t>
  </si>
  <si>
    <t>Amin Alhassan Duani</t>
  </si>
  <si>
    <t>VTQ99497</t>
  </si>
  <si>
    <t xml:space="preserve">T24i-30 </t>
  </si>
  <si>
    <t>V5CG0605</t>
  </si>
  <si>
    <t>Ann Dorcas Taki</t>
  </si>
  <si>
    <t xml:space="preserve">T2454p </t>
  </si>
  <si>
    <t>V1N84786</t>
  </si>
  <si>
    <t>V5HVB902</t>
  </si>
  <si>
    <t>T24m-10</t>
  </si>
  <si>
    <t>VNA60X4M</t>
  </si>
  <si>
    <t>Charles Antwi Kwarteng</t>
  </si>
  <si>
    <t>S24e-20</t>
  </si>
  <si>
    <t>VNA7MYZP</t>
  </si>
  <si>
    <t>V300HYND</t>
  </si>
  <si>
    <t>Ekow Hammah</t>
  </si>
  <si>
    <t>V5CG0609</t>
  </si>
  <si>
    <t>V3019THM</t>
  </si>
  <si>
    <t>V3019TTV</t>
  </si>
  <si>
    <t>V5CG0556</t>
  </si>
  <si>
    <t>Jemima Kwakyewa</t>
  </si>
  <si>
    <t>VTQ99510</t>
  </si>
  <si>
    <t>VTQ96507</t>
  </si>
  <si>
    <t>Dell</t>
  </si>
  <si>
    <t>P2412H</t>
  </si>
  <si>
    <t>CN44490K69</t>
  </si>
  <si>
    <t>Sadiq Abubakar</t>
  </si>
  <si>
    <t>LT1952pwD</t>
  </si>
  <si>
    <t>V9-TWVK3</t>
  </si>
  <si>
    <t>Nkrow Richmond</t>
  </si>
  <si>
    <t xml:space="preserve"> S24e-20</t>
  </si>
  <si>
    <t>VNA7MYZL</t>
  </si>
  <si>
    <t>Senyo Peter Brandon</t>
  </si>
  <si>
    <t xml:space="preserve">LT2423 </t>
  </si>
  <si>
    <t>VNA01GZY</t>
  </si>
  <si>
    <t>Asamoah Bridget</t>
  </si>
  <si>
    <t>VNA08Z8G</t>
  </si>
  <si>
    <t>Konlan Elizabeth</t>
  </si>
  <si>
    <t>LT2424wc</t>
  </si>
  <si>
    <t>VTQ95663</t>
  </si>
  <si>
    <t>Sally Adjei</t>
  </si>
  <si>
    <t>V5HVB771</t>
  </si>
  <si>
    <t>Rosemary Ankrah</t>
  </si>
  <si>
    <t>T2454p</t>
  </si>
  <si>
    <t>V1N87914</t>
  </si>
  <si>
    <t>Kofi Frimpong</t>
  </si>
  <si>
    <t>V5HVB761</t>
  </si>
  <si>
    <t>Ansong Ebenezer</t>
  </si>
  <si>
    <t>VNA7MZ3W</t>
  </si>
  <si>
    <t xml:space="preserve">Rachel Owiredu </t>
  </si>
  <si>
    <t>CN-0TTMDG-74261-378-1NMU</t>
  </si>
  <si>
    <t>Salia Abubakar Sidick</t>
  </si>
  <si>
    <t>C20238FS0</t>
  </si>
  <si>
    <t>VNA7MZ0D</t>
  </si>
  <si>
    <t>Yeboah Vivian</t>
  </si>
  <si>
    <t>VL1L80266</t>
  </si>
  <si>
    <t>V300HYP5</t>
  </si>
  <si>
    <t>External Relations</t>
  </si>
  <si>
    <t>Ohene-Asante Abena Asantewaa</t>
  </si>
  <si>
    <t xml:space="preserve"> LT2423</t>
  </si>
  <si>
    <t>VNA08Z7Y</t>
  </si>
  <si>
    <t>Elizabeth Agyemang</t>
  </si>
  <si>
    <t>LT2423wC</t>
  </si>
  <si>
    <t>VNA01GRL</t>
  </si>
  <si>
    <t>Samuel Ackon</t>
  </si>
  <si>
    <t>V1N87929</t>
  </si>
  <si>
    <t>Mate Zuleika</t>
  </si>
  <si>
    <t>V5CG0612</t>
  </si>
  <si>
    <t>Finance</t>
  </si>
  <si>
    <t xml:space="preserve">T24d-10 </t>
  </si>
  <si>
    <t>Boamah Adomako</t>
  </si>
  <si>
    <t>VTQ96515</t>
  </si>
  <si>
    <t>V5TG7427</t>
  </si>
  <si>
    <t>VNA60X24</t>
  </si>
  <si>
    <t>Finance - Compliance</t>
  </si>
  <si>
    <t>V300HYNN</t>
  </si>
  <si>
    <t>V3019THZ</t>
  </si>
  <si>
    <t>V1821971</t>
  </si>
  <si>
    <t>V5CG0614</t>
  </si>
  <si>
    <t>V3019TKM</t>
  </si>
  <si>
    <t>Amponsah Gideon Agyapong</t>
  </si>
  <si>
    <t>V1N84784</t>
  </si>
  <si>
    <t>V1L80268</t>
  </si>
  <si>
    <t>Yvonne Kwayisi</t>
  </si>
  <si>
    <t>V1L80257</t>
  </si>
  <si>
    <t>V1N84831</t>
  </si>
  <si>
    <t>V5HVB769</t>
  </si>
  <si>
    <t>Finance - Treasury</t>
  </si>
  <si>
    <t>V5HVB960</t>
  </si>
  <si>
    <t>V1N84797</t>
  </si>
  <si>
    <t>V3019TTK</t>
  </si>
  <si>
    <t>Appiah Raymond</t>
  </si>
  <si>
    <t>CN-0TTMDG-74261-377-0DWD</t>
  </si>
  <si>
    <t>VNA08Z4A</t>
  </si>
  <si>
    <t>Charlottte Kugbey</t>
  </si>
  <si>
    <t>V3019TGN</t>
  </si>
  <si>
    <t>V5CG0574</t>
  </si>
  <si>
    <t>V5CG0597</t>
  </si>
  <si>
    <t>Finance - Accounting</t>
  </si>
  <si>
    <t>V3019TK8</t>
  </si>
  <si>
    <t>Michael Atikumah</t>
  </si>
  <si>
    <t>V5CG0596</t>
  </si>
  <si>
    <t>V3019TW9</t>
  </si>
  <si>
    <t>Felix  Kyei</t>
  </si>
  <si>
    <t>V3019TK6</t>
  </si>
  <si>
    <t>V300HYNZ</t>
  </si>
  <si>
    <t>Nelson Nana Akompi</t>
  </si>
  <si>
    <t>V5CG0577</t>
  </si>
  <si>
    <t>V3019TVN</t>
  </si>
  <si>
    <t>V1L80262</t>
  </si>
  <si>
    <t>V1N87911</t>
  </si>
  <si>
    <t>V3019TL8</t>
  </si>
  <si>
    <t>V1L80279</t>
  </si>
  <si>
    <t>Obeng Kwasi Yirenkyi</t>
  </si>
  <si>
    <t>P2412Hb</t>
  </si>
  <si>
    <t>CN-0TTMDG-74261-377-0AEU</t>
  </si>
  <si>
    <t>V5TG7549</t>
  </si>
  <si>
    <t>Finance - Budjet and planning</t>
  </si>
  <si>
    <t>V5CG0599</t>
  </si>
  <si>
    <t>V1N31646</t>
  </si>
  <si>
    <t>V3019TVR</t>
  </si>
  <si>
    <t>Bernice Finny Intsiaba</t>
  </si>
  <si>
    <t>V3019TVZ</t>
  </si>
  <si>
    <t>V5TG7466</t>
  </si>
  <si>
    <t>Kezia Deguenon</t>
  </si>
  <si>
    <t>V3019TV0</t>
  </si>
  <si>
    <t>V5TG7434</t>
  </si>
  <si>
    <t>Albert Freeman</t>
  </si>
  <si>
    <t>V5CG0592</t>
  </si>
  <si>
    <t>V5CG0624</t>
  </si>
  <si>
    <t>Amissah Emmanuella</t>
  </si>
  <si>
    <t>LT2423</t>
  </si>
  <si>
    <t>VNA08Z5F</t>
  </si>
  <si>
    <t>V5CG0606</t>
  </si>
  <si>
    <t>Finance - Tax</t>
  </si>
  <si>
    <t>V1L80407</t>
  </si>
  <si>
    <t>Augustus Amissah Ghansah</t>
  </si>
  <si>
    <t>V5CG0608</t>
  </si>
  <si>
    <t>V300HYP0</t>
  </si>
  <si>
    <t>Tetteh Shemimatu</t>
  </si>
  <si>
    <t>VTQ99507</t>
  </si>
  <si>
    <t>Heinri Leman</t>
  </si>
  <si>
    <t>VTQ95661</t>
  </si>
  <si>
    <t>Procurement</t>
  </si>
  <si>
    <t>Freida Quagraine Efua</t>
  </si>
  <si>
    <t>X1</t>
  </si>
  <si>
    <t>Procurement - Contracts Admin</t>
  </si>
  <si>
    <t>V3019TV7</t>
  </si>
  <si>
    <t>V1731371</t>
  </si>
  <si>
    <t>Kumi Aboagye</t>
  </si>
  <si>
    <t>V3019TVW</t>
  </si>
  <si>
    <t>V3019TGR</t>
  </si>
  <si>
    <t>Daniel Ofosu Owusu</t>
  </si>
  <si>
    <t>L24D</t>
  </si>
  <si>
    <t>V3019THF</t>
  </si>
  <si>
    <t>V5CG0602</t>
  </si>
  <si>
    <t>V1L80282</t>
  </si>
  <si>
    <t>V3019TK7</t>
  </si>
  <si>
    <t>V1L80427</t>
  </si>
  <si>
    <t>T23D</t>
  </si>
  <si>
    <t>V5TG7425</t>
  </si>
  <si>
    <t>Patience Vera Tudzi</t>
  </si>
  <si>
    <t>VNA01GTM</t>
  </si>
  <si>
    <t>V1N68007</t>
  </si>
  <si>
    <t>Fiona Laryea</t>
  </si>
  <si>
    <t>V3019TK3</t>
  </si>
  <si>
    <t>V3019TKW</t>
  </si>
  <si>
    <t>Zakiya Alhassan</t>
  </si>
  <si>
    <t xml:space="preserve"> T2454p </t>
  </si>
  <si>
    <t>V1N31644</t>
  </si>
  <si>
    <t>V1L80432</t>
  </si>
  <si>
    <t xml:space="preserve">Hajara Hussein </t>
  </si>
  <si>
    <t>VNA08ZB3</t>
  </si>
  <si>
    <t>LT1952p</t>
  </si>
  <si>
    <t>V9-TWVH7</t>
  </si>
  <si>
    <t>Vendor management desk</t>
  </si>
  <si>
    <t>V3019TT7</t>
  </si>
  <si>
    <t>Procurement - Vendor Management</t>
  </si>
  <si>
    <t>V5TG7489</t>
  </si>
  <si>
    <t>V3019TH3</t>
  </si>
  <si>
    <t>V3019THH</t>
  </si>
  <si>
    <t>V3019TKB</t>
  </si>
  <si>
    <t>V5TG7451</t>
  </si>
  <si>
    <t>V5CG0567</t>
  </si>
  <si>
    <t>V5CG0579</t>
  </si>
  <si>
    <t>Audrey Seshie</t>
  </si>
  <si>
    <t>V3019TK2</t>
  </si>
  <si>
    <t>V5HVB913</t>
  </si>
  <si>
    <t>Selormey Paula Dzifa</t>
  </si>
  <si>
    <t>V5CG0594</t>
  </si>
  <si>
    <t>V5CG0601</t>
  </si>
  <si>
    <t>Sumani Samira</t>
  </si>
  <si>
    <t>V3019TTR</t>
  </si>
  <si>
    <t>V3019TV4</t>
  </si>
  <si>
    <t>Sandra Aning</t>
  </si>
  <si>
    <t>V1L80255</t>
  </si>
  <si>
    <t>V3019TW2</t>
  </si>
  <si>
    <t>Intern desk</t>
  </si>
  <si>
    <t xml:space="preserve">S24e-20 </t>
  </si>
  <si>
    <t>VNA7M229</t>
  </si>
  <si>
    <t>V5TG7447</t>
  </si>
  <si>
    <t>Daniel Addo Sowah</t>
  </si>
  <si>
    <t>VNA01HCN</t>
  </si>
  <si>
    <t>V5HVB911</t>
  </si>
  <si>
    <t>Bridgette Dohzie</t>
  </si>
  <si>
    <t>V3019THN</t>
  </si>
  <si>
    <t>V1N84787</t>
  </si>
  <si>
    <t>V3019TK9</t>
  </si>
  <si>
    <t>Procurement - Corporate</t>
  </si>
  <si>
    <t>LT2423WC</t>
  </si>
  <si>
    <t>VNA08Z6N</t>
  </si>
  <si>
    <t>Yaa Sika Ofori Nana</t>
  </si>
  <si>
    <t>V3019THV</t>
  </si>
  <si>
    <t>V5HVB950</t>
  </si>
  <si>
    <t>Doreen Asiedu Adobea</t>
  </si>
  <si>
    <t>VNA7MZ14</t>
  </si>
  <si>
    <t>V3019TVH</t>
  </si>
  <si>
    <t>Sintim-Aboagye Hermann Henking</t>
  </si>
  <si>
    <t>V3019THK</t>
  </si>
  <si>
    <t>Procurement - offshore</t>
  </si>
  <si>
    <t>VNA08Z66</t>
  </si>
  <si>
    <t>VNA60X2W</t>
  </si>
  <si>
    <t>V3019THT</t>
  </si>
  <si>
    <t>Elvis Amakye</t>
  </si>
  <si>
    <t>V5HVB912</t>
  </si>
  <si>
    <t>V5TG7450</t>
  </si>
  <si>
    <t>Dorothy Osei</t>
  </si>
  <si>
    <t>T24d</t>
  </si>
  <si>
    <t>V5CG0573</t>
  </si>
  <si>
    <t>V3019TVL</t>
  </si>
  <si>
    <t>Procurement - Onshore</t>
  </si>
  <si>
    <t>Eva Maria Sarkodee</t>
  </si>
  <si>
    <t>T2454PA</t>
  </si>
  <si>
    <t>V1L80286</t>
  </si>
  <si>
    <t>V3019TV6</t>
  </si>
  <si>
    <t>VNA01HBM</t>
  </si>
  <si>
    <t>V3019T4W</t>
  </si>
  <si>
    <t>Nana Kuffuor Kwabena Poku</t>
  </si>
  <si>
    <t>V3019TL4</t>
  </si>
  <si>
    <t>Antonio Pasquale</t>
  </si>
  <si>
    <t>Technical</t>
  </si>
  <si>
    <t>Achille Tiribelli</t>
  </si>
  <si>
    <t>V3019THR</t>
  </si>
  <si>
    <t>Technical - Reservoir</t>
  </si>
  <si>
    <t>V3019TTT</t>
  </si>
  <si>
    <t>Ishmael Amihere</t>
  </si>
  <si>
    <t>X1A</t>
  </si>
  <si>
    <t>VK898212</t>
  </si>
  <si>
    <t>VK898200</t>
  </si>
  <si>
    <t>Cyril Avevor</t>
  </si>
  <si>
    <t>VK898217</t>
  </si>
  <si>
    <t>VK898199</t>
  </si>
  <si>
    <t>Richard Kwakwa</t>
  </si>
  <si>
    <t>V300HYNA</t>
  </si>
  <si>
    <t>V3019TTB</t>
  </si>
  <si>
    <t>Bukari Amamat</t>
  </si>
  <si>
    <t>V5HVB919</t>
  </si>
  <si>
    <t>Technical - Cost/Planning</t>
  </si>
  <si>
    <t>V5HVB887</t>
  </si>
  <si>
    <t>Aminata Mohammed</t>
  </si>
  <si>
    <t>VNA7MZ3P</t>
  </si>
  <si>
    <t>V3019TW7</t>
  </si>
  <si>
    <t>Anthony Eshun</t>
  </si>
  <si>
    <t>V5CG0585</t>
  </si>
  <si>
    <t>Irene Arhin</t>
  </si>
  <si>
    <t>V3019TH9</t>
  </si>
  <si>
    <t>Stephen Aikins</t>
  </si>
  <si>
    <t>V5CG0587</t>
  </si>
  <si>
    <t>V3019TTG</t>
  </si>
  <si>
    <t xml:space="preserve">Christian Sarpong </t>
  </si>
  <si>
    <t>VNA7MZ2A</t>
  </si>
  <si>
    <t>T24i -30</t>
  </si>
  <si>
    <t xml:space="preserve">VTQ99487  </t>
  </si>
  <si>
    <t>Edmondo Arena Lo Riggio</t>
  </si>
  <si>
    <t>V5TG7847</t>
  </si>
  <si>
    <t>Technical - Engineering</t>
  </si>
  <si>
    <t>V3019TRW</t>
  </si>
  <si>
    <t>V300HYNY</t>
  </si>
  <si>
    <t>VTQ95652</t>
  </si>
  <si>
    <t>V3019TW8</t>
  </si>
  <si>
    <t>V3019TVF</t>
  </si>
  <si>
    <t>V300HYNP</t>
  </si>
  <si>
    <t>V3019TKH</t>
  </si>
  <si>
    <t>Samuel Ofori</t>
  </si>
  <si>
    <t>V3019TVT</t>
  </si>
  <si>
    <t>V5TG7465</t>
  </si>
  <si>
    <t>V1N31627</t>
  </si>
  <si>
    <t>Michael Donkor</t>
  </si>
  <si>
    <t>VTQ95654</t>
  </si>
  <si>
    <t>Hawkson Francis Eric</t>
  </si>
  <si>
    <t>V300HYP2</t>
  </si>
  <si>
    <t>V1L80363</t>
  </si>
  <si>
    <t>Gideon Safo</t>
  </si>
  <si>
    <t>V1L80362</t>
  </si>
  <si>
    <t>VNA0FGPH</t>
  </si>
  <si>
    <t>Opoku Owusu Yentumi</t>
  </si>
  <si>
    <t>V3019TW6</t>
  </si>
  <si>
    <t>VNA08Z81</t>
  </si>
  <si>
    <t>Godfred Dzasi Kwame</t>
  </si>
  <si>
    <t>T245pA</t>
  </si>
  <si>
    <t>V1L80276</t>
  </si>
  <si>
    <t>V5HVB896</t>
  </si>
  <si>
    <t>V5CG0590</t>
  </si>
  <si>
    <t>Technical - Well Operations</t>
  </si>
  <si>
    <t>V5CG0558</t>
  </si>
  <si>
    <t>Alexander Amponsah Amoako</t>
  </si>
  <si>
    <t>V1L80256</t>
  </si>
  <si>
    <t>V3019TKP</t>
  </si>
  <si>
    <t>Mateo Parravicini</t>
  </si>
  <si>
    <t>V1821990</t>
  </si>
  <si>
    <t>V1N31608</t>
  </si>
  <si>
    <t>V5CG0591</t>
  </si>
  <si>
    <t>V3019TL3</t>
  </si>
  <si>
    <t>V3019TLA</t>
  </si>
  <si>
    <t>V1L80415</t>
  </si>
  <si>
    <t>V5TG7446</t>
  </si>
  <si>
    <t>V5TG7477</t>
  </si>
  <si>
    <t>Nana Kofi Minka</t>
  </si>
  <si>
    <t>V5CG0563</t>
  </si>
  <si>
    <t>V1L80284</t>
  </si>
  <si>
    <t>Drilling Superintendent</t>
  </si>
  <si>
    <t>VTQ99493</t>
  </si>
  <si>
    <t>VTQ96503</t>
  </si>
  <si>
    <t>V1N31595</t>
  </si>
  <si>
    <t>Logistics</t>
  </si>
  <si>
    <t>V1N87892</t>
  </si>
  <si>
    <t>V3019TH6</t>
  </si>
  <si>
    <t>V5CG0625</t>
  </si>
  <si>
    <t>V3019TW5</t>
  </si>
  <si>
    <t>V1N84789</t>
  </si>
  <si>
    <t>V5TG7449</t>
  </si>
  <si>
    <t>V3019TTY</t>
  </si>
  <si>
    <t>Dennis Asamoah-Owusu</t>
  </si>
  <si>
    <t>V1N31611</t>
  </si>
  <si>
    <t>VTQ95658</t>
  </si>
  <si>
    <t>Godwin Asante</t>
  </si>
  <si>
    <t>V1N84794</t>
  </si>
  <si>
    <t>VTQ95666</t>
  </si>
  <si>
    <t>Adu-Baffour Francella</t>
  </si>
  <si>
    <t>V1L80297</t>
  </si>
  <si>
    <t>LT2423Wc</t>
  </si>
  <si>
    <t>VNA08Z6B</t>
  </si>
  <si>
    <t>VTQ99498</t>
  </si>
  <si>
    <t>VTQ97722</t>
  </si>
  <si>
    <t>V3019TV3</t>
  </si>
  <si>
    <t>Maintenance</t>
  </si>
  <si>
    <t>T24i-10</t>
  </si>
  <si>
    <t>V3019THX</t>
  </si>
  <si>
    <t>VK898204</t>
  </si>
  <si>
    <t>T27h-30</t>
  </si>
  <si>
    <t>V5KGN003</t>
  </si>
  <si>
    <t>Gerald Yeboah-Asamoah</t>
  </si>
  <si>
    <t>V5KGN018</t>
  </si>
  <si>
    <t>V5TG7475</t>
  </si>
  <si>
    <t>Tomasso Tagliafiero</t>
  </si>
  <si>
    <t>V1L80408</t>
  </si>
  <si>
    <t>V1N84795</t>
  </si>
  <si>
    <t>V5CG0572</t>
  </si>
  <si>
    <t>V5CG0603</t>
  </si>
  <si>
    <t>Asomani Irene</t>
  </si>
  <si>
    <t>VNA7MZ4F</t>
  </si>
  <si>
    <t>VTQ96506</t>
  </si>
  <si>
    <t>Bamba Misbaw Amdaway</t>
  </si>
  <si>
    <t>VNA08BVM</t>
  </si>
  <si>
    <t>VNA01GPL</t>
  </si>
  <si>
    <t>Effah Ewuradwoa</t>
  </si>
  <si>
    <t>VNA01GZN</t>
  </si>
  <si>
    <t>Kofi Joseph Nyan</t>
  </si>
  <si>
    <t>VTQ97726</t>
  </si>
  <si>
    <t>V3019TKL</t>
  </si>
  <si>
    <t>V1L80410</t>
  </si>
  <si>
    <t>Asset Integrity</t>
  </si>
  <si>
    <t>V300HYNB</t>
  </si>
  <si>
    <t>Afia Amponsah Sarfo</t>
  </si>
  <si>
    <t>V1N84792</t>
  </si>
  <si>
    <t>Okeke Justice Chidera</t>
  </si>
  <si>
    <t>CN-0TTMDG-74261-377-0KCU</t>
  </si>
  <si>
    <t>V1L80413</t>
  </si>
  <si>
    <t>Roger Mamona</t>
  </si>
  <si>
    <t>V1N84791</t>
  </si>
  <si>
    <t>Production</t>
  </si>
  <si>
    <t>V1N84916</t>
  </si>
  <si>
    <t>Abdullah Sumaila</t>
  </si>
  <si>
    <t>VNA08Z8D</t>
  </si>
  <si>
    <t>V1731488</t>
  </si>
  <si>
    <t>Seibu Shafikatu Hagbansuglo</t>
  </si>
  <si>
    <t>V9-YHXT1</t>
  </si>
  <si>
    <t>V1N8776</t>
  </si>
  <si>
    <t>Ramadan Diya</t>
  </si>
  <si>
    <t>VNA7MZ5D</t>
  </si>
  <si>
    <t>V5HVB899</t>
  </si>
  <si>
    <t>Asare Kwakye Duah</t>
  </si>
  <si>
    <t>VNA7MZ4C</t>
  </si>
  <si>
    <t>V1L80430</t>
  </si>
  <si>
    <t>VNA7MZ52</t>
  </si>
  <si>
    <t>V3019TT8</t>
  </si>
  <si>
    <t>Rickson Annan</t>
  </si>
  <si>
    <t>V1N31606</t>
  </si>
  <si>
    <t>V5CG0557</t>
  </si>
  <si>
    <t>Comfort Benewaa</t>
  </si>
  <si>
    <t>CN-0TTMDG-74261-378-1R3U</t>
  </si>
  <si>
    <t>V9-YHTR7</t>
  </si>
  <si>
    <t>VTQ95651</t>
  </si>
  <si>
    <t>V5TG7456</t>
  </si>
  <si>
    <t>Salma Umu Seidu</t>
  </si>
  <si>
    <t>V1821993</t>
  </si>
  <si>
    <t>VNA01H01</t>
  </si>
  <si>
    <t xml:space="preserve">Mensah Kelvin Perry Boamah </t>
  </si>
  <si>
    <t xml:space="preserve"> T2454p</t>
  </si>
  <si>
    <t>V1N87885</t>
  </si>
  <si>
    <t>V9-YHXRS</t>
  </si>
  <si>
    <t>Ruby Offeibea Adu</t>
  </si>
  <si>
    <t>V5KGN587</t>
  </si>
  <si>
    <t>V5KGM846</t>
  </si>
  <si>
    <t>VNA8K6RM</t>
  </si>
  <si>
    <t>Exploration</t>
  </si>
  <si>
    <t>VNA8K7XW</t>
  </si>
  <si>
    <t>Abdul Mannan</t>
  </si>
  <si>
    <t>V5KGM708</t>
  </si>
  <si>
    <t>V5KGM721</t>
  </si>
  <si>
    <t>Aku Huno Rosemary</t>
  </si>
  <si>
    <t>V5KGN005</t>
  </si>
  <si>
    <t>V5KGM706</t>
  </si>
  <si>
    <t>Joyce Danso</t>
  </si>
  <si>
    <t>V3019TR9</t>
  </si>
  <si>
    <t>V5KGM947</t>
  </si>
  <si>
    <t>V5KGN583</t>
  </si>
  <si>
    <t>Mondal Dibakar</t>
  </si>
  <si>
    <t>V5KGM720</t>
  </si>
  <si>
    <t>V3019TVG</t>
  </si>
  <si>
    <t>V5KGM705</t>
  </si>
  <si>
    <t>V5KGM712</t>
  </si>
  <si>
    <t>V5KGN001</t>
  </si>
  <si>
    <t>V5KGM946</t>
  </si>
  <si>
    <t>Emmanuel Adu-Gyamfi</t>
  </si>
  <si>
    <t>V5KGN008</t>
  </si>
  <si>
    <t>V5KGN006</t>
  </si>
  <si>
    <t>Nana Yaw Asante</t>
  </si>
  <si>
    <t>VK898209</t>
  </si>
  <si>
    <t>V5KGM707</t>
  </si>
  <si>
    <t>Atichogbe Anna Kokoe</t>
  </si>
  <si>
    <t>V5KGM709</t>
  </si>
  <si>
    <t>V5KGN002</t>
  </si>
  <si>
    <t>V5KGM710</t>
  </si>
  <si>
    <t>V5KGN004</t>
  </si>
  <si>
    <t>Loretta Afriyie</t>
  </si>
  <si>
    <t>VNA8K7XT</t>
  </si>
  <si>
    <t>Exploration TS reserved</t>
  </si>
  <si>
    <t>VNA8K7DY</t>
  </si>
  <si>
    <t>VNA8K6P6</t>
  </si>
  <si>
    <t>Abdul-Rahman Yussif</t>
  </si>
  <si>
    <t xml:space="preserve">P32p 20 </t>
  </si>
  <si>
    <t>VNA8K6MG</t>
  </si>
  <si>
    <t>VK898214</t>
  </si>
  <si>
    <t>HSE</t>
  </si>
  <si>
    <t>VTQ96456</t>
  </si>
  <si>
    <t>HSE- Operations</t>
  </si>
  <si>
    <t>VTQ95668</t>
  </si>
  <si>
    <t>Benard Sackitey</t>
  </si>
  <si>
    <t>V300HYP4</t>
  </si>
  <si>
    <t>VNA8K6RR</t>
  </si>
  <si>
    <t xml:space="preserve">Mildred Osei Bonsu </t>
  </si>
  <si>
    <t>LT2223z</t>
  </si>
  <si>
    <t>VNA08BVL</t>
  </si>
  <si>
    <t xml:space="preserve">2454p </t>
  </si>
  <si>
    <t>V1L80429</t>
  </si>
  <si>
    <t>Afful Naana Offeibea</t>
  </si>
  <si>
    <t>VNA7MZ40</t>
  </si>
  <si>
    <t>Twumasi Euodia</t>
  </si>
  <si>
    <t>V1N84798</t>
  </si>
  <si>
    <t>Maame-Bartels Kodwo</t>
  </si>
  <si>
    <t>V5CG0583</t>
  </si>
  <si>
    <t>HSE - Reporting</t>
  </si>
  <si>
    <t>V5TG7436</t>
  </si>
  <si>
    <t xml:space="preserve"> T24i -30</t>
  </si>
  <si>
    <t>VTQ95664</t>
  </si>
  <si>
    <t>VTQ97734</t>
  </si>
  <si>
    <t>Gilbert Amenuvor James</t>
  </si>
  <si>
    <t>V5HVB889</t>
  </si>
  <si>
    <t>V5KGM711</t>
  </si>
  <si>
    <t>T27H-30</t>
  </si>
  <si>
    <t>V5KGM715</t>
  </si>
  <si>
    <t>V5KGM704</t>
  </si>
  <si>
    <t>HSE Intern</t>
  </si>
  <si>
    <t>V5CG0687</t>
  </si>
  <si>
    <t xml:space="preserve">HSE - Environmental </t>
  </si>
  <si>
    <t>VNA3FLZD</t>
  </si>
  <si>
    <t>Anthony Osei Ahenkorah</t>
  </si>
  <si>
    <t>V1N87888</t>
  </si>
  <si>
    <t>VNA01GRN</t>
  </si>
  <si>
    <t>Sena Michael Yaw Mawuyra</t>
  </si>
  <si>
    <t>V1L80422</t>
  </si>
  <si>
    <t>V1821991</t>
  </si>
  <si>
    <t>VNA01H02</t>
  </si>
  <si>
    <t>V5HVB916</t>
  </si>
  <si>
    <t>VNA8K7VX</t>
  </si>
  <si>
    <t>ICT Dept</t>
  </si>
  <si>
    <t>Isaac Osei Kuffuor</t>
  </si>
  <si>
    <t>V3019TW3</t>
  </si>
  <si>
    <t>Agyemang-Nartey Nina Kuor</t>
  </si>
  <si>
    <t>VTQ99494</t>
  </si>
  <si>
    <t>Kwabena Osei</t>
  </si>
  <si>
    <t>VK897865</t>
  </si>
  <si>
    <t>P2412HB</t>
  </si>
  <si>
    <t>CN-0TTMDG-74261-378-24PO</t>
  </si>
  <si>
    <t>Eugenia Mawuko Adoglah</t>
  </si>
  <si>
    <t>V3019THL</t>
  </si>
  <si>
    <t>Frank Buah</t>
  </si>
  <si>
    <t>HP</t>
  </si>
  <si>
    <t>HSTND-3641-N</t>
  </si>
  <si>
    <t>3CM4260GDD</t>
  </si>
  <si>
    <t>3CM4260GC4</t>
  </si>
  <si>
    <t>LT2423wc</t>
  </si>
  <si>
    <t>VK898202</t>
  </si>
  <si>
    <t>V3019THY</t>
  </si>
  <si>
    <t>Travel</t>
  </si>
  <si>
    <t>Vida Asante</t>
  </si>
  <si>
    <t>V3019TKT</t>
  </si>
  <si>
    <t>V5CG0627</t>
  </si>
  <si>
    <t>V5HVB900</t>
  </si>
  <si>
    <t>General Services</t>
  </si>
  <si>
    <t>V3019TVV</t>
  </si>
  <si>
    <t>Bridget Ahiable</t>
  </si>
  <si>
    <t>V5HVB784</t>
  </si>
  <si>
    <t>Lawrence Kermah</t>
  </si>
  <si>
    <t>V1N31649</t>
  </si>
  <si>
    <t>VTQ95656</t>
  </si>
  <si>
    <t>Samson Baffoe</t>
  </si>
  <si>
    <t>V5CG0559</t>
  </si>
  <si>
    <t xml:space="preserve">Ellen Sam Yensu </t>
  </si>
  <si>
    <t>V1L80423</t>
  </si>
  <si>
    <t>Derrick Adjokatse</t>
  </si>
  <si>
    <t>V5CG0580</t>
  </si>
  <si>
    <t>Branoh Kwabena</t>
  </si>
  <si>
    <t>VTQ95646</t>
  </si>
  <si>
    <t>HR</t>
  </si>
  <si>
    <t>C3Z97AA</t>
  </si>
  <si>
    <t>VTQ95672</t>
  </si>
  <si>
    <t>HR - Personnel</t>
  </si>
  <si>
    <t>Tetteh Thelma</t>
  </si>
  <si>
    <t>T24d10</t>
  </si>
  <si>
    <t>V3019TH8</t>
  </si>
  <si>
    <t>Yirenkyi Christabel Ama Ayebea</t>
  </si>
  <si>
    <t>V300HYNC</t>
  </si>
  <si>
    <t>Gloria Baffoe</t>
  </si>
  <si>
    <t>Dorcas Adisah Wumpini Wumbee</t>
  </si>
  <si>
    <t>VTQ95665</t>
  </si>
  <si>
    <t>V3019TVY</t>
  </si>
  <si>
    <t>Abigail-Muriel Oduro Antwi</t>
  </si>
  <si>
    <t>V3019TVB</t>
  </si>
  <si>
    <t>VNA01HBP</t>
  </si>
  <si>
    <t>V5TG7464</t>
  </si>
  <si>
    <t>V1L80426</t>
  </si>
  <si>
    <t>V1N31381</t>
  </si>
  <si>
    <t>VTQ95662</t>
  </si>
  <si>
    <t>Ishmael Danso</t>
  </si>
  <si>
    <t>V3019TKK</t>
  </si>
  <si>
    <t>HR-Cost</t>
  </si>
  <si>
    <t>V1L80416</t>
  </si>
  <si>
    <t>Annabella Glover</t>
  </si>
  <si>
    <t>V5TG7476</t>
  </si>
  <si>
    <t>V1N31380</t>
  </si>
  <si>
    <t>V3019TRR</t>
  </si>
  <si>
    <t>Health</t>
  </si>
  <si>
    <t>VTQ95645</t>
  </si>
  <si>
    <t>Davids Andre Kofi</t>
  </si>
  <si>
    <t>VTQ99489</t>
  </si>
  <si>
    <t>V1N31617</t>
  </si>
  <si>
    <t>Leticia Akagbor</t>
  </si>
  <si>
    <t>VNA01HCT</t>
  </si>
  <si>
    <t>V1N31629</t>
  </si>
  <si>
    <t>V5CG0621</t>
  </si>
  <si>
    <t>Security</t>
  </si>
  <si>
    <t>VNA01GZH</t>
  </si>
  <si>
    <t xml:space="preserve">Pearl Ampomah-Aglubi </t>
  </si>
  <si>
    <t>VNA7MZ4Y</t>
  </si>
  <si>
    <t>Samjaco Staff</t>
  </si>
  <si>
    <t>VNA01H6W</t>
  </si>
  <si>
    <t>Reception</t>
  </si>
  <si>
    <t>Receptionist 1</t>
  </si>
  <si>
    <t>V5CG0598</t>
  </si>
  <si>
    <t>Receptionist 2</t>
  </si>
  <si>
    <t>V5CG0561</t>
  </si>
  <si>
    <t>Control Room</t>
  </si>
  <si>
    <t>V5CG0566</t>
  </si>
  <si>
    <t>Transport Office</t>
  </si>
  <si>
    <t>V3019TTP</t>
  </si>
  <si>
    <t>Transport</t>
  </si>
  <si>
    <t>VNA7MZ2T</t>
  </si>
  <si>
    <t>Vittorio/sabeur.mahfoudh</t>
  </si>
  <si>
    <t>V3019TKD</t>
  </si>
  <si>
    <t>Sanzule</t>
  </si>
  <si>
    <t>V3019TL2</t>
  </si>
  <si>
    <t>Desley sheck Quashie</t>
  </si>
  <si>
    <t>V5HVB922</t>
  </si>
  <si>
    <t>Stephen Kainyah</t>
  </si>
  <si>
    <t>VNA60F7C</t>
  </si>
  <si>
    <t>Benjamin Vroom Parker</t>
  </si>
  <si>
    <t>V5HVB914</t>
  </si>
  <si>
    <t>HSE PTW Desk</t>
  </si>
  <si>
    <t>VTQ96517</t>
  </si>
  <si>
    <t>Agudogo Maxwell/Asmah James/Makafui Ahadzi/Mensah Eric/Emmanuel Osei Amaning/Darko Charles</t>
  </si>
  <si>
    <t>V3019THB</t>
  </si>
  <si>
    <t>Neequaye Curtis/Abankwa Jacob Kwadwo/Abankwa Jacob Kwadwo/Okyere Prince Korankye/Okeke Justice Chidera/Caleb Oppong</t>
  </si>
  <si>
    <t>V3019TVD</t>
  </si>
  <si>
    <t>daniele.iorio/ibrahim.elzain</t>
  </si>
  <si>
    <t>VNA08Z48</t>
  </si>
  <si>
    <t>V3019TKR</t>
  </si>
  <si>
    <t>nicola.petralito/nurudeen.mustapher</t>
  </si>
  <si>
    <t>V3019TTW</t>
  </si>
  <si>
    <t>V3019TRX</t>
  </si>
  <si>
    <t>matthewkofi.ansah/joshua.eshun</t>
  </si>
  <si>
    <t>V300HYP3</t>
  </si>
  <si>
    <t>kwasi.amoa-mensah</t>
  </si>
  <si>
    <t>V3019TV9</t>
  </si>
  <si>
    <t>V5CG0582</t>
  </si>
  <si>
    <t>paul.amoh/abdullah.sani</t>
  </si>
  <si>
    <t>CN-0VRTCJ</t>
  </si>
  <si>
    <t>edudzieyaa.akpablie</t>
  </si>
  <si>
    <t>VNA01HD3</t>
  </si>
  <si>
    <t>prosper.anabire/germaine.mensah</t>
  </si>
  <si>
    <t>VNA60X34</t>
  </si>
  <si>
    <t>V3019TKX</t>
  </si>
  <si>
    <t>Gideon/IT</t>
  </si>
  <si>
    <t>V5CG0564</t>
  </si>
  <si>
    <t>richard.larbi/rachael.forkuoh</t>
  </si>
  <si>
    <t>V3019TW1</t>
  </si>
  <si>
    <t>SMWUH9D</t>
  </si>
  <si>
    <t>Elijah Assan/derrick.ameedzameh</t>
  </si>
  <si>
    <t>VNA08Z7X</t>
  </si>
  <si>
    <t>saviour.humali/emmanuel.twum-barimah</t>
  </si>
  <si>
    <t>V3019TGF</t>
  </si>
  <si>
    <t>V3019TGC</t>
  </si>
  <si>
    <t>Personal Monitor(Non ENI)</t>
  </si>
  <si>
    <t>CN-0CW6Y7</t>
  </si>
  <si>
    <t>NSP/Intern</t>
  </si>
  <si>
    <t>V9-YHWG9</t>
  </si>
  <si>
    <t>kendrick.azu-matey/ernest.bekoe</t>
  </si>
  <si>
    <t>V3019TL1</t>
  </si>
  <si>
    <t>VNA7K2MC</t>
  </si>
  <si>
    <t>gaetano.fraziano</t>
  </si>
  <si>
    <t>V1N84833</t>
  </si>
  <si>
    <t>michael.davis</t>
  </si>
  <si>
    <t>V3019TTZ</t>
  </si>
  <si>
    <t>V3019TK1</t>
  </si>
  <si>
    <t>Non Eni</t>
  </si>
  <si>
    <t>V3019TWD</t>
  </si>
  <si>
    <t>VNA7MZ42</t>
  </si>
  <si>
    <t>V3019THC</t>
  </si>
  <si>
    <t>VNA01H70</t>
  </si>
  <si>
    <t>Andrew Gordon Elleah</t>
  </si>
  <si>
    <t>VNA7MZ4W</t>
  </si>
  <si>
    <t>VNA7MZ3X</t>
  </si>
  <si>
    <t>CHARLES SEDOH</t>
  </si>
  <si>
    <t>V5HVB921</t>
  </si>
  <si>
    <t>vroom parker</t>
  </si>
  <si>
    <t>V5TG7460</t>
  </si>
  <si>
    <t>Massawudu issifu</t>
  </si>
  <si>
    <t>VNA60X3D</t>
  </si>
  <si>
    <t>ABIGAIL ACKAH</t>
  </si>
  <si>
    <t>V1L80274</t>
  </si>
  <si>
    <t>STEPHEN KAINYAH</t>
  </si>
  <si>
    <t>V1L80272</t>
  </si>
  <si>
    <t>DESLEY SHECK QUASHIE</t>
  </si>
  <si>
    <t>V5HVB767</t>
  </si>
  <si>
    <t>DENNIS COBINAH</t>
  </si>
  <si>
    <t>V5HVB898</t>
  </si>
  <si>
    <t xml:space="preserve">FOSTER DOEGAH </t>
  </si>
  <si>
    <t>V3019THD</t>
  </si>
  <si>
    <t>charlotte Mensah</t>
  </si>
  <si>
    <t>VNA7MZ4H</t>
  </si>
  <si>
    <t>Manza korkor kainyah</t>
  </si>
  <si>
    <t>VNA7MZ24</t>
  </si>
  <si>
    <t>VNA60X29</t>
  </si>
  <si>
    <t>V5HVB915</t>
  </si>
  <si>
    <t>Nurse</t>
  </si>
  <si>
    <t>V5HVB766</t>
  </si>
  <si>
    <t>DOC</t>
  </si>
  <si>
    <t>CN-0TTMDG</t>
  </si>
  <si>
    <t>Meeting room</t>
  </si>
  <si>
    <t>CN-0F534F</t>
  </si>
  <si>
    <t>VTQ95655</t>
  </si>
  <si>
    <t>VTQ99522</t>
  </si>
  <si>
    <t>VTQ99492</t>
  </si>
  <si>
    <t>VTQ96504</t>
  </si>
  <si>
    <t>VTQ97727</t>
  </si>
  <si>
    <t>VTQ96500</t>
  </si>
  <si>
    <t>VTQ97738</t>
  </si>
  <si>
    <t>VTQ95049</t>
  </si>
  <si>
    <t>VTQ99479</t>
  </si>
  <si>
    <t>VTQ99487</t>
  </si>
  <si>
    <t>VTQ99496</t>
  </si>
  <si>
    <t>VK898206</t>
  </si>
  <si>
    <t>VTQ95649</t>
  </si>
  <si>
    <t>VTQ99495</t>
  </si>
  <si>
    <t>VTQ95667</t>
  </si>
  <si>
    <t>Assigned</t>
  </si>
  <si>
    <t>Asset Type</t>
  </si>
  <si>
    <t>Model</t>
  </si>
  <si>
    <t xml:space="preserve">Department </t>
  </si>
  <si>
    <t>System Unit</t>
  </si>
  <si>
    <t xml:space="preserve">M700  </t>
  </si>
  <si>
    <t>PC0G3E9X</t>
  </si>
  <si>
    <t>Local Content</t>
  </si>
  <si>
    <t>PC0KKNMX</t>
  </si>
  <si>
    <t xml:space="preserve">M710s  </t>
  </si>
  <si>
    <t>PC0X1B3W</t>
  </si>
  <si>
    <t>PC0SPQ2H</t>
  </si>
  <si>
    <t xml:space="preserve">M83  </t>
  </si>
  <si>
    <t>PC073TWP</t>
  </si>
  <si>
    <t>Ofori Desmond Mark</t>
  </si>
  <si>
    <t>ThinkCentre</t>
  </si>
  <si>
    <t>M75s</t>
  </si>
  <si>
    <t>PC1VLBL7</t>
  </si>
  <si>
    <t>M700</t>
  </si>
  <si>
    <t>PC0KKNMV</t>
  </si>
  <si>
    <t>P700</t>
  </si>
  <si>
    <t>PC0X1B4A</t>
  </si>
  <si>
    <t>S06X0A</t>
  </si>
  <si>
    <t>PC073TX2</t>
  </si>
  <si>
    <t>M83</t>
  </si>
  <si>
    <t>PC073TWR</t>
  </si>
  <si>
    <t>M70s</t>
  </si>
  <si>
    <t>PC1VLBL5</t>
  </si>
  <si>
    <t>PC06RSKU</t>
  </si>
  <si>
    <t>PC0X1B4B</t>
  </si>
  <si>
    <t>PC0SPQ2Q</t>
  </si>
  <si>
    <t>External Comms</t>
  </si>
  <si>
    <t>PC0SPQ2R</t>
  </si>
  <si>
    <t>Finance- Treasury</t>
  </si>
  <si>
    <t>PC0G3E9D</t>
  </si>
  <si>
    <t>Finance- Tax</t>
  </si>
  <si>
    <t>PC0KKNN2</t>
  </si>
  <si>
    <t>PC0X1B4N</t>
  </si>
  <si>
    <t>Finance- Compliance</t>
  </si>
  <si>
    <t>PC073TWS</t>
  </si>
  <si>
    <t>Finance- Budget and Planning</t>
  </si>
  <si>
    <t>M710</t>
  </si>
  <si>
    <t>PC0X1B3X</t>
  </si>
  <si>
    <t>Procurement- Corporate</t>
  </si>
  <si>
    <t>PC0KKNMU</t>
  </si>
  <si>
    <t>Procurement- Vendor Management</t>
  </si>
  <si>
    <t>PB121WXJ</t>
  </si>
  <si>
    <t>Dorcas Assibi Assaka</t>
  </si>
  <si>
    <t>PC0KKNN4</t>
  </si>
  <si>
    <t>Dohzie Bridgette</t>
  </si>
  <si>
    <t>Think Center</t>
  </si>
  <si>
    <t>PC0KKNN9</t>
  </si>
  <si>
    <t>PC0G3E9C</t>
  </si>
  <si>
    <t>Procurement- Contracts Admin</t>
  </si>
  <si>
    <t>MJ0LNEP3</t>
  </si>
  <si>
    <t>PC073TX1</t>
  </si>
  <si>
    <t xml:space="preserve">M700 </t>
  </si>
  <si>
    <t>PC0GLKJ4</t>
  </si>
  <si>
    <t xml:space="preserve">Procurement- Offshore </t>
  </si>
  <si>
    <t>S4M45417</t>
  </si>
  <si>
    <t>Technical- Resv</t>
  </si>
  <si>
    <t>P720</t>
  </si>
  <si>
    <t>PC1E07DP</t>
  </si>
  <si>
    <t>P710</t>
  </si>
  <si>
    <t>PC0KTMY6</t>
  </si>
  <si>
    <t xml:space="preserve">M82 </t>
  </si>
  <si>
    <t>PBD5CP4</t>
  </si>
  <si>
    <t>Technical- Cost/Planning</t>
  </si>
  <si>
    <t>Sarpong Christian</t>
  </si>
  <si>
    <t>PC0X1B4P</t>
  </si>
  <si>
    <t>Hawkson Francis</t>
  </si>
  <si>
    <t>PC0KTMY5</t>
  </si>
  <si>
    <t>Technical- Eng</t>
  </si>
  <si>
    <t>PC0G3E9F</t>
  </si>
  <si>
    <t>PC073TWL</t>
  </si>
  <si>
    <t>Joseph Nyan</t>
  </si>
  <si>
    <t>MJ0LNEFR</t>
  </si>
  <si>
    <t>Mainteance</t>
  </si>
  <si>
    <t>PC0SPQ2J</t>
  </si>
  <si>
    <t>PC0KKNMJ</t>
  </si>
  <si>
    <t>PB021WVG</t>
  </si>
  <si>
    <t>S0LC0M</t>
  </si>
  <si>
    <t>PC0G3E9Z</t>
  </si>
  <si>
    <t xml:space="preserve">Comfort Benewaa Osei Owusu </t>
  </si>
  <si>
    <t xml:space="preserve">M83 </t>
  </si>
  <si>
    <t>PC073TWY</t>
  </si>
  <si>
    <t>PC06RSKW</t>
  </si>
  <si>
    <t>S09J0B</t>
  </si>
  <si>
    <t>PC0X1B42</t>
  </si>
  <si>
    <t>PC0GLKJB</t>
  </si>
  <si>
    <t>MJ0LPARH</t>
  </si>
  <si>
    <t>Quansah Daniel Adom</t>
  </si>
  <si>
    <t>PC0GLKHY</t>
  </si>
  <si>
    <t>S4P69153</t>
  </si>
  <si>
    <t>Afriyie Loretta</t>
  </si>
  <si>
    <t>GM02VWC5</t>
  </si>
  <si>
    <t>PC1E07DQ</t>
  </si>
  <si>
    <t>PC0KTMY7</t>
  </si>
  <si>
    <t>PC0KTMY8</t>
  </si>
  <si>
    <t>Adu-Gyamfi Emmanuel</t>
  </si>
  <si>
    <t>Think Station</t>
  </si>
  <si>
    <t xml:space="preserve">P720 </t>
  </si>
  <si>
    <t>S4M45172</t>
  </si>
  <si>
    <t>GM02VWC7</t>
  </si>
  <si>
    <t xml:space="preserve">Nana Yaw Asante </t>
  </si>
  <si>
    <t>S4M45223</t>
  </si>
  <si>
    <t>GM02VWC6</t>
  </si>
  <si>
    <t>Exploration Reserved</t>
  </si>
  <si>
    <t>GM02VWC9</t>
  </si>
  <si>
    <t>PC0KTMY2</t>
  </si>
  <si>
    <t>PC0GLKJ0</t>
  </si>
  <si>
    <t>ICT</t>
  </si>
  <si>
    <t>PC06RSKX</t>
  </si>
  <si>
    <t>Eugenia Mawuko</t>
  </si>
  <si>
    <t>MJ0LNEKK</t>
  </si>
  <si>
    <t>Nina Nartey</t>
  </si>
  <si>
    <t>MJ0LNEFT</t>
  </si>
  <si>
    <t>MJ0LNEKJ</t>
  </si>
  <si>
    <t>PC0SPQ3A</t>
  </si>
  <si>
    <t>PC0SPQ2L</t>
  </si>
  <si>
    <t>HR-Personnel</t>
  </si>
  <si>
    <t>PC0X1B4Q</t>
  </si>
  <si>
    <t>PC073TWT</t>
  </si>
  <si>
    <t>PC073TX3</t>
  </si>
  <si>
    <t>HR- GSS</t>
  </si>
  <si>
    <t>PC0SPQ2Y</t>
  </si>
  <si>
    <t>PC073TX5</t>
  </si>
  <si>
    <t>PC073TWU</t>
  </si>
  <si>
    <t>PC073TX4</t>
  </si>
  <si>
    <t>PB021WVH</t>
  </si>
  <si>
    <t>PC0GLKJ2</t>
  </si>
  <si>
    <t>M70</t>
  </si>
  <si>
    <t>PC1VLBKZ</t>
  </si>
  <si>
    <t>PC0SPQ32</t>
  </si>
  <si>
    <t>PB021WVK</t>
  </si>
  <si>
    <t>PC0G3E9G</t>
  </si>
  <si>
    <t>S4M45185</t>
  </si>
  <si>
    <t>MJ0LNEP5</t>
  </si>
  <si>
    <t>Rig</t>
  </si>
  <si>
    <t>MJ0LPB1R</t>
  </si>
  <si>
    <t>MJ0LPARK</t>
  </si>
  <si>
    <t>Thunder warning sytem - sanzule</t>
  </si>
  <si>
    <t>MJ0LNEKF</t>
  </si>
  <si>
    <t>MJ0LPARJ</t>
  </si>
  <si>
    <t>MJ0LNEFP</t>
  </si>
  <si>
    <t>MJ0LPARD</t>
  </si>
  <si>
    <t>Electrical SPV -Derrick</t>
  </si>
  <si>
    <t>MJ0LNEKL</t>
  </si>
  <si>
    <t>MJ0LLL70P</t>
  </si>
  <si>
    <t>MJ0LNEFW</t>
  </si>
  <si>
    <t xml:space="preserve">Mustapha Nurudeen </t>
  </si>
  <si>
    <t>GM06ZW23</t>
  </si>
  <si>
    <t>Akparibo Neematu/Regina Banafo</t>
  </si>
  <si>
    <t>MJ0LNEFX</t>
  </si>
  <si>
    <t>Paul Amoh/Sani Abdullah Mohammed</t>
  </si>
  <si>
    <t>PC0SPQ2T</t>
  </si>
  <si>
    <t>GM06ZW1V</t>
  </si>
  <si>
    <t>Neequaye Curtis/Abankwa Jacob Kwadwo/Abankwa Jacob Kwadwo/Okyere Prince Korankye/Okeke Justice Chidera/Caleb Oppong /Yirenkyi Emmanuel Ohene</t>
  </si>
  <si>
    <t>PC0SPQ2W</t>
  </si>
  <si>
    <t>Nitrogen and Instrument Air Monitoring</t>
  </si>
  <si>
    <t>PC0G3E9S</t>
  </si>
  <si>
    <t xml:space="preserve">Monitoring CCTV </t>
  </si>
  <si>
    <t>D11S001</t>
  </si>
  <si>
    <t>GM06ZW22</t>
  </si>
  <si>
    <t>GM06ZW1X</t>
  </si>
  <si>
    <t>PC0KKNMS</t>
  </si>
  <si>
    <t>NSP</t>
  </si>
  <si>
    <t>PC1VLBL1</t>
  </si>
  <si>
    <t>kendrick.azu-matey/</t>
  </si>
  <si>
    <t>PC0SPQ33</t>
  </si>
  <si>
    <t>PC0X1B3Y</t>
  </si>
  <si>
    <t>BENJAMIN VROOM PARKER</t>
  </si>
  <si>
    <t>PC0X1B4M</t>
  </si>
  <si>
    <t>PC1F8Y7K</t>
  </si>
  <si>
    <t>PC0KKNN5</t>
  </si>
  <si>
    <t>PC0SPQ3B</t>
  </si>
  <si>
    <t>PC1VLBL4</t>
  </si>
  <si>
    <t>ORF Doctor</t>
  </si>
  <si>
    <t>PC0X1B46</t>
  </si>
  <si>
    <t>PC0KKNNB</t>
  </si>
  <si>
    <t xml:space="preserve"> M710s</t>
  </si>
  <si>
    <t>PC0X1B44</t>
  </si>
  <si>
    <t xml:space="preserve">To be scrapped </t>
  </si>
  <si>
    <t>PC0X1B3Z</t>
  </si>
  <si>
    <t xml:space="preserve"> M700</t>
  </si>
  <si>
    <t>PC0KKNN8</t>
  </si>
  <si>
    <t xml:space="preserve"> Optiplex 760</t>
  </si>
  <si>
    <t>G6SJJ47</t>
  </si>
  <si>
    <t>PC0GLKJ8</t>
  </si>
  <si>
    <t>PC07ZY3G</t>
  </si>
  <si>
    <t>PC1VLBL6</t>
  </si>
  <si>
    <t>PC0KKNN3</t>
  </si>
  <si>
    <t>PC06RSKS</t>
  </si>
  <si>
    <t>PC04ERVU</t>
  </si>
  <si>
    <t>MJ0LPARL</t>
  </si>
  <si>
    <t>LENOVO THINKSTATION P720S</t>
  </si>
  <si>
    <t>GM02VWC8</t>
  </si>
  <si>
    <t>LENOVO ThinkCenter M75s</t>
  </si>
  <si>
    <t>GM06ZW24</t>
  </si>
  <si>
    <t>GM06ZW21</t>
  </si>
  <si>
    <t>GM06ZW20</t>
  </si>
  <si>
    <t>GM06ZW1Z</t>
  </si>
  <si>
    <t>GM06ZW1W</t>
  </si>
  <si>
    <t>GM06ZW1Y</t>
  </si>
  <si>
    <t>LENOVO ULTRA-DOCKING STATION</t>
  </si>
  <si>
    <t>M2F03RD9</t>
  </si>
  <si>
    <t>N</t>
  </si>
  <si>
    <t>M2F03XPM</t>
  </si>
  <si>
    <t>M2F03RDP</t>
  </si>
  <si>
    <t>M2F03XR3</t>
  </si>
  <si>
    <t>M2F03REE</t>
  </si>
  <si>
    <t>M2F03RDT</t>
  </si>
  <si>
    <t>M2F03RDX</t>
  </si>
  <si>
    <t>M2F03REO</t>
  </si>
  <si>
    <t>M2F03RDY</t>
  </si>
  <si>
    <t>M2F03RE2</t>
  </si>
  <si>
    <t>M2F03RE7</t>
  </si>
  <si>
    <t>f</t>
  </si>
  <si>
    <t>M2F03RE6</t>
  </si>
  <si>
    <t>M2F03RE5</t>
  </si>
  <si>
    <t>M2F03RE3</t>
  </si>
  <si>
    <t>M2F03RE4</t>
  </si>
  <si>
    <t>M2F04024</t>
  </si>
  <si>
    <t>M2F0403R</t>
  </si>
  <si>
    <t>M2F04039</t>
  </si>
  <si>
    <t>M2F0403T</t>
  </si>
  <si>
    <t>M2F04031</t>
  </si>
  <si>
    <t>M2F0402W</t>
  </si>
  <si>
    <t>M2F04022</t>
  </si>
  <si>
    <t>M2F0402L</t>
  </si>
  <si>
    <t>M2F0402Y</t>
  </si>
  <si>
    <t>M2F0402P</t>
  </si>
  <si>
    <t>M2F0402R</t>
  </si>
  <si>
    <t>M2F0402N</t>
  </si>
  <si>
    <t>M2F0402T</t>
  </si>
  <si>
    <t>M2F04026</t>
  </si>
  <si>
    <t>M2F04028</t>
  </si>
  <si>
    <t>M2F04027</t>
  </si>
  <si>
    <t>M2F04029</t>
  </si>
  <si>
    <t>M2F0402V</t>
  </si>
  <si>
    <t>M2F0402Z</t>
  </si>
  <si>
    <t>M2F04032</t>
  </si>
  <si>
    <t>M2F0402X</t>
  </si>
  <si>
    <t>M2F03REC</t>
  </si>
  <si>
    <t>M2F03REG</t>
  </si>
  <si>
    <t>M2F03RBO</t>
  </si>
  <si>
    <t>M2F03XNA</t>
  </si>
  <si>
    <t>M2F03XNG</t>
  </si>
  <si>
    <t>M2F03XNK</t>
  </si>
  <si>
    <t>M2F03XNF</t>
  </si>
  <si>
    <t>M2F03XNH</t>
  </si>
  <si>
    <t>M2F03XNL</t>
  </si>
  <si>
    <t>M2F03XM6</t>
  </si>
  <si>
    <t>M2F03XLT</t>
  </si>
  <si>
    <t>M2F03XNT</t>
  </si>
  <si>
    <t>M2F03XNV</t>
  </si>
  <si>
    <t>M2F03XL4</t>
  </si>
  <si>
    <t>M2F03XN4</t>
  </si>
  <si>
    <t>M2F03XMZ</t>
  </si>
  <si>
    <t>M2F03XNB</t>
  </si>
  <si>
    <t>M2F03XNX</t>
  </si>
  <si>
    <t>M2F03RDZ</t>
  </si>
  <si>
    <t>M2F03REI</t>
  </si>
  <si>
    <t>M2F03XMI</t>
  </si>
  <si>
    <t>M2F03XMF</t>
  </si>
  <si>
    <t>M2F03XR5</t>
  </si>
  <si>
    <t>M2F03XM9</t>
  </si>
  <si>
    <t>M2F03XP2</t>
  </si>
  <si>
    <t>M2F03XR6</t>
  </si>
  <si>
    <t>M2F03RB4</t>
  </si>
  <si>
    <t>M2F03RD8</t>
  </si>
  <si>
    <t>M2F03RDH</t>
  </si>
  <si>
    <t>M2F03RD4</t>
  </si>
  <si>
    <t>M2F03RDG</t>
  </si>
  <si>
    <t>M2F03RDK</t>
  </si>
  <si>
    <t>M2F03XM7</t>
  </si>
  <si>
    <t>M2F03XNN</t>
  </si>
  <si>
    <t>M2F03XNM</t>
  </si>
  <si>
    <t>M2F03XVR</t>
  </si>
  <si>
    <t>M2F03XLH</t>
  </si>
  <si>
    <t xml:space="preserve">N </t>
  </si>
  <si>
    <t>M2F03XMN</t>
  </si>
  <si>
    <t>M2F03XMW</t>
  </si>
  <si>
    <t>M2F03XLZ</t>
  </si>
  <si>
    <t>M2F03XMR</t>
  </si>
  <si>
    <t>M2F03XL2</t>
  </si>
  <si>
    <t>M2F03XN6</t>
  </si>
  <si>
    <t>M2F03XN8</t>
  </si>
  <si>
    <t>M2F03XN0</t>
  </si>
  <si>
    <t>M2F03XN7</t>
  </si>
  <si>
    <t>M2F03XN9</t>
  </si>
  <si>
    <t>M2F03RD6</t>
  </si>
  <si>
    <t>M2F03RCY</t>
  </si>
  <si>
    <t>M2F03RDE</t>
  </si>
  <si>
    <t>M2F03RDM</t>
  </si>
  <si>
    <t>M2F03RD7</t>
  </si>
  <si>
    <t>M2F03RDR</t>
  </si>
  <si>
    <t>LENOVO Ultra-Docking Station</t>
  </si>
  <si>
    <t>ZVQ1TY7S</t>
  </si>
  <si>
    <t>ZVQ1VDGV</t>
  </si>
  <si>
    <t>ZVQ1VDP7</t>
  </si>
  <si>
    <t>ZVQ1V29X</t>
  </si>
  <si>
    <t>ZVQ1V27Q</t>
  </si>
  <si>
    <t>ZVQ1V2C8</t>
  </si>
  <si>
    <t>Mohsen Maamori</t>
  </si>
  <si>
    <t>ZVQ1VDPY</t>
  </si>
  <si>
    <t>Samira Sumaira</t>
  </si>
  <si>
    <t>ZVQ1V27Y</t>
  </si>
  <si>
    <t>ZVQ1VDL6</t>
  </si>
  <si>
    <t>Tommaso Tagliaffiero</t>
  </si>
  <si>
    <t>ZVQ1VDNR</t>
  </si>
  <si>
    <t xml:space="preserve">ZVQ1TYHM </t>
  </si>
  <si>
    <t>ZVQ1V2C0</t>
  </si>
  <si>
    <t xml:space="preserve">Abdullah Sani </t>
  </si>
  <si>
    <t xml:space="preserve">ZVQ1VDNQ </t>
  </si>
  <si>
    <t>Kimathi Agyeman Rawlings</t>
  </si>
  <si>
    <t>ZVQ1VDPX</t>
  </si>
  <si>
    <t>ZVQ1TYH3</t>
  </si>
  <si>
    <t xml:space="preserve">Abigail-Muriel </t>
  </si>
  <si>
    <t>ZVQ1TY95</t>
  </si>
  <si>
    <t>ZVQ1VDL5</t>
  </si>
  <si>
    <t>ZVQ1VDMK</t>
  </si>
  <si>
    <t>Abena Owusu Aboagyewaa</t>
  </si>
  <si>
    <t xml:space="preserve">ZVQ1TY57 </t>
  </si>
  <si>
    <t xml:space="preserve">ZVQ1TY6N </t>
  </si>
  <si>
    <t>OCTP Boardroom</t>
  </si>
  <si>
    <t xml:space="preserve">ZVQ1TY87 </t>
  </si>
  <si>
    <t xml:space="preserve">ZVQ1TXZ6 </t>
  </si>
  <si>
    <t>ZVQ1VDQ2</t>
  </si>
  <si>
    <t xml:space="preserve">ZVQ1VDPQ </t>
  </si>
  <si>
    <t>ZVQ1VDKD</t>
  </si>
  <si>
    <t xml:space="preserve">ZVQ1VDNV </t>
  </si>
  <si>
    <t>ZVQ1TYAR</t>
  </si>
  <si>
    <t>ZVQ1VDH1</t>
  </si>
  <si>
    <t>ZVQ1TY8F</t>
  </si>
  <si>
    <t>ZVQ1TYAD</t>
  </si>
  <si>
    <t xml:space="preserve">ZVQ1TYHR </t>
  </si>
  <si>
    <t xml:space="preserve">ZVQ1VDJ9 </t>
  </si>
  <si>
    <t>ZVQlVDPZ</t>
  </si>
  <si>
    <t xml:space="preserve">ZVQ1TYBF </t>
  </si>
  <si>
    <t>ZVQ1TYGK</t>
  </si>
  <si>
    <t xml:space="preserve">ZVQ1V29Z </t>
  </si>
  <si>
    <t>ZVQ1VDK7</t>
  </si>
  <si>
    <t>Luca Striglio</t>
  </si>
  <si>
    <t xml:space="preserve">ZVQ1VDKT </t>
  </si>
  <si>
    <t xml:space="preserve">ZVQ1V2C6 </t>
  </si>
  <si>
    <t xml:space="preserve">ZVQ1V2A7 </t>
  </si>
  <si>
    <t xml:space="preserve">ZVQ1V19Y </t>
  </si>
  <si>
    <t>Paul Kalevor Sedofia</t>
  </si>
  <si>
    <t xml:space="preserve">ZVQ1VDK5 </t>
  </si>
  <si>
    <t>Hermann Sintim-Aboagye</t>
  </si>
  <si>
    <t>ZVQ1VDPM</t>
  </si>
  <si>
    <t>ZVQ1VDHV</t>
  </si>
  <si>
    <t>George Asamoah Baidoo</t>
  </si>
  <si>
    <t xml:space="preserve">ZVQ1VDK8 </t>
  </si>
  <si>
    <t>Maame Bartels</t>
  </si>
  <si>
    <t>ZVQ1VDNN</t>
  </si>
  <si>
    <t>Kofi Andre Davids</t>
  </si>
  <si>
    <t>ZVQ1V28Q</t>
  </si>
  <si>
    <t>Francis Samanyhia</t>
  </si>
  <si>
    <t>ZVQ1VDN1</t>
  </si>
  <si>
    <t>ZVQ1VDKB</t>
  </si>
  <si>
    <t xml:space="preserve">ZVQ1VDHH </t>
  </si>
  <si>
    <t xml:space="preserve">ZVQ1V2A8 </t>
  </si>
  <si>
    <t>ZVQ1V2BB</t>
  </si>
  <si>
    <t>Ann Taki Dorcas</t>
  </si>
  <si>
    <t xml:space="preserve">ZVQ1TY8J </t>
  </si>
  <si>
    <t>ZVT0F210</t>
  </si>
  <si>
    <t>Nana Kuffuor</t>
  </si>
  <si>
    <t xml:space="preserve">ZVQ1TYAZ </t>
  </si>
  <si>
    <t xml:space="preserve">ZVQ1V2AD </t>
  </si>
  <si>
    <t xml:space="preserve">ZVQ1TYBY </t>
  </si>
  <si>
    <t>ZVQ1VDMS</t>
  </si>
  <si>
    <t>Dorothy Kesewaa Osei</t>
  </si>
  <si>
    <t>ZVQ1VDNA</t>
  </si>
  <si>
    <t>ZVQ1VDQ4</t>
  </si>
  <si>
    <t>ZVQ1VD6K</t>
  </si>
  <si>
    <t>ZVQ1VDPZ</t>
  </si>
  <si>
    <t>ZVQlVDKQ</t>
  </si>
  <si>
    <t xml:space="preserve">ZVQlVDLC </t>
  </si>
  <si>
    <t xml:space="preserve">ZVQ1VDNM </t>
  </si>
  <si>
    <t xml:space="preserve">ZVQlVDPV </t>
  </si>
  <si>
    <t xml:space="preserve">ZVQ1PDM </t>
  </si>
  <si>
    <t xml:space="preserve">ZVQ1TXWV </t>
  </si>
  <si>
    <t>ZVQlVDLA</t>
  </si>
  <si>
    <t>ZVQ1V27D</t>
  </si>
  <si>
    <t>ZVQ1VDL9</t>
  </si>
  <si>
    <t xml:space="preserve">ZVQ1TYAY </t>
  </si>
  <si>
    <t>ZVQ1TYGR</t>
  </si>
  <si>
    <t xml:space="preserve">ZVQ1TYAE </t>
  </si>
  <si>
    <t xml:space="preserve">ZVQ1TYHQ </t>
  </si>
  <si>
    <t xml:space="preserve">ZVQ1VDPP </t>
  </si>
  <si>
    <t xml:space="preserve">ZVQ1VDPJ </t>
  </si>
  <si>
    <t>ZVQ1VDKR</t>
  </si>
  <si>
    <t>ZVQ1TYH8</t>
  </si>
  <si>
    <t>ZVT08VEF</t>
  </si>
  <si>
    <t>Benard Kwaku Sakitey</t>
  </si>
  <si>
    <t>ZVT0F276</t>
  </si>
  <si>
    <t>Gilbert James Amenuvor</t>
  </si>
  <si>
    <t>ZVT0F220</t>
  </si>
  <si>
    <t>ZVT0EZ3D</t>
  </si>
  <si>
    <t>ZVT08VPU</t>
  </si>
  <si>
    <t>ZVT0EXJH</t>
  </si>
  <si>
    <t>ZVT0EZ82</t>
  </si>
  <si>
    <t>ZVW00ARJ</t>
  </si>
  <si>
    <t>ZVW006ZS</t>
  </si>
  <si>
    <t>Vincenzo Ragone</t>
  </si>
  <si>
    <t>ZVT0EXNG</t>
  </si>
  <si>
    <t>ZVT0EYP9</t>
  </si>
  <si>
    <t>ZVW006LE</t>
  </si>
  <si>
    <t>ZVT08VJ4</t>
  </si>
  <si>
    <t>Pearl Aglubi</t>
  </si>
  <si>
    <t>ZVT08VHM</t>
  </si>
  <si>
    <t>Amin Abdul Rahman</t>
  </si>
  <si>
    <t>ZVW00CBR</t>
  </si>
  <si>
    <t>ZVW0072Y</t>
  </si>
  <si>
    <t>Gabriele Granata</t>
  </si>
  <si>
    <t>ZVT0APDL</t>
  </si>
  <si>
    <t>ZVT0F1V7</t>
  </si>
  <si>
    <t>ZVW005Q0</t>
  </si>
  <si>
    <t>Nana Minka</t>
  </si>
  <si>
    <t>ZVT0EZQA</t>
  </si>
  <si>
    <t>Irene Asomani</t>
  </si>
  <si>
    <t>ZVT0F20R</t>
  </si>
  <si>
    <t>Gerald Yeboah</t>
  </si>
  <si>
    <t>ZVT0EZ8Y</t>
  </si>
  <si>
    <t>ZVT0F232</t>
  </si>
  <si>
    <t>ZVT08VK2</t>
  </si>
  <si>
    <t>ZVW009KK</t>
  </si>
  <si>
    <t>ZVT0F1V8</t>
  </si>
  <si>
    <t>ZVW03DQM</t>
  </si>
  <si>
    <t>ZVW006QM</t>
  </si>
  <si>
    <t>ZVT08VKU</t>
  </si>
  <si>
    <t>ZVT0F24M</t>
  </si>
  <si>
    <t xml:space="preserve"> Ruby Offeibea Adu</t>
  </si>
  <si>
    <t>ZVW006WC</t>
  </si>
  <si>
    <t>Minsung Paul</t>
  </si>
  <si>
    <t>ZVT0F1VP</t>
  </si>
  <si>
    <t>ZVT0F1Y6</t>
  </si>
  <si>
    <t>ZVT08VK1</t>
  </si>
  <si>
    <t>Freeman Aikins</t>
  </si>
  <si>
    <t>ZVT0APFJ</t>
  </si>
  <si>
    <t>Irene Ansong</t>
  </si>
  <si>
    <t>ZVT0APHA</t>
  </si>
  <si>
    <t>ZVT0APE1</t>
  </si>
  <si>
    <t>ZVT0F1VJ</t>
  </si>
  <si>
    <t>ZVT0EYQ4</t>
  </si>
  <si>
    <t>ZVT08T4W</t>
  </si>
  <si>
    <t>ZVT0F25Y</t>
  </si>
  <si>
    <t xml:space="preserve">Emmanuel Gyinae </t>
  </si>
  <si>
    <t>ZVW004SN</t>
  </si>
  <si>
    <t>Brian Adomako</t>
  </si>
  <si>
    <t>ZVT0APDD</t>
  </si>
  <si>
    <t>Vida Mintah Asare</t>
  </si>
  <si>
    <t>ZVT08VDZ</t>
  </si>
  <si>
    <t>ZVT0APF8</t>
  </si>
  <si>
    <t>ZVT0EXKC</t>
  </si>
  <si>
    <t>Rachael Forkuah</t>
  </si>
  <si>
    <t>ZVT0F22Q</t>
  </si>
  <si>
    <t>MATTHEW/GOODMAN</t>
  </si>
  <si>
    <t>ZVT0EZJ9</t>
  </si>
  <si>
    <t>PROPSER/GERMAINE</t>
  </si>
  <si>
    <t>ZVT0EZFG</t>
  </si>
  <si>
    <t>SAVIOUR/EMMANUEL</t>
  </si>
  <si>
    <t>ZVT0F1XD</t>
  </si>
  <si>
    <t>SORIN/GAETANO</t>
  </si>
  <si>
    <t>ZVT0APHE</t>
  </si>
  <si>
    <t>Nana Yaa Ofori Sika</t>
  </si>
  <si>
    <t>ZVW009G8</t>
  </si>
  <si>
    <t>ZVT0APDA</t>
  </si>
  <si>
    <t>ZVW000GS</t>
  </si>
  <si>
    <t>ZVT08VJR</t>
  </si>
  <si>
    <t>ZVW00783</t>
  </si>
  <si>
    <t>ZVT0F203</t>
  </si>
  <si>
    <t>ZVT0APGV</t>
  </si>
  <si>
    <t>ZVT0APGA</t>
  </si>
  <si>
    <t>ZVT0APDE</t>
  </si>
  <si>
    <t>ZVW004QZ</t>
  </si>
  <si>
    <t>Contract Admin Mgr.</t>
  </si>
  <si>
    <t>ZVT0F1Z7</t>
  </si>
  <si>
    <t>ZVT0EZEY</t>
  </si>
  <si>
    <t>ZVT0EXK4</t>
  </si>
  <si>
    <t>ZVT0F262</t>
  </si>
  <si>
    <t>Laryea Fiona</t>
  </si>
  <si>
    <t>ZVT0F634</t>
  </si>
  <si>
    <t>Seshie Audrey</t>
  </si>
  <si>
    <t>ZVT08VJD</t>
  </si>
  <si>
    <t>ZVW005F1</t>
  </si>
  <si>
    <t>ZVT0APDM</t>
  </si>
  <si>
    <t>ThinkPad Pro Docking Station</t>
  </si>
  <si>
    <t>40AH</t>
  </si>
  <si>
    <t>ThinkPad Ultra Docking Station</t>
  </si>
  <si>
    <t>40A2</t>
  </si>
  <si>
    <t>Mac Address</t>
  </si>
  <si>
    <t>CISCO IP PHONE 7975G</t>
  </si>
  <si>
    <t>Cisco</t>
  </si>
  <si>
    <t>IP Phone</t>
  </si>
  <si>
    <t>CP-7965G</t>
  </si>
  <si>
    <t>FCH1703ABF6</t>
  </si>
  <si>
    <t>FCH18018EEC</t>
  </si>
  <si>
    <t>FCH19269BJ6</t>
  </si>
  <si>
    <t>FCH19458VZ4</t>
  </si>
  <si>
    <t>FCH16108BH8</t>
  </si>
  <si>
    <t>FCH19148FPQ</t>
  </si>
  <si>
    <t>Abena A. Owusu</t>
  </si>
  <si>
    <t>FCH19179CVD</t>
  </si>
  <si>
    <t>FCH18489VTT</t>
  </si>
  <si>
    <t>CP-8865</t>
  </si>
  <si>
    <t>PUC22058MD4</t>
  </si>
  <si>
    <t>Local content</t>
  </si>
  <si>
    <t>FCH19458W2W</t>
  </si>
  <si>
    <t>188B451855EA</t>
  </si>
  <si>
    <t>FCH19258W54</t>
  </si>
  <si>
    <t>F0B2E58E407D</t>
  </si>
  <si>
    <t>FCH161087FT</t>
  </si>
  <si>
    <t>C8F9F968F0A6</t>
  </si>
  <si>
    <t>Loc. Con NSP Desk</t>
  </si>
  <si>
    <t>FCH16108B6J</t>
  </si>
  <si>
    <t>C8F9F9690178</t>
  </si>
  <si>
    <t>Sally Adjei Afia</t>
  </si>
  <si>
    <t>FCH18478NVH</t>
  </si>
  <si>
    <t>E0899D953279</t>
  </si>
  <si>
    <t>FCH19458791</t>
  </si>
  <si>
    <t>188B451812FA</t>
  </si>
  <si>
    <t>Local Content NSP Desk 2</t>
  </si>
  <si>
    <t>FCH19188SPN</t>
  </si>
  <si>
    <t>BCC403A59AEB</t>
  </si>
  <si>
    <t>CISCO IP PHONE 7975g</t>
  </si>
  <si>
    <t>Jemima kwakyewaa</t>
  </si>
  <si>
    <t>CP-7975G</t>
  </si>
  <si>
    <t>FCH2222DSMF</t>
  </si>
  <si>
    <t>007E95FD5D01</t>
  </si>
  <si>
    <t>NSP Desk 3</t>
  </si>
  <si>
    <t>FCH1610844R</t>
  </si>
  <si>
    <t>C8F9F968E1A4</t>
  </si>
  <si>
    <t>FCH19138RBL</t>
  </si>
  <si>
    <t>Afriyie Rita</t>
  </si>
  <si>
    <t>FCH161084SE</t>
  </si>
  <si>
    <t>C8F9F968E484</t>
  </si>
  <si>
    <t>Kofi Boateng Osei Frimpong</t>
  </si>
  <si>
    <t>FCH1945936S</t>
  </si>
  <si>
    <t>188B4518760A</t>
  </si>
  <si>
    <t>FCH18339KWG</t>
  </si>
  <si>
    <t>F09E630FBFED</t>
  </si>
  <si>
    <t>CISCO IP PHONE 8865</t>
  </si>
  <si>
    <t>FCH2150DJ2H</t>
  </si>
  <si>
    <t>247E12BEA851</t>
  </si>
  <si>
    <t>CISCO IP PHONE 7965G</t>
  </si>
  <si>
    <t>FCH191184NH</t>
  </si>
  <si>
    <t>BCF1F2E98906</t>
  </si>
  <si>
    <t>FCH1617933A</t>
  </si>
  <si>
    <t>A418758B6831</t>
  </si>
  <si>
    <t>FCH16158TQ2</t>
  </si>
  <si>
    <t>F4EA674981B7</t>
  </si>
  <si>
    <t>Rachael Owiredu</t>
  </si>
  <si>
    <t>FCH19458YY6</t>
  </si>
  <si>
    <t>188B451862D6</t>
  </si>
  <si>
    <t>External Affairs NSP</t>
  </si>
  <si>
    <t>FCH2208D1V0</t>
  </si>
  <si>
    <t>00BF7770B7B0</t>
  </si>
  <si>
    <t>FCH19458VZC</t>
  </si>
  <si>
    <t>188B45185572</t>
  </si>
  <si>
    <t>FCH181182TN</t>
  </si>
  <si>
    <t>B000B4D91A38</t>
  </si>
  <si>
    <t xml:space="preserve">Samuel Kofi Ackon </t>
  </si>
  <si>
    <t>FCH1536922U</t>
  </si>
  <si>
    <t>68BC0C81138C</t>
  </si>
  <si>
    <t>Mary BentumaAkotua</t>
  </si>
  <si>
    <t>FCH181280UP</t>
  </si>
  <si>
    <t>B000B4D9BAFE</t>
  </si>
  <si>
    <t>FCH19248HFH</t>
  </si>
  <si>
    <t>DCEB94BD5AC4</t>
  </si>
  <si>
    <t>FCH19268UAH</t>
  </si>
  <si>
    <t>F0B2E58F2614</t>
  </si>
  <si>
    <t>Gideon Amponsah</t>
  </si>
  <si>
    <t>FCH194592A9</t>
  </si>
  <si>
    <t>188B451871FD</t>
  </si>
  <si>
    <t xml:space="preserve">Raymond Appiah </t>
  </si>
  <si>
    <t>FCH17148HPJ</t>
  </si>
  <si>
    <t>08CC68E82B54</t>
  </si>
  <si>
    <t>Felix Agyei Kyei</t>
  </si>
  <si>
    <t>FCH194593C9</t>
  </si>
  <si>
    <t>188B451876C5</t>
  </si>
  <si>
    <t>FCH192580HZ</t>
  </si>
  <si>
    <t>DCEB94BDDA64</t>
  </si>
  <si>
    <t>FCH1945933Q</t>
  </si>
  <si>
    <t>188B451875A2</t>
  </si>
  <si>
    <t>FCH161084BB</t>
  </si>
  <si>
    <t>C8F9F968E284</t>
  </si>
  <si>
    <t>Kwasi Yirenkyi</t>
  </si>
  <si>
    <t>FCH19138R1P</t>
  </si>
  <si>
    <t>40A6E85379F6</t>
  </si>
  <si>
    <t xml:space="preserve">Shermimatu Tetteh </t>
  </si>
  <si>
    <t>FCH161089C2</t>
  </si>
  <si>
    <t>C8F9F968F92F</t>
  </si>
  <si>
    <t>FCH1804990C</t>
  </si>
  <si>
    <t>580A2098B74D</t>
  </si>
  <si>
    <t xml:space="preserve">Emmanuella Amisah </t>
  </si>
  <si>
    <t>FCH2227FEAK</t>
  </si>
  <si>
    <t>B0907E6A4E29</t>
  </si>
  <si>
    <t>Augustus Ghansah</t>
  </si>
  <si>
    <t>FCH19398NTM</t>
  </si>
  <si>
    <t>9C57AD022EBD</t>
  </si>
  <si>
    <t>FCH2208DD07</t>
  </si>
  <si>
    <t>00BF7770CE0E</t>
  </si>
  <si>
    <t>FCH192580B5</t>
  </si>
  <si>
    <t>DCEB94BDD97C</t>
  </si>
  <si>
    <t>FCH14109NDK</t>
  </si>
  <si>
    <t>FCFBFBCB0118</t>
  </si>
  <si>
    <t>FCH194592ZA</t>
  </si>
  <si>
    <t>188B45187506</t>
  </si>
  <si>
    <t>FCH19458W2P</t>
  </si>
  <si>
    <t>188B451855E3</t>
  </si>
  <si>
    <t>FCH1938R1C</t>
  </si>
  <si>
    <t>FCH19359AZ9</t>
  </si>
  <si>
    <t>DCCEC11502F9</t>
  </si>
  <si>
    <t>FCH194586X3</t>
  </si>
  <si>
    <t>188b45181164</t>
  </si>
  <si>
    <t>FCH192580D3</t>
  </si>
  <si>
    <t>DCEB94BDD9BE</t>
  </si>
  <si>
    <t>CP-7945G</t>
  </si>
  <si>
    <t>FCH180496VT</t>
  </si>
  <si>
    <t>580A2098AD9D</t>
  </si>
  <si>
    <t>PUC22058MCH</t>
  </si>
  <si>
    <t>FCH19328BVK</t>
  </si>
  <si>
    <t>Christabelle Hesse</t>
  </si>
  <si>
    <t>FCH191184NZ</t>
  </si>
  <si>
    <t>BCF1F2E98916</t>
  </si>
  <si>
    <t>PUC22058MB6</t>
  </si>
  <si>
    <t>682C7B5C4C16</t>
  </si>
  <si>
    <t>FCH181280RN</t>
  </si>
  <si>
    <t>B000B4D9BA97</t>
  </si>
  <si>
    <t>FCH17538GSB</t>
  </si>
  <si>
    <t>6C9989843D2E</t>
  </si>
  <si>
    <t>FCH19179CWS</t>
  </si>
  <si>
    <t>BCC493A4F3D6</t>
  </si>
  <si>
    <t>FCH18489Z7L</t>
  </si>
  <si>
    <t>1CE85DC8B6AD</t>
  </si>
  <si>
    <t>FCH14109N6B</t>
  </si>
  <si>
    <t>FCFBFBCB0022</t>
  </si>
  <si>
    <t>FCH18339XQJ</t>
  </si>
  <si>
    <t>F09E630FF54F</t>
  </si>
  <si>
    <t>FCH181180NA</t>
  </si>
  <si>
    <t>B000B4D9107A</t>
  </si>
  <si>
    <t>6C99898480D5</t>
  </si>
  <si>
    <t>FCH17148HP7</t>
  </si>
  <si>
    <t>08CC68E82B49</t>
  </si>
  <si>
    <t>FCH18118NCR</t>
  </si>
  <si>
    <t>B000B4D97248</t>
  </si>
  <si>
    <t>Zakiyat Alhassan</t>
  </si>
  <si>
    <t>FCH18488EJV</t>
  </si>
  <si>
    <t>E0899D95EC3C</t>
  </si>
  <si>
    <t>FCH2043FHLW</t>
  </si>
  <si>
    <t>00425AC72847</t>
  </si>
  <si>
    <t>Sintim-Aboagye Hermann</t>
  </si>
  <si>
    <t>FCH1958YV3</t>
  </si>
  <si>
    <t>FCH19259PKG</t>
  </si>
  <si>
    <t>F0B2E58EAC42</t>
  </si>
  <si>
    <t>FCH18219YJ0</t>
  </si>
  <si>
    <t>381C1ABA9D1D</t>
  </si>
  <si>
    <t>FCH1703ACW6</t>
  </si>
  <si>
    <t>F02929591D13</t>
  </si>
  <si>
    <t>Patience Tudzi</t>
  </si>
  <si>
    <t>FCH16179ATN</t>
  </si>
  <si>
    <t>A418758B8B04</t>
  </si>
  <si>
    <t>FCH16108BUQ</t>
  </si>
  <si>
    <t>Eva Sarkodee</t>
  </si>
  <si>
    <t>FCH161089D1</t>
  </si>
  <si>
    <t>CSF9F9</t>
  </si>
  <si>
    <t>FCH161089C3</t>
  </si>
  <si>
    <t>C8F9F968F930</t>
  </si>
  <si>
    <t>FCH1610899V</t>
  </si>
  <si>
    <t>C8F9F968F8E4</t>
  </si>
  <si>
    <t>FCH19328BXC</t>
  </si>
  <si>
    <t>FCH2150DJBE</t>
  </si>
  <si>
    <t>247E12BEA980</t>
  </si>
  <si>
    <t>FCH18448YQJ</t>
  </si>
  <si>
    <t>E0D1730BCBED</t>
  </si>
  <si>
    <t>FCH20128NFJ</t>
  </si>
  <si>
    <t>00CAE540F174</t>
  </si>
  <si>
    <t>FCH1945933V</t>
  </si>
  <si>
    <t>Hajara Hussein</t>
  </si>
  <si>
    <t>FCH162089BX</t>
  </si>
  <si>
    <t>F47F353D63F9</t>
  </si>
  <si>
    <t>FCH161085RD</t>
  </si>
  <si>
    <t>C8F9F968E8E4</t>
  </si>
  <si>
    <t>FCH161084GX</t>
  </si>
  <si>
    <t>C8F9F968E342</t>
  </si>
  <si>
    <t>FCH16108AZM</t>
  </si>
  <si>
    <t xml:space="preserve">contract admin manager desk </t>
  </si>
  <si>
    <t>FCH191184QT</t>
  </si>
  <si>
    <t>CISCO IP PHONE CP 8831</t>
  </si>
  <si>
    <t>FCH17008M3M</t>
  </si>
  <si>
    <t>FCH15368PM3</t>
  </si>
  <si>
    <t>Bukari Hamamat</t>
  </si>
  <si>
    <t>FCH194587J1</t>
  </si>
  <si>
    <t>188B4518142C</t>
  </si>
  <si>
    <t>FCH18478LHW</t>
  </si>
  <si>
    <t>E0899D9527E6</t>
  </si>
  <si>
    <t>Christian Sarpong</t>
  </si>
  <si>
    <t>FCH1935977K</t>
  </si>
  <si>
    <t>DCCEC114f206</t>
  </si>
  <si>
    <t>Granata Gabriele</t>
  </si>
  <si>
    <t>FCH193686R8</t>
  </si>
  <si>
    <t>DCCEC115710D</t>
  </si>
  <si>
    <t>FCH17099KSR</t>
  </si>
  <si>
    <t>FCH20128MAY</t>
  </si>
  <si>
    <t>00CAE540EC54</t>
  </si>
  <si>
    <t>FCH20128AFF</t>
  </si>
  <si>
    <t>00CAE540BF39</t>
  </si>
  <si>
    <t>FCH20128MF7</t>
  </si>
  <si>
    <t>00CAE540ECE5</t>
  </si>
  <si>
    <t>Misbaw Bamba Amdaway</t>
  </si>
  <si>
    <t>FCH19328BHS</t>
  </si>
  <si>
    <t>AC7E8A2ADD85</t>
  </si>
  <si>
    <t>FCH16108BUU</t>
  </si>
  <si>
    <t>C8F9F969046E</t>
  </si>
  <si>
    <t>FCH1704A492</t>
  </si>
  <si>
    <t>F02929E2C44A</t>
  </si>
  <si>
    <t>FCH17149BK6</t>
  </si>
  <si>
    <t>08CC68E8A0DA</t>
  </si>
  <si>
    <t>Justice Okeke Chidera</t>
  </si>
  <si>
    <t>FCH2227FF1C</t>
  </si>
  <si>
    <t>B0907E6A5173</t>
  </si>
  <si>
    <t>FCH1945936G</t>
  </si>
  <si>
    <t>188B45187600</t>
  </si>
  <si>
    <t>Joseph Kofi Nyan</t>
  </si>
  <si>
    <t>FCH2227FDUX</t>
  </si>
  <si>
    <t>B0907E6A4C15</t>
  </si>
  <si>
    <t>FCH18219YUP</t>
  </si>
  <si>
    <t>381C1ABA9E88</t>
  </si>
  <si>
    <t>FCH194593FR</t>
  </si>
  <si>
    <t>188B4518773B</t>
  </si>
  <si>
    <t>FCH17528FKE</t>
  </si>
  <si>
    <t>C4143C97AAC1</t>
  </si>
  <si>
    <t>FCH191L84PY</t>
  </si>
  <si>
    <t>BCF1F2E98937</t>
  </si>
  <si>
    <t>FCH1704AE83</t>
  </si>
  <si>
    <t>F02929E2EC28</t>
  </si>
  <si>
    <t>FCH18488EAB</t>
  </si>
  <si>
    <t>E0899D95EB1A</t>
  </si>
  <si>
    <t>FCH17528FR1</t>
  </si>
  <si>
    <t>C4143C97AB80</t>
  </si>
  <si>
    <t>Logistics NSP</t>
  </si>
  <si>
    <t>FCH194593G6</t>
  </si>
  <si>
    <t>188B4518774A</t>
  </si>
  <si>
    <t>FCH15369238</t>
  </si>
  <si>
    <t>68BC0C81139A</t>
  </si>
  <si>
    <t>FCH19368C67</t>
  </si>
  <si>
    <t>DCCEC115899A</t>
  </si>
  <si>
    <t>FCH191184QH</t>
  </si>
  <si>
    <t>BCF1F2E9894A</t>
  </si>
  <si>
    <t>FCH20128NFQ</t>
  </si>
  <si>
    <t>00CAE540F17A</t>
  </si>
  <si>
    <t>FCH19268U8D</t>
  </si>
  <si>
    <t>F0B2E58F25CC</t>
  </si>
  <si>
    <t>FCH18478CZ0</t>
  </si>
  <si>
    <t>E0899D9505D4</t>
  </si>
  <si>
    <t>Engineering</t>
  </si>
  <si>
    <t>FCH1945933Z</t>
  </si>
  <si>
    <t>188B451875AB</t>
  </si>
  <si>
    <t>FCH17108RBM</t>
  </si>
  <si>
    <t>50060473E1FC</t>
  </si>
  <si>
    <t>FCH19359SW3</t>
  </si>
  <si>
    <t>DCCE 1152BC7</t>
  </si>
  <si>
    <t>FCH191184TC</t>
  </si>
  <si>
    <t>BCF1F2E989A9</t>
  </si>
  <si>
    <t>Engineering NSP</t>
  </si>
  <si>
    <t>FCH1708ARJ2</t>
  </si>
  <si>
    <t>20BBC093FF35</t>
  </si>
  <si>
    <t>Owusu Opoku Yentumi</t>
  </si>
  <si>
    <t>FCH18478LMG</t>
  </si>
  <si>
    <t>E0899D952860</t>
  </si>
  <si>
    <t>FCH19458794</t>
  </si>
  <si>
    <t>188B451812FD</t>
  </si>
  <si>
    <t>FCH18108VYE</t>
  </si>
  <si>
    <t>B000B4D8969C</t>
  </si>
  <si>
    <t>Well Operations</t>
  </si>
  <si>
    <t>FCH181280Y9</t>
  </si>
  <si>
    <t>B000B4D9BB78</t>
  </si>
  <si>
    <t>FCH181280QM</t>
  </si>
  <si>
    <t>B000B4D9BA74</t>
  </si>
  <si>
    <t>FCH1945926P</t>
  </si>
  <si>
    <t>188b45187183</t>
  </si>
  <si>
    <t>FCH19458XN2</t>
  </si>
  <si>
    <t>188b45185CFA</t>
  </si>
  <si>
    <t>Achille Tribelli</t>
  </si>
  <si>
    <t>Reservoir</t>
  </si>
  <si>
    <t>FCH19458XRK</t>
  </si>
  <si>
    <t>188B45185D71</t>
  </si>
  <si>
    <t>FCH18339KAP</t>
  </si>
  <si>
    <t>F09E630FBD4C</t>
  </si>
  <si>
    <t>Nana Minka Kofi</t>
  </si>
  <si>
    <t>FCH2208D1LW</t>
  </si>
  <si>
    <t>00BF7770B69C</t>
  </si>
  <si>
    <t>FCH19128PST</t>
  </si>
  <si>
    <t>40A6E852C686</t>
  </si>
  <si>
    <t>FCH16179C3R</t>
  </si>
  <si>
    <t>A418758B90DE</t>
  </si>
  <si>
    <t>FCH16108B1C</t>
  </si>
  <si>
    <t>C8F9F96900C8</t>
  </si>
  <si>
    <t>FCH19398NJN</t>
  </si>
  <si>
    <t>9C57AD022D8C</t>
  </si>
  <si>
    <t>FCH16158TUY</t>
  </si>
  <si>
    <t>F4EA6749825D</t>
  </si>
  <si>
    <t>FCH19179CUR</t>
  </si>
  <si>
    <t>BCC493A4F391</t>
  </si>
  <si>
    <t>Enoch Annor</t>
  </si>
  <si>
    <t>FCH19148FV1</t>
  </si>
  <si>
    <t>FCH193686HE</t>
  </si>
  <si>
    <t>DCCEC1157003</t>
  </si>
  <si>
    <t>FCH16108B0K</t>
  </si>
  <si>
    <t>C8F9F96900AD</t>
  </si>
  <si>
    <t>Production NSP</t>
  </si>
  <si>
    <t>FCH2208D1HJ</t>
  </si>
  <si>
    <t>00BF7770B62A</t>
  </si>
  <si>
    <t>Seidu Umu-Salma</t>
  </si>
  <si>
    <t>FCH2222DTCL</t>
  </si>
  <si>
    <t>007E95FD6061</t>
  </si>
  <si>
    <t>FCH19398NMJ</t>
  </si>
  <si>
    <t>9C57AD022DEE</t>
  </si>
  <si>
    <t xml:space="preserve">Vincenzo Ragone </t>
  </si>
  <si>
    <t>PUC22058M9M</t>
  </si>
  <si>
    <t>682C7B5C4CA0</t>
  </si>
  <si>
    <t>FCH19138RBQ</t>
  </si>
  <si>
    <t>FCH18478PHF</t>
  </si>
  <si>
    <t>E0899D953563</t>
  </si>
  <si>
    <t>FCH18468XAE</t>
  </si>
  <si>
    <t>5CFC665DF5A2</t>
  </si>
  <si>
    <t>FCH1848934M</t>
  </si>
  <si>
    <t>1CE85DC84478</t>
  </si>
  <si>
    <t>FCH194593CB</t>
  </si>
  <si>
    <t>188B451876C7</t>
  </si>
  <si>
    <t>FCH19269BKG</t>
  </si>
  <si>
    <t>F0B2E58F586E</t>
  </si>
  <si>
    <t>FCH170598UJ</t>
  </si>
  <si>
    <t>F02929E3AE7C</t>
  </si>
  <si>
    <t>FCH194586XM</t>
  </si>
  <si>
    <t>188B45181176</t>
  </si>
  <si>
    <t>FCH1842870N</t>
  </si>
  <si>
    <t>84802D771BC1</t>
  </si>
  <si>
    <t>FCH19368CAK</t>
  </si>
  <si>
    <t>DCCEC1158A2E</t>
  </si>
  <si>
    <t>FCH19459340</t>
  </si>
  <si>
    <t>188B451875AC</t>
  </si>
  <si>
    <t>FCH19258135</t>
  </si>
  <si>
    <t>DCEB94BDDCF0</t>
  </si>
  <si>
    <t>Abdul Yussif</t>
  </si>
  <si>
    <t>FCH19458W2Q</t>
  </si>
  <si>
    <t>188B451855E4</t>
  </si>
  <si>
    <t>FCH19138RFG</t>
  </si>
  <si>
    <t>40A6E8537BCB</t>
  </si>
  <si>
    <t>FCH15368PQ0</t>
  </si>
  <si>
    <t>68BC0C80E1DE</t>
  </si>
  <si>
    <t>FCH19258W01</t>
  </si>
  <si>
    <t>F0B2E58E3FD0</t>
  </si>
  <si>
    <t>Silvia Puerari</t>
  </si>
  <si>
    <t>FCH153692D5</t>
  </si>
  <si>
    <t>68BC0C8114E8</t>
  </si>
  <si>
    <t>FCH192580CW</t>
  </si>
  <si>
    <t>DCEB94BDD9B7</t>
  </si>
  <si>
    <t>Mildred Osei Bonsu</t>
  </si>
  <si>
    <t>FCH16108BPP</t>
  </si>
  <si>
    <t>C8F9F96902BF</t>
  </si>
  <si>
    <t>Joycelyn Ahianyo Edem</t>
  </si>
  <si>
    <t>FCH19119DXJ</t>
  </si>
  <si>
    <t>40A6E8523FBF</t>
  </si>
  <si>
    <t>FCH19359S1H</t>
  </si>
  <si>
    <t>DCCEC11527FC</t>
  </si>
  <si>
    <t>FCH18018EEK</t>
  </si>
  <si>
    <t>6C99898480B8</t>
  </si>
  <si>
    <t>CISCO IP PHONE CP7975G</t>
  </si>
  <si>
    <t>FCH19398N3M</t>
  </si>
  <si>
    <t>9C57AD022B8D</t>
  </si>
  <si>
    <t>HSE intern desk reserved</t>
  </si>
  <si>
    <t>FCH19398NLZ</t>
  </si>
  <si>
    <t>9C57AD022DDB</t>
  </si>
  <si>
    <t>FCH194593A4</t>
  </si>
  <si>
    <t>188B4518767C</t>
  </si>
  <si>
    <t>PUC22058MA7</t>
  </si>
  <si>
    <t>FCH19458YY5</t>
  </si>
  <si>
    <t>FCH161084GT</t>
  </si>
  <si>
    <t>FCH19328B87</t>
  </si>
  <si>
    <t>FCH18478MCF</t>
  </si>
  <si>
    <t>Eugenia Adoglah</t>
  </si>
  <si>
    <t>FCH2227FF8N</t>
  </si>
  <si>
    <t>FCH180498V3</t>
  </si>
  <si>
    <t>580A2098B68D</t>
  </si>
  <si>
    <t>Vida Mintaah Asare</t>
  </si>
  <si>
    <t>FCH19268U8A</t>
  </si>
  <si>
    <t>F0B2E58F25C9</t>
  </si>
  <si>
    <t>FCH153691KJ</t>
  </si>
  <si>
    <t>68BC0C811140</t>
  </si>
  <si>
    <t>FCH19269BJX</t>
  </si>
  <si>
    <t>F0B2E58F585B</t>
  </si>
  <si>
    <t>General Service</t>
  </si>
  <si>
    <t>Lawrence Kermeh</t>
  </si>
  <si>
    <t>FCH19269BJW</t>
  </si>
  <si>
    <t>F0B2E58F585A</t>
  </si>
  <si>
    <t>FCH19379QKD</t>
  </si>
  <si>
    <t>DCCEC1F0FFA4</t>
  </si>
  <si>
    <t>FCH19148FNY</t>
  </si>
  <si>
    <t>40A6E853D58E</t>
  </si>
  <si>
    <t>FCH194593E7</t>
  </si>
  <si>
    <t>188B45187707</t>
  </si>
  <si>
    <t>FCH2206D03U</t>
  </si>
  <si>
    <t>00BF77707181</t>
  </si>
  <si>
    <t>Sam Ellen</t>
  </si>
  <si>
    <t>FCH16108C0T</t>
  </si>
  <si>
    <t>C8F9F9690538</t>
  </si>
  <si>
    <t>FCH19148G3X</t>
  </si>
  <si>
    <t>FCH1945935E</t>
  </si>
  <si>
    <t>188B451875DC</t>
  </si>
  <si>
    <t>FCH19269BKX</t>
  </si>
  <si>
    <t>F0B2E58F587D</t>
  </si>
  <si>
    <t>FCH19269BL5</t>
  </si>
  <si>
    <t>Christabel Yirenkyi</t>
  </si>
  <si>
    <t>FCH19368BVR</t>
  </si>
  <si>
    <t>FCH18238C9L</t>
  </si>
  <si>
    <t>FCH19458VZB</t>
  </si>
  <si>
    <t>FCH19259PMJ</t>
  </si>
  <si>
    <t>F0B2E58EAC88</t>
  </si>
  <si>
    <t xml:space="preserve">Mauricio Galvis </t>
  </si>
  <si>
    <t>FCH17108S7W</t>
  </si>
  <si>
    <t xml:space="preserve">Andre Kofi Davids </t>
  </si>
  <si>
    <t>FCH20209S6D</t>
  </si>
  <si>
    <t>006CBCBDE9ED</t>
  </si>
  <si>
    <t>FCH19359B58</t>
  </si>
  <si>
    <t>DCCEC11503CA</t>
  </si>
  <si>
    <t>FCH16158U5F</t>
  </si>
  <si>
    <t>FCH1935977A</t>
  </si>
  <si>
    <t>DCCEC114F1FD</t>
  </si>
  <si>
    <t>FCH2150DJ3Z</t>
  </si>
  <si>
    <t>247E12BEA883</t>
  </si>
  <si>
    <t>FCH2150DHPU</t>
  </si>
  <si>
    <t>247E12BEA6A3</t>
  </si>
  <si>
    <t>FCH19138REQ</t>
  </si>
  <si>
    <t>40A6E8537BB1</t>
  </si>
  <si>
    <t>FCH18318EFT</t>
  </si>
  <si>
    <t>346288DA97D2</t>
  </si>
  <si>
    <t>FCH19268U8F</t>
  </si>
  <si>
    <t>F0B2E58F25CE</t>
  </si>
  <si>
    <t xml:space="preserve"> FCH14109NK5</t>
  </si>
  <si>
    <t>FCFBFBCB01D6</t>
  </si>
  <si>
    <t>FCH2227FE4Q</t>
  </si>
  <si>
    <t>Essiama</t>
  </si>
  <si>
    <t>FCH2227FDTE</t>
  </si>
  <si>
    <t>FCH2222DTLG</t>
  </si>
  <si>
    <t>FCH2222DSLZ</t>
  </si>
  <si>
    <t>FCH2222DTGF</t>
  </si>
  <si>
    <t>FCH2222DT6P</t>
  </si>
  <si>
    <t>FCH2231EUFR</t>
  </si>
  <si>
    <t>FCH2231ETNF</t>
  </si>
  <si>
    <t>FCH2231EU5Y</t>
  </si>
  <si>
    <t>FCH2221D083</t>
  </si>
  <si>
    <t>FCH2222DTBX</t>
  </si>
  <si>
    <t>FCH2227FE5E</t>
  </si>
  <si>
    <t>FCH2227FEYK</t>
  </si>
  <si>
    <t>FCH2227FF6Y</t>
  </si>
  <si>
    <t>FCH2227FFYD</t>
  </si>
  <si>
    <t>FCH2227FEQN</t>
  </si>
  <si>
    <t>FCH2227FFUU</t>
  </si>
  <si>
    <t>FCH2227FEP3</t>
  </si>
  <si>
    <t>FCH2227FEHB</t>
  </si>
  <si>
    <t>FCH2208D1AZ</t>
  </si>
  <si>
    <t>FCH2206D099</t>
  </si>
  <si>
    <t>FCH2222DT47</t>
  </si>
  <si>
    <t>CISCO IP PHONE 8831</t>
  </si>
  <si>
    <t>FCH2231EU22</t>
  </si>
  <si>
    <t>FCH2222DTFJ</t>
  </si>
  <si>
    <t>FCH2222DTM3</t>
  </si>
  <si>
    <t>FCH2221D05B</t>
  </si>
  <si>
    <t>FCH2231EU1U</t>
  </si>
  <si>
    <t>FCH2222DS8Z</t>
  </si>
  <si>
    <t>FCH2222DSNV</t>
  </si>
  <si>
    <t>CP-8865-K9</t>
  </si>
  <si>
    <t>FCH2303DSKQ</t>
  </si>
  <si>
    <t>FCH2303DSQ5</t>
  </si>
  <si>
    <t>FCH2303DSQU</t>
  </si>
  <si>
    <t>FCH2249D74Y</t>
  </si>
  <si>
    <t>FCH2303DRN6</t>
  </si>
  <si>
    <t>FCH2247G4S6</t>
  </si>
  <si>
    <t>FCH2303DSC6</t>
  </si>
  <si>
    <t>FCH2303DRDQ</t>
  </si>
  <si>
    <t>FCH15368Q8W</t>
  </si>
  <si>
    <t>FCH2208DD04</t>
  </si>
  <si>
    <t>FCH2206D0J5</t>
  </si>
  <si>
    <t>FCH2206D0A5</t>
  </si>
  <si>
    <t>FCH2208D1E2</t>
  </si>
  <si>
    <t>FCH2231EULR</t>
  </si>
  <si>
    <t>FCH2231EUFN</t>
  </si>
  <si>
    <t>FCH2221D0BG</t>
  </si>
  <si>
    <t>FCH2217DCW9</t>
  </si>
  <si>
    <t>FCH2227FDVC</t>
  </si>
  <si>
    <t>FCH2231EU29</t>
  </si>
  <si>
    <t>FCH2222DTCQ</t>
  </si>
  <si>
    <t>FCH2222DT3B</t>
  </si>
  <si>
    <t>FCH2227FDTV</t>
  </si>
  <si>
    <t>FCH2227FFNF</t>
  </si>
  <si>
    <t>FCH2227FDVY</t>
  </si>
  <si>
    <t>HPe DL380 GEN9 8SFF CTO SERVER</t>
  </si>
  <si>
    <t>CN755002ZG</t>
  </si>
  <si>
    <t>HP DL380 GEN9 8SFF CTO SERVER</t>
  </si>
  <si>
    <t>CZ3803FB37</t>
  </si>
  <si>
    <t>CN755003S0</t>
  </si>
  <si>
    <t>HP PROLIANT DL360 GEN9 SERVER</t>
  </si>
  <si>
    <t>CZJ5110FPC</t>
  </si>
  <si>
    <t>CZJ51008KK</t>
  </si>
  <si>
    <t>HPE StoreOnce 3660 80TB</t>
  </si>
  <si>
    <t>CZ23010LBK</t>
  </si>
  <si>
    <t>HPE ProLiant DL360 Gen10 Plus with TPM</t>
  </si>
  <si>
    <t>CZJ2501JLX</t>
  </si>
  <si>
    <t>ESX Server (HPE ProLiant DL360 Gen10 Plu</t>
  </si>
  <si>
    <t>CZJ2501JL4</t>
  </si>
  <si>
    <t>CZJ2501JL2</t>
  </si>
  <si>
    <t>CZJ2501JL3</t>
  </si>
  <si>
    <t>SERVER NAME</t>
  </si>
  <si>
    <t>DEVICE MODEL</t>
  </si>
  <si>
    <t>LOCATION</t>
  </si>
  <si>
    <t>SERIAL</t>
  </si>
  <si>
    <t>EGHSVR0009</t>
  </si>
  <si>
    <t>HPe ProLiant DL360 Gen9</t>
  </si>
  <si>
    <t>Accra</t>
  </si>
  <si>
    <t>EGHSVR0010</t>
  </si>
  <si>
    <t>HPe ProLiant DL380 Gen9</t>
  </si>
  <si>
    <t>EGHSVR0030</t>
  </si>
  <si>
    <t>Hpe Proliant DL360 Gen8</t>
  </si>
  <si>
    <t>CJZ3210X97</t>
  </si>
  <si>
    <t>EGHSVR0011</t>
  </si>
  <si>
    <t>FPSO JAK</t>
  </si>
  <si>
    <t>CZJ712007J</t>
  </si>
  <si>
    <t>EGHSVR0012</t>
  </si>
  <si>
    <t>CZJ712007F</t>
  </si>
  <si>
    <t>EGHSVR0013</t>
  </si>
  <si>
    <t>EGHSVR0014</t>
  </si>
  <si>
    <t>EGHSVR0015</t>
  </si>
  <si>
    <t>EGHSVR0016</t>
  </si>
  <si>
    <t>Lenovo Thinkstation P700</t>
  </si>
  <si>
    <t>EGHSVR0017</t>
  </si>
  <si>
    <t>CZJ53806RP</t>
  </si>
  <si>
    <t>EGHSVR0018</t>
  </si>
  <si>
    <t>CZJ53806ZD</t>
  </si>
  <si>
    <t>EGHSVR0020</t>
  </si>
  <si>
    <t>CZ3803FB3A</t>
  </si>
  <si>
    <t>EGHSVR0024</t>
  </si>
  <si>
    <t>CZJ90500PQ</t>
  </si>
  <si>
    <t>EGHSVR0025</t>
  </si>
  <si>
    <t>CZJ90500PL</t>
  </si>
  <si>
    <t>EGHSVR0028</t>
  </si>
  <si>
    <t>Lenovo Thinkcenter M710</t>
  </si>
  <si>
    <t>PC0SPQ38</t>
  </si>
  <si>
    <t>EGHSVR0029</t>
  </si>
  <si>
    <t>CZJ90500PN</t>
  </si>
  <si>
    <t>ENIGHWELLVIEW</t>
  </si>
  <si>
    <t>S4P69146</t>
  </si>
  <si>
    <t>EGHSVR0033</t>
  </si>
  <si>
    <t>CZJ90500PM</t>
  </si>
  <si>
    <t>EGHSVR0038</t>
  </si>
  <si>
    <t>HPe ProLiant DL360 Gen10</t>
  </si>
  <si>
    <t>CZJ1400938</t>
  </si>
  <si>
    <t>EGHSVR0042</t>
  </si>
  <si>
    <t>PC0X1B21</t>
  </si>
  <si>
    <t>EGHSVR0050</t>
  </si>
  <si>
    <t>EGHSVR0051</t>
  </si>
  <si>
    <t>EGHSVR0052</t>
  </si>
  <si>
    <t>EGHSVR0070</t>
  </si>
  <si>
    <t>EGHSVR0061</t>
  </si>
  <si>
    <t>NetApp FAS2750A</t>
  </si>
  <si>
    <t>952251001645
952252000626</t>
  </si>
  <si>
    <t>EGHSVR0062</t>
  </si>
  <si>
    <t>HPe StoreOnce 3660</t>
  </si>
  <si>
    <t xml:space="preserve">SO21400KDT </t>
  </si>
  <si>
    <t>HPE StoreOnce 3640</t>
  </si>
  <si>
    <t>CZ21400KDT</t>
  </si>
  <si>
    <t>ghana1.enighana.intranet</t>
  </si>
  <si>
    <t>NetApp FAS2720A</t>
  </si>
  <si>
    <r>
      <t xml:space="preserve">652006000153
 952346002725 
</t>
    </r>
    <r>
      <rPr>
        <sz val="11"/>
        <color rgb="FFFF0000"/>
        <rFont val="Aptos Narrow"/>
        <family val="2"/>
        <scheme val="minor"/>
      </rPr>
      <t>652006000154</t>
    </r>
  </si>
  <si>
    <t>CANON IMAGE RUNNER ADVANCE DX C5870i (MFP)</t>
  </si>
  <si>
    <t>3MV01092</t>
  </si>
  <si>
    <t>3MV01169</t>
  </si>
  <si>
    <t>3MV01188</t>
  </si>
  <si>
    <t>3MV01366</t>
  </si>
  <si>
    <t>3MV01054</t>
  </si>
  <si>
    <t>3MV01082</t>
  </si>
  <si>
    <t>3MV01070</t>
  </si>
  <si>
    <t>3MV01214</t>
  </si>
  <si>
    <t>3MV01225</t>
  </si>
  <si>
    <t>3MV01351</t>
  </si>
  <si>
    <t xml:space="preserve">1st floor </t>
  </si>
  <si>
    <t xml:space="preserve">Canon iR Adv C5870i </t>
  </si>
  <si>
    <t>2nd floor</t>
  </si>
  <si>
    <t xml:space="preserve">3rd floor </t>
  </si>
  <si>
    <t xml:space="preserve">4th floor A </t>
  </si>
  <si>
    <t>4th floor B</t>
  </si>
  <si>
    <t xml:space="preserve">5th floor A </t>
  </si>
  <si>
    <t>5th floor B</t>
  </si>
  <si>
    <t xml:space="preserve">Canon iR Adv C5535i </t>
  </si>
  <si>
    <t>XVF13917</t>
  </si>
  <si>
    <t>5th floor BR</t>
  </si>
  <si>
    <t>XVF13134</t>
  </si>
  <si>
    <t>Takoradi Logistics Base</t>
  </si>
  <si>
    <t>Sanzule Pilot Camp</t>
  </si>
  <si>
    <t xml:space="preserve">Sanzule Plant </t>
  </si>
  <si>
    <t>Sanzule Workshop</t>
  </si>
  <si>
    <t>HSE Manager</t>
  </si>
  <si>
    <t>HP Color Laser Jet Pro MFP M477fdw</t>
  </si>
  <si>
    <t>VNBKL6T64T</t>
  </si>
  <si>
    <t>HSE IMSQ and Reporting Manager</t>
  </si>
  <si>
    <t xml:space="preserve">HP Color Laser Jet Pro MFP M277dw </t>
  </si>
  <si>
    <t>VNB8H8B892</t>
  </si>
  <si>
    <t>Technical Director</t>
  </si>
  <si>
    <t>HP Color Laser Jet Pro MFP M476 dn</t>
  </si>
  <si>
    <t>NB8G450CN</t>
  </si>
  <si>
    <t>Local Development Manager</t>
  </si>
  <si>
    <t>VNBKL6T794</t>
  </si>
  <si>
    <t>MD Secetary</t>
  </si>
  <si>
    <t>HP Color Laser Jet Pro M476 dn</t>
  </si>
  <si>
    <t>CNB8H6WLVR</t>
  </si>
  <si>
    <t>Gas Manager</t>
  </si>
  <si>
    <t>LaserJet Pro 200 color MFP M276n</t>
  </si>
  <si>
    <t>CNF8G7BL6Y</t>
  </si>
  <si>
    <t>Local Content Manager</t>
  </si>
  <si>
    <t>CNF8G86DNJ</t>
  </si>
  <si>
    <t>Business Development Manager</t>
  </si>
  <si>
    <t>Hp Color Laser Jet Pro MFP M479fdn</t>
  </si>
  <si>
    <t>CNCRQ1B0Z4</t>
  </si>
  <si>
    <t>LegaL Affairs Manager</t>
  </si>
  <si>
    <t>VNBH88B8B2</t>
  </si>
  <si>
    <t xml:space="preserve">MD </t>
  </si>
  <si>
    <t>HP Laser Jet Pro 200 color MFP M276nd</t>
  </si>
  <si>
    <t>CNF8G5F2JY</t>
  </si>
  <si>
    <t>Versalis Portacabin</t>
  </si>
  <si>
    <t>Canon iSensys C1127i</t>
  </si>
  <si>
    <t>3DF476927</t>
  </si>
  <si>
    <t>3DF476929</t>
  </si>
  <si>
    <t>To be Scrapped</t>
  </si>
  <si>
    <t>HP Color Laser Jet Pro M252dw</t>
  </si>
  <si>
    <t>VNC3C05249</t>
  </si>
  <si>
    <t>HP Color Laser Jet Pro MFP M277 dw</t>
  </si>
  <si>
    <t>VNB8H8B805</t>
  </si>
  <si>
    <t>VNC3C05246</t>
  </si>
  <si>
    <t>HP Laser Jet Pro 200 color MFP M276n</t>
  </si>
  <si>
    <t>CNF8G7BL9V</t>
  </si>
  <si>
    <t>CNB8G450CN</t>
  </si>
  <si>
    <t>CNB8G4506L</t>
  </si>
  <si>
    <t>VNC3C05240</t>
  </si>
  <si>
    <t>HP Color LaserJet Pro MFP M479fdn</t>
  </si>
  <si>
    <t>CNCRQ2S8F2</t>
  </si>
  <si>
    <t>Canon MF8580 Cdw</t>
  </si>
  <si>
    <t>QJS43773</t>
  </si>
  <si>
    <t>VNC3N04931</t>
  </si>
  <si>
    <t>VNC3C05245</t>
  </si>
  <si>
    <t>HP Color LaserJet Enterprise MFP M480f</t>
  </si>
  <si>
    <t>CNCRP9G3RV</t>
  </si>
  <si>
    <t>HP Color LaserJet Pro M252dw</t>
  </si>
  <si>
    <t>VNC3C18784</t>
  </si>
  <si>
    <t>Cisco Switches # 3750X Series W/487XPOE</t>
  </si>
  <si>
    <t>Cisco Router 2921 Series WIPSEC</t>
  </si>
  <si>
    <t>CISCO ASA 5515-X WITH SW, 6GE DATA, 1 GE MGMT AC, 3DES/AES</t>
  </si>
  <si>
    <t xml:space="preserve">C6800IA INSTANT ACCESS POE+ SWITCH W </t>
  </si>
  <si>
    <t>CISCO WIFI 811 ROUTER</t>
  </si>
  <si>
    <t>SNTC-8X5XNBD C6800IA INSTANT ACCESS POE + SWITCH WITH</t>
  </si>
  <si>
    <t>CISCO SWITCH - 3750X SERIES W/48TX POE</t>
  </si>
  <si>
    <t>CISCO ASR1001-X ROUTER</t>
  </si>
  <si>
    <t>CISCO NEXUS 9300 SWITCH</t>
  </si>
  <si>
    <t>Description</t>
  </si>
  <si>
    <t>Vendor</t>
  </si>
  <si>
    <t>SerialNumber</t>
  </si>
  <si>
    <t>Type</t>
  </si>
  <si>
    <t>GHACC09TLCCE01</t>
  </si>
  <si>
    <t>ciscoC83001N1S6T</t>
  </si>
  <si>
    <t>ISR1100-4G-FGL2448LLL1</t>
  </si>
  <si>
    <t xml:space="preserve">Edge Router </t>
  </si>
  <si>
    <t>GHACC09TLCCE02</t>
  </si>
  <si>
    <t>ISR1100-4G-FGL2448LLL6</t>
  </si>
  <si>
    <t>GHSNZ12TLCCE01</t>
  </si>
  <si>
    <t>ISR1100-4G-FGL2351L856</t>
  </si>
  <si>
    <t>GHSNZ12TLCCE02</t>
  </si>
  <si>
    <t>ISR1100-4G-FGL2445L50J</t>
  </si>
  <si>
    <t>GHACC01FLARO01</t>
  </si>
  <si>
    <t>CISCO</t>
  </si>
  <si>
    <t>881G</t>
  </si>
  <si>
    <t>CISCOFCZ1908C32G</t>
  </si>
  <si>
    <t>Router</t>
  </si>
  <si>
    <t>GHACC01MADRO01</t>
  </si>
  <si>
    <t>CISCOFCZ1839C2QE</t>
  </si>
  <si>
    <t>ghacc09tlcsc01</t>
  </si>
  <si>
    <t>ISR4431/K9</t>
  </si>
  <si>
    <t>CISCOSAL1948U5K5</t>
  </si>
  <si>
    <t>Switch</t>
  </si>
  <si>
    <t>GHIMO10DMZSW01</t>
  </si>
  <si>
    <t>WS-C3750-48P</t>
  </si>
  <si>
    <t>CISCOFDO1915H048</t>
  </si>
  <si>
    <t>FPSO</t>
  </si>
  <si>
    <t>GHIMO10TLCSC01</t>
  </si>
  <si>
    <t>C2921</t>
  </si>
  <si>
    <t>CISCOFOC2022U1GR</t>
  </si>
  <si>
    <t>GHSNZ11TLCSW01</t>
  </si>
  <si>
    <t>WS-C3850-48U-S</t>
  </si>
  <si>
    <t>CISCOFOC1901U0XE</t>
  </si>
  <si>
    <t>GHSNZ11TLCSW02</t>
  </si>
  <si>
    <t>C3560</t>
  </si>
  <si>
    <t>CISCOFDO1616R06X</t>
  </si>
  <si>
    <t>GHSNZ12TLCSC01</t>
  </si>
  <si>
    <t>WS-C3850-48F-S</t>
  </si>
  <si>
    <t>CISCOFOC2202L42Q</t>
  </si>
  <si>
    <t>GHSNZ12TLCSC01_sw02</t>
  </si>
  <si>
    <t>C3850</t>
  </si>
  <si>
    <t>CISCOFCW2202C1P2</t>
  </si>
  <si>
    <t>GHACC09TLCFW03</t>
  </si>
  <si>
    <t>PALO ALTO</t>
  </si>
  <si>
    <t>PALO ALTO PA-3220</t>
  </si>
  <si>
    <t>Firewall</t>
  </si>
  <si>
    <t>GHACC09TLCFW04</t>
  </si>
  <si>
    <t>GHSNZ12TLCFW01</t>
  </si>
  <si>
    <t>GHSNZ12TLCFW02</t>
  </si>
  <si>
    <t>GHTKD02TLCRO01</t>
  </si>
  <si>
    <t>CISCO2911/K9</t>
  </si>
  <si>
    <t>FHK1423F019</t>
  </si>
  <si>
    <t>Takoradi</t>
  </si>
  <si>
    <t>GHTKD02TLCSC01</t>
  </si>
  <si>
    <t>WS-C3750X-48PF-S</t>
  </si>
  <si>
    <t>FDO1913H13G</t>
  </si>
  <si>
    <t>GHTKD02TLCSW01</t>
  </si>
  <si>
    <t>FDO1913P16K</t>
  </si>
  <si>
    <t>GHTKD02TLCAP03</t>
  </si>
  <si>
    <t>AIR-CAP1602I-E-K9</t>
  </si>
  <si>
    <t>FCW1931NPWX</t>
  </si>
  <si>
    <t>Access point</t>
  </si>
  <si>
    <t>GHTKD02TLCAP01</t>
  </si>
  <si>
    <t>AIR-CAP1602E-E-K9</t>
  </si>
  <si>
    <t>FGL1724S2WM</t>
  </si>
  <si>
    <t>GHTKD02TLCAP02</t>
  </si>
  <si>
    <t>FCW1913NQH5</t>
  </si>
  <si>
    <t>GHACC09TLCRO01</t>
  </si>
  <si>
    <t>FGL1950102W</t>
  </si>
  <si>
    <t>GHACC09TLCSC01_CHS2</t>
  </si>
  <si>
    <t>C6880-X-LE</t>
  </si>
  <si>
    <t>SAL1948U5K5</t>
  </si>
  <si>
    <t>GHACC09TLCRO02</t>
  </si>
  <si>
    <t>FCZ1842604L</t>
  </si>
  <si>
    <t>GHACC09TLCRO03</t>
  </si>
  <si>
    <t>FCZ1633704W</t>
  </si>
  <si>
    <t>GHACC09TLCWC01 (WLC ACCRA 1)</t>
  </si>
  <si>
    <t>AIR-CT5520-K9</t>
  </si>
  <si>
    <t>FCH1942V39F</t>
  </si>
  <si>
    <t>GHACC09TLCWC02 (WLC ACCRA 2)</t>
  </si>
  <si>
    <t>FCH1942V397</t>
  </si>
  <si>
    <t>GHACC09005AP07</t>
  </si>
  <si>
    <t>AIR-AP2702I-UXK9</t>
  </si>
  <si>
    <t>FCW1909N5CN</t>
  </si>
  <si>
    <t>GHACC09003AP04</t>
  </si>
  <si>
    <t>FCW1909N5C1</t>
  </si>
  <si>
    <t>GHACC09001AP08</t>
  </si>
  <si>
    <t>FCW1909N59W</t>
  </si>
  <si>
    <t>GHACC09001AP05</t>
  </si>
  <si>
    <t>FCW1909N5EH</t>
  </si>
  <si>
    <t>GHACC09005AP01</t>
  </si>
  <si>
    <t>FCW1909N58U</t>
  </si>
  <si>
    <t>GHACC09004AP01</t>
  </si>
  <si>
    <t>FCW1909N5E2</t>
  </si>
  <si>
    <t>GHACC09003AP02</t>
  </si>
  <si>
    <t>FCW1909N5BP</t>
  </si>
  <si>
    <t>GHACC09TLCVE01</t>
  </si>
  <si>
    <t>ISR1100-4G</t>
  </si>
  <si>
    <t>FGL2448LLL1</t>
  </si>
  <si>
    <t>SD-WAN vEdge</t>
  </si>
  <si>
    <t>GHACC09TLCVE02</t>
  </si>
  <si>
    <t>FGL2448LLL6</t>
  </si>
  <si>
    <t>GHACC09004AP05</t>
  </si>
  <si>
    <t>FCW1909N5E0</t>
  </si>
  <si>
    <t>GHACC09005AP06</t>
  </si>
  <si>
    <t>FCW1905NFLV</t>
  </si>
  <si>
    <t>GHACC09004AP06</t>
  </si>
  <si>
    <t>FCW1909N5BW</t>
  </si>
  <si>
    <t>GHACC09002AP01</t>
  </si>
  <si>
    <t>FCW1905NFT3</t>
  </si>
  <si>
    <t>GHACC09002AP05</t>
  </si>
  <si>
    <t>FCW1909N5AC</t>
  </si>
  <si>
    <t>GHACC09001AP01</t>
  </si>
  <si>
    <t>FCW1909N59L</t>
  </si>
  <si>
    <t>GHACC09002AP04</t>
  </si>
  <si>
    <t>FCW1909N5EE</t>
  </si>
  <si>
    <t>GHACC09001AP04</t>
  </si>
  <si>
    <t>FCW1909N58L</t>
  </si>
  <si>
    <t>GHACC09001AP09</t>
  </si>
  <si>
    <t>FCW1911NAJR</t>
  </si>
  <si>
    <t>GHACC09001AP03</t>
  </si>
  <si>
    <t>FCW1909N597</t>
  </si>
  <si>
    <t>GHACC09002AP03</t>
  </si>
  <si>
    <t>FCW1905NFLL</t>
  </si>
  <si>
    <t>GHACC09003AP06</t>
  </si>
  <si>
    <t>FCW1911NAPC</t>
  </si>
  <si>
    <t>GHACC09001AP06</t>
  </si>
  <si>
    <t>FCW1909N5A0</t>
  </si>
  <si>
    <t>GHACC09005AP02</t>
  </si>
  <si>
    <t>FCW1909N584</t>
  </si>
  <si>
    <t>GHACC09TLCFW01</t>
  </si>
  <si>
    <t>ASA5515</t>
  </si>
  <si>
    <t>FGL194840JM</t>
  </si>
  <si>
    <t>GHACC09TLCFW02</t>
  </si>
  <si>
    <t>FGL194840JL</t>
  </si>
  <si>
    <t>GHACC09000AP02</t>
  </si>
  <si>
    <t>FCW1909N5AD</t>
  </si>
  <si>
    <t>GHACC09002AP02</t>
  </si>
  <si>
    <t>FCW1909N59E</t>
  </si>
  <si>
    <t>GHACC09TLCSC01_CHS1_SUP</t>
  </si>
  <si>
    <t>C6880-X-LE-SUP</t>
  </si>
  <si>
    <t>SAL1948TWTH</t>
  </si>
  <si>
    <t>GHACC09TLCSC01_CHS1_SUP_SUBMODULE</t>
  </si>
  <si>
    <t>C6880-X-LE-PFC</t>
  </si>
  <si>
    <t>SAL1948U3TR</t>
  </si>
  <si>
    <t>GHACC09TLCSC01_CHS2_SUP_SUBMODULE</t>
  </si>
  <si>
    <t>SAL1948U3UY</t>
  </si>
  <si>
    <t>GHACC09TLCSC01_CHS1_FEX101</t>
  </si>
  <si>
    <t>C6800IA-48FPDR</t>
  </si>
  <si>
    <t>FDO1945B0JD</t>
  </si>
  <si>
    <t>GHACC09TLCSC01_CHS3_FEX103</t>
  </si>
  <si>
    <t>FDO2115B06W</t>
  </si>
  <si>
    <t>GHACC09TLCSC01_CHS2_FEX106</t>
  </si>
  <si>
    <t>FDO1945B0HP</t>
  </si>
  <si>
    <t>GHACC09TLCSC01_CHS1_FEX107</t>
  </si>
  <si>
    <t>FDO1945B0HV</t>
  </si>
  <si>
    <t>GHACC09TLCSC01_CHS2_FEX107</t>
  </si>
  <si>
    <t>FDO1945B0J0</t>
  </si>
  <si>
    <t>GHACC09004AP02</t>
  </si>
  <si>
    <t>FCW1909N5CL</t>
  </si>
  <si>
    <t>GHACC09000AP01</t>
  </si>
  <si>
    <t>FCW1909N59Q</t>
  </si>
  <si>
    <t>GHACC09TLCSC01_CHS2_FEX101</t>
  </si>
  <si>
    <t>FDO1945B0K1</t>
  </si>
  <si>
    <t>GHACC09TLCSC01_CHS1_FEX102</t>
  </si>
  <si>
    <t>FDO1945B0JJ</t>
  </si>
  <si>
    <t>GHACC09TLCSC01_CHS2_FEX102</t>
  </si>
  <si>
    <t>FDO1945B0JK</t>
  </si>
  <si>
    <t>GHACC09001AP07</t>
  </si>
  <si>
    <t>FCW1909N59M</t>
  </si>
  <si>
    <t>GHACC09TLCSC01_CHS2_FEX104</t>
  </si>
  <si>
    <t>FDO1945B0JC</t>
  </si>
  <si>
    <t>GHACC09TLCSC01_CHS3_FEX105</t>
  </si>
  <si>
    <t>FDO2115B06S</t>
  </si>
  <si>
    <t>GHACC09TLCSC01_CHS1_FEX106</t>
  </si>
  <si>
    <t>FDO1944B0UN</t>
  </si>
  <si>
    <t>GHACC09002AP06</t>
  </si>
  <si>
    <t>FCW1911NAU1</t>
  </si>
  <si>
    <t>GHACC09005AP05</t>
  </si>
  <si>
    <t>FCW1909N58K</t>
  </si>
  <si>
    <t>GHACC09003AP07</t>
  </si>
  <si>
    <t>FCW1905NFLR</t>
  </si>
  <si>
    <t>GHACC09005AP04</t>
  </si>
  <si>
    <t>FCW1911NAL1</t>
  </si>
  <si>
    <t>GHACC09004AP04</t>
  </si>
  <si>
    <t>FCW1905NFL2</t>
  </si>
  <si>
    <t>GHACC09TLCSC01_CHS1</t>
  </si>
  <si>
    <t>SAL1948U5G4</t>
  </si>
  <si>
    <t>GHACC09005AP08</t>
  </si>
  <si>
    <t>FCW1909N5CJ</t>
  </si>
  <si>
    <t>GHACC09002AP07</t>
  </si>
  <si>
    <t>FCW1909N5B2</t>
  </si>
  <si>
    <t>GHACC09003AP08</t>
  </si>
  <si>
    <t>FCW1909N59X</t>
  </si>
  <si>
    <t>GHACC09TLCSC01_CHS1_1_SUBMODULE</t>
  </si>
  <si>
    <t>C6880-X-LE-DFC</t>
  </si>
  <si>
    <t>SAL1947TQRZ</t>
  </si>
  <si>
    <t>GHACC09TLCSC01_CHS1_PWR1</t>
  </si>
  <si>
    <t>C6880-X-3KW-AC</t>
  </si>
  <si>
    <t>ART1936706F</t>
  </si>
  <si>
    <t>GHACC09TLCSC01_CHS1_PWR2</t>
  </si>
  <si>
    <t>ART1936706D</t>
  </si>
  <si>
    <t>GHACC09TLCSC01_CHS2_PWR1</t>
  </si>
  <si>
    <t>ART1937709C</t>
  </si>
  <si>
    <t>GHACC09TLCSC01_CHS2_PWR2</t>
  </si>
  <si>
    <t>ART1937709A</t>
  </si>
  <si>
    <t>GHACC09TLCSC01_CHS1_FEX101_PWR1</t>
  </si>
  <si>
    <t>PWR-C2-1025</t>
  </si>
  <si>
    <t>DCB1938C0M6</t>
  </si>
  <si>
    <t>GHACC09TLCSC01_CHS1_FEX101_PWR2</t>
  </si>
  <si>
    <t>DCB1940C0M2</t>
  </si>
  <si>
    <t>GHACC09TLCSC01_CHS2_FEX101_PWR1</t>
  </si>
  <si>
    <t>DCB1940C0NM</t>
  </si>
  <si>
    <t>GHACC09TLCSC01_CHS2_FEX101_PWR2</t>
  </si>
  <si>
    <t>DCB1938C0PN</t>
  </si>
  <si>
    <t>GHACC09TLCSC01_CHS1_FEX102_PWR1</t>
  </si>
  <si>
    <t>DCB1938C0QM</t>
  </si>
  <si>
    <t>GHACC09TLCSC01_CHS1_FEX102_PWR2</t>
  </si>
  <si>
    <t>LIT192907PF</t>
  </si>
  <si>
    <t>GHACC09TLCSC01_CHS2_FEX102_PWR1</t>
  </si>
  <si>
    <t>DCB1938C0QQ</t>
  </si>
  <si>
    <t>GHACC09TLCSC01_CHS2_FEX102_PWR2</t>
  </si>
  <si>
    <t>DCB1940C0G8</t>
  </si>
  <si>
    <t>GHACC09TLCSC01_CHS3_FEX103_PWR2</t>
  </si>
  <si>
    <t>LIT21122PZD</t>
  </si>
  <si>
    <t>GHACC09TLCSC01_CHS2_FEX104_PWR1</t>
  </si>
  <si>
    <t>DCB1938C0NN</t>
  </si>
  <si>
    <t>GHACC09TLCSC01_CHS2_FEX104_PWR2</t>
  </si>
  <si>
    <t>LIT192907YG</t>
  </si>
  <si>
    <t>GHACC09TLCSC01_CHS3_FEX105_PWR1</t>
  </si>
  <si>
    <t>LIT21122QT6</t>
  </si>
  <si>
    <t>GHACC09TLCSC01_CHS3_FEX105_PWR2</t>
  </si>
  <si>
    <t>DCB2109C6HM</t>
  </si>
  <si>
    <t>GHACC09TLCSC01_CHS1_FEX106_PWR1</t>
  </si>
  <si>
    <t>DCB1940C0G6</t>
  </si>
  <si>
    <t>GHACC09TLCSC01_CHS1_FEX106_PWR2</t>
  </si>
  <si>
    <t>DCB1940C0ET</t>
  </si>
  <si>
    <t>GHACC09TLCSC01_CHS2_FEX106_PWR2</t>
  </si>
  <si>
    <t>DCB1940C0UP</t>
  </si>
  <si>
    <t>GHACC09TLCSC01_CHS1_FEX107_PWR1</t>
  </si>
  <si>
    <t>DCB1940C0G7</t>
  </si>
  <si>
    <t>GHACC09TLCSC01_CHS1_FEX107_PWR2</t>
  </si>
  <si>
    <t>DCB1938C0QW</t>
  </si>
  <si>
    <t>GHACC09TLCSC01_CHS2_FEX107_PWR1</t>
  </si>
  <si>
    <t>DCB1938C0S0</t>
  </si>
  <si>
    <t>GHACC09TLCSC01_CHS2_FEX107_PWR2</t>
  </si>
  <si>
    <t>LIT192907WR</t>
  </si>
  <si>
    <t>GHACC09003AP03</t>
  </si>
  <si>
    <t>FCW1909N598</t>
  </si>
  <si>
    <t>GHACC09003AP01</t>
  </si>
  <si>
    <t>FCW1909N5CU</t>
  </si>
  <si>
    <t>GHACC09001AP02</t>
  </si>
  <si>
    <t>FCW1909N587</t>
  </si>
  <si>
    <t>GHACC09004AP03</t>
  </si>
  <si>
    <t>FCW1909N5A2</t>
  </si>
  <si>
    <t>GHACC09005AP03</t>
  </si>
  <si>
    <t>FCW1909N589</t>
  </si>
  <si>
    <t>GHACC09004AP08</t>
  </si>
  <si>
    <t>FCW1911NAKZ</t>
  </si>
  <si>
    <t>GHACC09005AP09</t>
  </si>
  <si>
    <t>FCW1911NARR</t>
  </si>
  <si>
    <t>GHACC09003AP05</t>
  </si>
  <si>
    <t>FCW1909N5CV</t>
  </si>
  <si>
    <t>GHACC09TLCSC01_CHS1_1</t>
  </si>
  <si>
    <t>C6880-X-LE-16P10G</t>
  </si>
  <si>
    <t>SAL1948TTTJ</t>
  </si>
  <si>
    <t>GHACC09TLCSC01_CHS2_1</t>
  </si>
  <si>
    <t>SAL1948TTRE</t>
  </si>
  <si>
    <t>GHACC09TLCSC01_CHS2_1_SUBMODULE</t>
  </si>
  <si>
    <t>SAL1947TQU2</t>
  </si>
  <si>
    <t>GHACC09TLCSC01_CHS2_SUP</t>
  </si>
  <si>
    <t>SAL1948U44V</t>
  </si>
  <si>
    <t>GHACC09TLCRO04</t>
  </si>
  <si>
    <t>CISCO2921/K9</t>
  </si>
  <si>
    <t>FCZ193470D1</t>
  </si>
  <si>
    <t>GHACC09TLCSW01</t>
  </si>
  <si>
    <t>FDO1915F012</t>
  </si>
  <si>
    <t>ghacc09tlcvg01</t>
  </si>
  <si>
    <t>C2951</t>
  </si>
  <si>
    <t>FGL162012D0</t>
  </si>
  <si>
    <t>GHIMO10TLCSC01_SW1</t>
  </si>
  <si>
    <t>WS-C3850-24P-E</t>
  </si>
  <si>
    <t>FOC2022U1V5</t>
  </si>
  <si>
    <t>GHIMO10TLCSW01</t>
  </si>
  <si>
    <t>FDO1915F010</t>
  </si>
  <si>
    <t>GHIMO10DMZSW01_SW2</t>
  </si>
  <si>
    <t>FDO1915P041</t>
  </si>
  <si>
    <t>GHIMO10DMZSW01_SW1</t>
  </si>
  <si>
    <t>FDO1915H048</t>
  </si>
  <si>
    <t>GHIMO10TLCSC01_SW2</t>
  </si>
  <si>
    <t>FOC2022U1GR</t>
  </si>
  <si>
    <t>GHIMO10TLCRO02</t>
  </si>
  <si>
    <t>FCZ193470CU</t>
  </si>
  <si>
    <t>GHIMO10TLCRO01</t>
  </si>
  <si>
    <t>FCZ193470D7</t>
  </si>
  <si>
    <t>GHIMO10TLCAP03</t>
  </si>
  <si>
    <t>FCW1931NPYK</t>
  </si>
  <si>
    <t>GHIMO10TLCAP01</t>
  </si>
  <si>
    <t>FCW1848N0NS</t>
  </si>
  <si>
    <t>GHIMO10TLCAP02</t>
  </si>
  <si>
    <t>FCW1931NPWT</t>
  </si>
  <si>
    <t>GHSNZ11TLCSW03</t>
  </si>
  <si>
    <t>WS-C3850-48P</t>
  </si>
  <si>
    <t>FDO1752Z057</t>
  </si>
  <si>
    <t>GHSNZ11TLCSW01_SW2</t>
  </si>
  <si>
    <t>FCW2202C1L3</t>
  </si>
  <si>
    <t>GHSNZ11TLCAP02</t>
  </si>
  <si>
    <t>FGL1828W9B2</t>
  </si>
  <si>
    <t>GHSNZ11TLCAP03</t>
  </si>
  <si>
    <t>FGL1828W9AQ</t>
  </si>
  <si>
    <t>GHSNZ11TLCRO02</t>
  </si>
  <si>
    <t>FGL204811L1</t>
  </si>
  <si>
    <t>GHSNZ11TLCRO01</t>
  </si>
  <si>
    <t>FGL204811L0</t>
  </si>
  <si>
    <t>GHSNZ11TLCSW01_SW1</t>
  </si>
  <si>
    <t>WS-C3850-48U</t>
  </si>
  <si>
    <t>FOC1901U0XE</t>
  </si>
  <si>
    <t>GHSNZ12SBBSW01</t>
  </si>
  <si>
    <t>WS-C3650-48PQ</t>
  </si>
  <si>
    <t>FDO1825Q17X</t>
  </si>
  <si>
    <t>GHSNZ12SBCSW01</t>
  </si>
  <si>
    <t>FDO1827Q1A4</t>
  </si>
  <si>
    <t>GHSNZ12CEDWC01</t>
  </si>
  <si>
    <t>AIR-CT3504-K9</t>
  </si>
  <si>
    <t>FOL250200ZM</t>
  </si>
  <si>
    <t>GHSNZ12TLCWC01</t>
  </si>
  <si>
    <t>FOL245100PW</t>
  </si>
  <si>
    <t>GHSNZ12SBDSW01</t>
  </si>
  <si>
    <t>FCW2246D10L</t>
  </si>
  <si>
    <t>GHSNZ12TLCSC01_SW1</t>
  </si>
  <si>
    <t>WS-C3850-48F-E</t>
  </si>
  <si>
    <t>FOC2202L42Q</t>
  </si>
  <si>
    <t>GHSNZ12TLCSC01_SW2</t>
  </si>
  <si>
    <t>FCW2202C1P2</t>
  </si>
  <si>
    <t>GHSNZ12TLCSW01</t>
  </si>
  <si>
    <t>FCW2202C1P3</t>
  </si>
  <si>
    <t>GHSNZ12TLCRO02</t>
  </si>
  <si>
    <t>FCZ192770XN</t>
  </si>
  <si>
    <t>GHSNZ12TLCRO01</t>
  </si>
  <si>
    <t>ASR1001-X</t>
  </si>
  <si>
    <t>FXS2133Q199</t>
  </si>
  <si>
    <t>GHSNZ12CEDSC01</t>
  </si>
  <si>
    <t>WS-C4507R-E</t>
  </si>
  <si>
    <t>FXS2119Q0QA</t>
  </si>
  <si>
    <t>GHSNZ12CCBSW01</t>
  </si>
  <si>
    <t>FDO1946E1WY</t>
  </si>
  <si>
    <t>GHSNZ12RECSW01</t>
  </si>
  <si>
    <t>WS-C3650-48FQ-L</t>
  </si>
  <si>
    <t>FDO2132Q02T</t>
  </si>
  <si>
    <t>GHSNZ12CEDSC02</t>
  </si>
  <si>
    <t>WS-C4507R+E</t>
  </si>
  <si>
    <t>FXS2119Q0QD</t>
  </si>
  <si>
    <t>GHSNZ12SUBSW01</t>
  </si>
  <si>
    <t>FDO2132E038</t>
  </si>
  <si>
    <t>GHSNZ12CLISW01</t>
  </si>
  <si>
    <t>FDO2132Q02G</t>
  </si>
  <si>
    <t>GHSNZ12ACASW01</t>
  </si>
  <si>
    <t>FDO2132Q02U</t>
  </si>
  <si>
    <t>GHSNZ12WHSSW01</t>
  </si>
  <si>
    <t>FDO2132Q01Y</t>
  </si>
  <si>
    <t>GHSNZ12TLCRO03</t>
  </si>
  <si>
    <t>ISR4331/K9</t>
  </si>
  <si>
    <t>FDO2232A1EY</t>
  </si>
  <si>
    <t>GHSNZ12EBASW01</t>
  </si>
  <si>
    <t>FDO2132Q02S</t>
  </si>
  <si>
    <t>GHSNZ12GHSSW01</t>
  </si>
  <si>
    <t>FDO2132Q02D</t>
  </si>
  <si>
    <t>GHSNZ12EBBSW01</t>
  </si>
  <si>
    <t>FDO2132E03E</t>
  </si>
  <si>
    <t>GHSNZ12SGHSW01</t>
  </si>
  <si>
    <t>FDO2132E03C</t>
  </si>
  <si>
    <t>GHSNZ12CCBSW02</t>
  </si>
  <si>
    <t>FDO2132Q02N</t>
  </si>
  <si>
    <t>GHSNZ12SBASW01</t>
  </si>
  <si>
    <t>FDO2132E02U</t>
  </si>
  <si>
    <t>GHACC000AP02</t>
  </si>
  <si>
    <t>AIR-LAP1142N-E-K9</t>
  </si>
  <si>
    <t>FCZ1620Z1VF</t>
  </si>
  <si>
    <t>GHACC000AP05</t>
  </si>
  <si>
    <t>AIR-CAP1702I-E-K9</t>
  </si>
  <si>
    <t>FGL1941X8RW</t>
  </si>
  <si>
    <t>GHACC000AP09</t>
  </si>
  <si>
    <t>FCW1913N1NC</t>
  </si>
  <si>
    <t>GHTKD15TLCVN01</t>
  </si>
  <si>
    <t>C881W-E-K9</t>
  </si>
  <si>
    <t>FGL211320UJ</t>
  </si>
  <si>
    <t>GHTKD15CONAP01</t>
  </si>
  <si>
    <t>FCW1931NPXS</t>
  </si>
  <si>
    <t>GHTKD17TLCSW01</t>
  </si>
  <si>
    <t>WS-C2960+24PC-L</t>
  </si>
  <si>
    <t>FOC1850S3HV</t>
  </si>
  <si>
    <t>GHTKD17TLCAP01</t>
  </si>
  <si>
    <t>FCW1913NQHW</t>
  </si>
  <si>
    <t>GHTKD17TLCVN01</t>
  </si>
  <si>
    <t>FGL211320UL</t>
  </si>
  <si>
    <t>GHIMO19TLCRO01</t>
  </si>
  <si>
    <t>1921/K9</t>
  </si>
  <si>
    <t>FCZ202160A2</t>
  </si>
  <si>
    <t>Phone No.</t>
  </si>
  <si>
    <t>Name</t>
  </si>
  <si>
    <t xml:space="preserve">Positions </t>
  </si>
  <si>
    <t>Departments</t>
  </si>
  <si>
    <t>Phone Model</t>
  </si>
  <si>
    <t>Year Assigned</t>
  </si>
  <si>
    <t xml:space="preserve">Finance </t>
  </si>
  <si>
    <t>257960655</t>
  </si>
  <si>
    <t>Technical director</t>
  </si>
  <si>
    <t>Iphone 16 pro max</t>
  </si>
  <si>
    <t xml:space="preserve">General Services Officer </t>
  </si>
  <si>
    <t>Samsung Galaxy A54 5G</t>
  </si>
  <si>
    <t xml:space="preserve">Travel Coordinator </t>
  </si>
  <si>
    <t>Engineering &amp; Construction Manager</t>
  </si>
  <si>
    <t>Vincenzo RAGONE</t>
  </si>
  <si>
    <t xml:space="preserve">Exploration Manager </t>
  </si>
  <si>
    <t>iPhone 16 Pro Max</t>
  </si>
  <si>
    <t>257955921</t>
  </si>
  <si>
    <t xml:space="preserve">Commeercial &amp; Business Development  Manger </t>
  </si>
  <si>
    <t xml:space="preserve">Commercial and Business Development </t>
  </si>
  <si>
    <t>Samsung Galaxy S24+</t>
  </si>
  <si>
    <t>596994998</t>
  </si>
  <si>
    <t xml:space="preserve">Brian Alex Adomako </t>
  </si>
  <si>
    <t xml:space="preserve">Internal Control, Governance &amp; Compliance Manger </t>
  </si>
  <si>
    <t xml:space="preserve">Finance-Compliance </t>
  </si>
  <si>
    <t>Galaxy A54 5G</t>
  </si>
  <si>
    <t>556563400</t>
  </si>
  <si>
    <t>FRANCIS KWEKU  SAMANHYIA</t>
  </si>
  <si>
    <t xml:space="preserve">Tax Manager </t>
  </si>
  <si>
    <t>Finance-Tax</t>
  </si>
  <si>
    <t>257957447</t>
  </si>
  <si>
    <t>Salman Bin  Masood</t>
  </si>
  <si>
    <t>Personnel Manager</t>
  </si>
  <si>
    <t>HR&amp;T</t>
  </si>
  <si>
    <t>593821445</t>
  </si>
  <si>
    <t xml:space="preserve">Frederick Osei-Bonsu </t>
  </si>
  <si>
    <t xml:space="preserve">HR&amp;T Manager </t>
  </si>
  <si>
    <t>HR&amp;T-Personnel</t>
  </si>
  <si>
    <t>One Plus 12</t>
  </si>
  <si>
    <t>556690789</t>
  </si>
  <si>
    <t xml:space="preserve">Abdul-Rahman Amin </t>
  </si>
  <si>
    <t>Security Manager</t>
  </si>
  <si>
    <t xml:space="preserve">HR&amp;T-Security </t>
  </si>
  <si>
    <t>HSEQ</t>
  </si>
  <si>
    <t>iPhone 11 Pro Max</t>
  </si>
  <si>
    <t xml:space="preserve">Managing Director </t>
  </si>
  <si>
    <t>iPhone 15 Pro Max</t>
  </si>
  <si>
    <t>552558452</t>
  </si>
  <si>
    <t xml:space="preserve">Louisa Accam </t>
  </si>
  <si>
    <t xml:space="preserve">Vendor Management Coordinator </t>
  </si>
  <si>
    <t xml:space="preserve">Procument </t>
  </si>
  <si>
    <t>593941587</t>
  </si>
  <si>
    <t xml:space="preserve">Contracts &amp; Procurement Manager </t>
  </si>
  <si>
    <t>594030478</t>
  </si>
  <si>
    <t>Daniele Iorio</t>
  </si>
  <si>
    <t>Maintenance SPT</t>
  </si>
  <si>
    <t xml:space="preserve">Technical - Maintenance </t>
  </si>
  <si>
    <t xml:space="preserve">FPSO Company Rep Manager </t>
  </si>
  <si>
    <t>Technical - Production</t>
  </si>
  <si>
    <t>531031715</t>
  </si>
  <si>
    <t>Ali Mossa Asif Mansoor</t>
  </si>
  <si>
    <t xml:space="preserve">Logistics Base Manager </t>
  </si>
  <si>
    <t xml:space="preserve">Technical-Logistics </t>
  </si>
  <si>
    <t>Samsung A54</t>
  </si>
  <si>
    <t>593918470</t>
  </si>
  <si>
    <t xml:space="preserve">Abdul Mannan </t>
  </si>
  <si>
    <t xml:space="preserve">Exploration Project Manager </t>
  </si>
  <si>
    <t>257964226</t>
  </si>
  <si>
    <t>Daivds Kofi Andre</t>
  </si>
  <si>
    <t xml:space="preserve">Health Advisor </t>
  </si>
  <si>
    <t>HR&amp;T-Health</t>
  </si>
  <si>
    <t>Galaxy  A54 5G</t>
  </si>
  <si>
    <t>556761901</t>
  </si>
  <si>
    <t xml:space="preserve">Gifty Coffie </t>
  </si>
  <si>
    <t xml:space="preserve">Health Specialist </t>
  </si>
  <si>
    <t xml:space="preserve">Galaxy A54 5G </t>
  </si>
  <si>
    <t>556761895</t>
  </si>
  <si>
    <t xml:space="preserve">Leticia Akagbor </t>
  </si>
  <si>
    <t xml:space="preserve">Nurse </t>
  </si>
  <si>
    <t>556562876</t>
  </si>
  <si>
    <t xml:space="preserve">Sanzule Site Doctor </t>
  </si>
  <si>
    <t>Health - Med Post</t>
  </si>
  <si>
    <t>243600869</t>
  </si>
  <si>
    <t xml:space="preserve">Abena Owusu </t>
  </si>
  <si>
    <t xml:space="preserve">Legal Manager </t>
  </si>
  <si>
    <t>IPhone 11 Pro Max</t>
  </si>
  <si>
    <t>544341817</t>
  </si>
  <si>
    <t>Renny Osei-Barimah</t>
  </si>
  <si>
    <t>Stakeholder Engagement Officer</t>
  </si>
  <si>
    <t xml:space="preserve">Local Content and Sustainability </t>
  </si>
  <si>
    <t>540102536</t>
  </si>
  <si>
    <t>Freida Quargraine</t>
  </si>
  <si>
    <t xml:space="preserve">Contract Administration Manager </t>
  </si>
  <si>
    <t>Samsung Galaxy A54</t>
  </si>
  <si>
    <t>596994927</t>
  </si>
  <si>
    <t xml:space="preserve">ORF Maintenance Supervisor </t>
  </si>
  <si>
    <t>Galaxy A53 5G</t>
  </si>
  <si>
    <t>593951853</t>
  </si>
  <si>
    <t>Gaetano Fraziano</t>
  </si>
  <si>
    <t xml:space="preserve">Instrumentation/Automation Specialist </t>
  </si>
  <si>
    <t>544339813</t>
  </si>
  <si>
    <t xml:space="preserve">DRIVERS OFFICE </t>
  </si>
  <si>
    <t>Drivers Coordinator</t>
  </si>
  <si>
    <t>559687364</t>
  </si>
  <si>
    <t xml:space="preserve">Rickson Annan </t>
  </si>
  <si>
    <t>Production Contractor KPI Monitoring Senior Engineer</t>
  </si>
  <si>
    <t>Technical-Production</t>
  </si>
  <si>
    <t>531031736</t>
  </si>
  <si>
    <t xml:space="preserve">Production Manager </t>
  </si>
  <si>
    <t>556616615</t>
  </si>
  <si>
    <t>ADAM MOHAMMED</t>
  </si>
  <si>
    <t xml:space="preserve">Lifting &amp; Shipping Manager </t>
  </si>
  <si>
    <t>Galaxy A53</t>
  </si>
  <si>
    <t>257960944</t>
  </si>
  <si>
    <t xml:space="preserve">Koffie Kenneth </t>
  </si>
  <si>
    <t xml:space="preserve">Lifting &amp; Scheduling Specialist </t>
  </si>
  <si>
    <t>531028210</t>
  </si>
  <si>
    <t>Mondal  Dibakar</t>
  </si>
  <si>
    <t xml:space="preserve">Operations Geology Manager </t>
  </si>
  <si>
    <t>Samsung Galaxy A53</t>
  </si>
  <si>
    <t>242623863</t>
  </si>
  <si>
    <t xml:space="preserve">Elizabeth Nortey </t>
  </si>
  <si>
    <t xml:space="preserve">Operation Geologist </t>
  </si>
  <si>
    <t>593994063</t>
  </si>
  <si>
    <t>Michael  Atikumah</t>
  </si>
  <si>
    <t xml:space="preserve">Snr. Accountant </t>
  </si>
  <si>
    <t xml:space="preserve">Finance -Accounting </t>
  </si>
  <si>
    <t>Galaxy A52</t>
  </si>
  <si>
    <t>243854027</t>
  </si>
  <si>
    <t xml:space="preserve">Snr.Treasury Accountant </t>
  </si>
  <si>
    <t xml:space="preserve">Finance -Treasurey </t>
  </si>
  <si>
    <t>552570221</t>
  </si>
  <si>
    <t xml:space="preserve">Ishmael Danso </t>
  </si>
  <si>
    <t>HR Cost Control</t>
  </si>
  <si>
    <t>HR&amp;T-Cost Control</t>
  </si>
  <si>
    <t>593973896</t>
  </si>
  <si>
    <t>GOODMAN SARQUAH</t>
  </si>
  <si>
    <t>HR&amp;T-GSS</t>
  </si>
  <si>
    <t>556492723</t>
  </si>
  <si>
    <t xml:space="preserve">Babson Marilyn </t>
  </si>
  <si>
    <t>556495313</t>
  </si>
  <si>
    <t xml:space="preserve">Bridget Ahiable </t>
  </si>
  <si>
    <t xml:space="preserve">General Services Supervisor </t>
  </si>
  <si>
    <t>544339811</t>
  </si>
  <si>
    <t xml:space="preserve">Abraham Ackam </t>
  </si>
  <si>
    <t xml:space="preserve">General Services Coordinator </t>
  </si>
  <si>
    <t>556771233</t>
  </si>
  <si>
    <t xml:space="preserve">Prosper Guest House </t>
  </si>
  <si>
    <t>Guest House</t>
  </si>
  <si>
    <t>593853561</t>
  </si>
  <si>
    <t xml:space="preserve">JOSHUA ESHUN YANKEY  </t>
  </si>
  <si>
    <t>552708898</t>
  </si>
  <si>
    <t xml:space="preserve">Sanzule Doctor </t>
  </si>
  <si>
    <t>552558408</t>
  </si>
  <si>
    <t xml:space="preserve">HR Officer </t>
  </si>
  <si>
    <t>GAlaxy A53</t>
  </si>
  <si>
    <t>552569239</t>
  </si>
  <si>
    <t>DORCAS ADISA WUMPINI WUMBEE</t>
  </si>
  <si>
    <t>593873884</t>
  </si>
  <si>
    <t xml:space="preserve">Ampomah-Aglubi Pearl </t>
  </si>
  <si>
    <t xml:space="preserve">Administration Assistant </t>
  </si>
  <si>
    <t>556644650</t>
  </si>
  <si>
    <t xml:space="preserve">Osei-Ahenkorah Anthony </t>
  </si>
  <si>
    <t xml:space="preserve">Environmental Coordinator </t>
  </si>
  <si>
    <t>552814739</t>
  </si>
  <si>
    <t xml:space="preserve">Emmanuel Miezah Quandhor </t>
  </si>
  <si>
    <t xml:space="preserve">HSE IMS Quality &amp; Reporting Engineer </t>
  </si>
  <si>
    <t>552557960</t>
  </si>
  <si>
    <t xml:space="preserve">Mark Asibey </t>
  </si>
  <si>
    <t>FPSO HSE SPV</t>
  </si>
  <si>
    <t>243900629</t>
  </si>
  <si>
    <t xml:space="preserve">Richard Amo Larbi </t>
  </si>
  <si>
    <t>ORF HSE SPT</t>
  </si>
  <si>
    <t>556563406</t>
  </si>
  <si>
    <t xml:space="preserve">Maame Bartels </t>
  </si>
  <si>
    <t xml:space="preserve">IMS Reporting &amp; Quality Manager </t>
  </si>
  <si>
    <t>540106091</t>
  </si>
  <si>
    <t>HSE SPV (Logistics Base )</t>
  </si>
  <si>
    <t>257960439</t>
  </si>
  <si>
    <t>Abena  Awuku Larbi</t>
  </si>
  <si>
    <t xml:space="preserve">Legal Assistantant </t>
  </si>
  <si>
    <t>594063323</t>
  </si>
  <si>
    <t xml:space="preserve">Mubarak Mahamah </t>
  </si>
  <si>
    <t>Snr. Contract Engineer</t>
  </si>
  <si>
    <t>544335681</t>
  </si>
  <si>
    <t xml:space="preserve">Rita Afriyie </t>
  </si>
  <si>
    <t>593884704</t>
  </si>
  <si>
    <t>DAVID BLAY</t>
  </si>
  <si>
    <t>Community Liaison Officer</t>
  </si>
  <si>
    <t>556760404</t>
  </si>
  <si>
    <t xml:space="preserve">Righteous Alimah </t>
  </si>
  <si>
    <t>556643398</t>
  </si>
  <si>
    <t xml:space="preserve">Ekow Hammah </t>
  </si>
  <si>
    <t xml:space="preserve">Sustainability Cost Control &amp; Permitting Officer </t>
  </si>
  <si>
    <t>552558660</t>
  </si>
  <si>
    <t xml:space="preserve">Jamal Alimeyawu </t>
  </si>
  <si>
    <t xml:space="preserve">Corporate Procurement Coordinator </t>
  </si>
  <si>
    <t>552559287</t>
  </si>
  <si>
    <t xml:space="preserve">Kumi Aboagye </t>
  </si>
  <si>
    <t xml:space="preserve">Snr. Contract Administrator </t>
  </si>
  <si>
    <t xml:space="preserve">Galaxy A53 </t>
  </si>
  <si>
    <t>540112718</t>
  </si>
  <si>
    <t xml:space="preserve">Contract Administrator </t>
  </si>
  <si>
    <t>257957541</t>
  </si>
  <si>
    <t>NANA AKUA DANSO</t>
  </si>
  <si>
    <t xml:space="preserve">Asset Intergrity Engineer </t>
  </si>
  <si>
    <t>593804359</t>
  </si>
  <si>
    <t xml:space="preserve">Richard Osei </t>
  </si>
  <si>
    <t xml:space="preserve">Cost &amp; Document Control Coordinator </t>
  </si>
  <si>
    <t>593804361</t>
  </si>
  <si>
    <t xml:space="preserve">Patricia Acheampong </t>
  </si>
  <si>
    <t xml:space="preserve">Snr. Cost Controller Reporting </t>
  </si>
  <si>
    <t>559709699</t>
  </si>
  <si>
    <t xml:space="preserve">Francis Hawkson </t>
  </si>
  <si>
    <t>Flow Assurance Engineer</t>
  </si>
  <si>
    <t xml:space="preserve">Technical - Engineering </t>
  </si>
  <si>
    <t>593857733</t>
  </si>
  <si>
    <t xml:space="preserve">Godfred Dzasi </t>
  </si>
  <si>
    <t xml:space="preserve">Maintenance Data Base Engineer </t>
  </si>
  <si>
    <t>257955492</t>
  </si>
  <si>
    <t>Marco Pezzo</t>
  </si>
  <si>
    <t xml:space="preserve">Maintenance Coordinator </t>
  </si>
  <si>
    <t>559692392</t>
  </si>
  <si>
    <t xml:space="preserve">Felix Odame </t>
  </si>
  <si>
    <t xml:space="preserve">Maintenance Planning </t>
  </si>
  <si>
    <t>540108590</t>
  </si>
  <si>
    <t xml:space="preserve">Emmanuel Twum-Barimah </t>
  </si>
  <si>
    <t>Maintenance Planner</t>
  </si>
  <si>
    <t>531012876</t>
  </si>
  <si>
    <t xml:space="preserve">
Ibrahim Mohamed Elmahdi Mamdouh Desokei</t>
  </si>
  <si>
    <t>Subsea Specialist</t>
  </si>
  <si>
    <t>552795513</t>
  </si>
  <si>
    <t xml:space="preserve">Ishmael Amihere </t>
  </si>
  <si>
    <t xml:space="preserve">Reservoir Geologist </t>
  </si>
  <si>
    <t xml:space="preserve">Technical - Reservior </t>
  </si>
  <si>
    <t>559709075</t>
  </si>
  <si>
    <t xml:space="preserve">Amos Aidoo </t>
  </si>
  <si>
    <t xml:space="preserve">Logistics Coordinator </t>
  </si>
  <si>
    <t>257955783</t>
  </si>
  <si>
    <t>Dennis Asamoah</t>
  </si>
  <si>
    <t xml:space="preserve">Logistics Engineer </t>
  </si>
  <si>
    <t>596994792</t>
  </si>
  <si>
    <t xml:space="preserve">Nicholas Clerk </t>
  </si>
  <si>
    <t>Customs &amp; Shipping Officer</t>
  </si>
  <si>
    <t>593989706</t>
  </si>
  <si>
    <t xml:space="preserve">Materials Coordinator </t>
  </si>
  <si>
    <t>552560410</t>
  </si>
  <si>
    <t xml:space="preserve">Francis Codjoe </t>
  </si>
  <si>
    <t xml:space="preserve">Lifting Advisor </t>
  </si>
  <si>
    <t>Samsung  Galaxy A53</t>
  </si>
  <si>
    <t>593912693</t>
  </si>
  <si>
    <t xml:space="preserve">Mahfoudh Sabeur </t>
  </si>
  <si>
    <t xml:space="preserve">Plant Manager </t>
  </si>
  <si>
    <t>594001683</t>
  </si>
  <si>
    <t>MUSTAPHER NURUDEEN</t>
  </si>
  <si>
    <t xml:space="preserve">Plant SPT </t>
  </si>
  <si>
    <t>593904256</t>
  </si>
  <si>
    <t>Raymond  Sessay</t>
  </si>
  <si>
    <t>Well Site Fluid SPV</t>
  </si>
  <si>
    <t>Technical-Well Operation</t>
  </si>
  <si>
    <t>593998386</t>
  </si>
  <si>
    <t xml:space="preserve">Omar Zardi </t>
  </si>
  <si>
    <t xml:space="preserve">Completion Engineering Coordinator </t>
  </si>
  <si>
    <t>552813436</t>
  </si>
  <si>
    <t xml:space="preserve">Alexander Amoako Amponsah </t>
  </si>
  <si>
    <t xml:space="preserve">Drilling Engineer </t>
  </si>
  <si>
    <t>593802911</t>
  </si>
  <si>
    <t xml:space="preserve">Kimathi AGYEMAN-RAWLINGS </t>
  </si>
  <si>
    <t xml:space="preserve">Negotiations Coordinator </t>
  </si>
  <si>
    <t>Galaxy A51</t>
  </si>
  <si>
    <t>241393185</t>
  </si>
  <si>
    <t>Freeman -Aikins Albert</t>
  </si>
  <si>
    <t xml:space="preserve">Snr. Planning &amp; Control Analyst </t>
  </si>
  <si>
    <t>Finance -Planning</t>
  </si>
  <si>
    <t>556563382</t>
  </si>
  <si>
    <t>Amoako Gina</t>
  </si>
  <si>
    <t xml:space="preserve">Travel Officer </t>
  </si>
  <si>
    <t>243500024</t>
  </si>
  <si>
    <t xml:space="preserve">HR Reporting Officer </t>
  </si>
  <si>
    <t>594004833</t>
  </si>
  <si>
    <t xml:space="preserve">George Asamoah-Baidoo </t>
  </si>
  <si>
    <t>Samsung Galaxy A52</t>
  </si>
  <si>
    <t>552569476</t>
  </si>
  <si>
    <t>Grievance Management</t>
  </si>
  <si>
    <t>552559334</t>
  </si>
  <si>
    <t xml:space="preserve">Charles Seddoh </t>
  </si>
  <si>
    <t xml:space="preserve">Civil Engineer Supervisor </t>
  </si>
  <si>
    <t>552558774</t>
  </si>
  <si>
    <t xml:space="preserve">Angela Akabzaa </t>
  </si>
  <si>
    <t xml:space="preserve">Offshore Operations Procurement Coordinator </t>
  </si>
  <si>
    <t>243616875</t>
  </si>
  <si>
    <t>Viorel  Predescu</t>
  </si>
  <si>
    <t>552737339</t>
  </si>
  <si>
    <t>Reservior Engineer</t>
  </si>
  <si>
    <t>556589520</t>
  </si>
  <si>
    <t xml:space="preserve">Albert Appiah </t>
  </si>
  <si>
    <t xml:space="preserve">Transport Dispacher </t>
  </si>
  <si>
    <t>556760462</t>
  </si>
  <si>
    <t>RICHMOND KOJO ANNAN GODWYLL</t>
  </si>
  <si>
    <t xml:space="preserve">Operations Manager - Versalis </t>
  </si>
  <si>
    <t xml:space="preserve">Versalis </t>
  </si>
  <si>
    <t>593989210</t>
  </si>
  <si>
    <t>596912952</t>
  </si>
  <si>
    <t xml:space="preserve">Ghansah Augustus Amissah </t>
  </si>
  <si>
    <t xml:space="preserve">Tax Analyst </t>
  </si>
  <si>
    <t>Galaxy A30s</t>
  </si>
  <si>
    <t>559697559</t>
  </si>
  <si>
    <t xml:space="preserve">Maxwell Quarme </t>
  </si>
  <si>
    <t xml:space="preserve">Snr.Treasury Coordinator </t>
  </si>
  <si>
    <t>Galaxy A31</t>
  </si>
  <si>
    <t>245067819</t>
  </si>
  <si>
    <t xml:space="preserve">Charlotte Kugbey </t>
  </si>
  <si>
    <t xml:space="preserve">Treasury Accountant </t>
  </si>
  <si>
    <t>552560224</t>
  </si>
  <si>
    <t xml:space="preserve">Daniel Obiri </t>
  </si>
  <si>
    <t xml:space="preserve">Head General Services </t>
  </si>
  <si>
    <t>552558267</t>
  </si>
  <si>
    <t xml:space="preserve">Adwoa Effriam-Williams </t>
  </si>
  <si>
    <t>Snr. HR Officer</t>
  </si>
  <si>
    <t>540106070</t>
  </si>
  <si>
    <t xml:space="preserve">Noble Amankwa-Ampofo </t>
  </si>
  <si>
    <t>593830111</t>
  </si>
  <si>
    <t xml:space="preserve">Mercy Yeboah </t>
  </si>
  <si>
    <t xml:space="preserve">Executive Assistant </t>
  </si>
  <si>
    <t>593804394</t>
  </si>
  <si>
    <t>Gideon Nyame</t>
  </si>
  <si>
    <t>Control Room Shift SPV</t>
  </si>
  <si>
    <t>593804605</t>
  </si>
  <si>
    <t>Kotey Alfred</t>
  </si>
  <si>
    <t xml:space="preserve">Completion Engineer </t>
  </si>
  <si>
    <t>Technical - Well Operation</t>
  </si>
  <si>
    <t>242941831</t>
  </si>
  <si>
    <t>Bookkeep</t>
  </si>
  <si>
    <t>556520996</t>
  </si>
  <si>
    <t xml:space="preserve">Monitoring &amp; Evaluation Coordinator </t>
  </si>
  <si>
    <t>Galaxy A30</t>
  </si>
  <si>
    <t>552570400</t>
  </si>
  <si>
    <t xml:space="preserve">George Locher </t>
  </si>
  <si>
    <t>QA Engineer</t>
  </si>
  <si>
    <t>556616612</t>
  </si>
  <si>
    <t xml:space="preserve">Commercial Analyst </t>
  </si>
  <si>
    <t>Samsung Galaxy J7 Prime</t>
  </si>
  <si>
    <t>556777546</t>
  </si>
  <si>
    <t xml:space="preserve">Edward Amoni </t>
  </si>
  <si>
    <t xml:space="preserve">Budget &amp; Reporting Senior Coordinator </t>
  </si>
  <si>
    <t>Galaxy J7 Prime</t>
  </si>
  <si>
    <t>242082620</t>
  </si>
  <si>
    <t xml:space="preserve">Nurse onsite - ORF </t>
  </si>
  <si>
    <t>Nokia 110</t>
  </si>
  <si>
    <t>556631196</t>
  </si>
  <si>
    <t xml:space="preserve">Oil Spill Response Team </t>
  </si>
  <si>
    <t>OSPR</t>
  </si>
  <si>
    <t>Samung Galaxy A31</t>
  </si>
  <si>
    <t>552569456</t>
  </si>
  <si>
    <t xml:space="preserve">Derrick Adu </t>
  </si>
  <si>
    <t xml:space="preserve">Community Investment Strategy &amp; Quick Impacts Delivery Team </t>
  </si>
  <si>
    <t>593842258</t>
  </si>
  <si>
    <t>VENDOR MANAGEMENT</t>
  </si>
  <si>
    <t>Vendor Management</t>
  </si>
  <si>
    <t>552745227</t>
  </si>
  <si>
    <t xml:space="preserve">Rockson David </t>
  </si>
  <si>
    <t>544339812</t>
  </si>
  <si>
    <t>247653923</t>
  </si>
  <si>
    <t xml:space="preserve">Mission Line </t>
  </si>
  <si>
    <t>556494462</t>
  </si>
  <si>
    <t>556492722</t>
  </si>
  <si>
    <t>593802814</t>
  </si>
  <si>
    <t>593804395</t>
  </si>
  <si>
    <t>Control Room - ORF</t>
  </si>
  <si>
    <t>Operations</t>
  </si>
  <si>
    <t>593804396</t>
  </si>
  <si>
    <t>Maintenance - ORF</t>
  </si>
  <si>
    <t>Michael Sampene</t>
  </si>
  <si>
    <t>Engineer</t>
  </si>
  <si>
    <t>594050517</t>
  </si>
  <si>
    <t xml:space="preserve">Michele Zarli </t>
  </si>
  <si>
    <t xml:space="preserve">Maintenance Manager </t>
  </si>
  <si>
    <t>Alex Adjabeng</t>
  </si>
  <si>
    <t>531008291</t>
  </si>
  <si>
    <t>De Luca Vittorio</t>
  </si>
  <si>
    <t>R5CW32CX0VK</t>
  </si>
  <si>
    <t>R5CW32GTD3R</t>
  </si>
  <si>
    <t>R5CW32GTDAA</t>
  </si>
  <si>
    <t>G6TZ9GF3N710</t>
  </si>
  <si>
    <t>G6TZG8D6N710</t>
  </si>
  <si>
    <t>G6TZ9K2ZN710</t>
  </si>
  <si>
    <t>G6TZF3LPN711</t>
  </si>
  <si>
    <t>DNPS61ALGRY9</t>
  </si>
  <si>
    <t>iPhone 6 S</t>
  </si>
  <si>
    <t>DKFX11PYNY</t>
  </si>
  <si>
    <t>VVIP</t>
  </si>
  <si>
    <t>RZCX203TKVL</t>
  </si>
  <si>
    <t>Samsung  Galaxy S24+</t>
  </si>
  <si>
    <t>To Be Returned</t>
  </si>
  <si>
    <t>Stolen</t>
  </si>
  <si>
    <t>Giuseppe Valenti</t>
  </si>
  <si>
    <t>iPad Pro 12inch</t>
  </si>
  <si>
    <t xml:space="preserve">Gabriele Fuggini </t>
  </si>
  <si>
    <t>Samsung Galaxy S23</t>
  </si>
  <si>
    <t xml:space="preserve">Gisella LIANTONIO </t>
  </si>
  <si>
    <t xml:space="preserve">Frederick Adjei </t>
  </si>
  <si>
    <t xml:space="preserve">Michele Chiapparino </t>
  </si>
  <si>
    <t>iPhone XR</t>
  </si>
  <si>
    <t xml:space="preserve">Nicollo Carnotto </t>
  </si>
  <si>
    <t>Samsung Galaxy A30</t>
  </si>
  <si>
    <t xml:space="preserve">Ninson Abaeku </t>
  </si>
  <si>
    <t xml:space="preserve">Seth Owusu-Agyemang </t>
  </si>
  <si>
    <t xml:space="preserve">Edward Hayfron-Walker </t>
  </si>
  <si>
    <t>Model SBID-7275P -SMART Board® 7075 Pro</t>
  </si>
  <si>
    <t>K031KW43A0165</t>
  </si>
  <si>
    <t>ACCESS CONTROLLER</t>
  </si>
  <si>
    <t>EXIT BUTTONS-EMERGENCY EXIT BUTTON</t>
  </si>
  <si>
    <t>ENROLLMENT CARD READER</t>
  </si>
  <si>
    <t>ACCESS CONTROLLER-INBIO 460 PACKAGE B</t>
  </si>
  <si>
    <t>DIGITAL CAMERA</t>
  </si>
  <si>
    <t>RADIO COMMUNICATION SYSTEM</t>
  </si>
  <si>
    <t>DJI PHANTOM 4 PRO PLUS DRONE</t>
  </si>
  <si>
    <t>CISCO 5520 WIRLESS CONTROLLER W/RACK</t>
  </si>
  <si>
    <t>SNTC-8X5XNBD CISCO 5520 WIRELESS CONTROLLER</t>
  </si>
  <si>
    <t>770W AC HOT-PLUG POWER SUPPLY FOR 5520 CONTROLLER</t>
  </si>
  <si>
    <t>1025W AC CONFIG 2 POWER SUPPLY SPARE</t>
  </si>
  <si>
    <t>CARDS PRINTING SOFTWARE BASE-CARD STUDIO VER. 1.25</t>
  </si>
  <si>
    <t>INVENTORY SOFTWARE</t>
  </si>
  <si>
    <t>License vSphere EssPlus 3x Server</t>
  </si>
  <si>
    <t>SAP Software Installation</t>
  </si>
  <si>
    <t>BLUECOAT SUPPORT</t>
  </si>
  <si>
    <t>Neura laser color II HV</t>
  </si>
  <si>
    <t>5062499474VY2</t>
  </si>
  <si>
    <t>Scrapped</t>
  </si>
  <si>
    <t>Duplicate</t>
  </si>
  <si>
    <t>ZVT0APD2</t>
  </si>
  <si>
    <t>Remarks</t>
  </si>
  <si>
    <t>Done</t>
  </si>
  <si>
    <t>Remarks - Felix</t>
  </si>
  <si>
    <t>Out</t>
  </si>
  <si>
    <t>LUCA STRIGLIO</t>
  </si>
  <si>
    <t>done</t>
  </si>
  <si>
    <t>N/A</t>
  </si>
  <si>
    <t>Remarks 2</t>
  </si>
  <si>
    <t>FCH18018EFE</t>
  </si>
  <si>
    <t>PC0G55SF</t>
  </si>
  <si>
    <t>FCH18118N4F</t>
  </si>
  <si>
    <t>Item</t>
  </si>
  <si>
    <t>Model Name</t>
  </si>
  <si>
    <t>Cisco TelePresence MX800 Dual</t>
  </si>
  <si>
    <t>VC</t>
  </si>
  <si>
    <t>FTT1947041P</t>
  </si>
  <si>
    <t>Eni Ghana Board Room</t>
  </si>
  <si>
    <t>Cisco TelePresence MX300 G2</t>
  </si>
  <si>
    <t>FTT205003IB</t>
  </si>
  <si>
    <t>Sanzule ORF</t>
  </si>
  <si>
    <t>Cisco TelePresence DX80</t>
  </si>
  <si>
    <t>FOC2206N0BM</t>
  </si>
  <si>
    <t>EniGhana Takoradi</t>
  </si>
  <si>
    <t>Cisco Webex Codec Plus</t>
  </si>
  <si>
    <t>FOC2226NDGP</t>
  </si>
  <si>
    <t>EGH_FPSO</t>
  </si>
  <si>
    <t>FTT221300AD</t>
  </si>
  <si>
    <t>Cafeteria</t>
  </si>
  <si>
    <t>Cisco TelePresence MX200 G2</t>
  </si>
  <si>
    <t>FTT21380010</t>
  </si>
  <si>
    <t>Enighana_ORF</t>
  </si>
  <si>
    <t>FTT2213008K</t>
  </si>
  <si>
    <t>Ghana Emergency Room</t>
  </si>
  <si>
    <t>FTT21300023</t>
  </si>
  <si>
    <t>OCTP MEETING ROOM</t>
  </si>
  <si>
    <t>Cisco TelePresence EX90</t>
  </si>
  <si>
    <t>A1AR10H00061</t>
  </si>
  <si>
    <t>Gye Nyame Meeting Room - Accra</t>
  </si>
  <si>
    <t>FTT190702RR</t>
  </si>
  <si>
    <t>RESS 1 - GHANA</t>
  </si>
  <si>
    <t>A1AR25H00146</t>
  </si>
  <si>
    <t>ENIGH PROCUREMENT DEPT</t>
  </si>
  <si>
    <t>A1AR39H00088</t>
  </si>
  <si>
    <t>EGH HSE Meeting Room</t>
  </si>
  <si>
    <t>A1AR39H00170</t>
  </si>
  <si>
    <t>Eni Ghana MD</t>
  </si>
  <si>
    <t>FOC2206N0GR</t>
  </si>
  <si>
    <t>EGH FINANCE MEETING ROOM</t>
  </si>
  <si>
    <t>FOC2303PG9A</t>
  </si>
  <si>
    <t>HR Meeting Room</t>
  </si>
  <si>
    <t>Image Prograf TX-4100</t>
  </si>
  <si>
    <t>Hp</t>
  </si>
  <si>
    <t>Plotter</t>
  </si>
  <si>
    <t>BAWB00592</t>
  </si>
  <si>
    <t>Exploration second floor</t>
  </si>
  <si>
    <t xml:space="preserve">Scrapped </t>
  </si>
  <si>
    <t>Design Jet T1300</t>
  </si>
  <si>
    <t>CN6C5RH02F</t>
  </si>
  <si>
    <t>CN1804H00V</t>
  </si>
  <si>
    <t>Brand Name</t>
  </si>
  <si>
    <t xml:space="preserve">Serial Number </t>
  </si>
  <si>
    <t xml:space="preserve">Training room meeting room </t>
  </si>
  <si>
    <t>Epson EB531</t>
  </si>
  <si>
    <t>X4Z88500145</t>
  </si>
  <si>
    <t xml:space="preserve">1st Floor HR meeting room </t>
  </si>
  <si>
    <t>X4Z88500205</t>
  </si>
  <si>
    <t xml:space="preserve">1st Floor HSE meeting room </t>
  </si>
  <si>
    <t>Optoma EH500</t>
  </si>
  <si>
    <t>1D0P1U03119040247</t>
  </si>
  <si>
    <t xml:space="preserve">Cafeteria Projector </t>
  </si>
  <si>
    <t>1D0P1U03118480217</t>
  </si>
  <si>
    <t>2nd Floor Exploration meeting room</t>
  </si>
  <si>
    <t>1D0P1U03119040114</t>
  </si>
  <si>
    <t>2nd Floor Local Content meeting room</t>
  </si>
  <si>
    <t>X4Z88500162</t>
  </si>
  <si>
    <t>3rd Floor Production meeting room</t>
  </si>
  <si>
    <t>4th Floor Finance meeting room</t>
  </si>
  <si>
    <t>WDUK6101791</t>
  </si>
  <si>
    <t>4th Floor Procurement meeting room</t>
  </si>
  <si>
    <t>Dell 4320</t>
  </si>
  <si>
    <t>CN-050C8M-50081-77P-0140</t>
  </si>
  <si>
    <t xml:space="preserve">5th Floor meeting room </t>
  </si>
  <si>
    <t>V9GF510566L</t>
  </si>
  <si>
    <t xml:space="preserve">Sanzule general meeting room </t>
  </si>
  <si>
    <t>Panasonic PT-RZ370</t>
  </si>
  <si>
    <t>009600Q7002</t>
  </si>
  <si>
    <t xml:space="preserve">Sanzule local content meeting room </t>
  </si>
  <si>
    <t>Epson H842b</t>
  </si>
  <si>
    <t>X4HJ9401192</t>
  </si>
  <si>
    <t>CiscociscoC83001N1S6T</t>
  </si>
  <si>
    <t>CISCO881G</t>
  </si>
  <si>
    <t>CISCOISR4431/K9</t>
  </si>
  <si>
    <t>CISCOWS-C3750-48P</t>
  </si>
  <si>
    <t>CISCOC2921</t>
  </si>
  <si>
    <t>CISCOWS-C3850-48U-S</t>
  </si>
  <si>
    <t>CISCOC3560</t>
  </si>
  <si>
    <t>CISCOWS-C3850-48F-S</t>
  </si>
  <si>
    <t>CISCOC3850</t>
  </si>
  <si>
    <t>PALO ALTOPALO ALTO PA-3220</t>
  </si>
  <si>
    <t>CISCOCISCO2911/K9</t>
  </si>
  <si>
    <t>CISCOWS-C3750X-48PF-S</t>
  </si>
  <si>
    <t>CISCOAIR-CAP1602I-E-K9</t>
  </si>
  <si>
    <t>CISCOAIR-CAP1602E-E-K9</t>
  </si>
  <si>
    <t>CISCOC6880-X-LE</t>
  </si>
  <si>
    <t>CISCOAIR-CT5520-K9</t>
  </si>
  <si>
    <t>CISCOAIR-AP2702I-UXK9</t>
  </si>
  <si>
    <t>CISCOISR1100-4G</t>
  </si>
  <si>
    <t>CISCOASA5515</t>
  </si>
  <si>
    <t>CISCOC6880-X-LE-SUP</t>
  </si>
  <si>
    <t>CISCOC6880-X-LE-PFC</t>
  </si>
  <si>
    <t>CISCOC6800IA-48FPDR</t>
  </si>
  <si>
    <t>CISCOC6880-X-LE-DFC</t>
  </si>
  <si>
    <t>CISCOC6880-X-3KW-AC</t>
  </si>
  <si>
    <t>CISCOPWR-C2-1025</t>
  </si>
  <si>
    <t>CISCOC6880-X-LE-16P10G</t>
  </si>
  <si>
    <t>CISCOCISCO2921/K9</t>
  </si>
  <si>
    <t>CISCOC2951</t>
  </si>
  <si>
    <t>CISCOWS-C3850-24P-E</t>
  </si>
  <si>
    <t>CISCOWS-C3850-48P</t>
  </si>
  <si>
    <t>CISCOWS-C3850-48U</t>
  </si>
  <si>
    <t>CISCOWS-C3650-48PQ</t>
  </si>
  <si>
    <t>CISCOAIR-CT3504-K9</t>
  </si>
  <si>
    <t>CISCOWS-C3850-48F-E</t>
  </si>
  <si>
    <t>CISCOASR1001-X</t>
  </si>
  <si>
    <t>CISCOWS-C4507R-E</t>
  </si>
  <si>
    <t>CISCOWS-C3650-48FQ-L</t>
  </si>
  <si>
    <t>CISCOWS-C4507R+E</t>
  </si>
  <si>
    <t>CISCOISR4331/K9</t>
  </si>
  <si>
    <t>CISCOAIR-LAP1142N-E-K9</t>
  </si>
  <si>
    <t>CISCOAIR-CAP1702I-E-K9</t>
  </si>
  <si>
    <t>CISCOC881W-E-K9</t>
  </si>
  <si>
    <t>CISCOWS-C2960+24PC-L</t>
  </si>
  <si>
    <t>CISCO1921/K9</t>
  </si>
  <si>
    <t>cisco C83001N1S6T</t>
  </si>
  <si>
    <t>Wireless Controller</t>
  </si>
  <si>
    <t>Voice Gateway</t>
  </si>
  <si>
    <t>FCZ2652R05F</t>
  </si>
  <si>
    <t>FDO2644M141</t>
  </si>
  <si>
    <t>FDO2644M143</t>
  </si>
  <si>
    <t>LDBYK000F0FA1</t>
  </si>
  <si>
    <t>TIS10000013163</t>
  </si>
  <si>
    <t>US85A2H0RJ</t>
  </si>
  <si>
    <t>Physics Line</t>
  </si>
  <si>
    <t>Intrusion Prevention System</t>
  </si>
  <si>
    <t>RIVERBED</t>
  </si>
  <si>
    <t>TIM</t>
  </si>
  <si>
    <t>TREND MICRO</t>
  </si>
  <si>
    <t>ABBJC-ES-GH-009-MPLS</t>
  </si>
  <si>
    <t>GHACC09TLCAC01</t>
  </si>
  <si>
    <t>a cura SI - link MPLS ITZ AACRA</t>
  </si>
  <si>
    <t>GHACC09TLCIS01</t>
  </si>
  <si>
    <t>CISCO CE PROVIDER</t>
  </si>
  <si>
    <t>CISCO C8300-1N1S-6T</t>
  </si>
  <si>
    <t xml:space="preserve"> PALO ALTO PA-3220</t>
  </si>
  <si>
    <t xml:space="preserve"> RIVERBED CX3070</t>
  </si>
  <si>
    <t>TIM WIRED-MPLS</t>
  </si>
  <si>
    <t>Remove</t>
  </si>
  <si>
    <t>TrendMicro 440T-ISP</t>
  </si>
  <si>
    <t xml:space="preserve">Identification 
Number </t>
  </si>
  <si>
    <t>Date of Purchase</t>
  </si>
  <si>
    <t>Date placed 
into Operation</t>
  </si>
  <si>
    <t>Invoice Number</t>
  </si>
  <si>
    <t>Asset Class</t>
  </si>
  <si>
    <t>Amount (GHS)</t>
  </si>
  <si>
    <t>Amount (USD)</t>
  </si>
  <si>
    <t>ENI SHARE (USD)</t>
  </si>
  <si>
    <t>Depreciation (USD)</t>
  </si>
  <si>
    <t>Vendor/Supplier</t>
  </si>
  <si>
    <t>Depreciation Method</t>
  </si>
  <si>
    <t>Depreciation Rate</t>
  </si>
  <si>
    <t>Document Number</t>
  </si>
  <si>
    <t>STATUS</t>
  </si>
  <si>
    <t>ENIC/GH/HP/0001</t>
  </si>
  <si>
    <t>Laptop for Managers</t>
  </si>
  <si>
    <t>16/10/2009</t>
  </si>
  <si>
    <t>30/10/2009</t>
  </si>
  <si>
    <t>VTI 07279977</t>
  </si>
  <si>
    <t>Laptop</t>
  </si>
  <si>
    <t xml:space="preserve">HARD WARE </t>
  </si>
  <si>
    <t>Finance Manager</t>
  </si>
  <si>
    <t>I.T. NOW</t>
  </si>
  <si>
    <t>Staight line</t>
  </si>
  <si>
    <t>ENIC/GH/HP/0002</t>
  </si>
  <si>
    <t>Business Development Director</t>
  </si>
  <si>
    <t>ENIC/GH/HP/0003</t>
  </si>
  <si>
    <t>Logistics Manager</t>
  </si>
  <si>
    <t>ENIC/GH/HP/0004</t>
  </si>
  <si>
    <t>HR Manager</t>
  </si>
  <si>
    <t>ENIC/GH/HP/0005</t>
  </si>
  <si>
    <t xml:space="preserve">HSE Manager </t>
  </si>
  <si>
    <t>ENIC/GH/HP/0006</t>
  </si>
  <si>
    <t>ICT Manager</t>
  </si>
  <si>
    <t>ENIC/GH/HP/0007</t>
  </si>
  <si>
    <t>Procument Manager</t>
  </si>
  <si>
    <t>ENIC/GH/HP/0008</t>
  </si>
  <si>
    <t>Well Operation Manager</t>
  </si>
  <si>
    <t>ENIC/GH/HP/0009</t>
  </si>
  <si>
    <t>Exploration Manager</t>
  </si>
  <si>
    <t>ENIC/GH/HP/0010</t>
  </si>
  <si>
    <t>Sony Vaio Laptop</t>
  </si>
  <si>
    <t>FRA16706200</t>
  </si>
  <si>
    <t>Store</t>
  </si>
  <si>
    <t>ENIC/GH/HP/0011</t>
  </si>
  <si>
    <t>Computer/Accessories for Staff</t>
  </si>
  <si>
    <t>19/11/2009</t>
  </si>
  <si>
    <t>23/11/2009</t>
  </si>
  <si>
    <t>Finance Department-RM-1</t>
  </si>
  <si>
    <t xml:space="preserve">Introders Ghana </t>
  </si>
  <si>
    <t>ENIC/GH/HP/0012</t>
  </si>
  <si>
    <t>ENIC/GH/HP/0013</t>
  </si>
  <si>
    <t>HSE Department- RM-16</t>
  </si>
  <si>
    <t>ENIC/GH/HP/0014</t>
  </si>
  <si>
    <t>ENIC/GH/HP/0015</t>
  </si>
  <si>
    <t>Exploration Department - RM-4</t>
  </si>
  <si>
    <t>ENIC/GH/HP/0016</t>
  </si>
  <si>
    <t>ENIC/GH/HP/0017</t>
  </si>
  <si>
    <t>ENIC/GH/HP/0018</t>
  </si>
  <si>
    <t>16/12/2009</t>
  </si>
  <si>
    <t>ENIC/GH/HP/0019</t>
  </si>
  <si>
    <t>Procument Department -RM-15</t>
  </si>
  <si>
    <t>ENIC/GH/HP/0020</t>
  </si>
  <si>
    <t>ENIC/GH/HP/0021</t>
  </si>
  <si>
    <t>ENIC/GH/HP/0022</t>
  </si>
  <si>
    <t>ENIC/GH/HP/0025</t>
  </si>
  <si>
    <t>Well Operations- Clara Andreoletti</t>
  </si>
  <si>
    <t>ENIC/GH/HP/0032</t>
  </si>
  <si>
    <t>ENIC/GH/HP/0023</t>
  </si>
  <si>
    <t>Server Room</t>
  </si>
  <si>
    <t>ENIC/GH/HP/0024</t>
  </si>
  <si>
    <t>Conference Room</t>
  </si>
  <si>
    <t>ENIC/GH/HP/0026</t>
  </si>
  <si>
    <t>Well View Application</t>
  </si>
  <si>
    <t>ENIC/GH/HP/0027</t>
  </si>
  <si>
    <t>ENIC/GH/HP/0028</t>
  </si>
  <si>
    <t>ENIC/GH/HP/0029</t>
  </si>
  <si>
    <t>ENIC/GH/HP/0030</t>
  </si>
  <si>
    <t>ENIC/GH/HP/0031</t>
  </si>
  <si>
    <t>ENIC/GH/HP/0033</t>
  </si>
  <si>
    <t>Accra Office</t>
  </si>
  <si>
    <t>ENIC/GH/HP/0034</t>
  </si>
  <si>
    <t>ENIC/GH/HP/0035</t>
  </si>
  <si>
    <t>ENIC/GH/HP/0036</t>
  </si>
  <si>
    <t>ENIC/GH/HP/0037</t>
  </si>
  <si>
    <t>ENIC/GH/HP/0038</t>
  </si>
  <si>
    <t>ENIC/GH/HP/0039</t>
  </si>
  <si>
    <t>ENIC/GH/HP/0040</t>
  </si>
  <si>
    <t>Accra Office Annex</t>
  </si>
  <si>
    <t>ENIC/GH/HP/0042</t>
  </si>
  <si>
    <t>SB/03003/D/10</t>
  </si>
  <si>
    <t>Dealer Cos</t>
  </si>
  <si>
    <t>ENIC/GH/HP/0043</t>
  </si>
  <si>
    <t>ENIC/GH/HP/0044</t>
  </si>
  <si>
    <t>ENIC/GH/HP/0045</t>
  </si>
  <si>
    <t>ENIC/GH/HP/0046</t>
  </si>
  <si>
    <t>ENIC/GH/HP/0047</t>
  </si>
  <si>
    <t>2012/CIS/59</t>
  </si>
  <si>
    <t>CIS GH. LTD</t>
  </si>
  <si>
    <t>05/470</t>
  </si>
  <si>
    <t>ENIC/GH/HP/0048</t>
  </si>
  <si>
    <t>ENIC/GH/HP/0055</t>
  </si>
  <si>
    <t>Dell Optiplex 760</t>
  </si>
  <si>
    <t>IPMC</t>
  </si>
  <si>
    <t>02/260</t>
  </si>
  <si>
    <t>ENIC/GH/HP/0056</t>
  </si>
  <si>
    <t>DELL LAPTOP &amp; BAG</t>
  </si>
  <si>
    <t>04/821</t>
  </si>
  <si>
    <t>ENIC/GH/HP/0057</t>
  </si>
  <si>
    <t>DELL LAPTOP, DOCKING STATION &amp; BAG</t>
  </si>
  <si>
    <t>ENIC/GH/HP/0058</t>
  </si>
  <si>
    <t>HP WORKSTATION</t>
  </si>
  <si>
    <t>ENIC/GH/HP/0061</t>
  </si>
  <si>
    <t>LENOVO ThinkPad X240</t>
  </si>
  <si>
    <t>SUNNET SYSTEMS GHANA LTD</t>
  </si>
  <si>
    <t>ENIC/GH/HP/0062</t>
  </si>
  <si>
    <t>ENIC/GH/HP/0063</t>
  </si>
  <si>
    <t>ENIC/GH/HP/0064</t>
  </si>
  <si>
    <t>ENIC/GH/HP/0065</t>
  </si>
  <si>
    <t>ENIC/GH/HP/0066</t>
  </si>
  <si>
    <t>ENIC/GH/HP/0067</t>
  </si>
  <si>
    <t>ENIC/GH/HP/0068</t>
  </si>
  <si>
    <t>ENIC/GH/HP/0080</t>
  </si>
  <si>
    <t>LENOVO ThinkPad T440</t>
  </si>
  <si>
    <t>ENIC/GH/HP/0081</t>
  </si>
  <si>
    <t>ENIC/GH/HP/0082</t>
  </si>
  <si>
    <t>ENIC/GH/HP/0083</t>
  </si>
  <si>
    <t>ENIC/GH/HP/0084</t>
  </si>
  <si>
    <t>ENIC/GH/HP/0085</t>
  </si>
  <si>
    <t>ENIC/GH/HP/0086</t>
  </si>
  <si>
    <t>ENIC/GH/HP/0087</t>
  </si>
  <si>
    <t>ENIC/GH/HP/0088</t>
  </si>
  <si>
    <t>ENIC/GH/HP/0089</t>
  </si>
  <si>
    <t>ENIC/GH/HP/0090</t>
  </si>
  <si>
    <t>ENIC/GH/HP/0118</t>
  </si>
  <si>
    <t>LENOVO ThinkPad X230</t>
  </si>
  <si>
    <t>Accra and Takoradi Office</t>
  </si>
  <si>
    <t>ENIC/GH/HP/0119</t>
  </si>
  <si>
    <t>ENIC/GH/HP/0120</t>
  </si>
  <si>
    <t>ENIC/GH/HP/0121</t>
  </si>
  <si>
    <t>ENIC/GH/HP/0122</t>
  </si>
  <si>
    <t>ENIC/GH/HP/0127</t>
  </si>
  <si>
    <t>ENIC/GH/HP/0128</t>
  </si>
  <si>
    <t>ENIC/GH/HP/0129</t>
  </si>
  <si>
    <t>ENIC/GH/HP/0130</t>
  </si>
  <si>
    <t>ENIC/GH/HP/0140</t>
  </si>
  <si>
    <t>Monitor-3010MT Intel Core i3-19.5 inch</t>
  </si>
  <si>
    <t>RML/0074</t>
  </si>
  <si>
    <t>Computer Monitor</t>
  </si>
  <si>
    <t>ACCRA OFFICE</t>
  </si>
  <si>
    <t>REDMANGO</t>
  </si>
  <si>
    <t>ENIC/GH/HP/0141</t>
  </si>
  <si>
    <t>ENIC/GH/HP/0142</t>
  </si>
  <si>
    <t>ENIC/GH/HP/0143</t>
  </si>
  <si>
    <t>ENIC/GH/HP/0144</t>
  </si>
  <si>
    <t>ENIC/GH/HP/0145</t>
  </si>
  <si>
    <t>ENIC/GH/HP/0146</t>
  </si>
  <si>
    <t>ENIC/GH/HP/0147</t>
  </si>
  <si>
    <t>ENIC/GH/HP/0148</t>
  </si>
  <si>
    <t>Dell Laptop-latitude E5440</t>
  </si>
  <si>
    <t>ENIC/GH/HP/0149</t>
  </si>
  <si>
    <t>ENIC/GH/HP/0150</t>
  </si>
  <si>
    <t>ENIC/GH/HP/0151</t>
  </si>
  <si>
    <t>ENIC/GH/HP/0152</t>
  </si>
  <si>
    <t>ENIC/GH/HP/0153</t>
  </si>
  <si>
    <t>ENIC/GH/HP/0154</t>
  </si>
  <si>
    <t>ENIC/GH/HP/0155</t>
  </si>
  <si>
    <t>ENIC/GH/HP/0156</t>
  </si>
  <si>
    <t>ENIC/GH/HP/0157</t>
  </si>
  <si>
    <t>Dell Latitude 3440</t>
  </si>
  <si>
    <t>ENIC/GH/HP/0158</t>
  </si>
  <si>
    <t>ENIC/GH/HP/0159</t>
  </si>
  <si>
    <t>ENIC/GH/HP/0190</t>
  </si>
  <si>
    <t>Dell 24 inch Monitor</t>
  </si>
  <si>
    <t>ENIC/GH/HP/0191</t>
  </si>
  <si>
    <t>ENIC/GH/HP/0192</t>
  </si>
  <si>
    <t>ENIC/GH/HP/0193</t>
  </si>
  <si>
    <t>ENIC/GH/HP/0194</t>
  </si>
  <si>
    <t>ENIC/GH/HP/0195</t>
  </si>
  <si>
    <t>ENIC/GH/HP/0197</t>
  </si>
  <si>
    <t>LENOVO Thinkstation M83</t>
  </si>
  <si>
    <t>RML/0093</t>
  </si>
  <si>
    <t>ENIC/GH/HP/0198</t>
  </si>
  <si>
    <t>ENIC/GH/HP/0199</t>
  </si>
  <si>
    <t>Lenovo ThinkCentre M170</t>
  </si>
  <si>
    <t>ENIC/GH/HP/0200</t>
  </si>
  <si>
    <t>Lenovo ThinkCentre SO6X0A</t>
  </si>
  <si>
    <t>ENIC/GH/HP/0201</t>
  </si>
  <si>
    <t>ENIC/GH/HP/0202</t>
  </si>
  <si>
    <t>LENOVO Thinkstation P720</t>
  </si>
  <si>
    <t>ENIC/GH/HP/0203</t>
  </si>
  <si>
    <t>Thinkstation D30, E5-2630</t>
  </si>
  <si>
    <t>ENIC/GH/HP/0204</t>
  </si>
  <si>
    <t>Thinkstation LT2423 LCD Monitor</t>
  </si>
  <si>
    <t>ENIC/GH/HP/0205</t>
  </si>
  <si>
    <t>ENIC/GH/HP/0206</t>
  </si>
  <si>
    <t>ENIC/GH/HP/0207</t>
  </si>
  <si>
    <t>ENIC/GH/HP/0208</t>
  </si>
  <si>
    <t>ENIC/GH/HP/0209</t>
  </si>
  <si>
    <t>ENIC/GH/HP/0210</t>
  </si>
  <si>
    <t>ENIC/GH/HP/0211</t>
  </si>
  <si>
    <t>ENIC/GH/HP/0212</t>
  </si>
  <si>
    <t>ENIC/GH/HP/0213</t>
  </si>
  <si>
    <t>ENIC/GH/HP/0214</t>
  </si>
  <si>
    <t>ENIC/GH/HP/0215</t>
  </si>
  <si>
    <t>ENIC/GH/HP/0216</t>
  </si>
  <si>
    <t>ENIC/GH/HP/0217</t>
  </si>
  <si>
    <t>ENIC/GH/HP/0218</t>
  </si>
  <si>
    <t>ThinkCentre M83, 15-4430, SATA</t>
  </si>
  <si>
    <t>RML/0103</t>
  </si>
  <si>
    <t>1900001386</t>
  </si>
  <si>
    <t>ENIC/GH/HP/0219</t>
  </si>
  <si>
    <t>ENIC/GH/HP/0220</t>
  </si>
  <si>
    <t>ENIC/GH/HP/0221</t>
  </si>
  <si>
    <t>ENIC/GH/HP/0222</t>
  </si>
  <si>
    <t>ENIC/GH/HP/0223</t>
  </si>
  <si>
    <t>ENIC/GH/HP/0224</t>
  </si>
  <si>
    <t>ENIC/GH/HP/0225</t>
  </si>
  <si>
    <t>ENIC/GH/HP/0226</t>
  </si>
  <si>
    <t>ENIC/GH/HP/0227</t>
  </si>
  <si>
    <t>ENIC/GH/HP/0228</t>
  </si>
  <si>
    <t>ENIC/GH/HP/0229</t>
  </si>
  <si>
    <t>ENIC/GH/HP/0230</t>
  </si>
  <si>
    <t>ENIC/GH/HP/0268</t>
  </si>
  <si>
    <t>ThinkPad X240, Intel 15-4300U (1.90 GHz, 3 MB)</t>
  </si>
  <si>
    <t>ENIC/GH/HP/0269</t>
  </si>
  <si>
    <t>ENIC/GH/HP/0270</t>
  </si>
  <si>
    <t>ENIC/GH/HP/0271</t>
  </si>
  <si>
    <t>ENIC/GH/HP/0272</t>
  </si>
  <si>
    <t>ENIC/GH/HP/0273</t>
  </si>
  <si>
    <t>ENIC/GH/HP/0274</t>
  </si>
  <si>
    <t>ENIC/GH/HP/0275</t>
  </si>
  <si>
    <t>ENIC/GH/HP/0276</t>
  </si>
  <si>
    <t>ENIC/GH/HP/0277</t>
  </si>
  <si>
    <t>ENIC/GH/HP/0278</t>
  </si>
  <si>
    <t>ENIC/GH/HP/0279</t>
  </si>
  <si>
    <t>ENIC/GH/HP/0280</t>
  </si>
  <si>
    <t>ENIC/GH/HP/0281</t>
  </si>
  <si>
    <t>ENIC/GH/HP/0282</t>
  </si>
  <si>
    <t>ENIC/GH/HP/0283</t>
  </si>
  <si>
    <t>ENIC/GH/HP/0284</t>
  </si>
  <si>
    <t>ENIC/GH/HP/0285</t>
  </si>
  <si>
    <t>ENIC/GH/HP/0286</t>
  </si>
  <si>
    <t>ENIC/GH/HP/0287</t>
  </si>
  <si>
    <t>ENIC/GH/HP/0304</t>
  </si>
  <si>
    <t>Lenovo workstation Thinkstation</t>
  </si>
  <si>
    <t>A/5821292</t>
  </si>
  <si>
    <t>JETLINK LIMITED</t>
  </si>
  <si>
    <t>ENIC/GH/HP/0305</t>
  </si>
  <si>
    <t>ENIC/GH/HP/0323</t>
  </si>
  <si>
    <t>A/5821299</t>
  </si>
  <si>
    <t>ENIC/GH/HP/0324</t>
  </si>
  <si>
    <t>ENIC/GH/HP/0325</t>
  </si>
  <si>
    <t>Lenovo Thinkpad X 250</t>
  </si>
  <si>
    <t>ENIC/GH/HP/0326</t>
  </si>
  <si>
    <t>ENIC/GH/HP/0333</t>
  </si>
  <si>
    <t>Lenovo Thinkcentre 383 series/upgrade</t>
  </si>
  <si>
    <t>ENIC/GH/HP/0334</t>
  </si>
  <si>
    <t>ENIC/GH/HP/0335</t>
  </si>
  <si>
    <t>ENIC/GH/HP/0336</t>
  </si>
  <si>
    <t>ENIC/GH/HP/0337</t>
  </si>
  <si>
    <t>ENIC/GH/HP/0338</t>
  </si>
  <si>
    <t>ENIC/GH/HP/0339</t>
  </si>
  <si>
    <t>ENIC/GH/HP/0340</t>
  </si>
  <si>
    <t>ENIC/GH/HP/0341</t>
  </si>
  <si>
    <t>ENIC/GH/HP/0342</t>
  </si>
  <si>
    <t>ENIC/GH/HP/0347</t>
  </si>
  <si>
    <t>Lenovo Thinkpad T440/T450</t>
  </si>
  <si>
    <t>RML/0157</t>
  </si>
  <si>
    <t>ENIC/GH/HP/0348</t>
  </si>
  <si>
    <t>ENIC/GH/HP/0349</t>
  </si>
  <si>
    <t>ENIC/GH/HP/0350</t>
  </si>
  <si>
    <t>ENIC/GH/HP/0351</t>
  </si>
  <si>
    <t>ENIC/GH/HP/0352</t>
  </si>
  <si>
    <t>ENIC/GH/HP/0353</t>
  </si>
  <si>
    <t>ENIC/GH/HP/0354</t>
  </si>
  <si>
    <t>ENIC/GH/HP/0355</t>
  </si>
  <si>
    <t>ENIC/GH/HP/0356</t>
  </si>
  <si>
    <t>ENIC/GH/HP/0357</t>
  </si>
  <si>
    <t>ENIC/GH/HP/0358</t>
  </si>
  <si>
    <t>ENIC/GH/HP/0359</t>
  </si>
  <si>
    <t>ENIC/GH/HP/0360</t>
  </si>
  <si>
    <t>ENIC/GH/HP/0361</t>
  </si>
  <si>
    <t>ENIC/GH/HP/0372</t>
  </si>
  <si>
    <t>Lenovo Think Center M83 Series/Upgrade</t>
  </si>
  <si>
    <t>ENIC/GH/HP/0373</t>
  </si>
  <si>
    <t>ENIC/GH/HP/0374</t>
  </si>
  <si>
    <t>ENIC/GH/HP/0375</t>
  </si>
  <si>
    <t>ENIC/GH/HP/0376</t>
  </si>
  <si>
    <t>ENIC/GH/HP/0377</t>
  </si>
  <si>
    <t>ENIC/GH/HP/0378</t>
  </si>
  <si>
    <t>ENIC/GH/HP/0379</t>
  </si>
  <si>
    <t>ENIC/GH/HP/0380</t>
  </si>
  <si>
    <t>ENIC/GH/HP/0381</t>
  </si>
  <si>
    <t>ENIC/GH/HP/0382</t>
  </si>
  <si>
    <t>Thinkstation P700 Dual # CPU Workstation</t>
  </si>
  <si>
    <t>ENIC/GH/HP/0383</t>
  </si>
  <si>
    <t>ENIC/GH/HP/0384</t>
  </si>
  <si>
    <t>ENIC/GH/HP/0419</t>
  </si>
  <si>
    <t>ENIC/GH/HP/0420</t>
  </si>
  <si>
    <t>ENIC/GH/HP/0513</t>
  </si>
  <si>
    <t>SERVER</t>
  </si>
  <si>
    <t>MICRO WAREHOUSE GHANA LTD</t>
  </si>
  <si>
    <t>ENIC/GH/OE/0122</t>
  </si>
  <si>
    <t>11/6945620</t>
  </si>
  <si>
    <t>JETLINK  LIMITED</t>
  </si>
  <si>
    <t>ENIC/GH/OE/0123</t>
  </si>
  <si>
    <t>ENIC/GH/OE/0124</t>
  </si>
  <si>
    <t>ENIC/GH/OE/0125</t>
  </si>
  <si>
    <t>ENIC/GH/OE/0126</t>
  </si>
  <si>
    <t>ENIC/GH/OE/0127</t>
  </si>
  <si>
    <t>ENIC/GH/OE/0128</t>
  </si>
  <si>
    <t>ENIC/GH/OE/0129</t>
  </si>
  <si>
    <t>ENIC/GH/OE/0130</t>
  </si>
  <si>
    <t>ENIC/GH/OE/0131</t>
  </si>
  <si>
    <t>ENIC/GH/OE/0132</t>
  </si>
  <si>
    <t>ENIC/GH/OE/0133</t>
  </si>
  <si>
    <t>ENIC/GH/OE/0134</t>
  </si>
  <si>
    <t>ENIC/GH/OE/0135</t>
  </si>
  <si>
    <t>ENIC/GH/OE/0136</t>
  </si>
  <si>
    <t>ENIC/GH/OE/0137</t>
  </si>
  <si>
    <t>ENIC/GH/OE/0138</t>
  </si>
  <si>
    <t>11/6945635</t>
  </si>
  <si>
    <t>ENIC/GH/OE/0139</t>
  </si>
  <si>
    <t>ENIC/GH/OE/0140</t>
  </si>
  <si>
    <t>ENIC/GH/OE/0141</t>
  </si>
  <si>
    <t>ENIC/GH/OE/0142</t>
  </si>
  <si>
    <t>ENIC/GH/OE/0143</t>
  </si>
  <si>
    <t>ENIC/GH/OE/0144</t>
  </si>
  <si>
    <t>ENIC/GH/OE/0145</t>
  </si>
  <si>
    <t>ENIC/GH/OE/0163</t>
  </si>
  <si>
    <t>LENOVO THINKCENTRE M700</t>
  </si>
  <si>
    <t>A/5821300</t>
  </si>
  <si>
    <t>ENIC/GH/OE/0164</t>
  </si>
  <si>
    <t>ENIC/GH/OE/0165</t>
  </si>
  <si>
    <t>Procurement Department</t>
  </si>
  <si>
    <t>ENIC/GH/OE/0166</t>
  </si>
  <si>
    <t>ENIC/GH/OE/0167</t>
  </si>
  <si>
    <t>ENIC/GH/OE/0168</t>
  </si>
  <si>
    <t>ENIC/GH/OE/0176</t>
  </si>
  <si>
    <t>HP 64GB DDR4 2133 ECC LR RAM</t>
  </si>
  <si>
    <t>RML/0025/2017</t>
  </si>
  <si>
    <t>REISS &amp; CO (GHANA) LIMITED</t>
  </si>
  <si>
    <t>ENIC/GH/OE/0177</t>
  </si>
  <si>
    <t>ENIC/GH/OE/0178</t>
  </si>
  <si>
    <t>ENIC/GH/OE/0179</t>
  </si>
  <si>
    <t>ENIC/GH/OE/0180</t>
  </si>
  <si>
    <t>ENIC/GH/OE/0181</t>
  </si>
  <si>
    <t>ENIC/GH/OE/0182</t>
  </si>
  <si>
    <t>RML/0011/2017</t>
  </si>
  <si>
    <t>RED MANGO LIMITED</t>
  </si>
  <si>
    <t>ENIC/GH/OE/0183</t>
  </si>
  <si>
    <t>ENIC/GH/OE/0184</t>
  </si>
  <si>
    <t>IT STORE</t>
  </si>
  <si>
    <t>ENIC/GH/OE/0185</t>
  </si>
  <si>
    <t>ENIC/GH/OE/0186</t>
  </si>
  <si>
    <t>ENIC/GH/OE/0187</t>
  </si>
  <si>
    <t>ENIC/GH/OE/0197</t>
  </si>
  <si>
    <t>ENIC/GH/OE/0198</t>
  </si>
  <si>
    <t>ENIC/GH/OE/0199</t>
  </si>
  <si>
    <t>ENIC/GH/OE/0200</t>
  </si>
  <si>
    <t>ENIC/GH/OE/0201</t>
  </si>
  <si>
    <t>ENIC/GH/OE/0256</t>
  </si>
  <si>
    <t>RML/0020/2017</t>
  </si>
  <si>
    <t>ENIC/GH/OE/0257</t>
  </si>
  <si>
    <t>scrapped</t>
  </si>
  <si>
    <t>ENIC/GH/OE/0258</t>
  </si>
  <si>
    <t>ENIC/GH/OE/0259</t>
  </si>
  <si>
    <t>ENIC/GH/OE/0260</t>
  </si>
  <si>
    <t>ENIC/GH/OE/0261</t>
  </si>
  <si>
    <t>ENIC/GH/OE/0262</t>
  </si>
  <si>
    <t>ENIC/GH/OE/0263</t>
  </si>
  <si>
    <t>ENIC/GH/OE/0264</t>
  </si>
  <si>
    <t>ENIC/GH/OE/0265</t>
  </si>
  <si>
    <t>ENIC/GH/OE/0266</t>
  </si>
  <si>
    <t>ENIC/GH/OE/0381</t>
  </si>
  <si>
    <t>16/06/17</t>
  </si>
  <si>
    <t>13A/10790961</t>
  </si>
  <si>
    <t>ENIC/GH/OE/0382</t>
  </si>
  <si>
    <t>ENIC/GH/OE/0383</t>
  </si>
  <si>
    <t>29/06/2017</t>
  </si>
  <si>
    <t>A/2750519</t>
  </si>
  <si>
    <t>ENIC/GH/OE/0384</t>
  </si>
  <si>
    <t>ENIC/GH/OE/0385</t>
  </si>
  <si>
    <t>ENIC/GH/OE/0386</t>
  </si>
  <si>
    <t>ENIC/GH/OE/0387</t>
  </si>
  <si>
    <t>ENIC/GH/OE/0388</t>
  </si>
  <si>
    <t>ENIC/GH/OE/0389</t>
  </si>
  <si>
    <t>ENIC/GH/OE/0390</t>
  </si>
  <si>
    <t>ENIC/GH/OE/0391</t>
  </si>
  <si>
    <t>ENIC/GH/OE/0392</t>
  </si>
  <si>
    <t>ENIC/GH/OE/0393</t>
  </si>
  <si>
    <t>ENIC/GH/OE/0394</t>
  </si>
  <si>
    <t>ENIC/GH/OE/0395</t>
  </si>
  <si>
    <t>ENIC/GH/OE/0396</t>
  </si>
  <si>
    <t>ENIC/GH/OE/0397</t>
  </si>
  <si>
    <t>ENIC/GH/OE/0398</t>
  </si>
  <si>
    <t>ENIC/GH/OE/0399</t>
  </si>
  <si>
    <t>ENIC/GH/OE/0400</t>
  </si>
  <si>
    <t>ENIC/GH/OE/0401</t>
  </si>
  <si>
    <t>ENIC/GH/OE/0402</t>
  </si>
  <si>
    <t>ENIC/GH/OE/0403</t>
  </si>
  <si>
    <t>ENIC/GH/OE/0404</t>
  </si>
  <si>
    <t>ENIC/GH/OE/0405</t>
  </si>
  <si>
    <t>ENIC/GH/OE/0406</t>
  </si>
  <si>
    <t>ENIC/GH/OE/0407</t>
  </si>
  <si>
    <t>LENOVO THINKSTATION M700</t>
  </si>
  <si>
    <t>ENIC/GH/OE/0408</t>
  </si>
  <si>
    <t>ENIC/GH/OE/0409</t>
  </si>
  <si>
    <t>ENIC/GH/OE/0410</t>
  </si>
  <si>
    <t>ENIC/GH/OE/0411</t>
  </si>
  <si>
    <t>LENOVO THINKSTATION SOLCOM</t>
  </si>
  <si>
    <t>ENIC/GH/OE/0412</t>
  </si>
  <si>
    <t>LENOVO THINKSTATION P710</t>
  </si>
  <si>
    <t>ENIC/GH/OE/0413</t>
  </si>
  <si>
    <t>ENIC/GH/OE/0414</t>
  </si>
  <si>
    <t>ENIC/GH/OE/0415</t>
  </si>
  <si>
    <t>ENIC/GH/OE/0416</t>
  </si>
  <si>
    <t>ENIC/GH/OE/0417</t>
  </si>
  <si>
    <t>ENIC/GH/OE/0418</t>
  </si>
  <si>
    <t>ENIC/GH/OE/0419</t>
  </si>
  <si>
    <t>ENIC/GH/OE/0420</t>
  </si>
  <si>
    <t>ENIC/GH/OE/0421</t>
  </si>
  <si>
    <t>ENIC/GH/OE/0422</t>
  </si>
  <si>
    <t>ENIC/GH/OE/0423</t>
  </si>
  <si>
    <t>ENIC/GH/OE/0424</t>
  </si>
  <si>
    <t>ENIC/GH/OE/0425</t>
  </si>
  <si>
    <t>ENIC/GH/OE/0426</t>
  </si>
  <si>
    <t>ENIC/GH/OE/0427</t>
  </si>
  <si>
    <t>ENIC/GH/OE/0428</t>
  </si>
  <si>
    <t>ENIC/GH/OE/0429</t>
  </si>
  <si>
    <t>ENIC/GH/OE/0430</t>
  </si>
  <si>
    <t>ENIC/GH/OE/0431</t>
  </si>
  <si>
    <t>ENIC/GH/OE/0432</t>
  </si>
  <si>
    <t>ENIC/GH/OE/0497</t>
  </si>
  <si>
    <t>LENOVO THINKVISION T2454P 24-INCH WUXGA LED</t>
  </si>
  <si>
    <t>ENIC/GH/OE/0498</t>
  </si>
  <si>
    <t>ENIC/GH/OE/0499</t>
  </si>
  <si>
    <t>ENIC/GH/OE/0500</t>
  </si>
  <si>
    <t>ENIC/GH/OE/0501</t>
  </si>
  <si>
    <t>ENIC/GH/OE/0502</t>
  </si>
  <si>
    <t>ENIC/GH/OE/0553</t>
  </si>
  <si>
    <t>LENOVO THINKVIISION X1 WIDE 27'' WIDE UHD IPS</t>
  </si>
  <si>
    <t>ENIC/GH/OE/0554</t>
  </si>
  <si>
    <t>ENIC/GH/OE/0555</t>
  </si>
  <si>
    <t>ENIC/GH/OE/0556</t>
  </si>
  <si>
    <t>ENIC/GH/OE/0557</t>
  </si>
  <si>
    <t>ENIC/GH/OE/0558</t>
  </si>
  <si>
    <t>ENIC/GH/OE/0559</t>
  </si>
  <si>
    <t>ENIC/GH/OE/0560</t>
  </si>
  <si>
    <t>ENIC/GH/OE/0561</t>
  </si>
  <si>
    <t>ENIC/GH/OE/0562</t>
  </si>
  <si>
    <t>ENIC/GH/OE/0563</t>
  </si>
  <si>
    <t>ENIC/GH/OE/0564</t>
  </si>
  <si>
    <t>ENIC/GH/OE/0565</t>
  </si>
  <si>
    <t>ENIC/GH/OE/0566</t>
  </si>
  <si>
    <t>ENIC/GH/OE/0567</t>
  </si>
  <si>
    <t>ENIC/GH/OE/0568</t>
  </si>
  <si>
    <t>ENIC/GH/OE/0569</t>
  </si>
  <si>
    <t>ENIC/GH/OE/0570</t>
  </si>
  <si>
    <t>ENIC/GH/OE/0571</t>
  </si>
  <si>
    <t>ENIC/GH/OE/0572</t>
  </si>
  <si>
    <t>ENIC/GH/OE/0573</t>
  </si>
  <si>
    <t>ENIC/GH/OE/0574</t>
  </si>
  <si>
    <t>ENIC/GH/OE/0575</t>
  </si>
  <si>
    <t>ENIC/GH/OE/0576</t>
  </si>
  <si>
    <t>ENIC/GH/OE/0577</t>
  </si>
  <si>
    <t>ENIC/GH/OE/0578</t>
  </si>
  <si>
    <t>ENIC/GH/OE/0579</t>
  </si>
  <si>
    <t>ENIC/GH/OE/0580</t>
  </si>
  <si>
    <t>ENIC/GH/OE/0581</t>
  </si>
  <si>
    <t>ENIC/GH/OE/0582</t>
  </si>
  <si>
    <t>ENIC/GH/OE/0604</t>
  </si>
  <si>
    <t>HP 64GB (1X64GB) DDR42133 ECC LR RAM</t>
  </si>
  <si>
    <t>27/01/2017</t>
  </si>
  <si>
    <t>RML/0005/2017</t>
  </si>
  <si>
    <t>ENIC/GH/OE/0605</t>
  </si>
  <si>
    <t>ENIC/GH/OE/0606</t>
  </si>
  <si>
    <t>ENIC/GH/OE/0607</t>
  </si>
  <si>
    <t>ENIC/GH/OE/0267</t>
  </si>
  <si>
    <t>13A/10788430</t>
  </si>
  <si>
    <t>ENIC/GH/OE/0268</t>
  </si>
  <si>
    <t>ENIC/GH/OE/0270</t>
  </si>
  <si>
    <t>V17/2443181</t>
  </si>
  <si>
    <t>RED MANGO</t>
  </si>
  <si>
    <t>ENIC/GH/OE/0271</t>
  </si>
  <si>
    <t>ENIC/GH/OE/0272</t>
  </si>
  <si>
    <t>ENIC/GH/OE/0273</t>
  </si>
  <si>
    <t>ENIC/GH/OE/0274</t>
  </si>
  <si>
    <t>ENIC/GH/OE/0275</t>
  </si>
  <si>
    <t>ENIC/GH/OE/0276</t>
  </si>
  <si>
    <t>ENIC/GH/OE/0277</t>
  </si>
  <si>
    <t>ENIC/GH/OE/0278</t>
  </si>
  <si>
    <t>ENIC/GH/OE/0279</t>
  </si>
  <si>
    <t>ENIC/GH/OE/0280</t>
  </si>
  <si>
    <t>ENIC/GH/OE/0281</t>
  </si>
  <si>
    <t>ENIC/GH/OE/0282</t>
  </si>
  <si>
    <t>ENIC/GH/OE/0283</t>
  </si>
  <si>
    <t>ENIC/GH/OE/0284</t>
  </si>
  <si>
    <t>ENIC/GH/OE/0285</t>
  </si>
  <si>
    <t>APL/0041/2018</t>
  </si>
  <si>
    <t>APOTICA COMPANY LTD.</t>
  </si>
  <si>
    <t>ENIC/GH/OE/0286</t>
  </si>
  <si>
    <t>ENIC/GH/OE/0287</t>
  </si>
  <si>
    <t>ENIC/GH/OE/0288</t>
  </si>
  <si>
    <t>ENIC/GH/OE/0289</t>
  </si>
  <si>
    <t>ENIC/GH/OE/0290</t>
  </si>
  <si>
    <t>ENIC/GH/OE/0291</t>
  </si>
  <si>
    <t>Mainteance Dept.</t>
  </si>
  <si>
    <t>ENIC/GH/OE/0292</t>
  </si>
  <si>
    <t>ENIC/GH/OE/0293</t>
  </si>
  <si>
    <t>ENIC/GH/OE/0294</t>
  </si>
  <si>
    <t>ENIC/GH/OE/0295</t>
  </si>
  <si>
    <t>ENIC/GH/OE/0296</t>
  </si>
  <si>
    <t>ENIC/GH/OE/0297</t>
  </si>
  <si>
    <t>ENIC/GH/OE/0298</t>
  </si>
  <si>
    <t>ENIC/GH/OE/0299</t>
  </si>
  <si>
    <t>ENIC/GH/OE/0300</t>
  </si>
  <si>
    <t>ENIC/GH/OE/0301</t>
  </si>
  <si>
    <t>ENIC/GH/OE/0302</t>
  </si>
  <si>
    <t>ENIC/GH/OE/0303</t>
  </si>
  <si>
    <t>ENIC/GH/OE/0304</t>
  </si>
  <si>
    <t>ENIC/GH/OE/0305</t>
  </si>
  <si>
    <t>LENOVO THINKCENTRE SOLCOM</t>
  </si>
  <si>
    <t>ENIC/GH/OE/0306</t>
  </si>
  <si>
    <t>ENIC/GH/OE/0307</t>
  </si>
  <si>
    <t>ENIC/GH/OE/0308</t>
  </si>
  <si>
    <t>ENIC/GH/OE/0309</t>
  </si>
  <si>
    <t>ENIC/GH/OE/0310</t>
  </si>
  <si>
    <t>ENIC/GH/OE/0311</t>
  </si>
  <si>
    <t>ENIC/GH/OE/0312</t>
  </si>
  <si>
    <t>ENIC/GH/OE/0313</t>
  </si>
  <si>
    <t>ENIC/GH/OE/0314</t>
  </si>
  <si>
    <t>ENIC/GH/OE/0315</t>
  </si>
  <si>
    <t>LENOVO THINK VISION 24'' MONITOR</t>
  </si>
  <si>
    <t>ENIC/GH/OE/0316</t>
  </si>
  <si>
    <t>ENIC/GH/OE/0317</t>
  </si>
  <si>
    <t>ENIC/GH/OE/0318</t>
  </si>
  <si>
    <t>ENIC/GH/OE/0319</t>
  </si>
  <si>
    <t>ENIC/GH/OE/0320</t>
  </si>
  <si>
    <t>ENIC/GH/OE/0321</t>
  </si>
  <si>
    <t>ENIC/GH/OE/0322</t>
  </si>
  <si>
    <t>ENIC/GH/OE/0323</t>
  </si>
  <si>
    <t>ENIC/GH/OE/0324</t>
  </si>
  <si>
    <t>ENIC/GH/OE/0325</t>
  </si>
  <si>
    <t>ENIC/GH/OE/0326</t>
  </si>
  <si>
    <t>ENIC/GH/OE/0327</t>
  </si>
  <si>
    <t>ENIC/GH/OE/0328</t>
  </si>
  <si>
    <t>ENIC/GH/OE/0329</t>
  </si>
  <si>
    <t>ENIC/GH/OE/0330</t>
  </si>
  <si>
    <t>ENIC/GH/OE/0331</t>
  </si>
  <si>
    <t>ENIC/GH/OE/0332</t>
  </si>
  <si>
    <t>ENIC/GH/OE/0333</t>
  </si>
  <si>
    <t>ENIC/GH/OE/0334</t>
  </si>
  <si>
    <t>ENIC/GH/OE/0335</t>
  </si>
  <si>
    <t>ENIC/GH/OE/0336</t>
  </si>
  <si>
    <t>ENIC/GH/OE/0337</t>
  </si>
  <si>
    <t>ENIC/GH/OE/0338</t>
  </si>
  <si>
    <t>ENIC/GH/OE/0339</t>
  </si>
  <si>
    <t>ENIC/GH/OE/0340</t>
  </si>
  <si>
    <t>ENIC/GH/OE/0341</t>
  </si>
  <si>
    <t>ENIC/GH/OE/0342</t>
  </si>
  <si>
    <t>ENIC/GH/OE/0343</t>
  </si>
  <si>
    <t>ENIC/GH/OE/0344</t>
  </si>
  <si>
    <t>ENIC/GH/OE/0345</t>
  </si>
  <si>
    <t>ENIC/GH/OE/0346</t>
  </si>
  <si>
    <t>ENIC/GH/OE/0347</t>
  </si>
  <si>
    <t>ENIC/GH/OE/0348</t>
  </si>
  <si>
    <t>ENIC/GH/OE/0349</t>
  </si>
  <si>
    <t>ENIC/GH/OE/0350</t>
  </si>
  <si>
    <t>ENIC/GH/OE/0351</t>
  </si>
  <si>
    <t>ENIC/GH/OE/0352</t>
  </si>
  <si>
    <t>ENIC/GH/OE/0353</t>
  </si>
  <si>
    <t>ENIC/GH/OE/0354</t>
  </si>
  <si>
    <t>Procurement - Vendor MGT</t>
  </si>
  <si>
    <t>ENIC/GH/OE/0355</t>
  </si>
  <si>
    <t>ENIC/GH/OE/0356</t>
  </si>
  <si>
    <t>ENIC/GH/OE/0357</t>
  </si>
  <si>
    <t>ENIC/GH/OE/0358</t>
  </si>
  <si>
    <t>ENIC/GH/OE/0359</t>
  </si>
  <si>
    <t>ENIC/GH/OE/0360</t>
  </si>
  <si>
    <t>ENIC/GH/OE/0361</t>
  </si>
  <si>
    <t>ENIC/GH/OE/0362</t>
  </si>
  <si>
    <t>ENIC/GH/OE/0363</t>
  </si>
  <si>
    <t>ENIC/GH/OE/0364</t>
  </si>
  <si>
    <t>ENIC/GH/OE/0365</t>
  </si>
  <si>
    <t>ENIC/GH/OE/0366</t>
  </si>
  <si>
    <t>ENIC/GH/OE/0367</t>
  </si>
  <si>
    <t>ENIC/GH/OE/0368</t>
  </si>
  <si>
    <t>ENIC/GH/OE/0369</t>
  </si>
  <si>
    <t>ENIC/GH/OE/0370</t>
  </si>
  <si>
    <t>ENIC/GH/OE/0371</t>
  </si>
  <si>
    <t>ENIC/GH/OE/0372</t>
  </si>
  <si>
    <t>ENIC/GH/OE/0373</t>
  </si>
  <si>
    <t>ENIC/GH/OE/0374</t>
  </si>
  <si>
    <t>ENIC/GH/OE/0375</t>
  </si>
  <si>
    <t>ENIC/GH/OE/0376</t>
  </si>
  <si>
    <t>ENIC/GH/OE/0377</t>
  </si>
  <si>
    <t>ENIC/GH/OE/0378</t>
  </si>
  <si>
    <t>ENIC/GH/OE/0379</t>
  </si>
  <si>
    <t>ENIC/GH/OE/0380</t>
  </si>
  <si>
    <t>LENOVO MEMORY X260</t>
  </si>
  <si>
    <t>ENIC/GH/OE/0433</t>
  </si>
  <si>
    <t>ENIC/GH/OE/0434</t>
  </si>
  <si>
    <t>ENIC/GH/OE/0435</t>
  </si>
  <si>
    <t>ENIC/GH/OE/0436</t>
  </si>
  <si>
    <t>ENIC/GH/OE/0437</t>
  </si>
  <si>
    <t>ENIC/GH/OE/0438</t>
  </si>
  <si>
    <t>ENIC/GH/OE/0439</t>
  </si>
  <si>
    <t>ENIC/GH/OE/0440</t>
  </si>
  <si>
    <t>ENIC/GH/OE/0441</t>
  </si>
  <si>
    <t>ENIC/GH/OE/0442</t>
  </si>
  <si>
    <t>ENIC/GH/OE/0443</t>
  </si>
  <si>
    <t>ENIC/GH/OE/0444</t>
  </si>
  <si>
    <t>ENIC/GH/OE/0445</t>
  </si>
  <si>
    <t>ENIC/GH/OE/0446</t>
  </si>
  <si>
    <t>ENIC/GH/OE/0447</t>
  </si>
  <si>
    <t>ENIC/GH/OE/0448</t>
  </si>
  <si>
    <t>ENIC/GH/OE/0449</t>
  </si>
  <si>
    <t>ENIC/GH/OE/0450</t>
  </si>
  <si>
    <t>ENIC/GH/OE/0451</t>
  </si>
  <si>
    <t>ENIC/GH/OE/0452</t>
  </si>
  <si>
    <t>ENIC/GH/OE/0453</t>
  </si>
  <si>
    <t>ENIC/GH/OE/0454</t>
  </si>
  <si>
    <t>ENIC/GH/OE/0455</t>
  </si>
  <si>
    <t>ENIC/GH/OE/0456</t>
  </si>
  <si>
    <t>ENIC/GH/OE/0457</t>
  </si>
  <si>
    <t>ENIC/GH/OE/0458</t>
  </si>
  <si>
    <t>ENIC/GH/OE/0459</t>
  </si>
  <si>
    <t>ENIC/GH/OE/0460</t>
  </si>
  <si>
    <t>ENIC/GH/OE/0461</t>
  </si>
  <si>
    <t>ENIC/GH/OE/0462</t>
  </si>
  <si>
    <t>ENIC/GH/OE/0463</t>
  </si>
  <si>
    <t>ENIC/GH/OE/0464</t>
  </si>
  <si>
    <t>ENIC/GH/OE/0465</t>
  </si>
  <si>
    <t>APL/0042/2018</t>
  </si>
  <si>
    <t>ENIC/GH/OE/0466</t>
  </si>
  <si>
    <t>ENIC/GH/OE/0467</t>
  </si>
  <si>
    <t>ENIC/GH/OE/0468</t>
  </si>
  <si>
    <t>ENIC/GH/OE/0469</t>
  </si>
  <si>
    <t>ENIC/GH/OE/0470</t>
  </si>
  <si>
    <t>ENIC/GH/OE/0471</t>
  </si>
  <si>
    <t>ENIC/GH/OE/0472</t>
  </si>
  <si>
    <t>ENIC/GH/OE/0473</t>
  </si>
  <si>
    <t>ENIC/GH/OE/0474</t>
  </si>
  <si>
    <t>ENIC/GH/OE/0475</t>
  </si>
  <si>
    <t>ENIC/GH/OE/0476</t>
  </si>
  <si>
    <t>ENIC/GH/OE/0477</t>
  </si>
  <si>
    <t>ENIC/GH/OE/0478</t>
  </si>
  <si>
    <t>ENIC/GH/OE/0479</t>
  </si>
  <si>
    <t>ENIC/GH/OE/0480</t>
  </si>
  <si>
    <t>ENIC/GH/OE/0481</t>
  </si>
  <si>
    <t>ENIC/GH/OE/0482</t>
  </si>
  <si>
    <t>ENIC/GH/OE/0483</t>
  </si>
  <si>
    <t>ENIC/GH/OE/0484</t>
  </si>
  <si>
    <t>LENOVO  24'' MONITOR</t>
  </si>
  <si>
    <t>ENIC/GH/OE/0485</t>
  </si>
  <si>
    <t>ENIC/GH/OE/0486</t>
  </si>
  <si>
    <t>LENOVO 24'' MONITOR</t>
  </si>
  <si>
    <t>ENIC/GH/OE/0487</t>
  </si>
  <si>
    <t>ENIC/GH/OE/0488</t>
  </si>
  <si>
    <t>ENIC/GH/OE/0489</t>
  </si>
  <si>
    <t>ENIC/GH/OE/0490</t>
  </si>
  <si>
    <t>ENIC/GH/OE/0491</t>
  </si>
  <si>
    <t>ENIC/GH/OE/0492</t>
  </si>
  <si>
    <t>ENIC/GH/OE/0493</t>
  </si>
  <si>
    <t>ENIC/GH/OE/0494</t>
  </si>
  <si>
    <t>ENIC/GH/OE/0495</t>
  </si>
  <si>
    <t>ENIC/GH/OE/0496</t>
  </si>
  <si>
    <t>ENIC/GH/OE/0503</t>
  </si>
  <si>
    <t>ENIC/GH/OE/0504</t>
  </si>
  <si>
    <t>ENIC/GH/OE/0505</t>
  </si>
  <si>
    <t>ENIC/GH/OE/0506</t>
  </si>
  <si>
    <t>ENIC/GH/OE/0507</t>
  </si>
  <si>
    <t>ENIC/GH/OE/0508</t>
  </si>
  <si>
    <t>ENIC/GH/OE/0509</t>
  </si>
  <si>
    <t>ENIC/GH/OE/0510</t>
  </si>
  <si>
    <t>ENIC/GH/OE/0511</t>
  </si>
  <si>
    <t>ENIC/GH/OE/0512</t>
  </si>
  <si>
    <t>ENIC/GH/OE/0513</t>
  </si>
  <si>
    <t>ENIC/GH/OE/0514</t>
  </si>
  <si>
    <t>ENIC/GH/OE/0515</t>
  </si>
  <si>
    <t>ENIC/GH/OE/0516</t>
  </si>
  <si>
    <t>ENIC/GH/OE/0517</t>
  </si>
  <si>
    <t>ENIC/GH/OE/0518</t>
  </si>
  <si>
    <t>ENIC/GH/OE/0519</t>
  </si>
  <si>
    <t>ENIC/GH/OE/0536</t>
  </si>
  <si>
    <t>V17/2443193</t>
  </si>
  <si>
    <t>ENIC/GH/OE/0537</t>
  </si>
  <si>
    <t>ENIC/GH/OE/0538</t>
  </si>
  <si>
    <t>ENIC/GH/OE/0539</t>
  </si>
  <si>
    <t>ENIC/GH/OE/0540</t>
  </si>
  <si>
    <t>ENIC/GH/OE/0541</t>
  </si>
  <si>
    <t>ENIC/GH/OE/0542</t>
  </si>
  <si>
    <t>ENIC/GH/OE/0543</t>
  </si>
  <si>
    <t>ENIC/GH/OE/0544</t>
  </si>
  <si>
    <t>ENIC/GH/OE/0545</t>
  </si>
  <si>
    <t>ENIC/GH/OE/0546</t>
  </si>
  <si>
    <t>ENIC/GH/OE/0547</t>
  </si>
  <si>
    <t>ENIC/GH/OE/0548</t>
  </si>
  <si>
    <t>ENIC/GH/OE/0549</t>
  </si>
  <si>
    <t>ENIC/GH/OE/0550</t>
  </si>
  <si>
    <t>ENIC/GH/OE/0551</t>
  </si>
  <si>
    <t>ENIC/GH/OE/0552</t>
  </si>
  <si>
    <t>ENIC/GH/OE/0816</t>
  </si>
  <si>
    <t>LENOVO THINKCENTRER M700</t>
  </si>
  <si>
    <t>System unit</t>
  </si>
  <si>
    <t>RED MANGO LTD</t>
  </si>
  <si>
    <t>ENIC/GH/OE/0817</t>
  </si>
  <si>
    <t>ENIC/GH/OE/0818</t>
  </si>
  <si>
    <t>ENIC/GH/OE/0819</t>
  </si>
  <si>
    <t>ENIC/GH/OE/0820</t>
  </si>
  <si>
    <t>ENIC/GH/OE/0821</t>
  </si>
  <si>
    <t>ENIC/GH/OE/0822</t>
  </si>
  <si>
    <t>ENIC/GH/OE/0823</t>
  </si>
  <si>
    <t>ENIC/GH/OE/0824</t>
  </si>
  <si>
    <t>ENIC/GH/OE/0825</t>
  </si>
  <si>
    <t>ENIC/GH/OE/0826</t>
  </si>
  <si>
    <t>LENOVO THINKCENTRER M83</t>
  </si>
  <si>
    <t>ENIC/GH/OE/0827</t>
  </si>
  <si>
    <t>LENOVO THINKCENTRER P700</t>
  </si>
  <si>
    <t>ENIC/GH/OE/0828</t>
  </si>
  <si>
    <t>ENIC/GH/OE/0829</t>
  </si>
  <si>
    <t>ENIC/GH/OE/0830</t>
  </si>
  <si>
    <t>LENOVO THINKCENTRER S09J0B</t>
  </si>
  <si>
    <t>ENIC/GH/OE/0831</t>
  </si>
  <si>
    <t>ENIC/GH/OE/0832</t>
  </si>
  <si>
    <t>ENIC/GH/OE/0833</t>
  </si>
  <si>
    <t>ENIC/GH/OE/0834</t>
  </si>
  <si>
    <t>ENIC/GH/OE/0835</t>
  </si>
  <si>
    <t>ENIC/GH/OE/0836</t>
  </si>
  <si>
    <t>ENIC/GH/OE/0837</t>
  </si>
  <si>
    <t>ENIC/GH/OE/0838</t>
  </si>
  <si>
    <t>ENIC/GH/OE/0839</t>
  </si>
  <si>
    <t>ENIC/GH/OE/0840</t>
  </si>
  <si>
    <t>ENIC/GH/OE/0841</t>
  </si>
  <si>
    <t>ENIC/GH/OE/0842</t>
  </si>
  <si>
    <t>ENIC/GH/OE/0843</t>
  </si>
  <si>
    <t>ENIC/GH/OE/0844</t>
  </si>
  <si>
    <t>ENIC/GH/OE/0845</t>
  </si>
  <si>
    <t>ENIC/GH/OE/0846</t>
  </si>
  <si>
    <t>ENIC/GH/OE/0847</t>
  </si>
  <si>
    <t>ENIC/GH/OE/0848</t>
  </si>
  <si>
    <t>ENIC/GH/OE/0849</t>
  </si>
  <si>
    <t>ENIC/GH/OE/0850</t>
  </si>
  <si>
    <t>ENIC/GH/OE/0851</t>
  </si>
  <si>
    <t>ENIC/GH/OE/0852</t>
  </si>
  <si>
    <t>ENIC/GH/OE/0853</t>
  </si>
  <si>
    <t>ENIC/GH/OE/0854</t>
  </si>
  <si>
    <t>ENIC/GH/OE/0855</t>
  </si>
  <si>
    <t>ENIC/GH/OE/0856</t>
  </si>
  <si>
    <t>Server</t>
  </si>
  <si>
    <t>ENIC/GH/OE/0857</t>
  </si>
  <si>
    <t>ENIC/GH/OE/0858</t>
  </si>
  <si>
    <t>ENIC/GH/OE/0859</t>
  </si>
  <si>
    <t>ENIC/GH/OE/0860</t>
  </si>
  <si>
    <t>ENIC/GH/OE/0874</t>
  </si>
  <si>
    <t>ENIC/GH/OE/0875</t>
  </si>
  <si>
    <t>ENIC/GH/OE/0876</t>
  </si>
  <si>
    <t>ENIC/GH/OE/0877</t>
  </si>
  <si>
    <t>ENIC/GH/OE/0878</t>
  </si>
  <si>
    <t>ENIC/GH/OE/0879</t>
  </si>
  <si>
    <t>ENIC/GH/OE/0880</t>
  </si>
  <si>
    <t>ENIC/GH/OE/0881</t>
  </si>
  <si>
    <t>ENIC/GH/OE/0882</t>
  </si>
  <si>
    <t>ENIC/GH/OE/0883</t>
  </si>
  <si>
    <t>ENIC/GH/OE/0884</t>
  </si>
  <si>
    <t>ENIC/GH/OE/0885</t>
  </si>
  <si>
    <t>ENIC/GH/OE/0886</t>
  </si>
  <si>
    <t>ENIC/GH/OE/0887</t>
  </si>
  <si>
    <t>ENIC/GH/OE/0888</t>
  </si>
  <si>
    <t>ENIC/GH/OE/0889</t>
  </si>
  <si>
    <t>ENIC/GH/OE/0890</t>
  </si>
  <si>
    <t>ENIC/GH/OE/0891</t>
  </si>
  <si>
    <t>ENIC/GH/OE/0894</t>
  </si>
  <si>
    <t>V5C60624</t>
  </si>
  <si>
    <t>APL/0026/2019</t>
  </si>
  <si>
    <t>APOTICA</t>
  </si>
  <si>
    <t>ENIC/GH/OE/0895</t>
  </si>
  <si>
    <t>V5C60618</t>
  </si>
  <si>
    <t>ENIC/GH/OE/0896</t>
  </si>
  <si>
    <t>V5C60586</t>
  </si>
  <si>
    <t>ENIC/GH/OE/0897</t>
  </si>
  <si>
    <t>V5C60561</t>
  </si>
  <si>
    <t>ENIC/GH/OE/0898</t>
  </si>
  <si>
    <t>V5C60620</t>
  </si>
  <si>
    <t>ENIC/GH/OE/0899</t>
  </si>
  <si>
    <t>V5C60564</t>
  </si>
  <si>
    <t>ENIC/GH/OE/0900</t>
  </si>
  <si>
    <t>V5C60565</t>
  </si>
  <si>
    <t>ENIC/GH/OE/0901</t>
  </si>
  <si>
    <t>V5C60593</t>
  </si>
  <si>
    <t>ENIC/GH/OE/0902</t>
  </si>
  <si>
    <t>V5C60598</t>
  </si>
  <si>
    <t>ENIC/GH/OE/0903</t>
  </si>
  <si>
    <t>V5C60568</t>
  </si>
  <si>
    <t>ENIC/GH/OE/0904</t>
  </si>
  <si>
    <t>V5C60571</t>
  </si>
  <si>
    <t>ENIC/GH/OE/0905</t>
  </si>
  <si>
    <t>V5C60566</t>
  </si>
  <si>
    <t>ENIC/GH/OE/0906</t>
  </si>
  <si>
    <t>V5C60594</t>
  </si>
  <si>
    <t>ENIC/GH/OE/0907</t>
  </si>
  <si>
    <t>V5C60595</t>
  </si>
  <si>
    <t>ENIC/GH/OE/0908</t>
  </si>
  <si>
    <t>V5C60591</t>
  </si>
  <si>
    <t>ENIC/GH/OE/0909</t>
  </si>
  <si>
    <t>V5C60580</t>
  </si>
  <si>
    <t>ENIC/GH/OE/0910</t>
  </si>
  <si>
    <t>V5C60587</t>
  </si>
  <si>
    <t>ENIC/GH/OE/0911</t>
  </si>
  <si>
    <t>V5C60585</t>
  </si>
  <si>
    <t>ENIC/GH/OE/0912</t>
  </si>
  <si>
    <t>V5C60590</t>
  </si>
  <si>
    <t>ENIC/GH/OE/0913</t>
  </si>
  <si>
    <t>V5C60569</t>
  </si>
  <si>
    <t>ENIC/GH/OE/0914</t>
  </si>
  <si>
    <t>V5C60592</t>
  </si>
  <si>
    <t>ENIC/GH/OE/0915</t>
  </si>
  <si>
    <t>V5C60567</t>
  </si>
  <si>
    <t>ENIC/GH/OE/0916</t>
  </si>
  <si>
    <t>V5C60579</t>
  </si>
  <si>
    <t>ENIC/GH/OE/0917</t>
  </si>
  <si>
    <t>V5C60575</t>
  </si>
  <si>
    <t>ENIC/GH/OE/0918</t>
  </si>
  <si>
    <t>V5C60596</t>
  </si>
  <si>
    <t>ENIC/GH/OE/0919</t>
  </si>
  <si>
    <t>V5C60577</t>
  </si>
  <si>
    <t>ENIC/GH/OE/0920</t>
  </si>
  <si>
    <t>V5C60604</t>
  </si>
  <si>
    <t>ENIC/GH/OE/0921</t>
  </si>
  <si>
    <t>V5C60612</t>
  </si>
  <si>
    <t>ENIC/GH/OE/0922</t>
  </si>
  <si>
    <t>V5C60570</t>
  </si>
  <si>
    <t>ENIC/GH/OE/0923</t>
  </si>
  <si>
    <t>V5C60610</t>
  </si>
  <si>
    <t>ENIC/GH/OE/0924</t>
  </si>
  <si>
    <t>V5C60601</t>
  </si>
  <si>
    <t>ENIC/GH/OE/0925</t>
  </si>
  <si>
    <t>V5C60581</t>
  </si>
  <si>
    <t>ENIC/GH/OE/0926</t>
  </si>
  <si>
    <t>V5C60605</t>
  </si>
  <si>
    <t>ENIC/GH/OE/0927</t>
  </si>
  <si>
    <t>V5C60602</t>
  </si>
  <si>
    <t>ENIC/GH/OE/0928</t>
  </si>
  <si>
    <t>V5C60557</t>
  </si>
  <si>
    <t>ENIC/GH/OE/0929</t>
  </si>
  <si>
    <t>V5C60560</t>
  </si>
  <si>
    <t>ENIC/GH/OE/0930</t>
  </si>
  <si>
    <t>V5C60609</t>
  </si>
  <si>
    <t>ENIC/GH/OE/0931</t>
  </si>
  <si>
    <t>V5C60607</t>
  </si>
  <si>
    <t>ENIC/GH/OE/0932</t>
  </si>
  <si>
    <t>V5C60606</t>
  </si>
  <si>
    <t>ENIC/GH/OE/0933</t>
  </si>
  <si>
    <t>V5C60614</t>
  </si>
  <si>
    <t>ENIC/GH/OE/0934</t>
  </si>
  <si>
    <t>ENIC/GH/OE/0935</t>
  </si>
  <si>
    <t>LENOVO THINKCENTRE M710</t>
  </si>
  <si>
    <t>ENIC/GH/OE/0936</t>
  </si>
  <si>
    <t xml:space="preserve">LENOVO THINK STATION P700 DUAL CPU </t>
  </si>
  <si>
    <t>ENIC/GH/OE/0937</t>
  </si>
  <si>
    <t>ENIC/GH/OE/0938</t>
  </si>
  <si>
    <t>ENIC/GH/OE/0939</t>
  </si>
  <si>
    <t>ENIC/GH/OE/0940</t>
  </si>
  <si>
    <t>ENIC/GH/OE/0941</t>
  </si>
  <si>
    <t>ENIC/GH/OE/0942</t>
  </si>
  <si>
    <t>ENIC/GH/OE/0943</t>
  </si>
  <si>
    <t>ENIC/GH/OE/0944</t>
  </si>
  <si>
    <t>ENIC/GH/OE/0945</t>
  </si>
  <si>
    <t>ENIC/GH/OE/0946</t>
  </si>
  <si>
    <t>ENIC/GH/OE/0947</t>
  </si>
  <si>
    <t>ENIC/GH/OE/0948</t>
  </si>
  <si>
    <t>ENIC/GH/OE/0949</t>
  </si>
  <si>
    <t>ENIC/GH/OE/0950</t>
  </si>
  <si>
    <t>ENIC/GH/OE/0951</t>
  </si>
  <si>
    <t>ENIC/GH/OE/0952</t>
  </si>
  <si>
    <t>ENIC/GH/OE/0953</t>
  </si>
  <si>
    <t>ENIC/GH/OE/0954</t>
  </si>
  <si>
    <t>ENIC/GH/OE/0955</t>
  </si>
  <si>
    <t>ENIC/GH/OE/0956</t>
  </si>
  <si>
    <t>ENIC/GH/OE/0957</t>
  </si>
  <si>
    <t>ENIC/GH/OE/0958</t>
  </si>
  <si>
    <t>ENIC/GH/OE/0959</t>
  </si>
  <si>
    <t>ENIC/GH/OE/0960</t>
  </si>
  <si>
    <t>ENIC/GH/OE/0961</t>
  </si>
  <si>
    <t>ENIC/GH/OE/0962</t>
  </si>
  <si>
    <t>ENIC/GH/OE/0963</t>
  </si>
  <si>
    <t>ENIC/GH/OE/0964</t>
  </si>
  <si>
    <t>ENIC/GH/OE/0965</t>
  </si>
  <si>
    <t>ENIC/GH/OE/0966</t>
  </si>
  <si>
    <t>ENIC/GH/OE/0967</t>
  </si>
  <si>
    <t>ENIC/GH/OE/0968</t>
  </si>
  <si>
    <t>ENIC/GH/OE/0970</t>
  </si>
  <si>
    <t>ENIC/GH/OE/0971</t>
  </si>
  <si>
    <t>ENIC/GH/OE/0972</t>
  </si>
  <si>
    <t>ENIC/GH/OE/0973</t>
  </si>
  <si>
    <t>ENIC/GH/OE/0974</t>
  </si>
  <si>
    <t>ENIC/GH/OE/0975</t>
  </si>
  <si>
    <t>ENIC/GH/OE/0976</t>
  </si>
  <si>
    <t>ENIC/GH/OE/0977</t>
  </si>
  <si>
    <t>ENIC/GH/OE/0978</t>
  </si>
  <si>
    <t>ENIC/GH/OE/0979</t>
  </si>
  <si>
    <t>ENIC/GH/OE/0980</t>
  </si>
  <si>
    <t>ENIC/GH/OE/0981</t>
  </si>
  <si>
    <t>ENIC/GH/OE/0982</t>
  </si>
  <si>
    <t>ENIC/GH/OE/0983</t>
  </si>
  <si>
    <t>ENIC/GH/OE/0984</t>
  </si>
  <si>
    <t>ENIC/GH/OE/0985</t>
  </si>
  <si>
    <t>ENIC/GH/OE/0986</t>
  </si>
  <si>
    <t>ENIC/GH/OE/0987</t>
  </si>
  <si>
    <t>ENIC/GH/OE/0988</t>
  </si>
  <si>
    <t>ENIC/GH/OE/0989</t>
  </si>
  <si>
    <t>ENIC/GH/OE/0990</t>
  </si>
  <si>
    <t>ENIC/GH/OE/0991</t>
  </si>
  <si>
    <t>ENIC/GH/OE/0992</t>
  </si>
  <si>
    <t>ENIC/GH/OE/0993</t>
  </si>
  <si>
    <t>ENIC/GH/OE/0994</t>
  </si>
  <si>
    <t>ENIC/GH/OE/0995</t>
  </si>
  <si>
    <t>ENIC/GH/OE/0996</t>
  </si>
  <si>
    <t>ENIC/GH/OE/0997</t>
  </si>
  <si>
    <t>ENIC/GH/OE/0998</t>
  </si>
  <si>
    <t>ENIC/GH/OE/0999</t>
  </si>
  <si>
    <t>ENIC/GH/OE/1000</t>
  </si>
  <si>
    <t>ENIC/GH/OE/1001</t>
  </si>
  <si>
    <t>ENIC/GH/OE/1002</t>
  </si>
  <si>
    <t>ENIC/GH/OE/1003</t>
  </si>
  <si>
    <t>ENIC/GH/OE/1004</t>
  </si>
  <si>
    <t>ENIC/GH/OE/1005</t>
  </si>
  <si>
    <t>ENIC/GH/OE/1006</t>
  </si>
  <si>
    <t>ENIC/GH/OE/1007</t>
  </si>
  <si>
    <t>ENIC/GH/OE/1008</t>
  </si>
  <si>
    <t>ENIC/GH/OE/1009</t>
  </si>
  <si>
    <t>ENIC/GH/OE/1010</t>
  </si>
  <si>
    <t>LENOVO THINKVISION 24'' MONITOR</t>
  </si>
  <si>
    <t>ENIC/GH/OE/1011</t>
  </si>
  <si>
    <t>ENIC/GH/OE/1012</t>
  </si>
  <si>
    <t>ENIC/GH/OE/1013</t>
  </si>
  <si>
    <t>ENIC/GH/OE/1014</t>
  </si>
  <si>
    <t>ENIC/GH/OE/1015</t>
  </si>
  <si>
    <t>ENIC/GH/OE/1016</t>
  </si>
  <si>
    <t>ENIC/GH/OE/1017</t>
  </si>
  <si>
    <t>ENIC/GH/OE/1018</t>
  </si>
  <si>
    <t>ENIC/GH/OE/1019</t>
  </si>
  <si>
    <t>ENIC/GH/OE/1020</t>
  </si>
  <si>
    <t>ENIC/GH/OE/1021</t>
  </si>
  <si>
    <t>ENIC/GH/OE/1022</t>
  </si>
  <si>
    <t>ENIC/GH/OE/1023</t>
  </si>
  <si>
    <t>ENIC/GH/OE/1024</t>
  </si>
  <si>
    <t>ENIC/GH/OE/1025</t>
  </si>
  <si>
    <t>ENIC/GH/OE/1026</t>
  </si>
  <si>
    <t>ENIC/GH/OE/1027</t>
  </si>
  <si>
    <t>ENIC/GH/OE/1028</t>
  </si>
  <si>
    <t>ENIC/GH/OE/1029</t>
  </si>
  <si>
    <t>ENIC/GH/OE/1030</t>
  </si>
  <si>
    <t>ENIC/GH/OE/1031</t>
  </si>
  <si>
    <t>ENIC/GH/OE/1032</t>
  </si>
  <si>
    <t>ENIC/GH/OE/1033</t>
  </si>
  <si>
    <t>ENIC/GH/OE/1034</t>
  </si>
  <si>
    <t>ENIC/GH/OE/1035</t>
  </si>
  <si>
    <t>ENIC/GH/OE/1036</t>
  </si>
  <si>
    <t>ENIC/GH/OE/1037</t>
  </si>
  <si>
    <t>ENIC/GH/OE/1038</t>
  </si>
  <si>
    <t>ENIC/GH/OE/1039</t>
  </si>
  <si>
    <t>ENIC/GH/OE/1040</t>
  </si>
  <si>
    <t>DOCKING STATION</t>
  </si>
  <si>
    <t>ENIC/GH/OE/1041</t>
  </si>
  <si>
    <t>ENIC/GH/OE/1042</t>
  </si>
  <si>
    <t>ENIC/GH/OE/1043</t>
  </si>
  <si>
    <t>ENIC/GH/OE/1044</t>
  </si>
  <si>
    <t>ENIC/GH/OE/1045</t>
  </si>
  <si>
    <t>ENIC/GH/OE/1046</t>
  </si>
  <si>
    <t>ENIC/GH/OE/1047</t>
  </si>
  <si>
    <t>ENIC/GH/OE/1048</t>
  </si>
  <si>
    <t>ENIC/GH/OE/1049</t>
  </si>
  <si>
    <t>ENIC/GH/OE/1050</t>
  </si>
  <si>
    <t>ENIC/GH/OE/1051</t>
  </si>
  <si>
    <t>ENIC/GH/OE/1052</t>
  </si>
  <si>
    <t>ENIC/GH/OE/1053</t>
  </si>
  <si>
    <t>ENIC/GH/OE/1054</t>
  </si>
  <si>
    <t>ENIC/GH/OE/1055</t>
  </si>
  <si>
    <t>ENIC/GH/OE/1056</t>
  </si>
  <si>
    <t>ENIC/GH/OE/1057</t>
  </si>
  <si>
    <t>ENIC/GH/OE/1058</t>
  </si>
  <si>
    <t>ENIC/GH/OE/1059</t>
  </si>
  <si>
    <t>ENIC/GH/OE/1060</t>
  </si>
  <si>
    <t>ENIC/GH/OE/1061</t>
  </si>
  <si>
    <t>ENIC/GH/OE/1062</t>
  </si>
  <si>
    <t>ENIC/GH/OE/1063</t>
  </si>
  <si>
    <t>ENIC/GH/OE/1064</t>
  </si>
  <si>
    <t>ENIC/GH/OE/1065</t>
  </si>
  <si>
    <t>ENIC/GH/OE/1066</t>
  </si>
  <si>
    <t>ENIC/GH/OE/1067</t>
  </si>
  <si>
    <t>ENIC/GH/OE/1068</t>
  </si>
  <si>
    <t>ENIC/GH/OE/1069</t>
  </si>
  <si>
    <t>ENIC/GH/OE/1070</t>
  </si>
  <si>
    <t>ENIC/GH/OE/1071</t>
  </si>
  <si>
    <t>ENIC/GH/OE/1072</t>
  </si>
  <si>
    <t>ENIC/GH/OE/1073</t>
  </si>
  <si>
    <t>ENIC/GH/OE/1074</t>
  </si>
  <si>
    <t>ENIC/GH/OE/1075</t>
  </si>
  <si>
    <t>ENIC/GH/OE/1076</t>
  </si>
  <si>
    <t>ENIC/GH/OE/1077</t>
  </si>
  <si>
    <t>ENIC/GH/OE/1078</t>
  </si>
  <si>
    <t>ENIC/GH/OE/1079</t>
  </si>
  <si>
    <t>ENIC/GH/OE/1080</t>
  </si>
  <si>
    <t>ENIC/GH/OE/1081</t>
  </si>
  <si>
    <t>ENIC/GH/OE/1082</t>
  </si>
  <si>
    <t>ENIC/GH/OE/1083</t>
  </si>
  <si>
    <t>ENIC/GH/OE/1084</t>
  </si>
  <si>
    <t>ENIC/GH/OE/1085</t>
  </si>
  <si>
    <t>ENIC/GH/OE/1086</t>
  </si>
  <si>
    <t>ENIC/GH/OE/1087</t>
  </si>
  <si>
    <t>ENIC/GH/OE/1088</t>
  </si>
  <si>
    <t>ENIC/GH/OE/1089</t>
  </si>
  <si>
    <t>ENIC/GH/OE/1090</t>
  </si>
  <si>
    <t>ENIC/GH/OE/1091</t>
  </si>
  <si>
    <t>ENIC/GH/OE/1092</t>
  </si>
  <si>
    <t>ENIC/GH/OE/1093</t>
  </si>
  <si>
    <t>ENIC/GH/OE/1094</t>
  </si>
  <si>
    <t>ENIC/GH/OE/1095</t>
  </si>
  <si>
    <t>M2F03XND</t>
  </si>
  <si>
    <t>ENIC/GH/OE/1096</t>
  </si>
  <si>
    <t>ENIC/GH/OE/1097</t>
  </si>
  <si>
    <t>ENIC/GH/OE/1098</t>
  </si>
  <si>
    <t>ENIC/GH/OE/1099</t>
  </si>
  <si>
    <t>ENIC/GH/OE/1100</t>
  </si>
  <si>
    <t>ENIC/GH/OE/1101</t>
  </si>
  <si>
    <t>ENIC/GH/OE/1102</t>
  </si>
  <si>
    <t>ENIC/GH/OE/1103</t>
  </si>
  <si>
    <t>ENIC/GH/OE/1104</t>
  </si>
  <si>
    <t>ENIC/GH/OE/1105</t>
  </si>
  <si>
    <t>ENIC/GH/OE/1106</t>
  </si>
  <si>
    <t>ENIC/GH/OE/1107</t>
  </si>
  <si>
    <t>ENIC/GH/OE/1108</t>
  </si>
  <si>
    <t>ENIC/GH/OE/1109</t>
  </si>
  <si>
    <t>ENIC/GH/OE/1110</t>
  </si>
  <si>
    <t>ENIC/GH/OE/1111</t>
  </si>
  <si>
    <t>ENIC/GH/OE/1112</t>
  </si>
  <si>
    <t>ENIC/GH/OE/1113</t>
  </si>
  <si>
    <t>ENIC/GH/OE/1114</t>
  </si>
  <si>
    <t>ENIC/GH/OE/1115</t>
  </si>
  <si>
    <t>ENIC/GH/OE/1116</t>
  </si>
  <si>
    <t>ENIC/GH/OE/1117</t>
  </si>
  <si>
    <t>ENIC/GH/OE/1118</t>
  </si>
  <si>
    <t>ENIC/GH/OE/1119</t>
  </si>
  <si>
    <t>M2F03XMY</t>
  </si>
  <si>
    <t>ENIC/GH/OE/1120</t>
  </si>
  <si>
    <t>ENIC/GH/OE/1121</t>
  </si>
  <si>
    <t>ENIC/GH/OE/1122</t>
  </si>
  <si>
    <t>ENIC/GH/OE/1123</t>
  </si>
  <si>
    <t>ENIC/GH/OE/1124</t>
  </si>
  <si>
    <t>ENIC/GH/OE/1125</t>
  </si>
  <si>
    <t>ENIC/GH/OE/1126</t>
  </si>
  <si>
    <t>ENIC/GH/OE/1127</t>
  </si>
  <si>
    <t>ENIC/GH/OE/1128</t>
  </si>
  <si>
    <t>ENIC/GH/OE/1129</t>
  </si>
  <si>
    <t>ENIC/GH/OE/1130</t>
  </si>
  <si>
    <t>ENIC/GH/OE/1131</t>
  </si>
  <si>
    <t>ENIC/GH/OE/1132</t>
  </si>
  <si>
    <t>ENIC/GH/OE/1133</t>
  </si>
  <si>
    <t>ENIC/GH/OE/1134</t>
  </si>
  <si>
    <t>ENIC/GH/OE/1135</t>
  </si>
  <si>
    <t>ENIC/GH/OE/1136</t>
  </si>
  <si>
    <t>ENIC/GH/OE/1137</t>
  </si>
  <si>
    <t>ENIC/GH/OE/1138</t>
  </si>
  <si>
    <t>ENIC/GH/OE/1139</t>
  </si>
  <si>
    <t>ENIC/GH/OE/1140</t>
  </si>
  <si>
    <t>V17/2443299</t>
  </si>
  <si>
    <t>ENIC/GH/OE/1141</t>
  </si>
  <si>
    <t>ENIC/GH/OE/1142</t>
  </si>
  <si>
    <t>ENIC/GH/OE/1143</t>
  </si>
  <si>
    <t>ENIC/GH/OE/1144</t>
  </si>
  <si>
    <t>ENIC/GH/OE/1145</t>
  </si>
  <si>
    <t>ENIC/GH/OE/1146</t>
  </si>
  <si>
    <t>ENIC/GH/OE/1147</t>
  </si>
  <si>
    <t>ENIC/GH/OE/1148</t>
  </si>
  <si>
    <t>ENIC/GH/OE/1149</t>
  </si>
  <si>
    <t>ENIC/GH/OE/1150</t>
  </si>
  <si>
    <t>ENIC/GH/OE/1151</t>
  </si>
  <si>
    <t>ENIC/GH/OE/1152</t>
  </si>
  <si>
    <t>ENIC/GH/OE/1153</t>
  </si>
  <si>
    <t>ENIC/GH/OE/1154</t>
  </si>
  <si>
    <t>ENIC/GH/OE/1155</t>
  </si>
  <si>
    <t>ENIC/GH/OE/1156</t>
  </si>
  <si>
    <t>ENIC/GH/OE/1157</t>
  </si>
  <si>
    <t>ENIC/GH/OE/1158</t>
  </si>
  <si>
    <t>ENIC/GH/OE/1159</t>
  </si>
  <si>
    <t>ENIC/GH/OE/1160</t>
  </si>
  <si>
    <t>ENIC/GH/OE/1161</t>
  </si>
  <si>
    <t>ENIC/GH/OE/1162</t>
  </si>
  <si>
    <t>ENIC/GH/OE/1163</t>
  </si>
  <si>
    <t>ENIC/GH/OE/1164</t>
  </si>
  <si>
    <t>ENIC/GH/OE/1165</t>
  </si>
  <si>
    <t>ENIC/GH/OE/1166</t>
  </si>
  <si>
    <t>ENIC/GH/OE/1167</t>
  </si>
  <si>
    <t>ENIC/GH/OE/1168</t>
  </si>
  <si>
    <t>ENIC/GH/OE/1169</t>
  </si>
  <si>
    <t>ENIC/GH/OE/1170</t>
  </si>
  <si>
    <t>ENIC/GH/OE/1171</t>
  </si>
  <si>
    <t>ENIC/GH/OE/1172</t>
  </si>
  <si>
    <t>ENIC/GH/OE/1173</t>
  </si>
  <si>
    <t>SMART BOARD</t>
  </si>
  <si>
    <t>Eni Board Room</t>
  </si>
  <si>
    <t>LENOVO THINKCENTRE P720</t>
  </si>
  <si>
    <t>LENOVO THINKCENTRE P710</t>
  </si>
  <si>
    <t>LENOVO THINKCENTRE M75s</t>
  </si>
  <si>
    <t>LENOVO THINKCENTRE M70</t>
  </si>
  <si>
    <t xml:space="preserve">LENOVO THINKCENTRE </t>
  </si>
  <si>
    <t>LENOVO THINKCENTRE</t>
  </si>
  <si>
    <t>LENOVO THINKCENTRE M70s</t>
  </si>
  <si>
    <t xml:space="preserve">952251001645
</t>
  </si>
  <si>
    <t>2023300033</t>
  </si>
  <si>
    <t>101022</t>
  </si>
  <si>
    <t>CWG GHANA</t>
  </si>
  <si>
    <t>LENOVO ThinkVision 24" Monitor</t>
  </si>
  <si>
    <t>V19/1744068</t>
  </si>
  <si>
    <t>SANZULE</t>
  </si>
  <si>
    <t>RM/SI/0130/2021</t>
  </si>
  <si>
    <t>ENIC/GH/FE/0005</t>
  </si>
  <si>
    <t>RM/SI/0034/2022</t>
  </si>
  <si>
    <t>HARDWARE</t>
  </si>
  <si>
    <t>ENIC/GH/FE/0006</t>
  </si>
  <si>
    <t>ENIC/GH/FE/0007</t>
  </si>
  <si>
    <t>ENIC/GH/FE/0008</t>
  </si>
  <si>
    <t>ENIC/GH/FE/0009</t>
  </si>
  <si>
    <t>ENIC/GH/FE/0010</t>
  </si>
  <si>
    <t>ENIC/GH/FE/0011</t>
  </si>
  <si>
    <t>ENIC/GH/FE/0012</t>
  </si>
  <si>
    <t>ENIC/GH/FE/0013</t>
  </si>
  <si>
    <t>ENIC/GH/FE/0014</t>
  </si>
  <si>
    <t>ENIC/GH/FE/0015</t>
  </si>
  <si>
    <t>ENIC/GH/FE/0016</t>
  </si>
  <si>
    <t>ENIC/GH/FE/0017</t>
  </si>
  <si>
    <t>ENIC/GH/FE/0018</t>
  </si>
  <si>
    <t>ENIC/GH/FE/0019</t>
  </si>
  <si>
    <t>ENIC/GH/FE/0020</t>
  </si>
  <si>
    <t>ENIC/GH/FE/0021</t>
  </si>
  <si>
    <t>ENIC/GH/FE/0022</t>
  </si>
  <si>
    <t>ENIC/GH/FE/0023</t>
  </si>
  <si>
    <t>ENIC/GH/FE/0024</t>
  </si>
  <si>
    <t>ENIC/GH/FE/0025</t>
  </si>
  <si>
    <t>ENIC/GH/FE/0026</t>
  </si>
  <si>
    <t>ENIC/GH/FE/0027</t>
  </si>
  <si>
    <t>ENIC/GH/FE/0028</t>
  </si>
  <si>
    <t>ENIC/GH/FE/0029</t>
  </si>
  <si>
    <t>ENIC/GH/FE/0030</t>
  </si>
  <si>
    <t>ENIC/GH/FE/0031</t>
  </si>
  <si>
    <t>ENIC/GH/FE/0032</t>
  </si>
  <si>
    <t>ENIC/GH/FE/0033</t>
  </si>
  <si>
    <t>ENIC/GH/FE/0034</t>
  </si>
  <si>
    <t>ENIC/GH/FE/0035</t>
  </si>
  <si>
    <t>ENIC/GH/FE/0036</t>
  </si>
  <si>
    <t>ENIC/GH/FE/0037</t>
  </si>
  <si>
    <t>ENIC/GH/FE/0038</t>
  </si>
  <si>
    <t>ENIC/GH/FE/0039</t>
  </si>
  <si>
    <t>ENIC/GH/FE/0040</t>
  </si>
  <si>
    <t>ENIC/GH/FE/0041</t>
  </si>
  <si>
    <t>ENIC/GH/FE/0042</t>
  </si>
  <si>
    <t>ENIC/GH/FE/0043</t>
  </si>
  <si>
    <t>ENIC/GH/FE/0044</t>
  </si>
  <si>
    <t>ENIC/GH/FE/0045</t>
  </si>
  <si>
    <t>RM/SI/0024/2022</t>
  </si>
  <si>
    <t>ENIC/GH/FE/0046</t>
  </si>
  <si>
    <t>ENIC/GH/FE/0047</t>
  </si>
  <si>
    <t>ENIC/GH/FE/0048</t>
  </si>
  <si>
    <t>ENIC/GH/FE/0049</t>
  </si>
  <si>
    <t>ENIC/GH/FE/0050</t>
  </si>
  <si>
    <t>ENIC/GH/FE/0051</t>
  </si>
  <si>
    <t>ENIC/GH/FE/0052</t>
  </si>
  <si>
    <t>ENIC/GH/FE/0053</t>
  </si>
  <si>
    <t>ENIC/GH/FE/0054</t>
  </si>
  <si>
    <t>ENIC/GH/FE/0055</t>
  </si>
  <si>
    <t>ENIC/GH/FE/0056</t>
  </si>
  <si>
    <t>ENIC/GH/FE/0057</t>
  </si>
  <si>
    <t>ENIC/GH/FE/0058</t>
  </si>
  <si>
    <t>ENIC/GH/FE/0059</t>
  </si>
  <si>
    <t>ENIC/GH/FE/0060</t>
  </si>
  <si>
    <t>ENIC/GH/FE/0061</t>
  </si>
  <si>
    <t>ENIC/GH/FE/0062</t>
  </si>
  <si>
    <t>ENIC/GH/FE/0063</t>
  </si>
  <si>
    <t>ENIC/GH/FE/0064</t>
  </si>
  <si>
    <t>ENIC/GH/FE/0065</t>
  </si>
  <si>
    <t>ENIC/GH/FE/0066</t>
  </si>
  <si>
    <t>ENIC/GH/FE/0067</t>
  </si>
  <si>
    <t>ENIC/GH/FE/0068</t>
  </si>
  <si>
    <t>ENIC/GH/FE/0069</t>
  </si>
  <si>
    <t>ENIC/GH/FE/0070</t>
  </si>
  <si>
    <t>ENIC/GH/FE/0071</t>
  </si>
  <si>
    <t>ENIC/GH/FE/0072</t>
  </si>
  <si>
    <t>ENIC/GH/FE/0073</t>
  </si>
  <si>
    <t>ENIC/GH/FE/0074</t>
  </si>
  <si>
    <t>ENIC/GH/FE/0075</t>
  </si>
  <si>
    <t>ENIC/GH/FE/0076</t>
  </si>
  <si>
    <t>ENIC/GH/FE/0077</t>
  </si>
  <si>
    <t>ENIC/GH/FE/0078</t>
  </si>
  <si>
    <t>ENIC/GH/FE/0079</t>
  </si>
  <si>
    <t>ENIC/GH/FE/0080</t>
  </si>
  <si>
    <t>ENIC/GH/FE/0081</t>
  </si>
  <si>
    <t>ENIC/GH/FE/0082</t>
  </si>
  <si>
    <t>ENIC/GH/FE/0083</t>
  </si>
  <si>
    <t>ENIC/GH/FE/0084</t>
  </si>
  <si>
    <t>ENIC/GH/FE/0085</t>
  </si>
  <si>
    <t>RM/SI/0044/2022</t>
  </si>
  <si>
    <t xml:space="preserve">Docking Station </t>
  </si>
  <si>
    <t>ENIC/GH/FE/0086</t>
  </si>
  <si>
    <t>ENIC/GH/FE/0087</t>
  </si>
  <si>
    <t>ENIC/GH/FE/0088</t>
  </si>
  <si>
    <t>ENIC/GH/FE/0089</t>
  </si>
  <si>
    <t>ENIC/GH/FE/0090</t>
  </si>
  <si>
    <t>ENIC/GH/FE/0091</t>
  </si>
  <si>
    <t>ENIC/GH/FE/0092</t>
  </si>
  <si>
    <t>ENIC/GH/FE/0093</t>
  </si>
  <si>
    <t>ENIC/GH/FE/0094</t>
  </si>
  <si>
    <t>ENIC/GH/FE/0095</t>
  </si>
  <si>
    <t>ENIC/GH/FE/0096</t>
  </si>
  <si>
    <t>ENIC/GH/FE/0097</t>
  </si>
  <si>
    <t>ENIC/GH/FE/0098</t>
  </si>
  <si>
    <t>ENIC/GH/FE/0099</t>
  </si>
  <si>
    <t>ENIC/GH/FE/0100</t>
  </si>
  <si>
    <t>ENIC/GH/FE/0101</t>
  </si>
  <si>
    <t>ENIC/GH/FE/0102</t>
  </si>
  <si>
    <t>ENIC/GH/FE/0103</t>
  </si>
  <si>
    <t>ENIC/GH/FE/0104</t>
  </si>
  <si>
    <t>LENOVO ThinkVision 32" Monitor</t>
  </si>
  <si>
    <t>RM/SI/0118/2022</t>
  </si>
  <si>
    <t xml:space="preserve">Procurement Dept </t>
  </si>
  <si>
    <t>2023300035</t>
  </si>
  <si>
    <t>ENIC/GH/FE/0105</t>
  </si>
  <si>
    <t>ENIC/GH/FE/0106</t>
  </si>
  <si>
    <t>ENIC/GH/FE/0107</t>
  </si>
  <si>
    <t>ENIC/GH/FE/0108</t>
  </si>
  <si>
    <t>ENIC/GH/FE/0109</t>
  </si>
  <si>
    <t>ENIC/GH/FE/0110</t>
  </si>
  <si>
    <t>ENIC/GH/FE/0111</t>
  </si>
  <si>
    <t>ENIC/GH/FE/0112</t>
  </si>
  <si>
    <t>ENIC/GH/FE/0113</t>
  </si>
  <si>
    <t>ENIC/GH/FE/0114</t>
  </si>
  <si>
    <t>ENIC/GH/FE/0115</t>
  </si>
  <si>
    <t>ENIC/GH/FE/0116</t>
  </si>
  <si>
    <t>ENIC/GH/FE/0118</t>
  </si>
  <si>
    <t>ENIC/GH/FE/0119</t>
  </si>
  <si>
    <t>ENIC/GH/FE/0120</t>
  </si>
  <si>
    <t>ENIC/GH/FE/0121</t>
  </si>
  <si>
    <t>ENIC/GH/FE/0122</t>
  </si>
  <si>
    <t>ENIC/GH/FE/0123</t>
  </si>
  <si>
    <t>ENIC/GH/FE/0124</t>
  </si>
  <si>
    <t>ENIC/GH/FE/0125</t>
  </si>
  <si>
    <t>ENIC/GH/FE/0126</t>
  </si>
  <si>
    <t>ENIC/GH/FE/0127</t>
  </si>
  <si>
    <t>Exploration Dept</t>
  </si>
  <si>
    <t>ENIC/GH/FE/0128</t>
  </si>
  <si>
    <t>1900000837</t>
  </si>
  <si>
    <t>Desley Sheck Quashie</t>
  </si>
  <si>
    <t>ENIC/GH/FE/0129</t>
  </si>
  <si>
    <t>RM/SI/0005/2021</t>
  </si>
  <si>
    <t>ENIC/GH/FE/0130</t>
  </si>
  <si>
    <t>ENIC/GH/FE/0131</t>
  </si>
  <si>
    <t>ENIC/GH/FE/0132</t>
  </si>
  <si>
    <t>ENIC/GH/FE/0133</t>
  </si>
  <si>
    <t>ENIC/GH/FE/0134</t>
  </si>
  <si>
    <t>ENIC/GH/FE/0135</t>
  </si>
  <si>
    <t>ENIC/GH/FE/0136</t>
  </si>
  <si>
    <t>ENIC/GH/FE/0137</t>
  </si>
  <si>
    <t>PC-1F70D9</t>
  </si>
  <si>
    <t>ENIC/GH/FE/0138</t>
  </si>
  <si>
    <t>ENIC/GH/FE/0140</t>
  </si>
  <si>
    <t>RM/SI/0084/2021</t>
  </si>
  <si>
    <t>ENIC/GH/FE/0141</t>
  </si>
  <si>
    <t>ENIC/GH/FE/0142</t>
  </si>
  <si>
    <t>ENIC/GH/FE/0143</t>
  </si>
  <si>
    <t>ENIC/GH/FE/0144</t>
  </si>
  <si>
    <t>ENIC/GH/FE/0145</t>
  </si>
  <si>
    <t>ENIC/GH/FE/0146</t>
  </si>
  <si>
    <t>ENIC/GH/FE/0147</t>
  </si>
  <si>
    <t>ENIC/GH/FE/0148</t>
  </si>
  <si>
    <t>ENIC/GH/FE/0149</t>
  </si>
  <si>
    <t>RM/SI/0086/2021</t>
  </si>
  <si>
    <t>ENIC/GH/FE/0150</t>
  </si>
  <si>
    <t>ENIC/GH/FE/0151</t>
  </si>
  <si>
    <t>ENIC/GH/FE/0152</t>
  </si>
  <si>
    <t>ENIC/GH/FE/0153</t>
  </si>
  <si>
    <t>ENIC/GH/FE/0154</t>
  </si>
  <si>
    <t>ENIC/GH/FE/0155</t>
  </si>
  <si>
    <t>ENIC/GH/FE/0156</t>
  </si>
  <si>
    <t>ENIC/GH/FE/0157</t>
  </si>
  <si>
    <t>ENIC/GH/FE/0158</t>
  </si>
  <si>
    <t>ENIC/GH/FE/0159</t>
  </si>
  <si>
    <t>ENIC/GH/FE/0160</t>
  </si>
  <si>
    <t>ENIC/GH/FE/0161</t>
  </si>
  <si>
    <t>ENIC/GH/FE/0163</t>
  </si>
  <si>
    <t>ENIC/GH/FE/0164</t>
  </si>
  <si>
    <t>ENIC/GH/FE/0165</t>
  </si>
  <si>
    <t>ENIC/GH/FE/0166</t>
  </si>
  <si>
    <t>ENIC/GH/FE/0167</t>
  </si>
  <si>
    <t>ENIC/GH/FE/0168</t>
  </si>
  <si>
    <t>ENIC/GH/FE/0169</t>
  </si>
  <si>
    <t>ENIC/GH/FE/0170</t>
  </si>
  <si>
    <t>ENIC/GH/FE/0171</t>
  </si>
  <si>
    <t>ENIC/GH/FE/0172</t>
  </si>
  <si>
    <t>ENIC/GH/FE/0173</t>
  </si>
  <si>
    <t>ENIC/GH/FE/0174</t>
  </si>
  <si>
    <t>ENIC/GH/FE/0175</t>
  </si>
  <si>
    <t>ENIC/GH/FE/0176</t>
  </si>
  <si>
    <t>ENIC/GH/FE/0177</t>
  </si>
  <si>
    <t>ENIC/GH/FE/0178</t>
  </si>
  <si>
    <t>ENIC/GH/FE/0179</t>
  </si>
  <si>
    <t>ENIC/GH/FE/0180</t>
  </si>
  <si>
    <t>ENIC/GH/FE/0181</t>
  </si>
  <si>
    <t>ENIC/GH/FE/0182</t>
  </si>
  <si>
    <t>ENIC/GH/FE/0183</t>
  </si>
  <si>
    <t>ENIC/GH/FE/0184</t>
  </si>
  <si>
    <t>ENIC/GH/FE/0185</t>
  </si>
  <si>
    <t>ENIC/GH/FE/0186</t>
  </si>
  <si>
    <t>ENIC/GH/FE/0187</t>
  </si>
  <si>
    <t>ENIC/GH/FE/0188</t>
  </si>
  <si>
    <t>ENIC/GH/FE/0189</t>
  </si>
  <si>
    <t>ENIC/GH/FE/0190</t>
  </si>
  <si>
    <t>ENIC/GH/FE/0191</t>
  </si>
  <si>
    <t>ENIC/GH/FE/0192</t>
  </si>
  <si>
    <t>ENIC/GH/FE/0193</t>
  </si>
  <si>
    <t>ENIC/GH/FE/0194</t>
  </si>
  <si>
    <t>ENIC/GH/FE/0195</t>
  </si>
  <si>
    <t>ENIC/GH/FE/0196</t>
  </si>
  <si>
    <t>ENIC/GH/FE/0197</t>
  </si>
  <si>
    <t>ENIC/GH/FE/0198</t>
  </si>
  <si>
    <t>ENIC/GH/FE/0199</t>
  </si>
  <si>
    <t>ENIC/GH/FE/0200</t>
  </si>
  <si>
    <t>ENIC/GH/FE/0201</t>
  </si>
  <si>
    <t>ENIC/GH/FE/0202</t>
  </si>
  <si>
    <t>ENIC/GH/FE/0203</t>
  </si>
  <si>
    <t>LENOVO ThinkPad Pro Docking Station</t>
  </si>
  <si>
    <t>2023300057</t>
  </si>
  <si>
    <t>1900001010</t>
  </si>
  <si>
    <t>2023300105</t>
  </si>
  <si>
    <t>1900001594</t>
  </si>
  <si>
    <t>Procurement Manager</t>
  </si>
  <si>
    <t>ENIGH/ICT/DOCK/0001</t>
  </si>
  <si>
    <t>24.05.2024</t>
  </si>
  <si>
    <t>ENIGH/ICT/DOCK/0002</t>
  </si>
  <si>
    <t>ENIGH/ICT/DOCK/0003</t>
  </si>
  <si>
    <t>ENIGH/ICT/DOCK/0004</t>
  </si>
  <si>
    <t>ENIGH/ICT/DOCK/0005</t>
  </si>
  <si>
    <t>ENIGH/ICT/DOCK/0006</t>
  </si>
  <si>
    <t>ENIGH/ICT/DOCK/0007</t>
  </si>
  <si>
    <t>ENIGH/ICT/DOCK/0008</t>
  </si>
  <si>
    <t>ENIGH/ICT/DOCK/0009</t>
  </si>
  <si>
    <t>ENIGH/ICT/DOCK/0010</t>
  </si>
  <si>
    <t>ENIGH/ICT/DOCK/0011</t>
  </si>
  <si>
    <t>ENIGH/ICT/DOCK/0012</t>
  </si>
  <si>
    <t>ENIGH/ICT/DOCK/0013</t>
  </si>
  <si>
    <t>ENIGH/ICT/DOCK/0014</t>
  </si>
  <si>
    <t>ENIGH/ICT/DOCK/0015</t>
  </si>
  <si>
    <t>ENIGH/ICT/DOCK/0016</t>
  </si>
  <si>
    <t>ENIGH/ICT/DOCK/0017</t>
  </si>
  <si>
    <t>ENIGH/ICT/DOCK/0018</t>
  </si>
  <si>
    <t>ENIGH/ICT/DOCK/0019</t>
  </si>
  <si>
    <t>ENIGH/ICT/DOCK/0020</t>
  </si>
  <si>
    <t>ENIGH/ICT/DOCK/0021</t>
  </si>
  <si>
    <t>ENIGH/ICT/DOCK/0022</t>
  </si>
  <si>
    <t>ENIGH/ICT/DOCK/0023</t>
  </si>
  <si>
    <t>ENIGH/ICT/DOCK/0024</t>
  </si>
  <si>
    <t>ENIGH/ICT/DOCK/0025</t>
  </si>
  <si>
    <t>ENIGH/ICT/DOCK/0026</t>
  </si>
  <si>
    <t>ENIGH/ICT/DOCK/0027</t>
  </si>
  <si>
    <t>ENIGH/ICT/DOCK/0028</t>
  </si>
  <si>
    <t>ENIGH/ICT/DOCK/0029</t>
  </si>
  <si>
    <t>ENIGH/ICT/DOCK/0030</t>
  </si>
  <si>
    <t>ENIGH/ICT/DOCK/0031</t>
  </si>
  <si>
    <t>ENIGH/ICT/DOCK/0032</t>
  </si>
  <si>
    <t>ENIGH/ICT/DOCK/0033</t>
  </si>
  <si>
    <t>ENIGH/ICT/DOCK/0034</t>
  </si>
  <si>
    <t>ENIGH/ICT/DOCK/0035</t>
  </si>
  <si>
    <t>ENIGH/ICT/DOCK/0036</t>
  </si>
  <si>
    <t>ENIGH/ICT/DOCK/0037</t>
  </si>
  <si>
    <t>ENIGH/ICT/DOCK/0038</t>
  </si>
  <si>
    <t>ENIGH/ICT/DOCK/0039</t>
  </si>
  <si>
    <t>ENIGH/ICT/DOCK/0040</t>
  </si>
  <si>
    <t>ENIGH/ICT/DOCK/0041</t>
  </si>
  <si>
    <t>ENIGH/ICT/DOCK/0042</t>
  </si>
  <si>
    <t>ENIGH/ICT/DOCK/0043</t>
  </si>
  <si>
    <t>ENIGH/ICT/DOCK/0044</t>
  </si>
  <si>
    <t>ENIGH/ICT/DOCK/0045</t>
  </si>
  <si>
    <t>ENIGH/ICT/DOCK/0046</t>
  </si>
  <si>
    <t>ENIGH/ICT/DOCK/0047</t>
  </si>
  <si>
    <t>ENIGH/ICT/DOCK/0048</t>
  </si>
  <si>
    <t>ENIGH/ICT/DOCK/0049</t>
  </si>
  <si>
    <t>ENIGH/ICT/DOCK/0050</t>
  </si>
  <si>
    <t>ENIGH/ICT/DOCK/0051</t>
  </si>
  <si>
    <t>ENIGH/ICT/DOCK/0052</t>
  </si>
  <si>
    <t>ENIGH/ICT/DOCK/0053</t>
  </si>
  <si>
    <t>ENIGH/ICT/DOCK/0054</t>
  </si>
  <si>
    <t>ENIGH/ICT/DOCK/0055</t>
  </si>
  <si>
    <t>ENIGH/ICT/DOCK/0056</t>
  </si>
  <si>
    <t>ENIGH/ICT/DOCK/0057</t>
  </si>
  <si>
    <t>ENIGH/ICT/DOCK/0058</t>
  </si>
  <si>
    <t>ENIGH/ICT/DOCK/0059</t>
  </si>
  <si>
    <t>ENIGH/ICT/DOCK/0060</t>
  </si>
  <si>
    <t>ENIGH/ICT/DOCK/0061</t>
  </si>
  <si>
    <t>ENIGH/ICT/DOCK/0062</t>
  </si>
  <si>
    <t>ENIGH/ICT/DOCK/0063</t>
  </si>
  <si>
    <t>ENIGH/ICT/DOCK/0064</t>
  </si>
  <si>
    <t>ENIGH/ICT/DOCK/0065</t>
  </si>
  <si>
    <t>ENIGH/ICT/DOCK/0066</t>
  </si>
  <si>
    <t>ENIGH/ICT/DOCK/0067</t>
  </si>
  <si>
    <t>ENIGH/ICT/DOCK/0068</t>
  </si>
  <si>
    <t>ENIGH/ICT/DOCK/0069</t>
  </si>
  <si>
    <t>ENIGH/ICT/DOCK/0070</t>
  </si>
  <si>
    <t>ENIGH/ICT/DOCK/0071</t>
  </si>
  <si>
    <t>ENIGH/ICT/DOCK/0072</t>
  </si>
  <si>
    <t>ENIGH/ICT/DOCK/0073</t>
  </si>
  <si>
    <t>ENIGH/ICT/DOCK/0074</t>
  </si>
  <si>
    <t>ENIGH/ICT/DOCK/0075</t>
  </si>
  <si>
    <t>ENIGH/ICT/DOCK/0076</t>
  </si>
  <si>
    <t>ENIGH/ICT/DOCK/0077</t>
  </si>
  <si>
    <t>ENIGH/ICT/DOCK/0078</t>
  </si>
  <si>
    <t>ENIGH/ICT/DOCK/0079</t>
  </si>
  <si>
    <t>ENIGH/ICT/DOCK/0080</t>
  </si>
  <si>
    <t>LENOVO ThinkVision T24i-30</t>
  </si>
  <si>
    <t>Business Negotiation Manager</t>
  </si>
  <si>
    <t>Production Manager</t>
  </si>
  <si>
    <t>ENIGH/ICT/LAP/0001</t>
  </si>
  <si>
    <t>22.05.2024</t>
  </si>
  <si>
    <t>ENIGH/ICT/LAP/0002</t>
  </si>
  <si>
    <t>ENIGH/ICT/LAP/0003</t>
  </si>
  <si>
    <t>ENIGH/ICT/LAP/0004</t>
  </si>
  <si>
    <t>ENIGH/ICT/LAP/0005</t>
  </si>
  <si>
    <t>ENIGH/ICT/LAP/0006</t>
  </si>
  <si>
    <t>ENIGH/ICT/LAP/0007</t>
  </si>
  <si>
    <t>ENIGH/ICT/LAP/0008</t>
  </si>
  <si>
    <t>ENIGH/ICT/LAP/0009</t>
  </si>
  <si>
    <t>ENIGH/ICT/LAP/0010</t>
  </si>
  <si>
    <t>ENIGH/ICT/LAP/0011</t>
  </si>
  <si>
    <t>ENIGH/ICT/LAP/0012</t>
  </si>
  <si>
    <t>ENIGH/ICT/LAP/0013</t>
  </si>
  <si>
    <t>ENIGH/ICT/LAP/0014</t>
  </si>
  <si>
    <t>ENIGH/ICT/LAP/0015</t>
  </si>
  <si>
    <t>ENIGH/ICT/LAP/0016</t>
  </si>
  <si>
    <t>ENIGH/ICT/LAP/0017</t>
  </si>
  <si>
    <t>ENIGH/ICT/LAP/0018</t>
  </si>
  <si>
    <t>ENIGH/ICT/LAP/0019</t>
  </si>
  <si>
    <t>ENIGH/ICT/LAP/0020</t>
  </si>
  <si>
    <t>ENIGH/ICT/LAP/0021</t>
  </si>
  <si>
    <t>ENIGH/ICT/LAP/0022</t>
  </si>
  <si>
    <t>ENIGH/ICT/LAP/0023</t>
  </si>
  <si>
    <t>ENIGH/ICT/LAP/0024</t>
  </si>
  <si>
    <t>ENIGH/ICT/LAP/0025</t>
  </si>
  <si>
    <t>ENIGH/ICT/LAP/0026</t>
  </si>
  <si>
    <t>ENIGH/ICT/LAP/0027</t>
  </si>
  <si>
    <t>ENIGH/ICT/LAP/0028</t>
  </si>
  <si>
    <t>ENIGH/ICT/LAP/0029</t>
  </si>
  <si>
    <t>ENIGH/ICT/LAP/0030</t>
  </si>
  <si>
    <t>ENIGH/ICT/LAP/0031</t>
  </si>
  <si>
    <t>ENIGH/ICT/LAP/0032</t>
  </si>
  <si>
    <t>ENIGH/ICT/LAP/0033</t>
  </si>
  <si>
    <t>ENIGH/ICT/LAP/0034</t>
  </si>
  <si>
    <t>ENIGH/ICT/LAP/0035</t>
  </si>
  <si>
    <t>ENIGH/ICT/LAP/0036</t>
  </si>
  <si>
    <t>ENIGH/ICT/LAP/0037</t>
  </si>
  <si>
    <t>ENIGH/ICT/LAP/0038</t>
  </si>
  <si>
    <t>ENIGH/ICT/LAP/0039</t>
  </si>
  <si>
    <t>ENIGH/ICT/LAP/0040</t>
  </si>
  <si>
    <t>ENIGH/ICT/LAP/0041</t>
  </si>
  <si>
    <t>20.06.2024</t>
  </si>
  <si>
    <t>ENIGH/ICT/LAP/0042</t>
  </si>
  <si>
    <t>ENIGH/ICT/LAP/0043</t>
  </si>
  <si>
    <t>ENIGH/ICT/LAP/0044</t>
  </si>
  <si>
    <t>ENIGH/ICT/LAP/0045</t>
  </si>
  <si>
    <t>ENIGH/ICT/LAP/0046</t>
  </si>
  <si>
    <t>ENIGH/ICT/LAP/0047</t>
  </si>
  <si>
    <t>ENIGH/ICT/LAP/0048</t>
  </si>
  <si>
    <t>ENIGH/ICT/LAP/0049</t>
  </si>
  <si>
    <t>ENIGH/ICT/LAP/0050</t>
  </si>
  <si>
    <t>ENIGH/ICT/LAP/0051</t>
  </si>
  <si>
    <t>ENIGH/ICT/LAP/0052</t>
  </si>
  <si>
    <t>ENIGH/ICT/LAP/0053</t>
  </si>
  <si>
    <t>ENIGH/ICT/LAP/0054</t>
  </si>
  <si>
    <t>ENIGH/ICT/LAP/0055</t>
  </si>
  <si>
    <t>ENIGH/ICT/LAP/0056</t>
  </si>
  <si>
    <t>ENIGH/ICT/LAP/0057</t>
  </si>
  <si>
    <t>ENIGH/ICT/LAP/0058</t>
  </si>
  <si>
    <t>ENIGH/ICT/LAP/0059</t>
  </si>
  <si>
    <t>ENIGH/ICT/LAP/0060</t>
  </si>
  <si>
    <t>ENIGH/ICT/LAP/0061</t>
  </si>
  <si>
    <t>ENIGH/ICT/LAP/0062</t>
  </si>
  <si>
    <t>ENIGH/ICT/LAP/0063</t>
  </si>
  <si>
    <t>ENIGH/ICT/LAP/0064</t>
  </si>
  <si>
    <t>ENIGH/ICT/LAP/0065</t>
  </si>
  <si>
    <t>ENIGH/ICT/LAP/0066</t>
  </si>
  <si>
    <t>ENIGH/ICT/LAP/0067</t>
  </si>
  <si>
    <t>ENIGH/ICT/LAP/0068</t>
  </si>
  <si>
    <t>ENIGH/ICT/LAP/0069</t>
  </si>
  <si>
    <t>ENIGH/ICT/LAP/0070</t>
  </si>
  <si>
    <t>ENIGH/ICT/LAP/0071</t>
  </si>
  <si>
    <t>ENIGH/ICT/LAP/0072</t>
  </si>
  <si>
    <t>ENIGH/ICT/LAP/0073</t>
  </si>
  <si>
    <t>ENIGH/ICT/LAP/0074</t>
  </si>
  <si>
    <t>ENIGH/ICT/LAP/0075</t>
  </si>
  <si>
    <t>ENIGH/ICT/LAP/0076</t>
  </si>
  <si>
    <t>ENIGH/ICT/LAP/0077</t>
  </si>
  <si>
    <t>ENIGH/ICT/LAP/0078</t>
  </si>
  <si>
    <t>ENIGH/ICT/LAP/0079</t>
  </si>
  <si>
    <t>ENIGH/ICT/LAP/0080</t>
  </si>
  <si>
    <t>ENIGH/ICT/SYSU/0001</t>
  </si>
  <si>
    <t>ENIGH/ICT/SYSU/0002</t>
  </si>
  <si>
    <t>ENIGH/ICT/SYSU/0003</t>
  </si>
  <si>
    <t>ENIGH/ICT/SYSU/0004</t>
  </si>
  <si>
    <t>ENIGH/ICT/SYSU/0005</t>
  </si>
  <si>
    <t>ENIGH/ICT/SYSU/0006</t>
  </si>
  <si>
    <t>ENIGH/ICT/SYSU/0007</t>
  </si>
  <si>
    <t>ENIGH/ICT/SYSU/0008</t>
  </si>
  <si>
    <t>ENIGH/ICT/SYSU/0009</t>
  </si>
  <si>
    <t>MJ0LNEFS</t>
  </si>
  <si>
    <t>ENIGH/ICT/SYSU/0010</t>
  </si>
  <si>
    <t>ENIGH/ICT/SYSU/0011</t>
  </si>
  <si>
    <t>ENIGH/ICT/SYSU/0012</t>
  </si>
  <si>
    <t>ENIGH/ICT/SYSU/0013</t>
  </si>
  <si>
    <t>ENIGH/ICT/SYSU/0014</t>
  </si>
  <si>
    <t>ENIGH/ICT/SYSU/0015</t>
  </si>
  <si>
    <t>ENIGH/ICT/SYSU/0016</t>
  </si>
  <si>
    <t>ENIGH/ICT/SYSU/0017</t>
  </si>
  <si>
    <t>ENIGH/ICT/SYSU/0018</t>
  </si>
  <si>
    <t>ENIGH/ICT/SYSU/0019</t>
  </si>
  <si>
    <t>ENIGH/ICT/SYSU/0020</t>
  </si>
  <si>
    <t>ENIC/GH/OE/0001</t>
  </si>
  <si>
    <t>Diplomat Safe</t>
  </si>
  <si>
    <t>VTI07609214</t>
  </si>
  <si>
    <t>OFFICE EQUIPMENTS</t>
  </si>
  <si>
    <t>Kriff Ghana Ltd.</t>
  </si>
  <si>
    <t>ENIC/GH/OE/0002</t>
  </si>
  <si>
    <t>HP Laser Printer</t>
  </si>
  <si>
    <t>SR (0) 07099/D/08</t>
  </si>
  <si>
    <t>PRINTER</t>
  </si>
  <si>
    <t>Room 14</t>
  </si>
  <si>
    <t>Dealet COS Company ltd</t>
  </si>
  <si>
    <t>ENIC/GH/OE/0003</t>
  </si>
  <si>
    <t>Projector &amp; Accessories</t>
  </si>
  <si>
    <t>19/10/2009</t>
  </si>
  <si>
    <t>FRA16721317</t>
  </si>
  <si>
    <t>Conference Room RM-10</t>
  </si>
  <si>
    <t>Kwatson Electricals</t>
  </si>
  <si>
    <t>ENIC/GH/OE/0004</t>
  </si>
  <si>
    <t>Uchida Fire Proof</t>
  </si>
  <si>
    <t>15/10/2009</t>
  </si>
  <si>
    <t>VTI07610448</t>
  </si>
  <si>
    <t>Finance Department-Cashiers Room</t>
  </si>
  <si>
    <t>ENIC/GH/OE/0005</t>
  </si>
  <si>
    <t>MD Office RM-6</t>
  </si>
  <si>
    <t>ENIC/GH/OE/0006</t>
  </si>
  <si>
    <t>02992558</t>
  </si>
  <si>
    <t>IT NOW</t>
  </si>
  <si>
    <t>02/16</t>
  </si>
  <si>
    <t>ENIC/GH/OE/0007</t>
  </si>
  <si>
    <t>PABX for Office</t>
  </si>
  <si>
    <t>486</t>
  </si>
  <si>
    <t>Kumesh Ghana Limited</t>
  </si>
  <si>
    <t>02/28</t>
  </si>
  <si>
    <t>ENIC/GH/OE/0008</t>
  </si>
  <si>
    <t>Air Condition</t>
  </si>
  <si>
    <t>08628514</t>
  </si>
  <si>
    <t>TM &amp; T CO. LTD.</t>
  </si>
  <si>
    <t>06/154</t>
  </si>
  <si>
    <t>ENIC/GH/OE/0009</t>
  </si>
  <si>
    <t>Access Control System</t>
  </si>
  <si>
    <t>CI20100719a</t>
  </si>
  <si>
    <t>iTrack</t>
  </si>
  <si>
    <t>07/54</t>
  </si>
  <si>
    <t>ENIC/GH/OE/0010</t>
  </si>
  <si>
    <t>Cisco Router</t>
  </si>
  <si>
    <t>069100</t>
  </si>
  <si>
    <t>09/14</t>
  </si>
  <si>
    <t>ENIC/GH/OE/0011</t>
  </si>
  <si>
    <t>SWAP Server</t>
  </si>
  <si>
    <t>5/31/2010</t>
  </si>
  <si>
    <t>065972</t>
  </si>
  <si>
    <t>06/75</t>
  </si>
  <si>
    <t>ENIC/GH/HP/0041</t>
  </si>
  <si>
    <t>UPS</t>
  </si>
  <si>
    <t>Procurement Inner Room</t>
  </si>
  <si>
    <t>Reiss &amp; Co. Ltd</t>
  </si>
  <si>
    <t>ENIC/GH/OE/0013</t>
  </si>
  <si>
    <t>Antistic Wood-core raised floor</t>
  </si>
  <si>
    <t>NWIKENI/29/12</t>
  </si>
  <si>
    <t>IT Department</t>
  </si>
  <si>
    <t>Reiss Information System</t>
  </si>
  <si>
    <t>06/535</t>
  </si>
  <si>
    <t>ENIC/GH/OE/0014</t>
  </si>
  <si>
    <t>Access Door</t>
  </si>
  <si>
    <t xml:space="preserve">Wash room and entrance to HR, LOG, PROC and HSE </t>
  </si>
  <si>
    <t>Itrack  ltd</t>
  </si>
  <si>
    <t>09/248</t>
  </si>
  <si>
    <t>ENIC/GH/HP/0049</t>
  </si>
  <si>
    <t>CISCO Accessories</t>
  </si>
  <si>
    <t>2012/CIS/84</t>
  </si>
  <si>
    <t>07/261</t>
  </si>
  <si>
    <t>ENIC/GH/HP/0051</t>
  </si>
  <si>
    <t>Cisco: Con-SNT; 2951CMST, 2921VSEC, WAV47AK, 3560X4FS, CP7975, CP7965, ESW-EUSRA1, CP7937, LAP1142E, AWLC6K9, PPDN-CTSE20K9, ECDN-P42C40K9.</t>
  </si>
  <si>
    <t>2012/CIS/114</t>
  </si>
  <si>
    <t>08/439</t>
  </si>
  <si>
    <t>ENIC/GH/OE/0015</t>
  </si>
  <si>
    <t>INSTALLATION OF TRACKING SYSTEM</t>
  </si>
  <si>
    <t>SECURITY SYSTEM</t>
  </si>
  <si>
    <t>Cars</t>
  </si>
  <si>
    <t>05/288</t>
  </si>
  <si>
    <t>ENIC/GH/OE/0016</t>
  </si>
  <si>
    <t>05/13/2013</t>
  </si>
  <si>
    <t>FF1501013TS17</t>
  </si>
  <si>
    <t>05/288 &amp; 294</t>
  </si>
  <si>
    <t>ENIC/GH/OE/0017</t>
  </si>
  <si>
    <t>ICT CONSUMMABLES</t>
  </si>
  <si>
    <t>6700 &amp; 6751</t>
  </si>
  <si>
    <t>Oman Fofor</t>
  </si>
  <si>
    <t>05/117</t>
  </si>
  <si>
    <t>ENIC/GH/HP/0054</t>
  </si>
  <si>
    <t>STABILIZER &amp; INSTALLATION SERVICE</t>
  </si>
  <si>
    <t>STABILIZER</t>
  </si>
  <si>
    <t>05/124</t>
  </si>
  <si>
    <t>INSTALLATION OF SPEED GATE SYSTEM</t>
  </si>
  <si>
    <t>Electrical &amp; Electronical Material</t>
  </si>
  <si>
    <t>CCTV SYSTEMS</t>
  </si>
  <si>
    <t>Other Tangible Fixed Assets</t>
  </si>
  <si>
    <t>Skypath Ghana Ltd</t>
  </si>
  <si>
    <t>ENIC/GH/OE/0018</t>
  </si>
  <si>
    <t>EXTERNAL BATTERY BANK+ACCESSORIES</t>
  </si>
  <si>
    <t>2282963</t>
  </si>
  <si>
    <t>BATTERY</t>
  </si>
  <si>
    <t>ENIC/GH/OE/0019</t>
  </si>
  <si>
    <t>AIRCONDITIONERS+INSTALLATION</t>
  </si>
  <si>
    <t>A/1 1444020</t>
  </si>
  <si>
    <t>AIRCONDITION</t>
  </si>
  <si>
    <t>JOSLICE COOL SERVICE</t>
  </si>
  <si>
    <t>ENIC/GH/OE/0020</t>
  </si>
  <si>
    <t>DELL PROJECTOR 510X</t>
  </si>
  <si>
    <t>FRA 23015996</t>
  </si>
  <si>
    <t>PROJECTOR</t>
  </si>
  <si>
    <t>GLOBAL INFORMATION TECHNOLOGY LTD</t>
  </si>
  <si>
    <t>ENIC/GH/HP/0137</t>
  </si>
  <si>
    <t>Cisco Switches-3750 w/48TX POE</t>
  </si>
  <si>
    <t>SWITCH</t>
  </si>
  <si>
    <t>Takoradi Office</t>
  </si>
  <si>
    <t>ENIC/GH/HP/0138</t>
  </si>
  <si>
    <t>IP Phones Model: 7975G, 7965G, 7945G</t>
  </si>
  <si>
    <t>PHONE</t>
  </si>
  <si>
    <t>ENIC/GH/HP/0139</t>
  </si>
  <si>
    <t>STABILIZER-LEGRAND AVR 45KVA 3PHASE STD</t>
  </si>
  <si>
    <t>INV 02462-CR-14</t>
  </si>
  <si>
    <t>OFFICEPAL GHANA LTD</t>
  </si>
  <si>
    <t>ENIC/GH/OE/0028</t>
  </si>
  <si>
    <t>CARD PRINTER-ZEBRA ZXP SERIES 3 DUAL-SIDED</t>
  </si>
  <si>
    <t>A/1250978</t>
  </si>
  <si>
    <t>SKYLINKS TECHNICAL SERVICES LTD</t>
  </si>
  <si>
    <t>ENIC/GH/OE/0029</t>
  </si>
  <si>
    <t>SOFTWARE</t>
  </si>
  <si>
    <t>ENIC/GH/OE/0022</t>
  </si>
  <si>
    <t>A/1250979</t>
  </si>
  <si>
    <t>ACCESS CONTROL</t>
  </si>
  <si>
    <t>ENIC/GH/OE/0023</t>
  </si>
  <si>
    <t>ENIC/GH/OE/0024</t>
  </si>
  <si>
    <t>ENIC/GH/OE/0025</t>
  </si>
  <si>
    <t>ENIC/GH/OE/0026</t>
  </si>
  <si>
    <t>ENIC/GH/OE/0027</t>
  </si>
  <si>
    <t>ENIC/GH/OE/0021</t>
  </si>
  <si>
    <t>A/1250981</t>
  </si>
  <si>
    <t>COMMUNICATION EQUIPMENT</t>
  </si>
  <si>
    <t>CISCO TELEPRESENCE MX 300</t>
  </si>
  <si>
    <t>RML/0055</t>
  </si>
  <si>
    <t>TELEPRESENCE</t>
  </si>
  <si>
    <t>CISCO TELEPRESENCE-ESS WITH 8X5XNBD EX90</t>
  </si>
  <si>
    <t>APC # Smart UPS on line, 1400 Watts/2000V 5</t>
  </si>
  <si>
    <t>A/5821295</t>
  </si>
  <si>
    <t>A/5821296</t>
  </si>
  <si>
    <t>A/5821297</t>
  </si>
  <si>
    <t>A/5821298</t>
  </si>
  <si>
    <t>ENIC/GH/HP/0301</t>
  </si>
  <si>
    <t>Neuralaser Color II Well log Printer</t>
  </si>
  <si>
    <t>ENIC/GH/HP/0306</t>
  </si>
  <si>
    <t>EPSON EB531 Projector</t>
  </si>
  <si>
    <t>A/5821293</t>
  </si>
  <si>
    <t>ENIC/GH/HP/0307</t>
  </si>
  <si>
    <t>A/5821294</t>
  </si>
  <si>
    <t>ENIC/GH/HP/0345</t>
  </si>
  <si>
    <t>ENIC/GH/HP/0346</t>
  </si>
  <si>
    <t>ENIC/GH/OE/0030</t>
  </si>
  <si>
    <t>ENIC/GH/OE/0031</t>
  </si>
  <si>
    <t>ENIC/GH/OE/0032</t>
  </si>
  <si>
    <t>ENIC/GH/OE/0033</t>
  </si>
  <si>
    <t>ENIC/GH/OE/0034</t>
  </si>
  <si>
    <t>ROUTER</t>
  </si>
  <si>
    <t>ENIC/GH/OE/0035</t>
  </si>
  <si>
    <t>ENIC/GH/OE/0036</t>
  </si>
  <si>
    <t>ENIC/GH/OE/0037</t>
  </si>
  <si>
    <t>ENIC/GH/OE/0038</t>
  </si>
  <si>
    <t>ENIC/GH/OE/0039</t>
  </si>
  <si>
    <t>Cisco Smart Net 8X8XNBD</t>
  </si>
  <si>
    <t>ENIC/GH/OE/0040</t>
  </si>
  <si>
    <t>ENIC/GH/OE/0041</t>
  </si>
  <si>
    <t>ENIC/GH/OE/0042</t>
  </si>
  <si>
    <t>ENIC/GH/OE/0043</t>
  </si>
  <si>
    <t>ENIC/GH/OE/0044</t>
  </si>
  <si>
    <t>ENIC/GH/OE/0045</t>
  </si>
  <si>
    <t>ENIC/GH/OE/0046</t>
  </si>
  <si>
    <t>ENIC/GH/OE/0047</t>
  </si>
  <si>
    <t>ENIC/GH/OE/0048</t>
  </si>
  <si>
    <t>ENIC/GH/OE/0049</t>
  </si>
  <si>
    <t>ENIC/GH/OE/0050</t>
  </si>
  <si>
    <t>ENIC/GH/OE/0051</t>
  </si>
  <si>
    <t>ENIC/GH/OE/0052</t>
  </si>
  <si>
    <t>ENIC/GH/OE/0053</t>
  </si>
  <si>
    <t>ENIC/GH/OE/0054</t>
  </si>
  <si>
    <t>ENIC/GH/OE/0055</t>
  </si>
  <si>
    <t>ENIC/GH/OE/0056</t>
  </si>
  <si>
    <t>ENIC/GH/OE/0057</t>
  </si>
  <si>
    <t>ENIC/GH/OE/0058</t>
  </si>
  <si>
    <t>ENIC/GH/OE/0059</t>
  </si>
  <si>
    <t>ENIC/GH/OE/0060</t>
  </si>
  <si>
    <t>ENIC/GH/OE/0061</t>
  </si>
  <si>
    <t>ENIC/GH/OE/0062</t>
  </si>
  <si>
    <t>ENIC/GH/OE/0063</t>
  </si>
  <si>
    <t>ENIC/GH/OE/0064</t>
  </si>
  <si>
    <t>ENIC/GH/OE/0065</t>
  </si>
  <si>
    <t>ENIC/GH/OE/0066</t>
  </si>
  <si>
    <t>ENIC/GH/OE/0067</t>
  </si>
  <si>
    <t>ENIC/GH/OE/0068</t>
  </si>
  <si>
    <t>ENIC/GH/OE/0069</t>
  </si>
  <si>
    <t>ENIC/GH/OE/0070</t>
  </si>
  <si>
    <t>ENIC/GH/OE/0071</t>
  </si>
  <si>
    <t>ENIC/GH/OE/0072</t>
  </si>
  <si>
    <t>ENIC/GH/OE/0073</t>
  </si>
  <si>
    <t>ENIC/GH/OE/0074</t>
  </si>
  <si>
    <t>ENIC/GH/OE/0075</t>
  </si>
  <si>
    <t>ENIC/GH/OE/0076</t>
  </si>
  <si>
    <t>ENIC/GH/OE/0077</t>
  </si>
  <si>
    <t>ENIC/GH/OE/0078</t>
  </si>
  <si>
    <t>ENIC/GH/OE/0079</t>
  </si>
  <si>
    <t>ENIC/GH/OE/0080</t>
  </si>
  <si>
    <t>ENIC/GH/OE/0081</t>
  </si>
  <si>
    <t>ENIC/GH/OE/0082</t>
  </si>
  <si>
    <t>ENIC/GH/OE/0083</t>
  </si>
  <si>
    <t>ENIC/GH/OE/0084</t>
  </si>
  <si>
    <t>ENIC/GH/OE/0085</t>
  </si>
  <si>
    <t>ENIC/GH/OE/0086</t>
  </si>
  <si>
    <t>ENIC/GH/OE/0087</t>
  </si>
  <si>
    <t>ENIC/GH/OE/0088</t>
  </si>
  <si>
    <t>ENIC/GH/OE/0089</t>
  </si>
  <si>
    <t>ENIC/GH/OE/0090</t>
  </si>
  <si>
    <t>ENIC/GH/OE/0091</t>
  </si>
  <si>
    <t>ENIC/GH/OE/0092</t>
  </si>
  <si>
    <t>ENIC/GH/OE/0093</t>
  </si>
  <si>
    <t>ENIC/GH/OE/0094</t>
  </si>
  <si>
    <t>ENIC/GH/OE/0095</t>
  </si>
  <si>
    <t>ENIC/GH/OE/0096</t>
  </si>
  <si>
    <t>ENIC/GH/OE/0097</t>
  </si>
  <si>
    <t>ENIC/GH/OE/0098</t>
  </si>
  <si>
    <t>ENIC/GH/OE/0099</t>
  </si>
  <si>
    <t>ENIC/GH/OE/0100</t>
  </si>
  <si>
    <t>ENIC/GH/OE/0101</t>
  </si>
  <si>
    <t>ENIC/GH/OE/0102</t>
  </si>
  <si>
    <t>ENIC/GH/OE/0103</t>
  </si>
  <si>
    <t>ENIC/GH/OE/0104</t>
  </si>
  <si>
    <t xml:space="preserve">Cisco Air # Lap1242 Description AG </t>
  </si>
  <si>
    <t>INTERNET POINT</t>
  </si>
  <si>
    <t>ENIC/GH/OE/0105</t>
  </si>
  <si>
    <t>ENIC/GH/OE/0106</t>
  </si>
  <si>
    <t>ENIC/GH/OE/0107</t>
  </si>
  <si>
    <t>ENIC/GH/OE/0108</t>
  </si>
  <si>
    <t>ENIC/GH/OE/0109</t>
  </si>
  <si>
    <t>ENIC/GH/OE/0110</t>
  </si>
  <si>
    <t>ENIC/GH/OE/0111</t>
  </si>
  <si>
    <t>ENIC/GH/OE/0112</t>
  </si>
  <si>
    <t>ENIC/GH/OE/0113</t>
  </si>
  <si>
    <t>ENIC/GH/HP/0385</t>
  </si>
  <si>
    <t>ENIC/GH/HP/0386</t>
  </si>
  <si>
    <t>ENIC/GH/HP/0387</t>
  </si>
  <si>
    <t>ENIC/GH/HP/0388</t>
  </si>
  <si>
    <t>ENIC/GH/HP/0389</t>
  </si>
  <si>
    <t>ENIC/GH/HP/0390</t>
  </si>
  <si>
    <t>ENIC/GH/HP/0391</t>
  </si>
  <si>
    <t>ENIC/GH/HP/0392</t>
  </si>
  <si>
    <t>ENIC/GH/HP/0393</t>
  </si>
  <si>
    <t>ENIC/GH/HP/0394</t>
  </si>
  <si>
    <t>ENIC/GH/HP/0395</t>
  </si>
  <si>
    <t>HP LaserJet CP1525 upgrade</t>
  </si>
  <si>
    <t>ENIC/GH/HP/0396</t>
  </si>
  <si>
    <t>ENIC/GH/HP/0397</t>
  </si>
  <si>
    <t>HP Designjet T1300</t>
  </si>
  <si>
    <t>PLOTTER</t>
  </si>
  <si>
    <t>ENIC/GH/HP/0398</t>
  </si>
  <si>
    <t>ENIC/GH/OE/0114</t>
  </si>
  <si>
    <t>Cisco EX60-NPP Touch UI - Video Conference</t>
  </si>
  <si>
    <t>ENIC/GH/OE/0115</t>
  </si>
  <si>
    <t>Cisco TelePresence MX300 55 Gn 2, PHD 10</t>
  </si>
  <si>
    <t>ENIC/GH/OE/0116</t>
  </si>
  <si>
    <t>Cisco2504 Wireless LAN Contrillerith 15</t>
  </si>
  <si>
    <t>LAN</t>
  </si>
  <si>
    <t>ENIC/GH/OE/0117</t>
  </si>
  <si>
    <t>Cisco2504 Wireless LAN Contrillerith 16</t>
  </si>
  <si>
    <t>ENIC/GH/OE/0118</t>
  </si>
  <si>
    <t>Cisco2504 Wireless LAN Contrillerith 17</t>
  </si>
  <si>
    <t>ENIC/GH/OE/0119</t>
  </si>
  <si>
    <t>CISCO EX 90 MS OPTION</t>
  </si>
  <si>
    <t>ENIC/GH/OE/0120</t>
  </si>
  <si>
    <t>ESS WITH 8X5XNBD Cisco TelePres MX300 55</t>
  </si>
  <si>
    <t>ENIC/GH/OE/0121</t>
  </si>
  <si>
    <t>HP COLOR LASERJET PRO MFP M476DN PRINTER</t>
  </si>
  <si>
    <t>HP COLOR LASERJET PRO M252DW/UPGRADE</t>
  </si>
  <si>
    <t>CANON I-SENSYS MF8540CDN</t>
  </si>
  <si>
    <t>CANON iR Adv C5535i</t>
  </si>
  <si>
    <t>ENIC/GH/OE/0174</t>
  </si>
  <si>
    <t>DELL 4320 PROJECTOR</t>
  </si>
  <si>
    <t>ENIC/GH/OE/0175</t>
  </si>
  <si>
    <t>EPSON EB531 PROJECTOR</t>
  </si>
  <si>
    <t xml:space="preserve">Cisco UC Phone 7965, Gig Ethernet, Color          </t>
  </si>
  <si>
    <t>13A/10788402</t>
  </si>
  <si>
    <t>OFFICE EQUIPMENT</t>
  </si>
  <si>
    <t>ENIC/GH/OE/0188</t>
  </si>
  <si>
    <t>ENIC/GH/OE/0189</t>
  </si>
  <si>
    <t>ENIC/GH/OE/0190</t>
  </si>
  <si>
    <t>Cisco UC Phone 7975, Gig Ethernet, Color</t>
  </si>
  <si>
    <t>13A/10790963</t>
  </si>
  <si>
    <t>ENIC/GH/OE/0191</t>
  </si>
  <si>
    <t>ENIC/GH/OE/0192</t>
  </si>
  <si>
    <t>ENIC/GH/OE/0193</t>
  </si>
  <si>
    <t>ENIC/GH/OE/0194</t>
  </si>
  <si>
    <t>ENIC/GH/OE/0195</t>
  </si>
  <si>
    <t>ENIC/GH/OE/0196</t>
  </si>
  <si>
    <t>ENIC/GH/OE/0202</t>
  </si>
  <si>
    <t>ENIC/GH/OE/0203</t>
  </si>
  <si>
    <t>ENIC/GH/OE/0204</t>
  </si>
  <si>
    <t>ENIC/GH/OE/0205</t>
  </si>
  <si>
    <t>ENIC/GH/OE/0206</t>
  </si>
  <si>
    <t>ENIC/GH/OE/0207</t>
  </si>
  <si>
    <t>ENIC/GH/OE/0208</t>
  </si>
  <si>
    <t>ENIC/GH/OE/0209</t>
  </si>
  <si>
    <t>ENIC/GH/OE/0210</t>
  </si>
  <si>
    <t>ENIC/GH/OE/0211</t>
  </si>
  <si>
    <t>ENIC/GH/OE/0212</t>
  </si>
  <si>
    <t>ENIC/GH/OE/0213</t>
  </si>
  <si>
    <t>ENIC/GH/OE/0214</t>
  </si>
  <si>
    <t>ENIC/GH/OE/0215</t>
  </si>
  <si>
    <t>ENIC/GH/OE/0216</t>
  </si>
  <si>
    <t>ENIC/GH/OE/0217</t>
  </si>
  <si>
    <t>ENIC/GH/OE/0218</t>
  </si>
  <si>
    <t>ENIC/GH/OE/0219</t>
  </si>
  <si>
    <t>ENIC/GH/OE/0220</t>
  </si>
  <si>
    <t>ENIC/GH/OE/0221</t>
  </si>
  <si>
    <t>ENIC/GH/OE/0222</t>
  </si>
  <si>
    <t>ENIC/GH/OE/0223</t>
  </si>
  <si>
    <t>ENIC/GH/OE/0224</t>
  </si>
  <si>
    <t>ENIC/GH/OE/0225</t>
  </si>
  <si>
    <t>ENIC/GH/OE/0226</t>
  </si>
  <si>
    <t>ENIC/GH/OE/0227</t>
  </si>
  <si>
    <t>ENIC/GH/OE/0228</t>
  </si>
  <si>
    <t>ENIC/GH/OE/0229</t>
  </si>
  <si>
    <t>ENIC/GH/OE/0230</t>
  </si>
  <si>
    <t>Cisco UC Phone 7965, Gig Ethernet, Color</t>
  </si>
  <si>
    <t>ENIC/GH/OE/0231</t>
  </si>
  <si>
    <t>ENIC/GH/OE/0232</t>
  </si>
  <si>
    <t>ENIC/GH/OE/0233</t>
  </si>
  <si>
    <t>ENIC/GH/OE/0234</t>
  </si>
  <si>
    <t>ENIC/GH/OE/0235</t>
  </si>
  <si>
    <t>ENIC/GH/OE/0236</t>
  </si>
  <si>
    <t>ENIC/GH/OE/0237</t>
  </si>
  <si>
    <t>ENIC/GH/OE/0238</t>
  </si>
  <si>
    <t>ENIC/GH/OE/0239</t>
  </si>
  <si>
    <t>ENIC/GH/OE/0240</t>
  </si>
  <si>
    <t>ENIC/GH/OE/0241</t>
  </si>
  <si>
    <t>ENIC/GH/OE/0242</t>
  </si>
  <si>
    <t>ENIC/GH/OE/0243</t>
  </si>
  <si>
    <t>ENIC/GH/OE/0244</t>
  </si>
  <si>
    <t>ENIC/GH/OE/0245</t>
  </si>
  <si>
    <t>ENIC/GH/OE/0246</t>
  </si>
  <si>
    <t>ENIC/GH/OE/0247</t>
  </si>
  <si>
    <t>ENIC/GH/OE/0248</t>
  </si>
  <si>
    <t>ENIC/GH/OE/0249</t>
  </si>
  <si>
    <t>ENIC/GH/OE/0250</t>
  </si>
  <si>
    <t>ENIC/GH/OE/0251</t>
  </si>
  <si>
    <t>ENIC/GH/OE/0252</t>
  </si>
  <si>
    <t>ENIC/GH/OE/0253</t>
  </si>
  <si>
    <t>ENIC/GH/OE/0254</t>
  </si>
  <si>
    <t>ENIC/GH/OE/0255</t>
  </si>
  <si>
    <t>MAKITA UB1103 240V 600W BLOWER WI</t>
  </si>
  <si>
    <t>BLOWER</t>
  </si>
  <si>
    <t xml:space="preserve">LABEL MAKER MK231BZ - BROTHER </t>
  </si>
  <si>
    <t>ENIC/GH/OE/0269</t>
  </si>
  <si>
    <t>WIRELESS CONTROLLER</t>
  </si>
  <si>
    <t>20 METER ROLL 25MM SPIRAL WRAPPING BAND GREY</t>
  </si>
  <si>
    <t>15/5935609</t>
  </si>
  <si>
    <t>CON-SNT-A15K9</t>
  </si>
  <si>
    <t>CONSOLE CABLE 6FT. WITH RJ45 AND DD9F</t>
  </si>
  <si>
    <t>ENIC/GH/FF/1278</t>
  </si>
  <si>
    <t>BRUHM SAC 2.5HP - AIRCONDITIONER</t>
  </si>
  <si>
    <t>28/8/17</t>
  </si>
  <si>
    <t>15/3977192</t>
  </si>
  <si>
    <t>CAPE3 SERVICES LIMITED</t>
  </si>
  <si>
    <t>Straight line</t>
  </si>
  <si>
    <t>ENIC/GH/FF/1279</t>
  </si>
  <si>
    <t>BRUHM SAC 1.5HP - AIRCONDITIONER</t>
  </si>
  <si>
    <t>EX90-NPP TOUCH UI CISCO TELEPRES SOFT</t>
  </si>
  <si>
    <t>HP LASERJET PRO 400 COLOR MFP M476DN</t>
  </si>
  <si>
    <t>V17/2443248</t>
  </si>
  <si>
    <t>CISCO SWITCH - 3850X SERIES W/48TX POE</t>
  </si>
  <si>
    <t>CISCO ROUTER - 2900 - C2921 - AX/K9</t>
  </si>
  <si>
    <t>CISCO TELEPRENCE MX300</t>
  </si>
  <si>
    <t>FRA 12201756</t>
  </si>
  <si>
    <t>ENIC/GH/OE/0520</t>
  </si>
  <si>
    <t>CISCO SWITCH - C6800IA48FPDR</t>
  </si>
  <si>
    <t>ENIC/GH/OE/0521</t>
  </si>
  <si>
    <t>ENIC/GH/OE/0522</t>
  </si>
  <si>
    <t>ENIC/GH/OE/0523</t>
  </si>
  <si>
    <t>CISCO MX 300 TELEPRESENCE</t>
  </si>
  <si>
    <t>ENIC/GH/OE/0524</t>
  </si>
  <si>
    <t>ENIC/GH/OE/0525</t>
  </si>
  <si>
    <t>ENIC/GH/OE/0526</t>
  </si>
  <si>
    <t>ENIC/GH/OE/0527</t>
  </si>
  <si>
    <t>ENIC/GH/OE/0528</t>
  </si>
  <si>
    <t>ENIC/GH/OE/0529</t>
  </si>
  <si>
    <t>CISCO VPN ROUTER - 800 SERIES - 891</t>
  </si>
  <si>
    <t>ENIC/GH/OE/0600</t>
  </si>
  <si>
    <t>ENIC/GH/OE/0601</t>
  </si>
  <si>
    <t>ENIC/GH/OE/0602</t>
  </si>
  <si>
    <t>ENIC/GH/OE/0603</t>
  </si>
  <si>
    <t>ENIC/GH/OE/0608</t>
  </si>
  <si>
    <t>ENIC/GH/OE/0609</t>
  </si>
  <si>
    <t>ENIC/GH/OE/0610</t>
  </si>
  <si>
    <t>ENIC/GH/OE/0611</t>
  </si>
  <si>
    <t>ENIC/GH/OE/0612</t>
  </si>
  <si>
    <t>ENIC/GH/OE/0613</t>
  </si>
  <si>
    <t>ENIC/GH/OE/0614</t>
  </si>
  <si>
    <t>ENIC/GH/OE/0616</t>
  </si>
  <si>
    <t>CISCO TELEPRESENCE DX80</t>
  </si>
  <si>
    <t>15/5902938</t>
  </si>
  <si>
    <t>OSTEC LIMITED</t>
  </si>
  <si>
    <t>ENIC/GH/OE/0617</t>
  </si>
  <si>
    <t>ENIC/GH/OE/0618</t>
  </si>
  <si>
    <t xml:space="preserve">CISCO 100 SERIES UNMANAGED SWITCHES </t>
  </si>
  <si>
    <t>ENIC/GH/OE/0619</t>
  </si>
  <si>
    <t>ENIC/GH/OE/0620</t>
  </si>
  <si>
    <t>ENIC/GH/OE/0621</t>
  </si>
  <si>
    <t>ENIC/GH/OE/0622</t>
  </si>
  <si>
    <t>ENIC/GH/OE/0623</t>
  </si>
  <si>
    <t>ENIC/GH/OE/0624</t>
  </si>
  <si>
    <t>ENIC/GH/OE/0625</t>
  </si>
  <si>
    <t>ENIC/GH/OE/0626</t>
  </si>
  <si>
    <t>ENIC/GH/OE/0627</t>
  </si>
  <si>
    <t>ENIC/GH/OE/0628</t>
  </si>
  <si>
    <t>ENIC/GH/OE/0629</t>
  </si>
  <si>
    <t>ENIC/GH/OE/0630</t>
  </si>
  <si>
    <t>ENIC/GH/OE/0631</t>
  </si>
  <si>
    <t>ENIC/GH/OE/0632</t>
  </si>
  <si>
    <t>ENIC/GH/OE/0633</t>
  </si>
  <si>
    <t>ENIC/GH/OE/0634</t>
  </si>
  <si>
    <t>ENIC/GH/OE/0635</t>
  </si>
  <si>
    <t>ENIC/GH/OE/0636</t>
  </si>
  <si>
    <t>ENIC/GH/OE/0637</t>
  </si>
  <si>
    <t>ENIC/GH/OE/0638</t>
  </si>
  <si>
    <t>ENIC/GH/OE/0639</t>
  </si>
  <si>
    <t>ENIC/GH/OE/0640</t>
  </si>
  <si>
    <t>ENIC/GH/OE/0641</t>
  </si>
  <si>
    <t>ENIC/GH/OE/0642</t>
  </si>
  <si>
    <t>ENIC/GH/OE/0643</t>
  </si>
  <si>
    <t>ENIC/GH/OE/0644</t>
  </si>
  <si>
    <t>ENIC/GH/OE/0645</t>
  </si>
  <si>
    <t>ENIC/GH/OE/0646</t>
  </si>
  <si>
    <t>ENIC/GH/OE/0647</t>
  </si>
  <si>
    <t>ENIC/GH/OE/0648</t>
  </si>
  <si>
    <t>CISCO IP PHONE 7945G</t>
  </si>
  <si>
    <t>ENIC/GH/OE/0649</t>
  </si>
  <si>
    <t>ENIC/GH/OE/0650</t>
  </si>
  <si>
    <t>ENIC/GH/OE/0651</t>
  </si>
  <si>
    <t>FCH180</t>
  </si>
  <si>
    <t>ENIC/GH/OE/0652</t>
  </si>
  <si>
    <t>ENIC/GH/OE/0653</t>
  </si>
  <si>
    <t>ENIC/GH/OE/0654</t>
  </si>
  <si>
    <t>ENIC/GH/OE/0655</t>
  </si>
  <si>
    <t>ENIC/GH/OE/0656</t>
  </si>
  <si>
    <t>ENIC/GH/OE/0657</t>
  </si>
  <si>
    <t>ENIC/GH/OE/0658</t>
  </si>
  <si>
    <t>ENIC/GH/OE/0659</t>
  </si>
  <si>
    <t>ENIC/GH/OE/0660</t>
  </si>
  <si>
    <t>ENIC/GH/OE/0661</t>
  </si>
  <si>
    <t>ENIC/GH/OE/0662</t>
  </si>
  <si>
    <t>ENIC/GH/OE/0663</t>
  </si>
  <si>
    <t>ENIC/GH/OE/0664</t>
  </si>
  <si>
    <t>ENIC/GH/OE/0665</t>
  </si>
  <si>
    <t>ENIC/GH/OE/0666</t>
  </si>
  <si>
    <t>ENIC/GH/OE/0667</t>
  </si>
  <si>
    <t>ENIC/GH/OE/0668</t>
  </si>
  <si>
    <t>ENIC/GH/OE/0669</t>
  </si>
  <si>
    <t>ENIC/GH/OE/0670</t>
  </si>
  <si>
    <t>ENIC/GH/OE/0671</t>
  </si>
  <si>
    <t>ENIC/GH/OE/0672</t>
  </si>
  <si>
    <t>ENIC/GH/OE/0673</t>
  </si>
  <si>
    <t>ENIC/GH/OE/0674</t>
  </si>
  <si>
    <t>ENIC/GH/OE/0675</t>
  </si>
  <si>
    <t>ENIC/GH/OE/0676</t>
  </si>
  <si>
    <t>ENIC/GH/OE/0677</t>
  </si>
  <si>
    <t>ENIC/GH/OE/0678</t>
  </si>
  <si>
    <t>ENIC/GH/OE/0679</t>
  </si>
  <si>
    <t>ENIC/GH/OE/0680</t>
  </si>
  <si>
    <t>ENIC/GH/OE/0681</t>
  </si>
  <si>
    <t>ENIC/GH/OE/0682</t>
  </si>
  <si>
    <t>ENIC/GH/OE/0683</t>
  </si>
  <si>
    <t>ENIC/GH/OE/0684</t>
  </si>
  <si>
    <t>ENIC/GH/OE/0685</t>
  </si>
  <si>
    <t>ENIC/GH/OE/0686</t>
  </si>
  <si>
    <t>ENIC/GH/OE/0687</t>
  </si>
  <si>
    <t>ENIC/GH/OE/0688</t>
  </si>
  <si>
    <t>ENIC/GH/OE/0689</t>
  </si>
  <si>
    <t>ENIC/GH/OE/0690</t>
  </si>
  <si>
    <t>ENIC/GH/OE/0691</t>
  </si>
  <si>
    <t>ENIC/GH/OE/0692</t>
  </si>
  <si>
    <t>ENIC/GH/OE/0693</t>
  </si>
  <si>
    <t>ENIC/GH/OE/0694</t>
  </si>
  <si>
    <t>ENIC/GH/OE/0695</t>
  </si>
  <si>
    <t>ENIC/GH/OE/0696</t>
  </si>
  <si>
    <t>ENIC/GH/OE/0697</t>
  </si>
  <si>
    <t>ENIC/GH/OE/0698</t>
  </si>
  <si>
    <t>ENIC/GH/OE/0699</t>
  </si>
  <si>
    <t>ENIC/GH/OE/0700</t>
  </si>
  <si>
    <t>ENIC/GH/OE/0701</t>
  </si>
  <si>
    <t>ENIC/GH/OE/0702</t>
  </si>
  <si>
    <t>ENIC/GH/OE/0703</t>
  </si>
  <si>
    <t>ENIC/GH/OE/0704</t>
  </si>
  <si>
    <t>ENIC/GH/OE/0705</t>
  </si>
  <si>
    <t>ENIC/GH/OE/0706</t>
  </si>
  <si>
    <t>ENIC/GH/OE/0707</t>
  </si>
  <si>
    <t>ENIC/GH/OE/0708</t>
  </si>
  <si>
    <t>ENIC/GH/OE/0709</t>
  </si>
  <si>
    <t>ENIC/GH/OE/0710</t>
  </si>
  <si>
    <t>ENIC/GH/OE/0711</t>
  </si>
  <si>
    <t>ENIC/GH/OE/0712</t>
  </si>
  <si>
    <t>ENIC/GH/OE/0713</t>
  </si>
  <si>
    <t>ENIC/GH/OE/0714</t>
  </si>
  <si>
    <t>ENIC/GH/OE/0715</t>
  </si>
  <si>
    <t>ENIC/GH/OE/0716</t>
  </si>
  <si>
    <t>ENIC/GH/OE/0717</t>
  </si>
  <si>
    <t>ENIC/GH/OE/0718</t>
  </si>
  <si>
    <t>ENIC/GH/OE/0719</t>
  </si>
  <si>
    <t>ENIC/GH/OE/0720</t>
  </si>
  <si>
    <t>ENIC/GH/OE/0721</t>
  </si>
  <si>
    <t>ENIC/GH/OE/0722</t>
  </si>
  <si>
    <t>ENIC/GH/OE/0723</t>
  </si>
  <si>
    <t>ENIC/GH/OE/0724</t>
  </si>
  <si>
    <t>ENIC/GH/OE/0725</t>
  </si>
  <si>
    <t>ENIC/GH/OE/0726</t>
  </si>
  <si>
    <t>15/8850605</t>
  </si>
  <si>
    <t>ENIC/GH/OE/0727</t>
  </si>
  <si>
    <t>ENIC/GH/OE/0728</t>
  </si>
  <si>
    <t>ENIC/GH/OE/0729</t>
  </si>
  <si>
    <t>ENIC/GH/OE/0730</t>
  </si>
  <si>
    <t>ENIC/GH/OE/0731</t>
  </si>
  <si>
    <t>ENIC/GH/OE/0732</t>
  </si>
  <si>
    <t>ENIC/GH/OE/0733</t>
  </si>
  <si>
    <t>ENIC/GH/OE/0734</t>
  </si>
  <si>
    <t>ENIC/GH/OE/0735</t>
  </si>
  <si>
    <t>ENIC/GH/OE/0736</t>
  </si>
  <si>
    <t>ENIC/GH/OE/0737</t>
  </si>
  <si>
    <t>ENIC/GH/OE/0738</t>
  </si>
  <si>
    <t>ENIC/GH/OE/0739</t>
  </si>
  <si>
    <t>ENIC/GH/OE/0740</t>
  </si>
  <si>
    <t>ENIC/GH/OE/0741</t>
  </si>
  <si>
    <t>ENIC/GH/OE/0742</t>
  </si>
  <si>
    <t>ENIC/GH/OE/0743</t>
  </si>
  <si>
    <t>ENIC/GH/OE/0744</t>
  </si>
  <si>
    <t>ENIC/GH/OE/0745</t>
  </si>
  <si>
    <t>ENIC/GH/OE/0746</t>
  </si>
  <si>
    <t>ENIC/GH/OE/0747</t>
  </si>
  <si>
    <t>ENIC/GH/OE/0748</t>
  </si>
  <si>
    <t>ENIC/GH/OE/0749</t>
  </si>
  <si>
    <t>ENIC/GH/OE/0750</t>
  </si>
  <si>
    <t>ENIC/GH/OE/0751</t>
  </si>
  <si>
    <t>ENIC/GH/OE/0752</t>
  </si>
  <si>
    <t>ENIC/GH/OE/0753</t>
  </si>
  <si>
    <t>ENIC/GH/OE/0754</t>
  </si>
  <si>
    <t>ENIC/GH/OE/0755</t>
  </si>
  <si>
    <t>ENIC/GH/OE/0756</t>
  </si>
  <si>
    <t>ENIC/GH/OE/0757</t>
  </si>
  <si>
    <t>ENIC/GH/OE/0758</t>
  </si>
  <si>
    <t>ENIC/GH/OE/0759</t>
  </si>
  <si>
    <t>ENIC/GH/OE/0760</t>
  </si>
  <si>
    <t>ENIC/GH/OE/0761</t>
  </si>
  <si>
    <t>ENIC/GH/OE/0762</t>
  </si>
  <si>
    <t>ENIC/GH/OE/0763</t>
  </si>
  <si>
    <t>ENIC/GH/OE/0764</t>
  </si>
  <si>
    <t>ENIC/GH/OE/0765</t>
  </si>
  <si>
    <t>ENIC/GH/OE/0766</t>
  </si>
  <si>
    <t>ENIC/GH/OE/0767</t>
  </si>
  <si>
    <t>ENIC/GH/OE/0768</t>
  </si>
  <si>
    <t>ENIC/GH/OE/0769</t>
  </si>
  <si>
    <t>ENIC/GH/OE/0770</t>
  </si>
  <si>
    <t>ENIC/GH/OE/0771</t>
  </si>
  <si>
    <t>ENIC/GH/OE/0772</t>
  </si>
  <si>
    <t>ENIC/GH/OE/0773</t>
  </si>
  <si>
    <t>ENIC/GH/OE/0774</t>
  </si>
  <si>
    <t>ENIC/GH/OE/0775</t>
  </si>
  <si>
    <t>ENIC/GH/OE/0776</t>
  </si>
  <si>
    <t>ENIC/GH/OE/0777</t>
  </si>
  <si>
    <t>ENIC/GH/OE/0778</t>
  </si>
  <si>
    <t>ENIC/GH/OE/0779</t>
  </si>
  <si>
    <t>ENIC/GH/OE/0780</t>
  </si>
  <si>
    <t>ENIC/GH/OE/0781</t>
  </si>
  <si>
    <t>ENIC/GH/OE/0782</t>
  </si>
  <si>
    <t>ENIC/GH/OE/0783</t>
  </si>
  <si>
    <t>ENIC/GH/OE/0784</t>
  </si>
  <si>
    <t>ENIC/GH/OE/0785</t>
  </si>
  <si>
    <t>ENIC/GH/OE/0786</t>
  </si>
  <si>
    <t>ENIC/GH/OE/0787</t>
  </si>
  <si>
    <t>ENIC/GH/OE/0788</t>
  </si>
  <si>
    <t>ENIC/GH/OE/0789</t>
  </si>
  <si>
    <t>ENIC/GH/OE/0790</t>
  </si>
  <si>
    <t>ENIC/GH/OE/0791</t>
  </si>
  <si>
    <t>ENIC/GH/OE/0792</t>
  </si>
  <si>
    <t>ENIC/GH/OE/0793</t>
  </si>
  <si>
    <t>ENIC/GH/OE/0794</t>
  </si>
  <si>
    <t>ENIC/GH/OE/0795</t>
  </si>
  <si>
    <t>ENIC/GH/OE/0796</t>
  </si>
  <si>
    <t>ENIC/GH/OE/0797</t>
  </si>
  <si>
    <t>ENIC/GH/OE/0798</t>
  </si>
  <si>
    <t>ENIC/GH/OE/0799</t>
  </si>
  <si>
    <t>ENIC/GH/OE/0800</t>
  </si>
  <si>
    <t>ENIC/GH/OE/0801</t>
  </si>
  <si>
    <t>ENIC/GH/OE/0802</t>
  </si>
  <si>
    <t>ENIC/GH/OE/0803</t>
  </si>
  <si>
    <t>ENIC/GH/OE/0804</t>
  </si>
  <si>
    <t>ENIC/GH/OE/0805</t>
  </si>
  <si>
    <t>ENIC/GH/OE/0806</t>
  </si>
  <si>
    <t>CISCO AIR - LAP 1242</t>
  </si>
  <si>
    <t>ENIC/GH/OE/0807</t>
  </si>
  <si>
    <t>ENIC/GH/OE/0808</t>
  </si>
  <si>
    <t>ENIC/GH/OE/0809</t>
  </si>
  <si>
    <t>ENIC/GH/OE/0810</t>
  </si>
  <si>
    <t>ENIC/GH/OE/0811</t>
  </si>
  <si>
    <t>ENIC/GH/OE/0812</t>
  </si>
  <si>
    <t>ENIC/GH/OE/0813</t>
  </si>
  <si>
    <t>ENIC/GH/OE/0814</t>
  </si>
  <si>
    <t>ENIC/GH/OE/0815</t>
  </si>
  <si>
    <t>ENIC/GH/OE/0861</t>
  </si>
  <si>
    <t>V17/2443346</t>
  </si>
  <si>
    <t>CAMERA</t>
  </si>
  <si>
    <t>ENIC/GH/OE/0892</t>
  </si>
  <si>
    <t>CISCO SPARK ROOM KIT CS-KITP60-K9</t>
  </si>
  <si>
    <t>V17/2443245</t>
  </si>
  <si>
    <t>SPARK</t>
  </si>
  <si>
    <t>ENIC/GH/OE/0893</t>
  </si>
  <si>
    <t>V418/1923668</t>
  </si>
  <si>
    <t>CISCO TELEPRENCE DX80</t>
  </si>
  <si>
    <t>DRONE</t>
  </si>
  <si>
    <t>1900000016</t>
  </si>
  <si>
    <t>14/12/2022</t>
  </si>
  <si>
    <t>2022300258</t>
  </si>
  <si>
    <t>1900000019</t>
  </si>
  <si>
    <t>CISCO 881G</t>
  </si>
  <si>
    <t>CISCO ISR4431/K9</t>
  </si>
  <si>
    <t>CISCO 2921/K9</t>
  </si>
  <si>
    <t>CISCO ISR4331/K9</t>
  </si>
  <si>
    <t>CISCO C881W-E-K9</t>
  </si>
  <si>
    <t>CISCO 1921/K9</t>
  </si>
  <si>
    <t>CISCO C2921</t>
  </si>
  <si>
    <t>CISCO WS-C3850-48U-S</t>
  </si>
  <si>
    <t>CISCO C3560</t>
  </si>
  <si>
    <t>CISCO WS-C3850-48F-S</t>
  </si>
  <si>
    <t>CISCO C3850</t>
  </si>
  <si>
    <t>CISCO PWR-C2-1025</t>
  </si>
  <si>
    <t>CISCO WS-C3850-24P-E</t>
  </si>
  <si>
    <t>CISCO WS-C3650-48PQ</t>
  </si>
  <si>
    <t>CISCO WS-C4507R-E</t>
  </si>
  <si>
    <t>CISCO WS-C3650-48FQ-L</t>
  </si>
  <si>
    <t>CISCO WS-C4507R+E</t>
  </si>
  <si>
    <t>CISCO WS-C2960+24PC-L</t>
  </si>
  <si>
    <t>CISCO ASA5515</t>
  </si>
  <si>
    <t>CISCO C83001N1S6T</t>
  </si>
  <si>
    <t>EDGE ROUTER</t>
  </si>
  <si>
    <t>CISCO AIR-CAP1602I-E-K9</t>
  </si>
  <si>
    <t>Access Point</t>
  </si>
  <si>
    <t>CISCO AIR-CAP1602E-E-K9</t>
  </si>
  <si>
    <t>CISCO AIR-AP2702I-UXK9</t>
  </si>
  <si>
    <t>CISCO AIR-LAP1142N-E-K9</t>
  </si>
  <si>
    <t>CISCO AIR-CAP1702I-E-K9</t>
  </si>
  <si>
    <t>CISCO ISR1100-4G</t>
  </si>
  <si>
    <t>CISCO AIR-CT3504-K9</t>
  </si>
  <si>
    <t>CISCO C2951</t>
  </si>
  <si>
    <t>OF/23115/TC</t>
  </si>
  <si>
    <t>OMAN FOFOR</t>
  </si>
  <si>
    <t>1900003821</t>
  </si>
  <si>
    <t>1st floor - Accra</t>
  </si>
  <si>
    <t>2nd floor - Accra</t>
  </si>
  <si>
    <t>3rd floor - Accra</t>
  </si>
  <si>
    <t>4th floor A - Accra</t>
  </si>
  <si>
    <t>4th floor B - Accra</t>
  </si>
  <si>
    <t>Canon Image Prograf TX-4100</t>
  </si>
  <si>
    <t>5th floor A - Accra</t>
  </si>
  <si>
    <t>SANZULE PILOT CAMP</t>
  </si>
  <si>
    <t>SANZULE PLANT</t>
  </si>
  <si>
    <t>SANZULE WORKSHOP</t>
  </si>
  <si>
    <t>Medical Equipment for Office Clinic</t>
  </si>
  <si>
    <t>FRA 9394614</t>
  </si>
  <si>
    <t>Medical Equipments</t>
  </si>
  <si>
    <t>Hanisa Medical Support Services</t>
  </si>
  <si>
    <t xml:space="preserve">Straight Line </t>
  </si>
  <si>
    <t>INSTALLATIONOF CATERPILLARY OLYMPIAN GEP GEN SET</t>
  </si>
  <si>
    <t>17/9/2015</t>
  </si>
  <si>
    <t>EOO2037A-01</t>
  </si>
  <si>
    <t>Generator Set</t>
  </si>
  <si>
    <t>EXPATS HOUSE</t>
  </si>
  <si>
    <t>TELECOMMUNICATION EQUIPMENTS</t>
  </si>
  <si>
    <t>17/03/2016</t>
  </si>
  <si>
    <t>RMI/0027/2016</t>
  </si>
  <si>
    <t xml:space="preserve">ACCRA OFFICE </t>
  </si>
  <si>
    <t xml:space="preserve">Cisco Catalyst 6880-X-Chassis (Standard </t>
  </si>
  <si>
    <t>15/03/2016</t>
  </si>
  <si>
    <t>RML/0026/2016</t>
  </si>
  <si>
    <t xml:space="preserve">IPMC </t>
  </si>
  <si>
    <t>Cisco Catalyst 6880-X Multi Rate Port Ca</t>
  </si>
  <si>
    <t>Cisco Catalyst 6880-X 3KW AC Power Suppl</t>
  </si>
  <si>
    <t>C6800IA Instant Access POE+ Switch w Red</t>
  </si>
  <si>
    <t xml:space="preserve">1025W AC Config 2 Power Supply          </t>
  </si>
  <si>
    <t xml:space="preserve">Cisco ONE Foundation Perpetual Cat 6800 </t>
  </si>
  <si>
    <t>802.11ac AP w/CleanAir; 3x4:3SS; Mod; In</t>
  </si>
  <si>
    <t xml:space="preserve">10GBASE-SR SFP Module, Enterprise-Class </t>
  </si>
  <si>
    <t>1000BASE-T GBIC transceiver module RJ-45</t>
  </si>
  <si>
    <t>ASA 5515-X with SW, 6GE Data, 1 GE Mgmt,</t>
  </si>
  <si>
    <t>Cisco ONE - 5520 Wireless Controller w/r</t>
  </si>
  <si>
    <t>770W AC Hot-Plug Power Supply for 5520 C</t>
  </si>
  <si>
    <t>Cisco ONE Foundation Perpetual - Wireles</t>
  </si>
  <si>
    <t>Cisco ONE ISR 4431 (4GE,3NIM,8G FLASH,4G</t>
  </si>
  <si>
    <t>Cisco ONE Foundation Perpetual License I</t>
  </si>
  <si>
    <t>AC Power Supply (Secondary PS) for Cisco</t>
  </si>
  <si>
    <t xml:space="preserve">Cisco ONE Advanced UC Perpetual License </t>
  </si>
  <si>
    <t xml:space="preserve">Communication Manager Express or SRST - </t>
  </si>
  <si>
    <t>Unified Border Element Enterprise Licens</t>
  </si>
  <si>
    <t xml:space="preserve">64-channel DSP module                   </t>
  </si>
  <si>
    <t xml:space="preserve">Cisco MX800, NPP,  Dual 70              </t>
  </si>
  <si>
    <t>TELE PRESENCE</t>
  </si>
  <si>
    <t xml:space="preserve">Cisco TelePresence Table Microphone 60  </t>
  </si>
  <si>
    <t>Extensino Cable for Telepresence Table M</t>
  </si>
  <si>
    <t>Cisco UC phone 7975, Gig Ethernet, Color</t>
  </si>
  <si>
    <t xml:space="preserve">Cisco 8831 Base/Control Panel for APAC, </t>
  </si>
  <si>
    <t xml:space="preserve">Cisco 8831 WIRED MICROPHONE KIT         </t>
  </si>
  <si>
    <t>3YR SMARTNET 8X5XNBD Cisco Catalyst 6880</t>
  </si>
  <si>
    <t xml:space="preserve">3YR SNTC 8X5XNBD C6800IA Instant Access </t>
  </si>
  <si>
    <t>SNTC-8X5XNBD 802.11ac AP w/CleanAir; 3x4</t>
  </si>
  <si>
    <t xml:space="preserve">SNTC-8X5XNBD ASA 5515-X with SW,        </t>
  </si>
  <si>
    <t>SNTC-8X5XNBD Cisco 5520 Wireless Control</t>
  </si>
  <si>
    <t xml:space="preserve">SWSS UPGRADES C1 Foundation Perpetual - </t>
  </si>
  <si>
    <t xml:space="preserve">SWSS UPGRADES Cisco ONE - Wireless      </t>
  </si>
  <si>
    <t>SWSS UPGRADES Cisco ONE Foundation Perpe</t>
  </si>
  <si>
    <t>SNTC-8X5XNBD C1 ISR 4431 (4GE,3NIM,8G FL</t>
  </si>
  <si>
    <t>SNTC-8X5XNBD Cisco Unified IP Phone 7965</t>
  </si>
  <si>
    <t xml:space="preserve">SNTC-8X5XNBD Cisco 8831 IP Confer Phone </t>
  </si>
  <si>
    <t xml:space="preserve">ESS WITH 8X5XNBD Cisco MX800, NPP, Dual </t>
  </si>
  <si>
    <t>ESS WITH 8X5XNBD Cisco TelePresence Tabl</t>
  </si>
  <si>
    <t>SNTC-8X5XNBD Cisco Unified IP Phone 7975</t>
  </si>
  <si>
    <t>1 port Multiflex Trunk Voice/Clear-chann</t>
  </si>
  <si>
    <t>300 Series HW Installation SVC</t>
  </si>
  <si>
    <t>HP Z840 1125W (1450W/200V) 90 Percent Ef</t>
  </si>
  <si>
    <t>Intel(R) Xeon(R) E5-2667v3 3.2 2133 8C 1</t>
  </si>
  <si>
    <t>Intel(R) Xeon(R) E5-2667v3 3.2 2133 8C 2</t>
  </si>
  <si>
    <t>256GB DDR4-2133 (16x16GB) 2CPU Registere</t>
  </si>
  <si>
    <t>NVIDIA Quadro K6000 12GB DL-DVI(I)+DL-DV</t>
  </si>
  <si>
    <t>2TB 7200 RPM SATA 1st Hard Drive</t>
  </si>
  <si>
    <t>2TB 7200 RPM SATA 2nd Hard Drive</t>
  </si>
  <si>
    <t>2TB 7200 RPM SATA 3rd Hard Drive</t>
  </si>
  <si>
    <t>2TB 7200 RPM SATA 4th Hard Drive</t>
  </si>
  <si>
    <t>2TB 7200 RPM SATA 5th Hard Drive</t>
  </si>
  <si>
    <t>HP Z840 Country Kit</t>
  </si>
  <si>
    <t>HP USB Keyboard</t>
  </si>
  <si>
    <t>HP X520 10GbE Dual Port Adapter</t>
  </si>
  <si>
    <t>HP USB Optical Mouse</t>
  </si>
  <si>
    <t>9.5mm Slim SuperMulti DVDRW SATA 1st Opt</t>
  </si>
  <si>
    <t>HP Single Unit Packaging</t>
  </si>
  <si>
    <t>HP Dual Processor Air Cooling Kit</t>
  </si>
  <si>
    <t>HP 3/3/3 Warranty</t>
  </si>
  <si>
    <t>LSI 9270-8i SAS 6Gb/s ROC RAID Card</t>
  </si>
  <si>
    <t>Netapp Disks SATA 2 TB</t>
  </si>
  <si>
    <t>Satelite Phone and Accessories</t>
  </si>
  <si>
    <t>01/04/2016</t>
  </si>
  <si>
    <t>13/1139602</t>
  </si>
  <si>
    <t>RADIAL CIRCLE ENG.</t>
  </si>
  <si>
    <t>Not Seen</t>
  </si>
  <si>
    <t>Seen</t>
  </si>
  <si>
    <t>Comments</t>
  </si>
  <si>
    <t>No Serial Number</t>
  </si>
  <si>
    <t>24/05/2024</t>
  </si>
  <si>
    <t>Enquire frm FPSO</t>
  </si>
  <si>
    <t>MD office</t>
  </si>
  <si>
    <t>Still in use</t>
  </si>
  <si>
    <t xml:space="preserve">CISCO MX800 MultiSite Software Feature Option </t>
  </si>
  <si>
    <t>AIRCONDITIONER</t>
  </si>
  <si>
    <t>MD Residence</t>
  </si>
  <si>
    <t>FIRE WALL</t>
  </si>
  <si>
    <t>M2F03RB0</t>
  </si>
  <si>
    <t>M2F03XPZ</t>
  </si>
  <si>
    <t>FCH2217DCDM</t>
  </si>
  <si>
    <t>FCH2222DSLK</t>
  </si>
  <si>
    <t>FCH2231ETQF</t>
  </si>
  <si>
    <t>FCH2227FENH</t>
  </si>
  <si>
    <t>FCH2231EUFB</t>
  </si>
  <si>
    <t>FCH2231ETQK</t>
  </si>
  <si>
    <t>FCH2222DSF7</t>
  </si>
  <si>
    <t>FCH2217D0DM</t>
  </si>
  <si>
    <t>FCH222ZFERY</t>
  </si>
  <si>
    <t>FCH2227FF7A</t>
  </si>
  <si>
    <t>FCH2227FDW3</t>
  </si>
  <si>
    <t>FCH2227FE0R</t>
  </si>
  <si>
    <t>FCH22162D8H</t>
  </si>
  <si>
    <t>CP-8831</t>
  </si>
  <si>
    <t>FCH221527H7</t>
  </si>
  <si>
    <t>FCH22162DGF</t>
  </si>
  <si>
    <t>FCH2215268W</t>
  </si>
  <si>
    <t>FCH23012F8G</t>
  </si>
  <si>
    <t>FCH225224C6</t>
  </si>
  <si>
    <t>FCH225222T1</t>
  </si>
  <si>
    <t>FCH23012EY9</t>
  </si>
  <si>
    <t>FCH225223CF</t>
  </si>
  <si>
    <t>FCH225222TU</t>
  </si>
  <si>
    <t>FCH22502Q2U</t>
  </si>
  <si>
    <t>FCH23012F68</t>
  </si>
  <si>
    <t>FCH22502Q2H</t>
  </si>
  <si>
    <t>FCH2252235S</t>
  </si>
  <si>
    <t>FDO26240HAU</t>
  </si>
  <si>
    <t>FDO26240HAT</t>
  </si>
  <si>
    <t>FCH18328M2C</t>
  </si>
  <si>
    <t>FCH20209RFJ</t>
  </si>
  <si>
    <t>FCH16158TF8</t>
  </si>
  <si>
    <t>FCH18328MF5</t>
  </si>
  <si>
    <t>FCH2206D03J</t>
  </si>
  <si>
    <t>FCH2036GQP9</t>
  </si>
  <si>
    <t>FCH2208DIWY</t>
  </si>
  <si>
    <t>FCH2206DOCU</t>
  </si>
  <si>
    <t>FCH2208DIG5</t>
  </si>
  <si>
    <t>FCH2208DIED</t>
  </si>
  <si>
    <t>FCH2036GQLH</t>
  </si>
  <si>
    <t>FCH2208DDOQ</t>
  </si>
  <si>
    <t>FCH183688RF</t>
  </si>
  <si>
    <t>FCH2208DDIJ</t>
  </si>
  <si>
    <t>FCH2208DIAR</t>
  </si>
  <si>
    <t>FCH2026GU2Z</t>
  </si>
  <si>
    <t>FCH20208DC7S</t>
  </si>
  <si>
    <t>FCH202095H8</t>
  </si>
  <si>
    <t>FCH18328MTY</t>
  </si>
  <si>
    <t>FCH2208DD3D</t>
  </si>
  <si>
    <t>FCH2036GQY2</t>
  </si>
  <si>
    <t>FCH220801PU</t>
  </si>
  <si>
    <t>ORF GS SUPPORT</t>
  </si>
  <si>
    <t>CONTROL ROOM</t>
  </si>
  <si>
    <t>PLANT MANAGER</t>
  </si>
  <si>
    <t>MEETING ROOM</t>
  </si>
  <si>
    <t xml:space="preserve">PLANT SUPERINTENDENT </t>
  </si>
  <si>
    <t>MAINTENANCE SUPERINTENDENT</t>
  </si>
  <si>
    <t>ORF ENGINEERING ROOM</t>
  </si>
  <si>
    <t>ORF ELECTRICAL SPECIALIST</t>
  </si>
  <si>
    <t>ORF WAREHOUSE OFFICER</t>
  </si>
  <si>
    <t>ORF ENGINEERING</t>
  </si>
  <si>
    <t>ORF MAINTENANCE PLANNER</t>
  </si>
  <si>
    <t>ORF ROTATING MACHINE SPECIALIST</t>
  </si>
  <si>
    <t>FRAZIANO</t>
  </si>
  <si>
    <t>ORF INSTRUMENTATION TEAM</t>
  </si>
  <si>
    <t>ORF SPIE HSE</t>
  </si>
  <si>
    <t>ORF SPIE TEAM LEAD</t>
  </si>
  <si>
    <t>ORF WAREHOUSE SUPERVISOR</t>
  </si>
  <si>
    <t>ORF GATE HOUSE</t>
  </si>
  <si>
    <t>SUBSTATION</t>
  </si>
  <si>
    <t>ROOM 31</t>
  </si>
  <si>
    <t>ROOM 40B</t>
  </si>
  <si>
    <t>ROOM 40A</t>
  </si>
  <si>
    <t>FCH2208D1BE</t>
  </si>
  <si>
    <t>FCH2036GQB7</t>
  </si>
  <si>
    <t>FCH2208D1UW</t>
  </si>
  <si>
    <t>ORF HSE SPV</t>
  </si>
  <si>
    <t>GERMAINE MENSAH</t>
  </si>
  <si>
    <t>ORF GENERAL SERV SPV</t>
  </si>
  <si>
    <t>FCH2036GQWZ</t>
  </si>
  <si>
    <t>FCH2208D21M</t>
  </si>
  <si>
    <t>FCH2204EBRJ</t>
  </si>
  <si>
    <t>FCH2150DHA7</t>
  </si>
  <si>
    <t>FCH18328MDX</t>
  </si>
  <si>
    <t>FCH2150DJ5M</t>
  </si>
  <si>
    <t>FCH2036GQLK</t>
  </si>
  <si>
    <t>FCH2036GQKN</t>
  </si>
  <si>
    <t>FCH2036GQDS</t>
  </si>
  <si>
    <t>FCH2036GQTA</t>
  </si>
  <si>
    <t>ROOM 1</t>
  </si>
  <si>
    <t>ROOM 2</t>
  </si>
  <si>
    <t>ROOM 3</t>
  </si>
  <si>
    <t>ROOM 4</t>
  </si>
  <si>
    <t>ROOM 5</t>
  </si>
  <si>
    <t>ROOM 6</t>
  </si>
  <si>
    <t>ROOM 7</t>
  </si>
  <si>
    <t>ROOM 8</t>
  </si>
  <si>
    <t>ROOM 9</t>
  </si>
  <si>
    <t>ROOM 10</t>
  </si>
  <si>
    <t>FCH2036GQVC</t>
  </si>
  <si>
    <t>FCH18358R71</t>
  </si>
  <si>
    <t>FCH2036GQQH</t>
  </si>
  <si>
    <t>FCH2036GQKZ</t>
  </si>
  <si>
    <t>FCH18339JYN</t>
  </si>
  <si>
    <t>ROOM 12</t>
  </si>
  <si>
    <t>ROOM 13</t>
  </si>
  <si>
    <t>ROOM 14</t>
  </si>
  <si>
    <t>ROOM 15</t>
  </si>
  <si>
    <t>ROOM 16</t>
  </si>
  <si>
    <t>FCH2036GQKD</t>
  </si>
  <si>
    <t>FCH2206D036</t>
  </si>
  <si>
    <t>FCH2208DC22</t>
  </si>
  <si>
    <t>FCH2150DHP8</t>
  </si>
  <si>
    <t>FCH2036GQK8</t>
  </si>
  <si>
    <t>FCH2036GQPG</t>
  </si>
  <si>
    <t>FCH2208D13M</t>
  </si>
  <si>
    <t>FCH2036GQ4R</t>
  </si>
  <si>
    <t>FCH2227FEQJ</t>
  </si>
  <si>
    <t>FCH2206D0A4</t>
  </si>
  <si>
    <t>FCH2227FFSH</t>
  </si>
  <si>
    <t>FCH2208DC6H</t>
  </si>
  <si>
    <t>FCH2036GQN3</t>
  </si>
  <si>
    <t>ROOM 17</t>
  </si>
  <si>
    <t>ROOM 18</t>
  </si>
  <si>
    <t>ROOM 19</t>
  </si>
  <si>
    <t>ROOM 20</t>
  </si>
  <si>
    <t>ROOM 21</t>
  </si>
  <si>
    <t>ROOM 22</t>
  </si>
  <si>
    <t>ROOM 23</t>
  </si>
  <si>
    <t>ROOM 24</t>
  </si>
  <si>
    <t>ROOM 25</t>
  </si>
  <si>
    <t>ROOM 26</t>
  </si>
  <si>
    <t>ROOM 27</t>
  </si>
  <si>
    <t>ROOM 28</t>
  </si>
  <si>
    <t>ROOM 29</t>
  </si>
  <si>
    <t>FCH2227FEYD</t>
  </si>
  <si>
    <t>FCH22208DIE5</t>
  </si>
  <si>
    <t>FCH2227FEV3</t>
  </si>
  <si>
    <t>FCH2208D1WQ</t>
  </si>
  <si>
    <t>FCH2227FE3X</t>
  </si>
  <si>
    <t>FCH2227FEKP</t>
  </si>
  <si>
    <t>FCH2227FEMT</t>
  </si>
  <si>
    <t>ROOM 30</t>
  </si>
  <si>
    <t>ROOM 32</t>
  </si>
  <si>
    <t>ROOM 33</t>
  </si>
  <si>
    <t>ROOM 34</t>
  </si>
  <si>
    <t>ROOM 35</t>
  </si>
  <si>
    <t>Canteen</t>
  </si>
  <si>
    <t>FCH2227FF15</t>
  </si>
  <si>
    <t>FCH2036GQCL</t>
  </si>
  <si>
    <t>FCH18339JWQ</t>
  </si>
  <si>
    <t>Gate house Pac</t>
  </si>
  <si>
    <t>Clinic Doctor</t>
  </si>
  <si>
    <t>FCH2036GQFS</t>
  </si>
  <si>
    <t>FCH2036GQPN</t>
  </si>
  <si>
    <t>FCH2036GQLE</t>
  </si>
  <si>
    <t>FCH2036GQYC</t>
  </si>
  <si>
    <t>FCH2208D1E6</t>
  </si>
  <si>
    <t>FCH2036GQYV</t>
  </si>
  <si>
    <t>FCH2208D19S</t>
  </si>
  <si>
    <t>FCH2036GQXC</t>
  </si>
  <si>
    <t>FCH2036GQXL</t>
  </si>
  <si>
    <t>FCH2030FWFG</t>
  </si>
  <si>
    <t>FCH2036GQL2</t>
  </si>
  <si>
    <t>FCH2036GQYG</t>
  </si>
  <si>
    <t>ROOM 36</t>
  </si>
  <si>
    <t>ROOM 37</t>
  </si>
  <si>
    <t>ROOM 38</t>
  </si>
  <si>
    <t>ROOM 39</t>
  </si>
  <si>
    <t>KITCHEN</t>
  </si>
  <si>
    <t>GATEHOUSE</t>
  </si>
  <si>
    <t>FCH2208D1RD</t>
  </si>
  <si>
    <t>FCH2208D0L</t>
  </si>
  <si>
    <t>FCH2227EDTE</t>
  </si>
  <si>
    <t>FCH22O8DCY6</t>
  </si>
  <si>
    <t>FCH2208D1PG</t>
  </si>
  <si>
    <t>FCH2204EB13</t>
  </si>
  <si>
    <t>FCH2036GQRL</t>
  </si>
  <si>
    <t>FCH2227EF67</t>
  </si>
  <si>
    <t>FCH2208D1PH</t>
  </si>
  <si>
    <t>ABIGAIL</t>
  </si>
  <si>
    <t>PATRICK</t>
  </si>
  <si>
    <t>MASSAWUDE</t>
  </si>
  <si>
    <t>SEDDOH</t>
  </si>
  <si>
    <t>AZIKS</t>
  </si>
  <si>
    <t>VICTOR</t>
  </si>
  <si>
    <t>DESLEY</t>
  </si>
  <si>
    <t>EMMANUEL</t>
  </si>
  <si>
    <t>BLAY</t>
  </si>
  <si>
    <t>KOBBIAN</t>
  </si>
  <si>
    <t>PC0SPMQG</t>
  </si>
  <si>
    <t>PC1F70DK</t>
  </si>
  <si>
    <t>PF0LJ05G</t>
  </si>
  <si>
    <t>PC04SL2E</t>
  </si>
  <si>
    <t xml:space="preserve">To be Scrapped </t>
  </si>
  <si>
    <t>PC0SPMQ5</t>
  </si>
  <si>
    <t>PF0RVKPW</t>
  </si>
  <si>
    <t>PC04SL2S</t>
  </si>
  <si>
    <t>ENIC/GH/OE/0146</t>
  </si>
  <si>
    <t>PC0SPPT7</t>
  </si>
  <si>
    <t>Scrapped (Annabel)</t>
  </si>
  <si>
    <t>Scrapped (Ramzi Amri)</t>
  </si>
  <si>
    <t>Scrapped (Giuseppe Pugliese)</t>
  </si>
  <si>
    <t>Scrapped(Victor Tannoh)</t>
  </si>
  <si>
    <t>Scrapped(Emmanuel Gyinae)</t>
  </si>
  <si>
    <t>Scrapped (Godwin Kronzu)</t>
  </si>
  <si>
    <t>Scrapped(Amin Duani)</t>
  </si>
  <si>
    <t>Scrapped(Irene Asomani)</t>
  </si>
  <si>
    <t>Scrapped (Fafa Agormor)</t>
  </si>
  <si>
    <t>Scrapped(Vincenzo La Greca)</t>
  </si>
  <si>
    <t>scrapped (Gerald Yeboah)</t>
  </si>
  <si>
    <t>scrapped (Gifty Boakye)</t>
  </si>
  <si>
    <t>scrapped (William Ocloo)</t>
  </si>
  <si>
    <t>Scrapped (Gifty Afoley)</t>
  </si>
  <si>
    <t>Scrapped ( Charles Kwarteng)</t>
  </si>
  <si>
    <t>scrapped (Cyril Avevor)</t>
  </si>
  <si>
    <t>scrapped(Richard Kwakwa)</t>
  </si>
  <si>
    <t>Scrapped (Angela Akabzaa)</t>
  </si>
  <si>
    <t>Scrapped ( Daniel Adjei)</t>
  </si>
  <si>
    <t>scrapped (Vida Asante)</t>
  </si>
  <si>
    <t>scrapped (Felix Kyei)</t>
  </si>
  <si>
    <t>scrapped (Frank Ampadukyere)</t>
  </si>
  <si>
    <t>scrapped (Gordon Elleah</t>
  </si>
  <si>
    <t>scrapped (Ruby Adu)</t>
  </si>
  <si>
    <t>scrapped (Predescu Sorin)</t>
  </si>
  <si>
    <t>scrapped (Saviour Humali)</t>
  </si>
  <si>
    <t>scrapped( Kumi Aboagye)</t>
  </si>
  <si>
    <t>scrapped (Samuel Ofori)</t>
  </si>
  <si>
    <t xml:space="preserve">scrapped (Roberto Quatara) </t>
  </si>
  <si>
    <t>scrapped (Emmanuel Quandahor)</t>
  </si>
  <si>
    <t>scrapped(Majeed)</t>
  </si>
  <si>
    <t>scrapped (Alfred Kotey)</t>
  </si>
  <si>
    <t>scrapped (Adams Mohammed)</t>
  </si>
  <si>
    <t xml:space="preserve"> </t>
  </si>
  <si>
    <t>scrapped (Sena Mawura)</t>
  </si>
  <si>
    <t>scrapped(Maame Bartels)</t>
  </si>
  <si>
    <t>IT Store(repairs)</t>
  </si>
  <si>
    <t>IT Store (repairs)</t>
  </si>
  <si>
    <t>PC0SPMRE</t>
  </si>
  <si>
    <t>PC0KQ1DM</t>
  </si>
  <si>
    <t>ENIC/GH/OE/0148</t>
  </si>
  <si>
    <t>OCTP</t>
  </si>
  <si>
    <t>JV</t>
  </si>
  <si>
    <t>CORPORATE</t>
  </si>
  <si>
    <t xml:space="preserve">Samson Baffoe </t>
  </si>
  <si>
    <t>IT Store (Under Repairs)</t>
  </si>
  <si>
    <t>scrapped (Godfred Dzasi)</t>
  </si>
  <si>
    <t>scrapped (Danielle Negroni)</t>
  </si>
  <si>
    <t>scrapped (Ahmad Kham)</t>
  </si>
  <si>
    <t>Stolen(George Asamoah)</t>
  </si>
  <si>
    <t>(Stolen)EBENEZER AMOAH KYEI</t>
  </si>
  <si>
    <t>EBENEZER AMOAH KYEI (Stolen)</t>
  </si>
  <si>
    <t xml:space="preserve">Isaac OseiKuffuor </t>
  </si>
  <si>
    <t xml:space="preserve">Isaac Osei Kuffuor </t>
  </si>
  <si>
    <t>Euodia Twumasi</t>
  </si>
  <si>
    <t>PF3CQK97</t>
  </si>
  <si>
    <t xml:space="preserve">Gloria Baffoe </t>
  </si>
  <si>
    <t xml:space="preserve">Dophah Derek William </t>
  </si>
  <si>
    <t>Elzain Ibrahim</t>
  </si>
  <si>
    <t>(Stolen)George Asamoah-Abaidoo</t>
  </si>
  <si>
    <t>Isaac Monney (To be returned)</t>
  </si>
  <si>
    <t>Isaac Monney(To be returned)</t>
  </si>
  <si>
    <t xml:space="preserve">Paul Essuman </t>
  </si>
  <si>
    <t>Davide Feltracco(damaged under repair)</t>
  </si>
  <si>
    <t>PF3CGPHG</t>
  </si>
  <si>
    <t xml:space="preserve">Scrapped  </t>
  </si>
  <si>
    <t xml:space="preserve">Victor Tannoh </t>
  </si>
  <si>
    <t>PF3KAW6W</t>
  </si>
  <si>
    <t>IT Store(under repairs)</t>
  </si>
  <si>
    <t xml:space="preserve"> scrapped</t>
  </si>
  <si>
    <t>PC1F70DR</t>
  </si>
  <si>
    <t>Michelle Zarli(To be returned)</t>
  </si>
  <si>
    <t>(Stolen) Kenneth Koffie</t>
  </si>
  <si>
    <t>LENOVO ThinkPad L14</t>
  </si>
  <si>
    <t>Gianni Baldassari</t>
  </si>
  <si>
    <t>Scrap</t>
  </si>
  <si>
    <t xml:space="preserve">Asare Kwakye Duah </t>
  </si>
  <si>
    <t>Nana Kuffour Poku</t>
  </si>
  <si>
    <t>Francis Hwakson</t>
  </si>
  <si>
    <t>Andrea Terenzi</t>
  </si>
  <si>
    <t>PF34Z9PL</t>
  </si>
  <si>
    <t>Francis Hawkson</t>
  </si>
  <si>
    <t>Asif Mansoor</t>
  </si>
  <si>
    <t>Ashish Kaul</t>
  </si>
  <si>
    <t xml:space="preserve">David Kelvin Rockson </t>
  </si>
  <si>
    <t>Gabriella Fasano</t>
  </si>
  <si>
    <t>Robert Mensah</t>
  </si>
  <si>
    <t>PF34XJ00</t>
  </si>
  <si>
    <t>Philip Abordo</t>
  </si>
  <si>
    <t>PF34H1V8</t>
  </si>
  <si>
    <t>William Ocloo</t>
  </si>
  <si>
    <t>Francesco Beduschi</t>
  </si>
  <si>
    <t>Joshua Yankey</t>
  </si>
  <si>
    <t>Mauricio Galvis</t>
  </si>
  <si>
    <t>scrapped(Marian Dentu)</t>
  </si>
  <si>
    <t>scrapped(Rickson  Annan)</t>
  </si>
  <si>
    <t>Scrapped( George Locher)</t>
  </si>
  <si>
    <t>scrapped(Edward amoni)</t>
  </si>
  <si>
    <t>Goodman Sarquah</t>
  </si>
  <si>
    <t>PC073KQU</t>
  </si>
  <si>
    <t>To be Scrapped (Clearance)</t>
  </si>
  <si>
    <t>Clearance Ackah</t>
  </si>
  <si>
    <t xml:space="preserve">Clearance Ackah </t>
  </si>
  <si>
    <t>David Kelvin Rockson</t>
  </si>
  <si>
    <t>PF34YXBS</t>
  </si>
  <si>
    <t>To be Returned (Alexander Amponsah)</t>
  </si>
  <si>
    <t>Samira Sumaina (scrapped)</t>
  </si>
  <si>
    <t xml:space="preserve">IT Store = </t>
  </si>
  <si>
    <t>To be scrapped (unavailable)  = 155</t>
  </si>
  <si>
    <t>Stolen (Kenneth Koffie)</t>
  </si>
  <si>
    <t>Stolen = 4</t>
  </si>
  <si>
    <t>To be returned = 5</t>
  </si>
  <si>
    <t>Assigned In use = 224</t>
  </si>
  <si>
    <t>Network Monitoring System</t>
  </si>
  <si>
    <t xml:space="preserve">Network Monitoring system </t>
  </si>
  <si>
    <t>PC0X1B22</t>
  </si>
  <si>
    <t>PC0X1B20</t>
  </si>
  <si>
    <t>PC0KTMY0</t>
  </si>
  <si>
    <t xml:space="preserve">Local content Sanzule </t>
  </si>
  <si>
    <t>Local Content Sanzule</t>
  </si>
  <si>
    <t>Charlotte Mensah</t>
  </si>
  <si>
    <t>IT Store (old)</t>
  </si>
  <si>
    <t>Dorcas Asibi Akaaka</t>
  </si>
  <si>
    <t xml:space="preserve">Frank Buah </t>
  </si>
  <si>
    <t xml:space="preserve">IT Store Old </t>
  </si>
  <si>
    <t>MJ0LPAP0</t>
  </si>
  <si>
    <t xml:space="preserve">IT Store new </t>
  </si>
  <si>
    <t>Electrical SPV- Sanzule</t>
  </si>
  <si>
    <t>Sanzule Maintenance team</t>
  </si>
  <si>
    <t>Subsea SPT</t>
  </si>
  <si>
    <t>Maintenance SPV</t>
  </si>
  <si>
    <t>PC0X1B4J</t>
  </si>
  <si>
    <t>PC0KKNN6</t>
  </si>
  <si>
    <t>Production SPV</t>
  </si>
  <si>
    <t>HSE SPV</t>
  </si>
  <si>
    <t>General Service Intern Desk</t>
  </si>
  <si>
    <t xml:space="preserve">General Service Intern Desk </t>
  </si>
  <si>
    <t>P7</t>
  </si>
  <si>
    <t>Lenovo Intel</t>
  </si>
  <si>
    <t>GM140N89</t>
  </si>
  <si>
    <t>GM140N8A</t>
  </si>
  <si>
    <t>GM140N88</t>
  </si>
  <si>
    <t>GM140N87</t>
  </si>
  <si>
    <t xml:space="preserve">Lenovo P7 Intel Workstation </t>
  </si>
  <si>
    <t xml:space="preserve">Exploration Store </t>
  </si>
  <si>
    <t>Mario Bello</t>
  </si>
  <si>
    <t>New</t>
  </si>
  <si>
    <t>Dorcas Akaaka Asibi</t>
  </si>
  <si>
    <t>VK898211</t>
  </si>
  <si>
    <t>VK897859</t>
  </si>
  <si>
    <t>V1L80374</t>
  </si>
  <si>
    <t>V5CG0560</t>
  </si>
  <si>
    <t>V5CG0568</t>
  </si>
  <si>
    <t>Victor Tannoh</t>
  </si>
  <si>
    <t>Francesco Budeschi</t>
  </si>
  <si>
    <t>V1N84785</t>
  </si>
  <si>
    <t>Development</t>
  </si>
  <si>
    <t>Houssein Nur</t>
  </si>
  <si>
    <t>VK897861</t>
  </si>
  <si>
    <t>3CM4260GDE</t>
  </si>
  <si>
    <t>Kwasi Amoah Mensah</t>
  </si>
  <si>
    <t>General Service desk</t>
  </si>
  <si>
    <t>Kwesi Amoah Mensah</t>
  </si>
  <si>
    <t>V5HVB920</t>
  </si>
  <si>
    <t>V5HVB897</t>
  </si>
  <si>
    <t>V5KGM941</t>
  </si>
  <si>
    <t>V5HVB765</t>
  </si>
  <si>
    <t>V5HVB904</t>
  </si>
  <si>
    <t>V5Q96504</t>
  </si>
  <si>
    <t xml:space="preserve">Rig </t>
  </si>
  <si>
    <t>Sanzule Local Content</t>
  </si>
  <si>
    <t>VTQ98950</t>
  </si>
  <si>
    <t xml:space="preserve">IT Store </t>
  </si>
  <si>
    <t>V3019TVP</t>
  </si>
  <si>
    <t>V3019TW4</t>
  </si>
  <si>
    <t>Fpso</t>
  </si>
  <si>
    <t>VK898215</t>
  </si>
  <si>
    <t>VK898201</t>
  </si>
  <si>
    <t>V1L80417</t>
  </si>
  <si>
    <t>V1L80281</t>
  </si>
  <si>
    <t>V9YHWH5</t>
  </si>
  <si>
    <t>V9TWVG8</t>
  </si>
  <si>
    <t>CN-0M055F-74261-94F-8E1L</t>
  </si>
  <si>
    <t>V9-YHWH3</t>
  </si>
  <si>
    <t>V9-YHTR5</t>
  </si>
  <si>
    <t>V9YHXN0</t>
  </si>
  <si>
    <t>CN-0TTMDG-74261-376-1KGU</t>
  </si>
  <si>
    <t>V9 YHXN1</t>
  </si>
  <si>
    <t>CN0YC5GC-64180-28G-0G9L</t>
  </si>
  <si>
    <t>V9-XGZL9</t>
  </si>
  <si>
    <t>Lenovo T2454pA</t>
  </si>
  <si>
    <t>Lenovo T24i-30</t>
  </si>
  <si>
    <t>Lenovo LT1952pwD</t>
  </si>
  <si>
    <t>HP Pavilion 25 inch</t>
  </si>
  <si>
    <t>3CM4470BNT</t>
  </si>
  <si>
    <t>VNA7MYZN</t>
  </si>
  <si>
    <t>Lenovo Thinkvision</t>
  </si>
  <si>
    <t>HP Pavillion 25xi LED Backlit</t>
  </si>
  <si>
    <t>Lenovo Thinkvision S24e-20</t>
  </si>
  <si>
    <t>V9YHXR1</t>
  </si>
  <si>
    <t>V9TWVH8</t>
  </si>
  <si>
    <t>V9XGZM1</t>
  </si>
  <si>
    <t>PC073TWQ</t>
  </si>
  <si>
    <t>PC0X1B50</t>
  </si>
  <si>
    <t>M710s</t>
  </si>
  <si>
    <t>Kwesi Amoa Mensah</t>
  </si>
  <si>
    <t xml:space="preserve">MD House </t>
  </si>
  <si>
    <t xml:space="preserve">5th Floor VIP Office </t>
  </si>
  <si>
    <t>ZVQ1VDPL</t>
  </si>
  <si>
    <t>Bello Mario</t>
  </si>
  <si>
    <t>FCH19459371</t>
  </si>
  <si>
    <t xml:space="preserve">Gideon Tibilah </t>
  </si>
  <si>
    <t xml:space="preserve">Hafiz Toyib </t>
  </si>
  <si>
    <t>HSE Intern Desk</t>
  </si>
  <si>
    <t>HP ProLiant DL380 Gen 9</t>
  </si>
  <si>
    <t>CZJ54202T0</t>
  </si>
  <si>
    <t>NetApp DS424X</t>
  </si>
  <si>
    <t>Storage Server</t>
  </si>
  <si>
    <t>SHJSS000000494</t>
  </si>
  <si>
    <t>HP ProLiant DL360 Gen 7</t>
  </si>
  <si>
    <t>CZ3218HD9Y</t>
  </si>
  <si>
    <t>CZ3218HD9W</t>
  </si>
  <si>
    <t>CZ3218HDA3</t>
  </si>
  <si>
    <t>CZ3218HD9T</t>
  </si>
  <si>
    <t xml:space="preserve">Server </t>
  </si>
  <si>
    <t>CZ3218HDA1</t>
  </si>
  <si>
    <t xml:space="preserve">HPTFT7600 G2 </t>
  </si>
  <si>
    <t>KVM</t>
  </si>
  <si>
    <t>ZC41494LJS</t>
  </si>
  <si>
    <t>Cisco 800 Series</t>
  </si>
  <si>
    <t>VPN Router</t>
  </si>
  <si>
    <t>FGL204621JL</t>
  </si>
  <si>
    <t>Cisco 881 W Series</t>
  </si>
  <si>
    <t>FCZ1907909J</t>
  </si>
  <si>
    <t>Cisco 1941 series</t>
  </si>
  <si>
    <t>FTX163480AR</t>
  </si>
  <si>
    <t>Cisco 881 W series</t>
  </si>
  <si>
    <t>FGL1610219T</t>
  </si>
  <si>
    <t>Cisco SG11OD - 08HP</t>
  </si>
  <si>
    <t>DN1224413H5</t>
  </si>
  <si>
    <t>Cisco 200 series</t>
  </si>
  <si>
    <t>Cisco 3850 series</t>
  </si>
  <si>
    <t>F0C2246U142</t>
  </si>
  <si>
    <t>Cisco 2911 series</t>
  </si>
  <si>
    <t>FCZ184070E3</t>
  </si>
  <si>
    <t>Cisco 9300 series</t>
  </si>
  <si>
    <t>FoC2527L6XA</t>
  </si>
  <si>
    <t xml:space="preserve">Cisco WLAN 2500 </t>
  </si>
  <si>
    <t>PSZ19261RCH</t>
  </si>
  <si>
    <t>HP Server Console Switch AF616A</t>
  </si>
  <si>
    <t>Server console</t>
  </si>
  <si>
    <t>ROA20770RXU</t>
  </si>
  <si>
    <t>Cisco 800 series (881W)</t>
  </si>
  <si>
    <t>FGL211320UN</t>
  </si>
  <si>
    <t>Cisco Switch</t>
  </si>
  <si>
    <t>Catalyst 2960 plus series SI PoE</t>
  </si>
  <si>
    <t>FCW2042A4SM</t>
  </si>
  <si>
    <t>Catalyst 3650 48 PoE+</t>
  </si>
  <si>
    <t>Cisco 4300 series (ISRs 4331)</t>
  </si>
  <si>
    <t>FDO2232A1G6</t>
  </si>
  <si>
    <t>Catalyst 3850 48 PoE+</t>
  </si>
  <si>
    <t>Catalyst 3850 48 UPOE</t>
  </si>
  <si>
    <t>Catalyst 3560-X series PoE+</t>
  </si>
  <si>
    <t>FDO1616R06X</t>
  </si>
  <si>
    <t>Catalyst 3650 48 PoE</t>
  </si>
  <si>
    <t>FDO2132E02V</t>
  </si>
  <si>
    <t>Cisco Core Switch</t>
  </si>
  <si>
    <t>Catalyst 4507R+E</t>
  </si>
  <si>
    <t>SF300-48PP</t>
  </si>
  <si>
    <t>DNI20030856</t>
  </si>
  <si>
    <t>Quantity</t>
  </si>
  <si>
    <t>Part Number</t>
  </si>
  <si>
    <t>Cisco TelePresence System EX90</t>
  </si>
  <si>
    <t>800-35448-12 E0</t>
  </si>
  <si>
    <t>A1AR39H00146</t>
  </si>
  <si>
    <t>800-35448-12 A0</t>
  </si>
  <si>
    <t>Iphone 16 pro 512gb</t>
  </si>
  <si>
    <t>Development Manager</t>
  </si>
  <si>
    <t>Negotiations Manager</t>
  </si>
  <si>
    <t>BDD</t>
  </si>
  <si>
    <t>Samsung A56 5G</t>
  </si>
  <si>
    <t>Gianni Beldassari</t>
  </si>
  <si>
    <t xml:space="preserve">Well Operations Manger </t>
  </si>
  <si>
    <t xml:space="preserve">Galaxy A53 G5 </t>
  </si>
  <si>
    <t xml:space="preserve">256381086
 </t>
  </si>
  <si>
    <t>R58T31Q42LY</t>
  </si>
  <si>
    <t xml:space="preserve">ORF logistics Team </t>
  </si>
  <si>
    <t>Hisense HIDB 4K</t>
  </si>
  <si>
    <t>9099402D84C0210b</t>
  </si>
  <si>
    <t>FCH17088LAF</t>
  </si>
  <si>
    <t>FCH171299BK</t>
  </si>
  <si>
    <t>FCH18488EAF</t>
  </si>
  <si>
    <t>FCH18219YG0</t>
  </si>
  <si>
    <t>FCH17108RD9</t>
  </si>
  <si>
    <t>FCH15368DK6</t>
  </si>
  <si>
    <t>FCH15368QDB</t>
  </si>
  <si>
    <t>FCH18219YF9</t>
  </si>
  <si>
    <t>FCH18219YU8</t>
  </si>
  <si>
    <t>FCH15368QNN</t>
  </si>
  <si>
    <t>FCH18219YUM</t>
  </si>
  <si>
    <t>FCH2043FHLQ</t>
  </si>
  <si>
    <t>FCH18448YQ1</t>
  </si>
  <si>
    <t xml:space="preserve">5th Floor Board Room </t>
  </si>
  <si>
    <t>PC0KQ1DL</t>
  </si>
  <si>
    <t>PF4300WZ</t>
  </si>
  <si>
    <t>To be Scrapped (Godwin Locher)</t>
  </si>
  <si>
    <t>To be Scrapped(Sanzule)</t>
  </si>
  <si>
    <t>To be scrapped (available) (=71)</t>
  </si>
  <si>
    <t>V1731339</t>
  </si>
  <si>
    <t>IPS LED</t>
  </si>
  <si>
    <t>3CM4260GDG</t>
  </si>
  <si>
    <t xml:space="preserve">Philip Abordo </t>
  </si>
  <si>
    <t>Dorcas Akaaka</t>
  </si>
  <si>
    <t>ENIC/GH/OE/0583</t>
  </si>
  <si>
    <t>HSE intern desk</t>
  </si>
  <si>
    <t>ENIC/GH/OE/0584</t>
  </si>
  <si>
    <t>Isaac Osei Kuffour</t>
  </si>
  <si>
    <t>V9YHWH3</t>
  </si>
  <si>
    <t>V9YHTR5</t>
  </si>
  <si>
    <t xml:space="preserve">General Service Desk </t>
  </si>
  <si>
    <t>HP Pavilion LED Backlit Monitor</t>
  </si>
  <si>
    <t>Retrieved (IT Store)</t>
  </si>
  <si>
    <t>1D0P1U03118480218</t>
  </si>
  <si>
    <t>Hisense HIDB 4K Smart Board</t>
  </si>
  <si>
    <t>Davide Feltracco (To be scrapped )</t>
  </si>
  <si>
    <t xml:space="preserve">Erico Mattei Board Room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</si>
</sst>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theme="1"/>
      <name val="Arial"/>
      <family val="2"/>
    </font>
    <font>
      <sz val="1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"/>
      <family val="2"/>
    </font>
    <font>
      <sz val="11"/>
      <color rgb="FF444444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"/>
      <family val="2"/>
      <charset val="1"/>
    </font>
    <font>
      <sz val="11"/>
      <color rgb="FF444444"/>
      <name val="Aptos Narrow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</font>
    <font>
      <sz val="12"/>
      <color rgb="FF313131"/>
      <name val="Calibri"/>
      <family val="2"/>
    </font>
    <font>
      <sz val="12"/>
      <color rgb="FF313131"/>
      <name val="Calibri"/>
      <family val="2"/>
    </font>
    <font>
      <sz val="12"/>
      <color rgb="FF31313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Display"/>
      <family val="2"/>
      <scheme val="major"/>
    </font>
    <font>
      <sz val="11"/>
      <color rgb="FF000000"/>
      <name val="Aptos Narrow"/>
      <family val="2"/>
      <scheme val="minor"/>
    </font>
    <font>
      <sz val="11"/>
      <color rgb="FF2B2E2F"/>
      <name val="Calibri"/>
      <family val="2"/>
      <charset val="1"/>
    </font>
    <font>
      <sz val="12"/>
      <color rgb="FF31313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0"/>
      <color indexed="8"/>
      <name val="Times New Roman"/>
      <family val="1"/>
    </font>
    <font>
      <sz val="10"/>
      <color theme="1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color rgb="FFFF000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000000"/>
      <name val="Aptos Narrow"/>
    </font>
    <font>
      <sz val="11"/>
      <color rgb="FF000000"/>
      <name val="Calibri"/>
    </font>
    <font>
      <sz val="12"/>
      <color rgb="FF000000"/>
      <name val="Aptos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</borders>
  <cellStyleXfs count="10">
    <xf numFmtId="0" fontId="0" fillId="0" borderId="0"/>
    <xf numFmtId="0" fontId="3" fillId="0" borderId="0"/>
    <xf numFmtId="0" fontId="6" fillId="0" borderId="0"/>
    <xf numFmtId="0" fontId="29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96">
    <xf numFmtId="0" fontId="0" fillId="0" borderId="0" xfId="0"/>
    <xf numFmtId="0" fontId="2" fillId="0" borderId="1" xfId="0" applyFont="1" applyBorder="1"/>
    <xf numFmtId="0" fontId="5" fillId="0" borderId="1" xfId="0" applyFont="1" applyBorder="1"/>
    <xf numFmtId="14" fontId="2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4" fontId="5" fillId="0" borderId="1" xfId="0" quotePrefix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/>
    <xf numFmtId="0" fontId="0" fillId="0" borderId="1" xfId="0" applyBorder="1" applyAlignment="1">
      <alignment horizontal="center"/>
    </xf>
    <xf numFmtId="0" fontId="5" fillId="0" borderId="0" xfId="0" applyFont="1"/>
    <xf numFmtId="14" fontId="2" fillId="0" borderId="1" xfId="0" applyNumberFormat="1" applyFont="1" applyBorder="1" applyAlignment="1">
      <alignment horizontal="left"/>
    </xf>
    <xf numFmtId="0" fontId="7" fillId="0" borderId="1" xfId="0" applyFont="1" applyBorder="1"/>
    <xf numFmtId="14" fontId="1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1" xfId="0" applyBorder="1"/>
    <xf numFmtId="0" fontId="11" fillId="0" borderId="1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2" borderId="0" xfId="0" applyFill="1"/>
    <xf numFmtId="0" fontId="14" fillId="0" borderId="4" xfId="0" applyFont="1" applyBorder="1"/>
    <xf numFmtId="0" fontId="11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8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10" fillId="0" borderId="4" xfId="0" applyFont="1" applyBorder="1"/>
    <xf numFmtId="0" fontId="20" fillId="0" borderId="4" xfId="0" applyFont="1" applyBorder="1"/>
    <xf numFmtId="0" fontId="21" fillId="0" borderId="4" xfId="0" applyFont="1" applyBorder="1"/>
    <xf numFmtId="0" fontId="15" fillId="0" borderId="8" xfId="0" applyFont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15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5" xfId="0" applyBorder="1" applyAlignment="1">
      <alignment horizontal="center" vertical="center"/>
    </xf>
    <xf numFmtId="0" fontId="0" fillId="0" borderId="10" xfId="0" applyBorder="1"/>
    <xf numFmtId="0" fontId="12" fillId="0" borderId="4" xfId="0" applyFont="1" applyBorder="1"/>
    <xf numFmtId="0" fontId="0" fillId="0" borderId="5" xfId="0" applyBorder="1"/>
    <xf numFmtId="0" fontId="0" fillId="0" borderId="8" xfId="0" applyBorder="1" applyAlignment="1">
      <alignment horizontal="center" vertical="center"/>
    </xf>
    <xf numFmtId="0" fontId="0" fillId="0" borderId="19" xfId="0" applyBorder="1"/>
    <xf numFmtId="0" fontId="0" fillId="0" borderId="0" xfId="0" applyAlignment="1">
      <alignment horizontal="center" vertical="center"/>
    </xf>
    <xf numFmtId="0" fontId="15" fillId="0" borderId="0" xfId="0" applyFont="1"/>
    <xf numFmtId="0" fontId="0" fillId="0" borderId="20" xfId="0" applyBorder="1"/>
    <xf numFmtId="0" fontId="23" fillId="0" borderId="4" xfId="0" applyFont="1" applyBorder="1"/>
    <xf numFmtId="0" fontId="0" fillId="0" borderId="8" xfId="0" applyBorder="1"/>
    <xf numFmtId="0" fontId="0" fillId="0" borderId="4" xfId="0" applyBorder="1" applyAlignment="1">
      <alignment horizontal="left"/>
    </xf>
    <xf numFmtId="0" fontId="0" fillId="0" borderId="10" xfId="0" applyBorder="1" applyAlignment="1">
      <alignment horizontal="left"/>
    </xf>
    <xf numFmtId="0" fontId="24" fillId="0" borderId="4" xfId="0" applyFont="1" applyBorder="1"/>
    <xf numFmtId="0" fontId="24" fillId="0" borderId="19" xfId="0" applyFont="1" applyBorder="1"/>
    <xf numFmtId="0" fontId="0" fillId="0" borderId="17" xfId="0" applyBorder="1"/>
    <xf numFmtId="0" fontId="0" fillId="0" borderId="11" xfId="0" applyBorder="1" applyAlignment="1">
      <alignment horizontal="center" vertical="center"/>
    </xf>
    <xf numFmtId="0" fontId="23" fillId="0" borderId="5" xfId="0" applyFont="1" applyBorder="1"/>
    <xf numFmtId="0" fontId="23" fillId="0" borderId="0" xfId="0" applyFont="1"/>
    <xf numFmtId="0" fontId="25" fillId="0" borderId="4" xfId="0" applyFont="1" applyBorder="1"/>
    <xf numFmtId="0" fontId="25" fillId="0" borderId="19" xfId="0" applyFont="1" applyBorder="1"/>
    <xf numFmtId="0" fontId="12" fillId="0" borderId="8" xfId="0" applyFont="1" applyBorder="1"/>
    <xf numFmtId="0" fontId="23" fillId="0" borderId="20" xfId="0" applyFont="1" applyBorder="1"/>
    <xf numFmtId="0" fontId="0" fillId="0" borderId="1" xfId="0" applyBorder="1" applyAlignment="1">
      <alignment vertical="center"/>
    </xf>
    <xf numFmtId="0" fontId="12" fillId="0" borderId="0" xfId="0" applyFont="1"/>
    <xf numFmtId="0" fontId="0" fillId="0" borderId="1" xfId="0" applyBorder="1" applyAlignment="1">
      <alignment horizontal="center" vertical="center"/>
    </xf>
    <xf numFmtId="0" fontId="12" fillId="0" borderId="5" xfId="0" applyFont="1" applyBorder="1"/>
    <xf numFmtId="0" fontId="10" fillId="0" borderId="4" xfId="0" applyFont="1" applyBorder="1" applyAlignment="1">
      <alignment horizontal="center" vertical="center"/>
    </xf>
    <xf numFmtId="0" fontId="10" fillId="0" borderId="15" xfId="0" applyFont="1" applyBorder="1"/>
    <xf numFmtId="0" fontId="23" fillId="0" borderId="14" xfId="0" applyFont="1" applyBorder="1"/>
    <xf numFmtId="0" fontId="23" fillId="0" borderId="13" xfId="0" applyFont="1" applyBorder="1"/>
    <xf numFmtId="0" fontId="24" fillId="0" borderId="20" xfId="0" applyFont="1" applyBorder="1"/>
    <xf numFmtId="0" fontId="15" fillId="0" borderId="10" xfId="0" applyFont="1" applyBorder="1"/>
    <xf numFmtId="0" fontId="15" fillId="0" borderId="4" xfId="0" applyFont="1" applyBorder="1"/>
    <xf numFmtId="0" fontId="0" fillId="0" borderId="21" xfId="0" applyBorder="1"/>
    <xf numFmtId="0" fontId="22" fillId="0" borderId="0" xfId="0" applyFont="1"/>
    <xf numFmtId="0" fontId="0" fillId="3" borderId="10" xfId="0" applyFill="1" applyBorder="1"/>
    <xf numFmtId="0" fontId="22" fillId="0" borderId="10" xfId="0" applyFont="1" applyBorder="1"/>
    <xf numFmtId="0" fontId="0" fillId="0" borderId="11" xfId="0" applyBorder="1"/>
    <xf numFmtId="0" fontId="12" fillId="0" borderId="14" xfId="0" applyFont="1" applyBorder="1"/>
    <xf numFmtId="0" fontId="10" fillId="0" borderId="20" xfId="0" applyFont="1" applyBorder="1"/>
    <xf numFmtId="0" fontId="12" fillId="0" borderId="10" xfId="0" applyFont="1" applyBorder="1"/>
    <xf numFmtId="0" fontId="10" fillId="0" borderId="1" xfId="0" applyFont="1" applyBorder="1" applyAlignment="1">
      <alignment horizontal="center" vertical="center"/>
    </xf>
    <xf numFmtId="0" fontId="10" fillId="0" borderId="10" xfId="0" applyFont="1" applyBorder="1"/>
    <xf numFmtId="0" fontId="10" fillId="0" borderId="6" xfId="0" applyFont="1" applyBorder="1" applyAlignment="1">
      <alignment horizontal="center" vertical="center"/>
    </xf>
    <xf numFmtId="0" fontId="10" fillId="0" borderId="16" xfId="0" applyFont="1" applyBorder="1"/>
    <xf numFmtId="0" fontId="26" fillId="0" borderId="0" xfId="0" applyFont="1"/>
    <xf numFmtId="0" fontId="27" fillId="0" borderId="4" xfId="0" applyFont="1" applyBorder="1"/>
    <xf numFmtId="0" fontId="0" fillId="3" borderId="1" xfId="0" applyFill="1" applyBorder="1" applyAlignment="1">
      <alignment vertical="center"/>
    </xf>
    <xf numFmtId="0" fontId="0" fillId="3" borderId="0" xfId="0" applyFill="1"/>
    <xf numFmtId="0" fontId="12" fillId="3" borderId="4" xfId="0" applyFont="1" applyFill="1" applyBorder="1"/>
    <xf numFmtId="0" fontId="0" fillId="0" borderId="24" xfId="0" applyBorder="1" applyAlignment="1">
      <alignment horizontal="center" vertical="center"/>
    </xf>
    <xf numFmtId="0" fontId="10" fillId="0" borderId="4" xfId="0" applyFont="1" applyBorder="1" applyAlignment="1">
      <alignment horizontal="left"/>
    </xf>
    <xf numFmtId="0" fontId="20" fillId="0" borderId="4" xfId="0" applyFon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0" fillId="3" borderId="4" xfId="0" applyFill="1" applyBorder="1" applyAlignment="1">
      <alignment horizontal="left"/>
    </xf>
    <xf numFmtId="0" fontId="0" fillId="0" borderId="11" xfId="0" applyBorder="1" applyAlignment="1">
      <alignment horizontal="left"/>
    </xf>
    <xf numFmtId="0" fontId="10" fillId="0" borderId="22" xfId="0" applyFont="1" applyBorder="1" applyAlignment="1">
      <alignment horizontal="left"/>
    </xf>
    <xf numFmtId="0" fontId="10" fillId="0" borderId="23" xfId="0" applyFont="1" applyBorder="1" applyAlignment="1">
      <alignment horizontal="left"/>
    </xf>
    <xf numFmtId="0" fontId="10" fillId="0" borderId="25" xfId="0" applyFont="1" applyBorder="1" applyAlignment="1">
      <alignment horizontal="left"/>
    </xf>
    <xf numFmtId="0" fontId="28" fillId="0" borderId="4" xfId="0" applyFont="1" applyBorder="1"/>
    <xf numFmtId="14" fontId="2" fillId="0" borderId="4" xfId="0" applyNumberFormat="1" applyFont="1" applyBorder="1" applyAlignment="1">
      <alignment horizontal="center"/>
    </xf>
    <xf numFmtId="0" fontId="0" fillId="0" borderId="4" xfId="0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3" borderId="9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7" xfId="0" applyBorder="1" applyAlignment="1">
      <alignment vertical="center"/>
    </xf>
    <xf numFmtId="0" fontId="10" fillId="0" borderId="18" xfId="0" applyFont="1" applyBorder="1"/>
    <xf numFmtId="0" fontId="10" fillId="0" borderId="14" xfId="0" applyFont="1" applyBorder="1"/>
    <xf numFmtId="14" fontId="2" fillId="0" borderId="7" xfId="0" applyNumberFormat="1" applyFont="1" applyBorder="1" applyAlignment="1">
      <alignment horizontal="left"/>
    </xf>
    <xf numFmtId="0" fontId="10" fillId="0" borderId="19" xfId="0" applyFont="1" applyBorder="1"/>
    <xf numFmtId="0" fontId="0" fillId="2" borderId="4" xfId="0" applyFill="1" applyBorder="1"/>
    <xf numFmtId="0" fontId="0" fillId="0" borderId="3" xfId="0" applyBorder="1"/>
    <xf numFmtId="0" fontId="0" fillId="0" borderId="7" xfId="0" applyBorder="1"/>
    <xf numFmtId="14" fontId="0" fillId="0" borderId="4" xfId="0" applyNumberFormat="1" applyBorder="1" applyAlignment="1">
      <alignment horizontal="center"/>
    </xf>
    <xf numFmtId="14" fontId="0" fillId="0" borderId="10" xfId="0" applyNumberFormat="1" applyBorder="1" applyAlignment="1">
      <alignment horizontal="left"/>
    </xf>
    <xf numFmtId="0" fontId="0" fillId="0" borderId="18" xfId="0" applyBorder="1"/>
    <xf numFmtId="0" fontId="0" fillId="0" borderId="7" xfId="0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27" xfId="0" applyBorder="1" applyAlignment="1">
      <alignment horizontal="left"/>
    </xf>
    <xf numFmtId="0" fontId="11" fillId="0" borderId="4" xfId="0" applyFont="1" applyBorder="1" applyAlignment="1">
      <alignment horizontal="left"/>
    </xf>
    <xf numFmtId="0" fontId="2" fillId="0" borderId="4" xfId="0" applyFont="1" applyBorder="1"/>
    <xf numFmtId="0" fontId="2" fillId="0" borderId="4" xfId="2" applyFont="1" applyBorder="1"/>
    <xf numFmtId="0" fontId="17" fillId="0" borderId="4" xfId="0" applyFont="1" applyBorder="1"/>
    <xf numFmtId="0" fontId="11" fillId="3" borderId="4" xfId="0" applyFont="1" applyFill="1" applyBorder="1"/>
    <xf numFmtId="0" fontId="12" fillId="0" borderId="1" xfId="0" applyFont="1" applyBorder="1"/>
    <xf numFmtId="0" fontId="23" fillId="0" borderId="1" xfId="0" applyFont="1" applyBorder="1"/>
    <xf numFmtId="0" fontId="30" fillId="0" borderId="0" xfId="0" applyFont="1"/>
    <xf numFmtId="0" fontId="31" fillId="0" borderId="0" xfId="0" applyFont="1"/>
    <xf numFmtId="0" fontId="10" fillId="0" borderId="0" xfId="0" applyFont="1" applyAlignment="1">
      <alignment horizontal="left"/>
    </xf>
    <xf numFmtId="0" fontId="0" fillId="0" borderId="10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2" borderId="3" xfId="0" applyFill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23" fillId="0" borderId="19" xfId="0" applyFont="1" applyBorder="1"/>
    <xf numFmtId="0" fontId="0" fillId="0" borderId="4" xfId="0" applyBorder="1" applyAlignment="1">
      <alignment wrapText="1"/>
    </xf>
    <xf numFmtId="0" fontId="2" fillId="0" borderId="5" xfId="2" applyFont="1" applyBorder="1"/>
    <xf numFmtId="0" fontId="10" fillId="0" borderId="5" xfId="0" applyFont="1" applyBorder="1"/>
    <xf numFmtId="0" fontId="15" fillId="0" borderId="21" xfId="0" applyFont="1" applyBorder="1"/>
    <xf numFmtId="0" fontId="2" fillId="0" borderId="10" xfId="2" applyFont="1" applyBorder="1"/>
    <xf numFmtId="0" fontId="11" fillId="0" borderId="1" xfId="0" applyFont="1" applyBorder="1" applyAlignment="1">
      <alignment horizontal="center" vertical="center"/>
    </xf>
    <xf numFmtId="0" fontId="0" fillId="0" borderId="19" xfId="0" applyBorder="1" applyAlignment="1">
      <alignment horizontal="left"/>
    </xf>
    <xf numFmtId="0" fontId="10" fillId="0" borderId="20" xfId="0" applyFont="1" applyBorder="1" applyAlignment="1">
      <alignment horizontal="left"/>
    </xf>
    <xf numFmtId="0" fontId="2" fillId="0" borderId="16" xfId="2" applyFont="1" applyBorder="1"/>
    <xf numFmtId="0" fontId="0" fillId="0" borderId="2" xfId="0" applyBorder="1"/>
    <xf numFmtId="0" fontId="18" fillId="2" borderId="3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left"/>
    </xf>
    <xf numFmtId="0" fontId="18" fillId="2" borderId="3" xfId="0" applyFont="1" applyFill="1" applyBorder="1"/>
    <xf numFmtId="0" fontId="19" fillId="2" borderId="3" xfId="0" applyFont="1" applyFill="1" applyBorder="1"/>
    <xf numFmtId="14" fontId="2" fillId="0" borderId="5" xfId="0" applyNumberFormat="1" applyFont="1" applyBorder="1" applyAlignment="1">
      <alignment horizontal="center" vertical="center"/>
    </xf>
    <xf numFmtId="0" fontId="14" fillId="0" borderId="5" xfId="0" applyFont="1" applyBorder="1"/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vertical="top"/>
    </xf>
    <xf numFmtId="0" fontId="31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center" wrapText="1"/>
    </xf>
    <xf numFmtId="0" fontId="0" fillId="0" borderId="10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0" borderId="0" xfId="2" applyFont="1"/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vertical="center"/>
    </xf>
    <xf numFmtId="0" fontId="0" fillId="0" borderId="12" xfId="0" applyBorder="1"/>
    <xf numFmtId="0" fontId="31" fillId="0" borderId="1" xfId="0" applyFont="1" applyBorder="1" applyAlignment="1">
      <alignment horizontal="center" vertical="center"/>
    </xf>
    <xf numFmtId="0" fontId="31" fillId="0" borderId="3" xfId="0" applyFont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36" fillId="0" borderId="7" xfId="0" applyFont="1" applyBorder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12" fillId="0" borderId="3" xfId="0" applyFont="1" applyBorder="1"/>
    <xf numFmtId="0" fontId="12" fillId="0" borderId="3" xfId="0" applyFon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12" fillId="3" borderId="2" xfId="0" applyFont="1" applyFill="1" applyBorder="1"/>
    <xf numFmtId="0" fontId="12" fillId="0" borderId="2" xfId="0" applyFont="1" applyBorder="1"/>
    <xf numFmtId="0" fontId="12" fillId="0" borderId="2" xfId="0" applyFont="1" applyBorder="1" applyAlignment="1">
      <alignment horizontal="center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3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35" fillId="0" borderId="35" xfId="0" applyFont="1" applyBorder="1" applyAlignment="1">
      <alignment horizontal="center"/>
    </xf>
    <xf numFmtId="0" fontId="36" fillId="0" borderId="9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1" fillId="0" borderId="4" xfId="0" applyFont="1" applyBorder="1"/>
    <xf numFmtId="0" fontId="36" fillId="0" borderId="4" xfId="0" applyFont="1" applyBorder="1" applyAlignment="1">
      <alignment horizontal="left" vertical="center"/>
    </xf>
    <xf numFmtId="0" fontId="31" fillId="0" borderId="4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31" fillId="0" borderId="3" xfId="0" applyFont="1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18" fillId="2" borderId="9" xfId="0" applyFont="1" applyFill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23" fillId="0" borderId="27" xfId="0" applyFont="1" applyBorder="1"/>
    <xf numFmtId="0" fontId="0" fillId="2" borderId="4" xfId="0" applyFill="1" applyBorder="1" applyAlignment="1">
      <alignment horizontal="right"/>
    </xf>
    <xf numFmtId="0" fontId="0" fillId="0" borderId="4" xfId="0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8" xfId="0" applyBorder="1" applyAlignment="1">
      <alignment horizontal="right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38" fillId="0" borderId="0" xfId="0" applyFont="1"/>
    <xf numFmtId="0" fontId="0" fillId="0" borderId="16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 wrapText="1"/>
    </xf>
    <xf numFmtId="0" fontId="0" fillId="3" borderId="4" xfId="0" applyFill="1" applyBorder="1" applyAlignment="1">
      <alignment horizontal="center" vertical="center"/>
    </xf>
    <xf numFmtId="0" fontId="11" fillId="0" borderId="10" xfId="0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/>
    <xf numFmtId="0" fontId="2" fillId="2" borderId="1" xfId="2" applyFont="1" applyFill="1" applyBorder="1"/>
    <xf numFmtId="14" fontId="0" fillId="2" borderId="1" xfId="0" applyNumberFormat="1" applyFill="1" applyBorder="1" applyAlignment="1">
      <alignment horizontal="center"/>
    </xf>
    <xf numFmtId="14" fontId="0" fillId="2" borderId="7" xfId="0" applyNumberFormat="1" applyFill="1" applyBorder="1" applyAlignment="1">
      <alignment horizontal="center"/>
    </xf>
    <xf numFmtId="0" fontId="5" fillId="2" borderId="1" xfId="0" applyFont="1" applyFill="1" applyBorder="1"/>
    <xf numFmtId="14" fontId="2" fillId="2" borderId="1" xfId="0" applyNumberFormat="1" applyFont="1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4" borderId="0" xfId="0" applyFill="1" applyAlignment="1">
      <alignment horizontal="left"/>
    </xf>
    <xf numFmtId="0" fontId="0" fillId="4" borderId="4" xfId="0" applyFill="1" applyBorder="1"/>
    <xf numFmtId="0" fontId="12" fillId="4" borderId="4" xfId="0" applyFont="1" applyFill="1" applyBorder="1"/>
    <xf numFmtId="0" fontId="0" fillId="4" borderId="10" xfId="0" applyFill="1" applyBorder="1"/>
    <xf numFmtId="0" fontId="22" fillId="4" borderId="10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right"/>
    </xf>
    <xf numFmtId="0" fontId="0" fillId="4" borderId="4" xfId="0" applyFill="1" applyBorder="1" applyAlignment="1">
      <alignment horizontal="left"/>
    </xf>
    <xf numFmtId="0" fontId="0" fillId="4" borderId="16" xfId="0" applyFill="1" applyBorder="1"/>
    <xf numFmtId="0" fontId="0" fillId="4" borderId="15" xfId="0" applyFill="1" applyBorder="1" applyAlignment="1">
      <alignment horizontal="left"/>
    </xf>
    <xf numFmtId="0" fontId="0" fillId="4" borderId="5" xfId="0" applyFill="1" applyBorder="1"/>
    <xf numFmtId="0" fontId="0" fillId="4" borderId="5" xfId="0" applyFill="1" applyBorder="1" applyAlignment="1">
      <alignment horizontal="left"/>
    </xf>
    <xf numFmtId="0" fontId="31" fillId="2" borderId="4" xfId="0" applyFont="1" applyFill="1" applyBorder="1"/>
    <xf numFmtId="0" fontId="31" fillId="2" borderId="4" xfId="0" applyFont="1" applyFill="1" applyBorder="1" applyAlignment="1">
      <alignment horizontal="left"/>
    </xf>
    <xf numFmtId="0" fontId="31" fillId="2" borderId="16" xfId="0" applyFont="1" applyFill="1" applyBorder="1"/>
    <xf numFmtId="0" fontId="31" fillId="2" borderId="4" xfId="0" applyFont="1" applyFill="1" applyBorder="1" applyAlignment="1">
      <alignment horizontal="center"/>
    </xf>
    <xf numFmtId="0" fontId="2" fillId="4" borderId="4" xfId="2" applyFont="1" applyFill="1" applyBorder="1"/>
    <xf numFmtId="0" fontId="0" fillId="4" borderId="4" xfId="0" applyFill="1" applyBorder="1" applyAlignment="1">
      <alignment horizontal="center"/>
    </xf>
    <xf numFmtId="14" fontId="0" fillId="2" borderId="4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8" fillId="2" borderId="0" xfId="0" applyFont="1" applyFill="1"/>
    <xf numFmtId="0" fontId="0" fillId="2" borderId="19" xfId="0" applyFill="1" applyBorder="1"/>
    <xf numFmtId="0" fontId="0" fillId="2" borderId="5" xfId="0" applyFill="1" applyBorder="1"/>
    <xf numFmtId="0" fontId="0" fillId="2" borderId="10" xfId="0" applyFill="1" applyBorder="1"/>
    <xf numFmtId="0" fontId="0" fillId="2" borderId="8" xfId="0" applyFill="1" applyBorder="1"/>
    <xf numFmtId="0" fontId="23" fillId="2" borderId="19" xfId="0" applyFont="1" applyFill="1" applyBorder="1"/>
    <xf numFmtId="0" fontId="0" fillId="2" borderId="16" xfId="0" applyFill="1" applyBorder="1"/>
    <xf numFmtId="0" fontId="0" fillId="2" borderId="10" xfId="0" applyFill="1" applyBorder="1" applyAlignment="1">
      <alignment vertical="center"/>
    </xf>
    <xf numFmtId="0" fontId="0" fillId="2" borderId="20" xfId="0" applyFill="1" applyBorder="1"/>
    <xf numFmtId="0" fontId="22" fillId="2" borderId="4" xfId="0" applyFont="1" applyFill="1" applyBorder="1"/>
    <xf numFmtId="0" fontId="22" fillId="2" borderId="8" xfId="0" applyFont="1" applyFill="1" applyBorder="1"/>
    <xf numFmtId="0" fontId="20" fillId="0" borderId="11" xfId="0" applyFont="1" applyBorder="1"/>
    <xf numFmtId="0" fontId="12" fillId="0" borderId="4" xfId="0" applyFont="1" applyBorder="1" applyAlignment="1">
      <alignment horizontal="center" vertical="center"/>
    </xf>
    <xf numFmtId="0" fontId="0" fillId="2" borderId="10" xfId="0" applyFill="1" applyBorder="1" applyAlignment="1">
      <alignment horizontal="left"/>
    </xf>
    <xf numFmtId="0" fontId="0" fillId="2" borderId="4" xfId="0" applyFill="1" applyBorder="1" applyAlignment="1">
      <alignment vertical="center"/>
    </xf>
    <xf numFmtId="0" fontId="11" fillId="5" borderId="4" xfId="0" applyFont="1" applyFill="1" applyBorder="1"/>
    <xf numFmtId="0" fontId="0" fillId="5" borderId="4" xfId="0" applyFill="1" applyBorder="1"/>
    <xf numFmtId="0" fontId="11" fillId="5" borderId="10" xfId="0" applyFont="1" applyFill="1" applyBorder="1" applyAlignment="1">
      <alignment horizontal="left"/>
    </xf>
    <xf numFmtId="0" fontId="0" fillId="5" borderId="4" xfId="0" applyFill="1" applyBorder="1" applyAlignment="1">
      <alignment horizontal="center"/>
    </xf>
    <xf numFmtId="0" fontId="0" fillId="2" borderId="4" xfId="0" applyFill="1" applyBorder="1" applyAlignment="1">
      <alignment wrapText="1"/>
    </xf>
    <xf numFmtId="0" fontId="11" fillId="2" borderId="4" xfId="0" applyFont="1" applyFill="1" applyBorder="1"/>
    <xf numFmtId="0" fontId="0" fillId="0" borderId="22" xfId="0" applyBorder="1" applyAlignment="1">
      <alignment horizontal="center" vertical="center" wrapText="1"/>
    </xf>
    <xf numFmtId="0" fontId="0" fillId="0" borderId="11" xfId="0" applyBorder="1" applyAlignment="1">
      <alignment horizontal="left" vertical="center"/>
    </xf>
    <xf numFmtId="0" fontId="0" fillId="0" borderId="22" xfId="0" applyBorder="1" applyAlignment="1">
      <alignment vertical="center" wrapText="1"/>
    </xf>
    <xf numFmtId="0" fontId="0" fillId="0" borderId="3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2" fillId="0" borderId="6" xfId="0" applyFont="1" applyBorder="1"/>
    <xf numFmtId="0" fontId="0" fillId="0" borderId="25" xfId="0" applyBorder="1"/>
    <xf numFmtId="0" fontId="0" fillId="2" borderId="1" xfId="0" applyFill="1" applyBorder="1"/>
    <xf numFmtId="0" fontId="0" fillId="2" borderId="25" xfId="0" applyFill="1" applyBorder="1"/>
    <xf numFmtId="0" fontId="0" fillId="0" borderId="6" xfId="0" applyBorder="1"/>
    <xf numFmtId="14" fontId="5" fillId="0" borderId="0" xfId="0" applyNumberFormat="1" applyFont="1" applyAlignment="1">
      <alignment horizontal="center"/>
    </xf>
    <xf numFmtId="0" fontId="0" fillId="0" borderId="36" xfId="0" applyBorder="1"/>
    <xf numFmtId="0" fontId="23" fillId="2" borderId="1" xfId="0" applyFont="1" applyFill="1" applyBorder="1"/>
    <xf numFmtId="0" fontId="24" fillId="2" borderId="4" xfId="0" applyFont="1" applyFill="1" applyBorder="1"/>
    <xf numFmtId="0" fontId="24" fillId="2" borderId="5" xfId="0" applyFont="1" applyFill="1" applyBorder="1"/>
    <xf numFmtId="0" fontId="39" fillId="0" borderId="0" xfId="0" applyFont="1"/>
    <xf numFmtId="0" fontId="11" fillId="0" borderId="0" xfId="0" applyFont="1"/>
    <xf numFmtId="0" fontId="11" fillId="2" borderId="0" xfId="0" applyFont="1" applyFill="1"/>
    <xf numFmtId="0" fontId="0" fillId="2" borderId="1" xfId="0" applyFill="1" applyBorder="1" applyAlignment="1">
      <alignment vertical="top" wrapText="1"/>
    </xf>
    <xf numFmtId="0" fontId="31" fillId="0" borderId="6" xfId="0" applyFont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12" fillId="0" borderId="16" xfId="0" applyFont="1" applyBorder="1"/>
    <xf numFmtId="0" fontId="22" fillId="0" borderId="4" xfId="0" applyFont="1" applyBorder="1"/>
    <xf numFmtId="0" fontId="8" fillId="2" borderId="1" xfId="0" applyFont="1" applyFill="1" applyBorder="1"/>
    <xf numFmtId="0" fontId="9" fillId="2" borderId="1" xfId="0" applyFont="1" applyFill="1" applyBorder="1"/>
    <xf numFmtId="0" fontId="2" fillId="2" borderId="1" xfId="0" applyFont="1" applyFill="1" applyBorder="1"/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/>
    <xf numFmtId="0" fontId="0" fillId="4" borderId="1" xfId="0" applyFill="1" applyBorder="1" applyAlignment="1">
      <alignment vertical="top" wrapText="1"/>
    </xf>
    <xf numFmtId="0" fontId="0" fillId="6" borderId="0" xfId="0" applyFill="1"/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0" fillId="6" borderId="0" xfId="0" applyFill="1" applyAlignment="1">
      <alignment vertical="top"/>
    </xf>
    <xf numFmtId="0" fontId="0" fillId="6" borderId="0" xfId="0" applyFill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5" fillId="0" borderId="0" xfId="0" applyFont="1" applyAlignment="1">
      <alignment horizontal="left"/>
    </xf>
    <xf numFmtId="4" fontId="5" fillId="0" borderId="0" xfId="0" applyNumberFormat="1" applyFont="1"/>
    <xf numFmtId="0" fontId="41" fillId="2" borderId="37" xfId="0" applyFont="1" applyFill="1" applyBorder="1" applyAlignment="1">
      <alignment wrapText="1"/>
    </xf>
    <xf numFmtId="0" fontId="41" fillId="2" borderId="37" xfId="0" applyFont="1" applyFill="1" applyBorder="1" applyAlignment="1">
      <alignment horizontal="left"/>
    </xf>
    <xf numFmtId="0" fontId="41" fillId="2" borderId="37" xfId="0" applyFont="1" applyFill="1" applyBorder="1" applyAlignment="1">
      <alignment horizontal="center"/>
    </xf>
    <xf numFmtId="0" fontId="41" fillId="2" borderId="37" xfId="0" applyFont="1" applyFill="1" applyBorder="1" applyAlignment="1">
      <alignment horizontal="center" wrapText="1"/>
    </xf>
    <xf numFmtId="4" fontId="41" fillId="2" borderId="37" xfId="0" applyNumberFormat="1" applyFont="1" applyFill="1" applyBorder="1" applyAlignment="1">
      <alignment horizontal="center"/>
    </xf>
    <xf numFmtId="0" fontId="41" fillId="2" borderId="37" xfId="0" applyFont="1" applyFill="1" applyBorder="1" applyAlignment="1">
      <alignment horizontal="right"/>
    </xf>
    <xf numFmtId="43" fontId="5" fillId="0" borderId="1" xfId="7" applyFont="1" applyFill="1" applyBorder="1"/>
    <xf numFmtId="4" fontId="5" fillId="0" borderId="1" xfId="7" applyNumberFormat="1" applyFont="1" applyFill="1" applyBorder="1"/>
    <xf numFmtId="43" fontId="0" fillId="0" borderId="1" xfId="7" applyFont="1" applyFill="1" applyBorder="1"/>
    <xf numFmtId="43" fontId="2" fillId="0" borderId="1" xfId="7" applyFont="1" applyFill="1" applyBorder="1" applyAlignment="1">
      <alignment horizontal="center"/>
    </xf>
    <xf numFmtId="43" fontId="44" fillId="0" borderId="1" xfId="7" applyFont="1" applyFill="1" applyBorder="1"/>
    <xf numFmtId="43" fontId="2" fillId="0" borderId="1" xfId="7" applyFont="1" applyFill="1" applyBorder="1"/>
    <xf numFmtId="43" fontId="2" fillId="0" borderId="1" xfId="8" applyFont="1" applyFill="1" applyBorder="1"/>
    <xf numFmtId="43" fontId="5" fillId="0" borderId="1" xfId="8" applyFont="1" applyFill="1" applyBorder="1"/>
    <xf numFmtId="43" fontId="7" fillId="0" borderId="1" xfId="7" applyFont="1" applyFill="1" applyBorder="1"/>
    <xf numFmtId="43" fontId="1" fillId="0" borderId="1" xfId="7" applyFont="1" applyFill="1" applyBorder="1" applyAlignment="1">
      <alignment horizontal="right"/>
    </xf>
    <xf numFmtId="43" fontId="2" fillId="0" borderId="2" xfId="8" applyFont="1" applyFill="1" applyBorder="1"/>
    <xf numFmtId="43" fontId="5" fillId="0" borderId="2" xfId="7" applyFont="1" applyFill="1" applyBorder="1"/>
    <xf numFmtId="0" fontId="5" fillId="7" borderId="0" xfId="0" applyFont="1" applyFill="1"/>
    <xf numFmtId="0" fontId="5" fillId="4" borderId="0" xfId="0" applyFont="1" applyFill="1"/>
    <xf numFmtId="43" fontId="2" fillId="0" borderId="3" xfId="7" applyFont="1" applyFill="1" applyBorder="1"/>
    <xf numFmtId="43" fontId="43" fillId="0" borderId="1" xfId="7" applyFont="1" applyFill="1" applyBorder="1"/>
    <xf numFmtId="0" fontId="5" fillId="0" borderId="25" xfId="0" applyFont="1" applyBorder="1" applyAlignment="1">
      <alignment horizontal="left"/>
    </xf>
    <xf numFmtId="43" fontId="45" fillId="0" borderId="1" xfId="8" applyFont="1" applyFill="1" applyBorder="1"/>
    <xf numFmtId="43" fontId="45" fillId="0" borderId="3" xfId="8" applyFont="1" applyFill="1" applyBorder="1"/>
    <xf numFmtId="43" fontId="45" fillId="0" borderId="0" xfId="8" applyFont="1" applyFill="1" applyBorder="1"/>
    <xf numFmtId="4" fontId="48" fillId="0" borderId="1" xfId="7" applyNumberFormat="1" applyFont="1" applyFill="1" applyBorder="1"/>
    <xf numFmtId="43" fontId="48" fillId="0" borderId="1" xfId="7" applyFont="1" applyFill="1" applyBorder="1"/>
    <xf numFmtId="43" fontId="45" fillId="0" borderId="1" xfId="7" applyFont="1" applyFill="1" applyBorder="1"/>
    <xf numFmtId="43" fontId="51" fillId="0" borderId="1" xfId="7" applyFont="1" applyFill="1" applyBorder="1"/>
    <xf numFmtId="43" fontId="49" fillId="0" borderId="1" xfId="7" applyFont="1" applyFill="1" applyBorder="1"/>
    <xf numFmtId="43" fontId="52" fillId="0" borderId="1" xfId="7" applyFont="1" applyFill="1" applyBorder="1"/>
    <xf numFmtId="43" fontId="49" fillId="0" borderId="1" xfId="8" applyFont="1" applyFill="1" applyBorder="1"/>
    <xf numFmtId="43" fontId="51" fillId="0" borderId="2" xfId="7" applyFont="1" applyFill="1" applyBorder="1"/>
    <xf numFmtId="43" fontId="48" fillId="0" borderId="2" xfId="7" applyFont="1" applyFill="1" applyBorder="1"/>
    <xf numFmtId="43" fontId="45" fillId="0" borderId="2" xfId="7" applyFont="1" applyFill="1" applyBorder="1"/>
    <xf numFmtId="43" fontId="45" fillId="0" borderId="1" xfId="7" applyFont="1" applyFill="1" applyBorder="1" applyAlignment="1">
      <alignment horizontal="right"/>
    </xf>
    <xf numFmtId="43" fontId="48" fillId="0" borderId="1" xfId="8" applyFont="1" applyFill="1" applyBorder="1"/>
    <xf numFmtId="43" fontId="47" fillId="0" borderId="1" xfId="9" applyFont="1" applyFill="1" applyBorder="1" applyAlignment="1">
      <alignment horizontal="right"/>
    </xf>
    <xf numFmtId="43" fontId="51" fillId="0" borderId="1" xfId="8" applyFont="1" applyFill="1" applyBorder="1"/>
    <xf numFmtId="164" fontId="48" fillId="0" borderId="1" xfId="8" applyNumberFormat="1" applyFont="1" applyFill="1" applyBorder="1"/>
    <xf numFmtId="164" fontId="48" fillId="0" borderId="1" xfId="7" applyNumberFormat="1" applyFont="1" applyFill="1" applyBorder="1"/>
    <xf numFmtId="43" fontId="47" fillId="0" borderId="1" xfId="7" applyFont="1" applyFill="1" applyBorder="1"/>
    <xf numFmtId="0" fontId="41" fillId="2" borderId="39" xfId="0" applyFont="1" applyFill="1" applyBorder="1" applyAlignment="1">
      <alignment horizontal="center"/>
    </xf>
    <xf numFmtId="0" fontId="41" fillId="2" borderId="38" xfId="0" applyFont="1" applyFill="1" applyBorder="1" applyAlignment="1">
      <alignment horizontal="center"/>
    </xf>
    <xf numFmtId="0" fontId="41" fillId="2" borderId="38" xfId="0" applyFont="1" applyFill="1" applyBorder="1"/>
    <xf numFmtId="0" fontId="43" fillId="2" borderId="39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0" fontId="40" fillId="0" borderId="1" xfId="0" applyFont="1" applyBorder="1" applyAlignment="1">
      <alignment horizontal="left"/>
    </xf>
    <xf numFmtId="14" fontId="5" fillId="0" borderId="1" xfId="0" applyNumberFormat="1" applyFont="1" applyBorder="1"/>
    <xf numFmtId="4" fontId="5" fillId="0" borderId="1" xfId="0" applyNumberFormat="1" applyFont="1" applyBorder="1"/>
    <xf numFmtId="0" fontId="5" fillId="0" borderId="1" xfId="0" quotePrefix="1" applyFont="1" applyBorder="1" applyAlignment="1">
      <alignment horizontal="left"/>
    </xf>
    <xf numFmtId="14" fontId="5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4" fontId="2" fillId="0" borderId="1" xfId="0" applyNumberFormat="1" applyFont="1" applyBorder="1"/>
    <xf numFmtId="43" fontId="2" fillId="0" borderId="1" xfId="7" applyFont="1" applyFill="1" applyBorder="1" applyAlignment="1"/>
    <xf numFmtId="4" fontId="2" fillId="0" borderId="1" xfId="0" applyNumberFormat="1" applyFont="1" applyBorder="1"/>
    <xf numFmtId="1" fontId="2" fillId="0" borderId="1" xfId="0" applyNumberFormat="1" applyFont="1" applyBorder="1" applyAlignment="1">
      <alignment horizontal="left"/>
    </xf>
    <xf numFmtId="4" fontId="0" fillId="0" borderId="1" xfId="0" applyNumberFormat="1" applyBorder="1" applyAlignment="1">
      <alignment horizontal="right"/>
    </xf>
    <xf numFmtId="1" fontId="5" fillId="0" borderId="1" xfId="0" applyNumberFormat="1" applyFont="1" applyBorder="1"/>
    <xf numFmtId="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40" fontId="0" fillId="0" borderId="1" xfId="0" applyNumberFormat="1" applyBorder="1"/>
    <xf numFmtId="0" fontId="4" fillId="0" borderId="2" xfId="0" applyFont="1" applyBorder="1" applyAlignment="1">
      <alignment horizontal="left"/>
    </xf>
    <xf numFmtId="14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left"/>
    </xf>
    <xf numFmtId="4" fontId="0" fillId="0" borderId="2" xfId="0" applyNumberFormat="1" applyBorder="1" applyAlignment="1">
      <alignment horizontal="right"/>
    </xf>
    <xf numFmtId="0" fontId="2" fillId="0" borderId="2" xfId="0" applyFont="1" applyBorder="1" applyAlignment="1">
      <alignment horizontal="center"/>
    </xf>
    <xf numFmtId="9" fontId="2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0" fontId="5" fillId="0" borderId="0" xfId="0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40" fontId="5" fillId="0" borderId="1" xfId="0" applyNumberFormat="1" applyFont="1" applyBorder="1"/>
    <xf numFmtId="43" fontId="2" fillId="0" borderId="1" xfId="0" applyNumberFormat="1" applyFont="1" applyBorder="1"/>
    <xf numFmtId="0" fontId="2" fillId="0" borderId="3" xfId="0" applyFont="1" applyBorder="1" applyAlignment="1">
      <alignment horizontal="left"/>
    </xf>
    <xf numFmtId="0" fontId="2" fillId="0" borderId="3" xfId="0" applyFont="1" applyBorder="1"/>
    <xf numFmtId="14" fontId="2" fillId="0" borderId="3" xfId="0" applyNumberFormat="1" applyFont="1" applyBorder="1"/>
    <xf numFmtId="1" fontId="5" fillId="0" borderId="1" xfId="0" applyNumberFormat="1" applyFont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0" fontId="2" fillId="0" borderId="3" xfId="0" quotePrefix="1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9" fontId="2" fillId="0" borderId="3" xfId="0" applyNumberFormat="1" applyFont="1" applyBorder="1" applyAlignment="1">
      <alignment horizontal="center"/>
    </xf>
    <xf numFmtId="0" fontId="47" fillId="0" borderId="1" xfId="0" applyFont="1" applyBorder="1"/>
    <xf numFmtId="14" fontId="47" fillId="0" borderId="1" xfId="0" applyNumberFormat="1" applyFont="1" applyBorder="1"/>
    <xf numFmtId="43" fontId="47" fillId="0" borderId="1" xfId="4" applyFont="1" applyFill="1" applyBorder="1"/>
    <xf numFmtId="0" fontId="45" fillId="0" borderId="1" xfId="0" applyFont="1" applyBorder="1" applyAlignment="1">
      <alignment horizontal="center"/>
    </xf>
    <xf numFmtId="9" fontId="48" fillId="0" borderId="1" xfId="0" applyNumberFormat="1" applyFont="1" applyBorder="1" applyAlignment="1">
      <alignment horizontal="center"/>
    </xf>
    <xf numFmtId="0" fontId="49" fillId="0" borderId="1" xfId="0" applyFont="1" applyBorder="1"/>
    <xf numFmtId="0" fontId="45" fillId="0" borderId="1" xfId="0" applyFont="1" applyBorder="1"/>
    <xf numFmtId="0" fontId="49" fillId="0" borderId="1" xfId="0" applyFont="1" applyBorder="1" applyAlignment="1">
      <alignment wrapText="1"/>
    </xf>
    <xf numFmtId="0" fontId="49" fillId="0" borderId="1" xfId="0" applyFont="1" applyBorder="1" applyAlignment="1">
      <alignment horizontal="left"/>
    </xf>
    <xf numFmtId="14" fontId="49" fillId="0" borderId="1" xfId="0" applyNumberFormat="1" applyFont="1" applyBorder="1" applyAlignment="1">
      <alignment horizontal="center"/>
    </xf>
    <xf numFmtId="0" fontId="49" fillId="0" borderId="1" xfId="0" applyFont="1" applyBorder="1" applyAlignment="1">
      <alignment horizontal="center" wrapText="1"/>
    </xf>
    <xf numFmtId="0" fontId="49" fillId="0" borderId="1" xfId="0" applyFont="1" applyBorder="1" applyAlignment="1">
      <alignment horizontal="center"/>
    </xf>
    <xf numFmtId="4" fontId="49" fillId="0" borderId="1" xfId="0" applyNumberFormat="1" applyFont="1" applyBorder="1" applyAlignment="1">
      <alignment horizontal="right"/>
    </xf>
    <xf numFmtId="0" fontId="49" fillId="0" borderId="1" xfId="0" applyFont="1" applyBorder="1" applyAlignment="1">
      <alignment horizontal="right"/>
    </xf>
    <xf numFmtId="0" fontId="46" fillId="0" borderId="1" xfId="0" applyFont="1" applyBorder="1" applyAlignment="1">
      <alignment wrapText="1"/>
    </xf>
    <xf numFmtId="0" fontId="49" fillId="0" borderId="1" xfId="2" applyFont="1" applyBorder="1"/>
    <xf numFmtId="14" fontId="45" fillId="0" borderId="1" xfId="0" applyNumberFormat="1" applyFont="1" applyBorder="1" applyAlignment="1">
      <alignment horizontal="center"/>
    </xf>
    <xf numFmtId="0" fontId="45" fillId="0" borderId="1" xfId="0" applyFont="1" applyBorder="1" applyAlignment="1">
      <alignment horizontal="left"/>
    </xf>
    <xf numFmtId="0" fontId="45" fillId="0" borderId="0" xfId="0" applyFont="1" applyAlignment="1">
      <alignment horizontal="center"/>
    </xf>
    <xf numFmtId="0" fontId="49" fillId="0" borderId="3" xfId="0" applyFont="1" applyBorder="1"/>
    <xf numFmtId="0" fontId="49" fillId="0" borderId="3" xfId="2" applyFont="1" applyBorder="1"/>
    <xf numFmtId="14" fontId="45" fillId="0" borderId="3" xfId="0" applyNumberFormat="1" applyFont="1" applyBorder="1" applyAlignment="1">
      <alignment horizontal="center"/>
    </xf>
    <xf numFmtId="0" fontId="45" fillId="0" borderId="3" xfId="0" applyFont="1" applyBorder="1" applyAlignment="1">
      <alignment horizontal="center"/>
    </xf>
    <xf numFmtId="0" fontId="45" fillId="0" borderId="3" xfId="0" applyFont="1" applyBorder="1"/>
    <xf numFmtId="9" fontId="48" fillId="0" borderId="3" xfId="0" applyNumberFormat="1" applyFont="1" applyBorder="1" applyAlignment="1">
      <alignment horizontal="center"/>
    </xf>
    <xf numFmtId="0" fontId="45" fillId="0" borderId="7" xfId="0" applyFont="1" applyBorder="1"/>
    <xf numFmtId="0" fontId="45" fillId="0" borderId="1" xfId="0" quotePrefix="1" applyFont="1" applyBorder="1" applyAlignment="1">
      <alignment horizontal="center"/>
    </xf>
    <xf numFmtId="0" fontId="45" fillId="0" borderId="0" xfId="0" quotePrefix="1" applyFont="1" applyAlignment="1">
      <alignment horizontal="right"/>
    </xf>
    <xf numFmtId="43" fontId="45" fillId="0" borderId="1" xfId="0" applyNumberFormat="1" applyFont="1" applyBorder="1" applyAlignment="1">
      <alignment horizontal="left"/>
    </xf>
    <xf numFmtId="0" fontId="45" fillId="0" borderId="3" xfId="0" quotePrefix="1" applyFont="1" applyBorder="1" applyAlignment="1">
      <alignment horizontal="center"/>
    </xf>
    <xf numFmtId="0" fontId="45" fillId="0" borderId="9" xfId="0" applyFont="1" applyBorder="1"/>
    <xf numFmtId="0" fontId="45" fillId="0" borderId="7" xfId="0" quotePrefix="1" applyFont="1" applyBorder="1" applyAlignment="1">
      <alignment horizontal="right"/>
    </xf>
    <xf numFmtId="0" fontId="45" fillId="0" borderId="7" xfId="0" applyFont="1" applyBorder="1" applyAlignment="1">
      <alignment horizontal="right"/>
    </xf>
    <xf numFmtId="0" fontId="49" fillId="0" borderId="3" xfId="0" applyFont="1" applyBorder="1" applyAlignment="1">
      <alignment horizontal="center"/>
    </xf>
    <xf numFmtId="0" fontId="45" fillId="0" borderId="9" xfId="0" applyFont="1" applyBorder="1" applyAlignment="1">
      <alignment horizontal="right"/>
    </xf>
    <xf numFmtId="0" fontId="45" fillId="0" borderId="1" xfId="0" quotePrefix="1" applyFont="1" applyBorder="1"/>
    <xf numFmtId="0" fontId="48" fillId="0" borderId="1" xfId="0" applyFont="1" applyBorder="1"/>
    <xf numFmtId="0" fontId="48" fillId="0" borderId="1" xfId="0" applyFont="1" applyBorder="1" applyAlignment="1">
      <alignment horizontal="center"/>
    </xf>
    <xf numFmtId="0" fontId="50" fillId="0" borderId="1" xfId="0" applyFont="1" applyBorder="1" applyAlignment="1">
      <alignment horizontal="left"/>
    </xf>
    <xf numFmtId="0" fontId="48" fillId="0" borderId="1" xfId="0" applyFont="1" applyBorder="1" applyAlignment="1">
      <alignment horizontal="left"/>
    </xf>
    <xf numFmtId="14" fontId="48" fillId="0" borderId="1" xfId="0" applyNumberFormat="1" applyFont="1" applyBorder="1" applyAlignment="1">
      <alignment horizontal="center"/>
    </xf>
    <xf numFmtId="14" fontId="45" fillId="0" borderId="1" xfId="0" quotePrefix="1" applyNumberFormat="1" applyFont="1" applyBorder="1"/>
    <xf numFmtId="4" fontId="45" fillId="0" borderId="1" xfId="0" applyNumberFormat="1" applyFont="1" applyBorder="1"/>
    <xf numFmtId="14" fontId="45" fillId="0" borderId="1" xfId="0" applyNumberFormat="1" applyFont="1" applyBorder="1"/>
    <xf numFmtId="14" fontId="48" fillId="0" borderId="1" xfId="0" applyNumberFormat="1" applyFont="1" applyBorder="1"/>
    <xf numFmtId="4" fontId="48" fillId="0" borderId="1" xfId="0" applyNumberFormat="1" applyFont="1" applyBorder="1"/>
    <xf numFmtId="0" fontId="48" fillId="0" borderId="1" xfId="0" quotePrefix="1" applyFont="1" applyBorder="1" applyAlignment="1">
      <alignment horizontal="left"/>
    </xf>
    <xf numFmtId="0" fontId="48" fillId="0" borderId="1" xfId="0" applyFont="1" applyBorder="1" applyAlignment="1">
      <alignment horizontal="left" vertical="top"/>
    </xf>
    <xf numFmtId="14" fontId="48" fillId="0" borderId="1" xfId="0" quotePrefix="1" applyNumberFormat="1" applyFont="1" applyBorder="1"/>
    <xf numFmtId="14" fontId="45" fillId="0" borderId="1" xfId="0" applyNumberFormat="1" applyFont="1" applyBorder="1" applyAlignment="1">
      <alignment horizontal="right"/>
    </xf>
    <xf numFmtId="0" fontId="51" fillId="0" borderId="1" xfId="0" applyFont="1" applyBorder="1"/>
    <xf numFmtId="0" fontId="48" fillId="0" borderId="1" xfId="0" quotePrefix="1" applyFont="1" applyBorder="1"/>
    <xf numFmtId="14" fontId="49" fillId="0" borderId="1" xfId="0" applyNumberFormat="1" applyFont="1" applyBorder="1"/>
    <xf numFmtId="4" fontId="49" fillId="0" borderId="1" xfId="0" applyNumberFormat="1" applyFont="1" applyBorder="1"/>
    <xf numFmtId="9" fontId="49" fillId="0" borderId="1" xfId="0" applyNumberFormat="1" applyFont="1" applyBorder="1" applyAlignment="1">
      <alignment horizontal="center"/>
    </xf>
    <xf numFmtId="0" fontId="52" fillId="0" borderId="1" xfId="0" applyFont="1" applyBorder="1" applyAlignment="1">
      <alignment horizontal="left"/>
    </xf>
    <xf numFmtId="1" fontId="49" fillId="0" borderId="1" xfId="0" applyNumberFormat="1" applyFont="1" applyBorder="1" applyAlignment="1">
      <alignment horizontal="left"/>
    </xf>
    <xf numFmtId="4" fontId="45" fillId="0" borderId="1" xfId="0" applyNumberFormat="1" applyFont="1" applyBorder="1" applyAlignment="1">
      <alignment horizontal="right"/>
    </xf>
    <xf numFmtId="0" fontId="51" fillId="0" borderId="2" xfId="0" applyFont="1" applyBorder="1" applyAlignment="1">
      <alignment horizontal="left"/>
    </xf>
    <xf numFmtId="0" fontId="51" fillId="0" borderId="2" xfId="0" applyFont="1" applyBorder="1"/>
    <xf numFmtId="14" fontId="45" fillId="0" borderId="2" xfId="0" applyNumberFormat="1" applyFont="1" applyBorder="1" applyAlignment="1">
      <alignment horizontal="center"/>
    </xf>
    <xf numFmtId="0" fontId="48" fillId="0" borderId="2" xfId="0" applyFont="1" applyBorder="1"/>
    <xf numFmtId="0" fontId="45" fillId="0" borderId="2" xfId="0" applyFont="1" applyBorder="1"/>
    <xf numFmtId="0" fontId="48" fillId="0" borderId="2" xfId="0" applyFont="1" applyBorder="1" applyAlignment="1">
      <alignment horizontal="center"/>
    </xf>
    <xf numFmtId="9" fontId="48" fillId="0" borderId="2" xfId="0" applyNumberFormat="1" applyFont="1" applyBorder="1" applyAlignment="1">
      <alignment horizontal="center"/>
    </xf>
    <xf numFmtId="0" fontId="51" fillId="0" borderId="2" xfId="0" applyFont="1" applyBorder="1" applyAlignment="1">
      <alignment horizontal="center"/>
    </xf>
    <xf numFmtId="1" fontId="48" fillId="0" borderId="1" xfId="0" applyNumberFormat="1" applyFont="1" applyBorder="1"/>
    <xf numFmtId="0" fontId="51" fillId="0" borderId="1" xfId="0" applyFont="1" applyBorder="1" applyAlignment="1">
      <alignment horizontal="left"/>
    </xf>
    <xf numFmtId="1" fontId="49" fillId="0" borderId="1" xfId="0" applyNumberFormat="1" applyFont="1" applyBorder="1"/>
    <xf numFmtId="0" fontId="48" fillId="0" borderId="0" xfId="0" applyFont="1" applyAlignment="1">
      <alignment horizontal="left"/>
    </xf>
    <xf numFmtId="14" fontId="49" fillId="0" borderId="1" xfId="0" applyNumberFormat="1" applyFont="1" applyBorder="1" applyAlignment="1">
      <alignment horizontal="left"/>
    </xf>
    <xf numFmtId="1" fontId="48" fillId="0" borderId="1" xfId="0" applyNumberFormat="1" applyFont="1" applyBorder="1" applyAlignment="1">
      <alignment horizontal="left"/>
    </xf>
    <xf numFmtId="0" fontId="49" fillId="0" borderId="1" xfId="0" quotePrefix="1" applyFont="1" applyBorder="1" applyAlignment="1">
      <alignment horizontal="left"/>
    </xf>
    <xf numFmtId="40" fontId="45" fillId="0" borderId="1" xfId="0" applyNumberFormat="1" applyFont="1" applyBorder="1"/>
    <xf numFmtId="4" fontId="48" fillId="0" borderId="1" xfId="0" applyNumberFormat="1" applyFont="1" applyBorder="1" applyAlignment="1">
      <alignment horizontal="left"/>
    </xf>
    <xf numFmtId="43" fontId="48" fillId="0" borderId="1" xfId="0" applyNumberFormat="1" applyFont="1" applyBorder="1"/>
    <xf numFmtId="43" fontId="49" fillId="0" borderId="1" xfId="0" applyNumberFormat="1" applyFont="1" applyBorder="1"/>
    <xf numFmtId="14" fontId="49" fillId="0" borderId="7" xfId="0" applyNumberFormat="1" applyFont="1" applyBorder="1" applyAlignment="1">
      <alignment horizontal="center"/>
    </xf>
    <xf numFmtId="0" fontId="49" fillId="0" borderId="22" xfId="0" applyFont="1" applyBorder="1" applyAlignment="1">
      <alignment horizontal="left"/>
    </xf>
    <xf numFmtId="14" fontId="49" fillId="0" borderId="0" xfId="0" applyNumberFormat="1" applyFont="1" applyAlignment="1">
      <alignment horizontal="center"/>
    </xf>
    <xf numFmtId="0" fontId="48" fillId="0" borderId="0" xfId="0" applyFont="1"/>
    <xf numFmtId="164" fontId="48" fillId="0" borderId="1" xfId="0" applyNumberFormat="1" applyFont="1" applyBorder="1"/>
    <xf numFmtId="0" fontId="48" fillId="0" borderId="1" xfId="0" quotePrefix="1" applyFont="1" applyBorder="1" applyAlignment="1">
      <alignment horizontal="center"/>
    </xf>
    <xf numFmtId="0" fontId="22" fillId="0" borderId="1" xfId="0" applyFont="1" applyBorder="1"/>
    <xf numFmtId="0" fontId="22" fillId="0" borderId="1" xfId="0" applyFont="1" applyBorder="1" applyAlignment="1">
      <alignment horizontal="center"/>
    </xf>
    <xf numFmtId="14" fontId="47" fillId="0" borderId="1" xfId="0" quotePrefix="1" applyNumberFormat="1" applyFont="1" applyBorder="1" applyAlignment="1">
      <alignment horizontal="center"/>
    </xf>
    <xf numFmtId="0" fontId="47" fillId="0" borderId="1" xfId="0" applyFont="1" applyBorder="1" applyAlignment="1">
      <alignment horizontal="left"/>
    </xf>
    <xf numFmtId="4" fontId="47" fillId="0" borderId="1" xfId="0" applyNumberFormat="1" applyFont="1" applyBorder="1"/>
    <xf numFmtId="0" fontId="47" fillId="0" borderId="1" xfId="0" applyFont="1" applyBorder="1" applyAlignment="1">
      <alignment horizontal="center"/>
    </xf>
    <xf numFmtId="9" fontId="47" fillId="0" borderId="1" xfId="0" applyNumberFormat="1" applyFont="1" applyBorder="1" applyAlignment="1">
      <alignment horizontal="center"/>
    </xf>
    <xf numFmtId="14" fontId="47" fillId="0" borderId="1" xfId="0" applyNumberFormat="1" applyFont="1" applyBorder="1" applyAlignment="1">
      <alignment horizontal="center"/>
    </xf>
    <xf numFmtId="4" fontId="47" fillId="0" borderId="1" xfId="0" applyNumberFormat="1" applyFont="1" applyBorder="1" applyAlignment="1">
      <alignment horizontal="right"/>
    </xf>
    <xf numFmtId="43" fontId="47" fillId="0" borderId="1" xfId="0" applyNumberFormat="1" applyFont="1" applyBorder="1"/>
    <xf numFmtId="14" fontId="47" fillId="0" borderId="1" xfId="0" applyNumberFormat="1" applyFont="1" applyBorder="1" applyAlignment="1">
      <alignment horizontal="left"/>
    </xf>
    <xf numFmtId="0" fontId="52" fillId="0" borderId="1" xfId="0" applyFont="1" applyBorder="1"/>
    <xf numFmtId="14" fontId="49" fillId="0" borderId="1" xfId="0" quotePrefix="1" applyNumberFormat="1" applyFont="1" applyBorder="1" applyAlignment="1">
      <alignment horizontal="center"/>
    </xf>
    <xf numFmtId="0" fontId="49" fillId="0" borderId="1" xfId="0" quotePrefix="1" applyFont="1" applyBorder="1" applyAlignment="1">
      <alignment horizontal="center"/>
    </xf>
    <xf numFmtId="0" fontId="5" fillId="0" borderId="3" xfId="0" applyFont="1" applyBorder="1"/>
    <xf numFmtId="0" fontId="50" fillId="0" borderId="3" xfId="0" applyFont="1" applyBorder="1" applyAlignment="1">
      <alignment horizontal="left"/>
    </xf>
    <xf numFmtId="0" fontId="48" fillId="0" borderId="3" xfId="0" applyFont="1" applyBorder="1" applyAlignment="1">
      <alignment horizontal="left"/>
    </xf>
    <xf numFmtId="0" fontId="5" fillId="0" borderId="2" xfId="0" applyFont="1" applyBorder="1"/>
    <xf numFmtId="0" fontId="5" fillId="0" borderId="6" xfId="0" applyFont="1" applyBorder="1"/>
    <xf numFmtId="0" fontId="50" fillId="0" borderId="6" xfId="0" applyFont="1" applyBorder="1" applyAlignment="1">
      <alignment horizontal="left"/>
    </xf>
    <xf numFmtId="0" fontId="49" fillId="0" borderId="2" xfId="0" applyFont="1" applyBorder="1" applyAlignment="1">
      <alignment horizontal="left"/>
    </xf>
    <xf numFmtId="0" fontId="48" fillId="0" borderId="2" xfId="0" applyFont="1" applyBorder="1" applyAlignment="1">
      <alignment horizontal="left"/>
    </xf>
    <xf numFmtId="0" fontId="48" fillId="0" borderId="6" xfId="0" applyFont="1" applyBorder="1" applyAlignment="1">
      <alignment horizontal="left"/>
    </xf>
    <xf numFmtId="0" fontId="5" fillId="0" borderId="1" xfId="7" applyNumberFormat="1" applyFont="1" applyFill="1" applyBorder="1"/>
    <xf numFmtId="0" fontId="5" fillId="4" borderId="1" xfId="0" applyFont="1" applyFill="1" applyBorder="1"/>
    <xf numFmtId="0" fontId="48" fillId="4" borderId="1" xfId="0" applyFont="1" applyFill="1" applyBorder="1"/>
    <xf numFmtId="0" fontId="45" fillId="4" borderId="1" xfId="0" applyFont="1" applyFill="1" applyBorder="1"/>
    <xf numFmtId="14" fontId="45" fillId="0" borderId="1" xfId="0" quotePrefix="1" applyNumberFormat="1" applyFont="1" applyBorder="1" applyAlignment="1">
      <alignment horizontal="center"/>
    </xf>
    <xf numFmtId="14" fontId="48" fillId="0" borderId="1" xfId="0" quotePrefix="1" applyNumberFormat="1" applyFont="1" applyBorder="1" applyAlignment="1">
      <alignment horizontal="center"/>
    </xf>
    <xf numFmtId="0" fontId="2" fillId="4" borderId="1" xfId="0" applyFont="1" applyFill="1" applyBorder="1"/>
    <xf numFmtId="0" fontId="51" fillId="4" borderId="1" xfId="0" applyFont="1" applyFill="1" applyBorder="1"/>
    <xf numFmtId="0" fontId="52" fillId="4" borderId="1" xfId="1" applyFont="1" applyFill="1" applyBorder="1"/>
    <xf numFmtId="0" fontId="49" fillId="4" borderId="1" xfId="0" applyFont="1" applyFill="1" applyBorder="1"/>
    <xf numFmtId="0" fontId="47" fillId="4" borderId="1" xfId="0" applyFont="1" applyFill="1" applyBorder="1"/>
    <xf numFmtId="0" fontId="45" fillId="0" borderId="3" xfId="0" applyFont="1" applyBorder="1" applyAlignment="1">
      <alignment horizontal="left"/>
    </xf>
    <xf numFmtId="0" fontId="45" fillId="0" borderId="1" xfId="0" quotePrefix="1" applyFont="1" applyBorder="1" applyAlignment="1">
      <alignment horizontal="left"/>
    </xf>
    <xf numFmtId="0" fontId="0" fillId="0" borderId="1" xfId="0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1" xfId="0" applyFill="1" applyBorder="1" applyAlignment="1">
      <alignment vertical="top"/>
    </xf>
    <xf numFmtId="0" fontId="0" fillId="2" borderId="36" xfId="0" applyFill="1" applyBorder="1" applyAlignment="1">
      <alignment vertical="top" wrapText="1"/>
    </xf>
    <xf numFmtId="3" fontId="0" fillId="0" borderId="0" xfId="0" applyNumberFormat="1"/>
    <xf numFmtId="43" fontId="0" fillId="0" borderId="0" xfId="4" applyFont="1"/>
    <xf numFmtId="0" fontId="57" fillId="0" borderId="1" xfId="0" applyFont="1" applyBorder="1"/>
    <xf numFmtId="0" fontId="57" fillId="0" borderId="2" xfId="0" applyFont="1" applyBorder="1"/>
    <xf numFmtId="0" fontId="57" fillId="0" borderId="41" xfId="0" applyFont="1" applyBorder="1" applyAlignment="1">
      <alignment horizontal="center"/>
    </xf>
    <xf numFmtId="0" fontId="57" fillId="0" borderId="40" xfId="0" applyFont="1" applyBorder="1" applyAlignment="1">
      <alignment horizontal="center"/>
    </xf>
    <xf numFmtId="0" fontId="4" fillId="8" borderId="1" xfId="0" applyFont="1" applyFill="1" applyBorder="1" applyAlignment="1">
      <alignment horizontal="left"/>
    </xf>
    <xf numFmtId="0" fontId="2" fillId="8" borderId="1" xfId="0" applyFont="1" applyFill="1" applyBorder="1"/>
    <xf numFmtId="14" fontId="2" fillId="8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left"/>
    </xf>
    <xf numFmtId="0" fontId="5" fillId="8" borderId="1" xfId="0" applyFont="1" applyFill="1" applyBorder="1"/>
    <xf numFmtId="0" fontId="5" fillId="8" borderId="0" xfId="0" applyFont="1" applyFill="1"/>
    <xf numFmtId="1" fontId="2" fillId="8" borderId="1" xfId="0" applyNumberFormat="1" applyFont="1" applyFill="1" applyBorder="1" applyAlignment="1">
      <alignment horizontal="left"/>
    </xf>
    <xf numFmtId="0" fontId="0" fillId="8" borderId="1" xfId="0" applyFill="1" applyBorder="1" applyAlignment="1">
      <alignment horizontal="center"/>
    </xf>
    <xf numFmtId="0" fontId="49" fillId="8" borderId="1" xfId="0" applyFont="1" applyFill="1" applyBorder="1"/>
    <xf numFmtId="0" fontId="49" fillId="8" borderId="1" xfId="2" applyFont="1" applyFill="1" applyBorder="1"/>
    <xf numFmtId="14" fontId="45" fillId="8" borderId="1" xfId="0" applyNumberFormat="1" applyFont="1" applyFill="1" applyBorder="1" applyAlignment="1">
      <alignment horizontal="center"/>
    </xf>
    <xf numFmtId="0" fontId="45" fillId="8" borderId="1" xfId="0" quotePrefix="1" applyFont="1" applyFill="1" applyBorder="1" applyAlignment="1">
      <alignment horizontal="center"/>
    </xf>
    <xf numFmtId="0" fontId="45" fillId="8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14" fontId="5" fillId="8" borderId="1" xfId="0" applyNumberFormat="1" applyFont="1" applyFill="1" applyBorder="1" applyAlignment="1">
      <alignment horizontal="center"/>
    </xf>
    <xf numFmtId="1" fontId="5" fillId="8" borderId="1" xfId="0" applyNumberFormat="1" applyFont="1" applyFill="1" applyBorder="1"/>
    <xf numFmtId="0" fontId="45" fillId="8" borderId="1" xfId="0" applyFont="1" applyFill="1" applyBorder="1" applyAlignment="1">
      <alignment horizontal="center"/>
    </xf>
    <xf numFmtId="0" fontId="5" fillId="8" borderId="3" xfId="0" applyFont="1" applyFill="1" applyBorder="1"/>
    <xf numFmtId="0" fontId="5" fillId="8" borderId="2" xfId="0" applyFont="1" applyFill="1" applyBorder="1"/>
    <xf numFmtId="0" fontId="2" fillId="8" borderId="1" xfId="2" applyFont="1" applyFill="1" applyBorder="1"/>
    <xf numFmtId="14" fontId="0" fillId="8" borderId="1" xfId="0" applyNumberFormat="1" applyFill="1" applyBorder="1" applyAlignment="1">
      <alignment horizontal="center"/>
    </xf>
    <xf numFmtId="14" fontId="0" fillId="8" borderId="7" xfId="0" applyNumberFormat="1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/>
    <xf numFmtId="14" fontId="2" fillId="8" borderId="7" xfId="0" applyNumberFormat="1" applyFont="1" applyFill="1" applyBorder="1" applyAlignment="1">
      <alignment horizontal="center"/>
    </xf>
    <xf numFmtId="0" fontId="4" fillId="9" borderId="1" xfId="1" applyFont="1" applyFill="1" applyBorder="1"/>
    <xf numFmtId="14" fontId="2" fillId="9" borderId="1" xfId="0" applyNumberFormat="1" applyFont="1" applyFill="1" applyBorder="1" applyAlignment="1">
      <alignment horizontal="center"/>
    </xf>
    <xf numFmtId="14" fontId="2" fillId="9" borderId="7" xfId="0" applyNumberFormat="1" applyFont="1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/>
    <xf numFmtId="0" fontId="5" fillId="9" borderId="1" xfId="0" applyFont="1" applyFill="1" applyBorder="1"/>
    <xf numFmtId="14" fontId="5" fillId="9" borderId="7" xfId="0" applyNumberFormat="1" applyFont="1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14" fontId="5" fillId="9" borderId="1" xfId="0" applyNumberFormat="1" applyFont="1" applyFill="1" applyBorder="1" applyAlignment="1">
      <alignment horizontal="center"/>
    </xf>
    <xf numFmtId="0" fontId="5" fillId="9" borderId="1" xfId="0" applyFont="1" applyFill="1" applyBorder="1" applyAlignment="1">
      <alignment horizontal="left"/>
    </xf>
    <xf numFmtId="1" fontId="5" fillId="9" borderId="1" xfId="0" applyNumberFormat="1" applyFont="1" applyFill="1" applyBorder="1"/>
    <xf numFmtId="0" fontId="5" fillId="9" borderId="0" xfId="0" applyFont="1" applyFill="1"/>
    <xf numFmtId="0" fontId="4" fillId="9" borderId="1" xfId="0" applyFont="1" applyFill="1" applyBorder="1" applyAlignment="1">
      <alignment horizontal="left"/>
    </xf>
    <xf numFmtId="0" fontId="2" fillId="9" borderId="1" xfId="0" applyFont="1" applyFill="1" applyBorder="1"/>
    <xf numFmtId="1" fontId="2" fillId="9" borderId="1" xfId="0" applyNumberFormat="1" applyFont="1" applyFill="1" applyBorder="1" applyAlignment="1">
      <alignment horizontal="left"/>
    </xf>
    <xf numFmtId="0" fontId="5" fillId="9" borderId="2" xfId="0" applyFont="1" applyFill="1" applyBorder="1"/>
    <xf numFmtId="14" fontId="2" fillId="9" borderId="7" xfId="0" quotePrefix="1" applyNumberFormat="1" applyFont="1" applyFill="1" applyBorder="1" applyAlignment="1">
      <alignment horizontal="center"/>
    </xf>
    <xf numFmtId="0" fontId="2" fillId="10" borderId="1" xfId="0" applyFont="1" applyFill="1" applyBorder="1"/>
    <xf numFmtId="0" fontId="2" fillId="9" borderId="1" xfId="0" applyFont="1" applyFill="1" applyBorder="1" applyAlignment="1">
      <alignment horizontal="left"/>
    </xf>
    <xf numFmtId="0" fontId="11" fillId="9" borderId="4" xfId="0" applyFont="1" applyFill="1" applyBorder="1" applyAlignment="1">
      <alignment horizontal="center"/>
    </xf>
    <xf numFmtId="0" fontId="11" fillId="9" borderId="0" xfId="0" applyFont="1" applyFill="1" applyAlignment="1">
      <alignment horizontal="center"/>
    </xf>
    <xf numFmtId="0" fontId="0" fillId="9" borderId="11" xfId="0" applyFill="1" applyBorder="1" applyAlignment="1">
      <alignment horizontal="center"/>
    </xf>
    <xf numFmtId="0" fontId="2" fillId="9" borderId="1" xfId="2" applyFont="1" applyFill="1" applyBorder="1"/>
    <xf numFmtId="14" fontId="0" fillId="9" borderId="1" xfId="0" applyNumberFormat="1" applyFill="1" applyBorder="1" applyAlignment="1">
      <alignment horizontal="center"/>
    </xf>
    <xf numFmtId="14" fontId="0" fillId="9" borderId="7" xfId="0" applyNumberFormat="1" applyFill="1" applyBorder="1" applyAlignment="1">
      <alignment horizontal="center"/>
    </xf>
    <xf numFmtId="0" fontId="49" fillId="9" borderId="1" xfId="0" applyFont="1" applyFill="1" applyBorder="1"/>
    <xf numFmtId="0" fontId="49" fillId="9" borderId="1" xfId="2" applyFont="1" applyFill="1" applyBorder="1"/>
    <xf numFmtId="14" fontId="45" fillId="9" borderId="1" xfId="0" applyNumberFormat="1" applyFont="1" applyFill="1" applyBorder="1" applyAlignment="1">
      <alignment horizontal="center"/>
    </xf>
    <xf numFmtId="0" fontId="45" fillId="9" borderId="1" xfId="0" applyFont="1" applyFill="1" applyBorder="1" applyAlignment="1">
      <alignment horizontal="center"/>
    </xf>
    <xf numFmtId="0" fontId="45" fillId="9" borderId="1" xfId="0" applyFont="1" applyFill="1" applyBorder="1" applyAlignment="1">
      <alignment horizontal="left"/>
    </xf>
    <xf numFmtId="0" fontId="49" fillId="11" borderId="1" xfId="0" applyFont="1" applyFill="1" applyBorder="1"/>
    <xf numFmtId="0" fontId="49" fillId="11" borderId="1" xfId="2" applyFont="1" applyFill="1" applyBorder="1"/>
    <xf numFmtId="14" fontId="45" fillId="11" borderId="1" xfId="0" applyNumberFormat="1" applyFont="1" applyFill="1" applyBorder="1" applyAlignment="1">
      <alignment horizontal="center"/>
    </xf>
    <xf numFmtId="0" fontId="45" fillId="11" borderId="1" xfId="0" quotePrefix="1" applyFont="1" applyFill="1" applyBorder="1" applyAlignment="1">
      <alignment horizontal="center"/>
    </xf>
    <xf numFmtId="0" fontId="45" fillId="11" borderId="1" xfId="0" applyFont="1" applyFill="1" applyBorder="1" applyAlignment="1">
      <alignment horizontal="left"/>
    </xf>
    <xf numFmtId="0" fontId="5" fillId="11" borderId="1" xfId="0" applyFont="1" applyFill="1" applyBorder="1"/>
    <xf numFmtId="0" fontId="5" fillId="11" borderId="0" xfId="0" applyFont="1" applyFill="1"/>
    <xf numFmtId="0" fontId="2" fillId="11" borderId="1" xfId="2" applyFont="1" applyFill="1" applyBorder="1"/>
    <xf numFmtId="14" fontId="0" fillId="11" borderId="1" xfId="0" applyNumberFormat="1" applyFill="1" applyBorder="1" applyAlignment="1">
      <alignment horizontal="center"/>
    </xf>
    <xf numFmtId="14" fontId="0" fillId="11" borderId="7" xfId="0" applyNumberFormat="1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1" borderId="0" xfId="0" applyFill="1"/>
    <xf numFmtId="0" fontId="45" fillId="9" borderId="1" xfId="0" quotePrefix="1" applyFont="1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40" fillId="9" borderId="1" xfId="0" applyFont="1" applyFill="1" applyBorder="1"/>
    <xf numFmtId="0" fontId="40" fillId="9" borderId="0" xfId="0" applyFont="1" applyFill="1"/>
    <xf numFmtId="0" fontId="41" fillId="2" borderId="38" xfId="0" applyFont="1" applyFill="1" applyBorder="1" applyAlignment="1">
      <alignment horizontal="left"/>
    </xf>
    <xf numFmtId="0" fontId="0" fillId="4" borderId="16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16" fillId="8" borderId="10" xfId="0" applyFont="1" applyFill="1" applyBorder="1" applyAlignment="1">
      <alignment horizontal="center"/>
    </xf>
    <xf numFmtId="0" fontId="16" fillId="8" borderId="0" xfId="0" applyFont="1" applyFill="1" applyAlignment="1">
      <alignment horizontal="center"/>
    </xf>
    <xf numFmtId="0" fontId="11" fillId="8" borderId="4" xfId="0" applyFont="1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11" fillId="8" borderId="1" xfId="0" applyFont="1" applyFill="1" applyBorder="1" applyAlignment="1">
      <alignment horizontal="center"/>
    </xf>
    <xf numFmtId="14" fontId="5" fillId="8" borderId="7" xfId="0" applyNumberFormat="1" applyFont="1" applyFill="1" applyBorder="1" applyAlignment="1">
      <alignment horizontal="center"/>
    </xf>
    <xf numFmtId="0" fontId="11" fillId="8" borderId="2" xfId="0" applyFont="1" applyFill="1" applyBorder="1" applyAlignment="1">
      <alignment horizontal="center"/>
    </xf>
    <xf numFmtId="43" fontId="5" fillId="8" borderId="1" xfId="7" applyFont="1" applyFill="1" applyBorder="1"/>
    <xf numFmtId="9" fontId="2" fillId="8" borderId="1" xfId="0" applyNumberFormat="1" applyFont="1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43" fontId="2" fillId="8" borderId="1" xfId="7" applyFont="1" applyFill="1" applyBorder="1"/>
    <xf numFmtId="0" fontId="2" fillId="8" borderId="1" xfId="0" applyFont="1" applyFill="1" applyBorder="1" applyAlignment="1">
      <alignment horizontal="center"/>
    </xf>
    <xf numFmtId="0" fontId="11" fillId="8" borderId="3" xfId="0" applyFont="1" applyFill="1" applyBorder="1" applyAlignment="1">
      <alignment horizontal="center"/>
    </xf>
    <xf numFmtId="0" fontId="16" fillId="11" borderId="0" xfId="0" applyFont="1" applyFill="1" applyAlignment="1">
      <alignment horizontal="center"/>
    </xf>
    <xf numFmtId="14" fontId="2" fillId="8" borderId="7" xfId="0" quotePrefix="1" applyNumberFormat="1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/>
    </xf>
    <xf numFmtId="0" fontId="11" fillId="12" borderId="0" xfId="0" applyFont="1" applyFill="1" applyAlignment="1">
      <alignment horizontal="center"/>
    </xf>
    <xf numFmtId="0" fontId="49" fillId="2" borderId="1" xfId="0" applyFont="1" applyFill="1" applyBorder="1"/>
    <xf numFmtId="0" fontId="49" fillId="2" borderId="1" xfId="2" applyFont="1" applyFill="1" applyBorder="1"/>
    <xf numFmtId="14" fontId="45" fillId="2" borderId="1" xfId="0" applyNumberFormat="1" applyFont="1" applyFill="1" applyBorder="1" applyAlignment="1">
      <alignment horizontal="center"/>
    </xf>
    <xf numFmtId="0" fontId="45" fillId="2" borderId="1" xfId="0" quotePrefix="1" applyFont="1" applyFill="1" applyBorder="1" applyAlignment="1">
      <alignment horizontal="center"/>
    </xf>
    <xf numFmtId="0" fontId="45" fillId="2" borderId="1" xfId="0" applyFont="1" applyFill="1" applyBorder="1" applyAlignment="1">
      <alignment horizontal="left"/>
    </xf>
    <xf numFmtId="0" fontId="5" fillId="2" borderId="0" xfId="0" applyFont="1" applyFill="1"/>
    <xf numFmtId="0" fontId="2" fillId="11" borderId="1" xfId="0" applyFont="1" applyFill="1" applyBorder="1"/>
    <xf numFmtId="14" fontId="2" fillId="11" borderId="1" xfId="0" applyNumberFormat="1" applyFont="1" applyFill="1" applyBorder="1" applyAlignment="1">
      <alignment horizontal="center"/>
    </xf>
    <xf numFmtId="14" fontId="2" fillId="11" borderId="7" xfId="0" applyNumberFormat="1" applyFont="1" applyFill="1" applyBorder="1" applyAlignment="1">
      <alignment horizontal="center"/>
    </xf>
    <xf numFmtId="0" fontId="11" fillId="11" borderId="4" xfId="0" applyFont="1" applyFill="1" applyBorder="1" applyAlignment="1">
      <alignment horizontal="center"/>
    </xf>
    <xf numFmtId="0" fontId="11" fillId="11" borderId="0" xfId="0" applyFont="1" applyFill="1" applyAlignment="1">
      <alignment horizontal="center"/>
    </xf>
    <xf numFmtId="0" fontId="4" fillId="11" borderId="1" xfId="0" applyFont="1" applyFill="1" applyBorder="1" applyAlignment="1">
      <alignment horizontal="left"/>
    </xf>
    <xf numFmtId="1" fontId="2" fillId="11" borderId="1" xfId="0" applyNumberFormat="1" applyFont="1" applyFill="1" applyBorder="1" applyAlignment="1">
      <alignment horizontal="left"/>
    </xf>
    <xf numFmtId="0" fontId="11" fillId="11" borderId="6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left"/>
    </xf>
    <xf numFmtId="0" fontId="16" fillId="11" borderId="4" xfId="0" applyFont="1" applyFill="1" applyBorder="1" applyAlignment="1">
      <alignment horizontal="center"/>
    </xf>
    <xf numFmtId="14" fontId="2" fillId="11" borderId="7" xfId="0" quotePrefix="1" applyNumberFormat="1" applyFont="1" applyFill="1" applyBorder="1" applyAlignment="1">
      <alignment horizontal="center"/>
    </xf>
    <xf numFmtId="14" fontId="2" fillId="11" borderId="1" xfId="0" applyNumberFormat="1" applyFont="1" applyFill="1" applyBorder="1"/>
    <xf numFmtId="0" fontId="2" fillId="11" borderId="1" xfId="0" quotePrefix="1" applyFont="1" applyFill="1" applyBorder="1" applyAlignment="1">
      <alignment horizontal="left"/>
    </xf>
    <xf numFmtId="0" fontId="45" fillId="11" borderId="1" xfId="0" applyFont="1" applyFill="1" applyBorder="1" applyAlignment="1">
      <alignment horizontal="center"/>
    </xf>
    <xf numFmtId="0" fontId="16" fillId="11" borderId="11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14" fontId="0" fillId="11" borderId="2" xfId="0" applyNumberFormat="1" applyFill="1" applyBorder="1" applyAlignment="1">
      <alignment horizontal="center"/>
    </xf>
    <xf numFmtId="0" fontId="11" fillId="11" borderId="2" xfId="0" applyFont="1" applyFill="1" applyBorder="1" applyAlignment="1">
      <alignment horizontal="center"/>
    </xf>
    <xf numFmtId="0" fontId="13" fillId="11" borderId="1" xfId="0" applyFont="1" applyFill="1" applyBorder="1" applyAlignment="1">
      <alignment horizontal="center"/>
    </xf>
    <xf numFmtId="0" fontId="13" fillId="11" borderId="0" xfId="0" applyFont="1" applyFill="1" applyAlignment="1">
      <alignment horizontal="center"/>
    </xf>
    <xf numFmtId="0" fontId="11" fillId="11" borderId="3" xfId="0" applyFont="1" applyFill="1" applyBorder="1" applyAlignment="1">
      <alignment horizontal="center"/>
    </xf>
    <xf numFmtId="0" fontId="45" fillId="2" borderId="1" xfId="0" applyFont="1" applyFill="1" applyBorder="1" applyAlignment="1">
      <alignment horizontal="center"/>
    </xf>
    <xf numFmtId="0" fontId="11" fillId="12" borderId="3" xfId="0" applyFont="1" applyFill="1" applyBorder="1" applyAlignment="1">
      <alignment horizontal="center"/>
    </xf>
    <xf numFmtId="0" fontId="16" fillId="11" borderId="5" xfId="0" applyFont="1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11" fillId="11" borderId="5" xfId="0" applyFont="1" applyFill="1" applyBorder="1" applyAlignment="1">
      <alignment horizontal="center"/>
    </xf>
    <xf numFmtId="0" fontId="49" fillId="13" borderId="1" xfId="0" applyFont="1" applyFill="1" applyBorder="1"/>
    <xf numFmtId="0" fontId="49" fillId="13" borderId="1" xfId="2" applyFont="1" applyFill="1" applyBorder="1"/>
    <xf numFmtId="14" fontId="45" fillId="13" borderId="1" xfId="0" applyNumberFormat="1" applyFont="1" applyFill="1" applyBorder="1" applyAlignment="1">
      <alignment horizontal="center"/>
    </xf>
    <xf numFmtId="0" fontId="45" fillId="13" borderId="1" xfId="0" quotePrefix="1" applyFont="1" applyFill="1" applyBorder="1" applyAlignment="1">
      <alignment horizontal="center"/>
    </xf>
    <xf numFmtId="0" fontId="45" fillId="13" borderId="1" xfId="0" applyFont="1" applyFill="1" applyBorder="1" applyAlignment="1">
      <alignment horizontal="left"/>
    </xf>
    <xf numFmtId="0" fontId="5" fillId="13" borderId="1" xfId="0" applyFont="1" applyFill="1" applyBorder="1"/>
    <xf numFmtId="0" fontId="5" fillId="13" borderId="0" xfId="0" applyFont="1" applyFill="1"/>
    <xf numFmtId="14" fontId="0" fillId="11" borderId="1" xfId="0" quotePrefix="1" applyNumberFormat="1" applyFill="1" applyBorder="1" applyAlignment="1">
      <alignment horizontal="center"/>
    </xf>
    <xf numFmtId="0" fontId="2" fillId="13" borderId="1" xfId="2" applyFont="1" applyFill="1" applyBorder="1"/>
    <xf numFmtId="14" fontId="0" fillId="13" borderId="1" xfId="0" applyNumberFormat="1" applyFill="1" applyBorder="1" applyAlignment="1">
      <alignment horizontal="center"/>
    </xf>
    <xf numFmtId="14" fontId="0" fillId="13" borderId="7" xfId="0" applyNumberFormat="1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13" borderId="0" xfId="0" applyFill="1"/>
    <xf numFmtId="0" fontId="44" fillId="9" borderId="1" xfId="2" applyFont="1" applyFill="1" applyBorder="1"/>
    <xf numFmtId="0" fontId="11" fillId="11" borderId="1" xfId="0" applyFont="1" applyFill="1" applyBorder="1" applyAlignment="1">
      <alignment horizontal="left"/>
    </xf>
    <xf numFmtId="0" fontId="49" fillId="14" borderId="1" xfId="0" applyFont="1" applyFill="1" applyBorder="1"/>
    <xf numFmtId="0" fontId="49" fillId="14" borderId="1" xfId="2" applyFont="1" applyFill="1" applyBorder="1"/>
    <xf numFmtId="14" fontId="45" fillId="14" borderId="1" xfId="0" applyNumberFormat="1" applyFont="1" applyFill="1" applyBorder="1" applyAlignment="1">
      <alignment horizontal="center"/>
    </xf>
    <xf numFmtId="0" fontId="45" fillId="14" borderId="1" xfId="0" quotePrefix="1" applyFont="1" applyFill="1" applyBorder="1" applyAlignment="1">
      <alignment horizontal="center"/>
    </xf>
    <xf numFmtId="0" fontId="45" fillId="14" borderId="1" xfId="0" applyFont="1" applyFill="1" applyBorder="1" applyAlignment="1">
      <alignment horizontal="left"/>
    </xf>
    <xf numFmtId="0" fontId="5" fillId="14" borderId="1" xfId="0" applyFont="1" applyFill="1" applyBorder="1"/>
    <xf numFmtId="0" fontId="5" fillId="14" borderId="0" xfId="0" applyFont="1" applyFill="1"/>
    <xf numFmtId="0" fontId="0" fillId="13" borderId="1" xfId="0" applyFill="1" applyBorder="1" applyAlignment="1">
      <alignment horizontal="center"/>
    </xf>
    <xf numFmtId="0" fontId="16" fillId="13" borderId="0" xfId="0" applyFont="1" applyFill="1" applyAlignment="1">
      <alignment horizontal="center"/>
    </xf>
    <xf numFmtId="0" fontId="16" fillId="11" borderId="8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/>
    </xf>
    <xf numFmtId="0" fontId="23" fillId="0" borderId="5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1" fillId="0" borderId="0" xfId="0" applyFont="1"/>
    <xf numFmtId="0" fontId="11" fillId="11" borderId="0" xfId="0" applyFont="1" applyFill="1" applyBorder="1" applyAlignment="1">
      <alignment horizontal="center"/>
    </xf>
    <xf numFmtId="0" fontId="5" fillId="3" borderId="1" xfId="0" applyFont="1" applyFill="1" applyBorder="1"/>
    <xf numFmtId="0" fontId="5" fillId="3" borderId="0" xfId="0" applyFont="1" applyFill="1"/>
    <xf numFmtId="0" fontId="14" fillId="11" borderId="1" xfId="0" applyFont="1" applyFill="1" applyBorder="1" applyAlignment="1">
      <alignment horizontal="center"/>
    </xf>
    <xf numFmtId="0" fontId="14" fillId="11" borderId="0" xfId="0" applyFont="1" applyFill="1" applyAlignment="1">
      <alignment horizontal="center"/>
    </xf>
    <xf numFmtId="14" fontId="0" fillId="11" borderId="0" xfId="0" applyNumberFormat="1" applyFill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58" fillId="8" borderId="0" xfId="0" applyFont="1" applyFill="1" applyAlignment="1">
      <alignment horizontal="center"/>
    </xf>
    <xf numFmtId="14" fontId="5" fillId="9" borderId="7" xfId="0" quotePrefix="1" applyNumberFormat="1" applyFont="1" applyFill="1" applyBorder="1" applyAlignment="1">
      <alignment horizontal="center"/>
    </xf>
    <xf numFmtId="0" fontId="12" fillId="9" borderId="4" xfId="0" applyFont="1" applyFill="1" applyBorder="1" applyAlignment="1">
      <alignment horizontal="center"/>
    </xf>
    <xf numFmtId="0" fontId="12" fillId="9" borderId="0" xfId="0" applyFont="1" applyFill="1" applyAlignment="1">
      <alignment horizontal="center"/>
    </xf>
    <xf numFmtId="14" fontId="2" fillId="2" borderId="7" xfId="0" applyNumberFormat="1" applyFont="1" applyFill="1" applyBorder="1" applyAlignment="1">
      <alignment horizontal="center"/>
    </xf>
    <xf numFmtId="0" fontId="2" fillId="15" borderId="1" xfId="0" applyFont="1" applyFill="1" applyBorder="1"/>
    <xf numFmtId="14" fontId="2" fillId="15" borderId="1" xfId="0" applyNumberFormat="1" applyFont="1" applyFill="1" applyBorder="1" applyAlignment="1">
      <alignment horizontal="center"/>
    </xf>
    <xf numFmtId="14" fontId="2" fillId="15" borderId="7" xfId="0" applyNumberFormat="1" applyFont="1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15" borderId="0" xfId="0" applyFill="1"/>
    <xf numFmtId="0" fontId="11" fillId="15" borderId="4" xfId="0" applyFont="1" applyFill="1" applyBorder="1" applyAlignment="1">
      <alignment horizontal="center"/>
    </xf>
    <xf numFmtId="0" fontId="11" fillId="15" borderId="0" xfId="0" applyFont="1" applyFill="1" applyAlignment="1">
      <alignment horizontal="center"/>
    </xf>
    <xf numFmtId="0" fontId="2" fillId="15" borderId="1" xfId="2" applyFont="1" applyFill="1" applyBorder="1"/>
    <xf numFmtId="14" fontId="0" fillId="15" borderId="1" xfId="0" applyNumberFormat="1" applyFill="1" applyBorder="1" applyAlignment="1">
      <alignment horizontal="center"/>
    </xf>
    <xf numFmtId="14" fontId="0" fillId="15" borderId="7" xfId="0" quotePrefix="1" applyNumberFormat="1" applyFill="1" applyBorder="1" applyAlignment="1">
      <alignment horizontal="center"/>
    </xf>
    <xf numFmtId="0" fontId="16" fillId="15" borderId="0" xfId="0" applyFont="1" applyFill="1" applyAlignment="1">
      <alignment horizontal="center"/>
    </xf>
    <xf numFmtId="14" fontId="0" fillId="15" borderId="7" xfId="0" applyNumberFormat="1" applyFill="1" applyBorder="1" applyAlignment="1">
      <alignment horizontal="center"/>
    </xf>
    <xf numFmtId="14" fontId="0" fillId="15" borderId="3" xfId="0" applyNumberFormat="1" applyFill="1" applyBorder="1" applyAlignment="1">
      <alignment horizontal="center"/>
    </xf>
    <xf numFmtId="14" fontId="0" fillId="15" borderId="9" xfId="0" applyNumberFormat="1" applyFill="1" applyBorder="1" applyAlignment="1">
      <alignment horizontal="center"/>
    </xf>
    <xf numFmtId="0" fontId="2" fillId="15" borderId="7" xfId="2" applyFont="1" applyFill="1" applyBorder="1"/>
    <xf numFmtId="14" fontId="0" fillId="15" borderId="10" xfId="0" applyNumberFormat="1" applyFill="1" applyBorder="1" applyAlignment="1">
      <alignment horizontal="center"/>
    </xf>
    <xf numFmtId="0" fontId="0" fillId="3" borderId="4" xfId="0" applyFill="1" applyBorder="1"/>
    <xf numFmtId="0" fontId="5" fillId="9" borderId="1" xfId="0" applyFont="1" applyFill="1" applyBorder="1" applyAlignment="1">
      <alignment horizontal="center"/>
    </xf>
    <xf numFmtId="0" fontId="5" fillId="9" borderId="3" xfId="0" applyFont="1" applyFill="1" applyBorder="1"/>
    <xf numFmtId="14" fontId="5" fillId="9" borderId="1" xfId="0" applyNumberFormat="1" applyFont="1" applyFill="1" applyBorder="1"/>
    <xf numFmtId="14" fontId="5" fillId="9" borderId="1" xfId="0" applyNumberFormat="1" applyFont="1" applyFill="1" applyBorder="1" applyAlignment="1">
      <alignment horizontal="right"/>
    </xf>
    <xf numFmtId="14" fontId="2" fillId="9" borderId="1" xfId="0" applyNumberFormat="1" applyFont="1" applyFill="1" applyBorder="1" applyAlignment="1">
      <alignment horizontal="right"/>
    </xf>
    <xf numFmtId="0" fontId="2" fillId="9" borderId="0" xfId="0" applyFont="1" applyFill="1"/>
    <xf numFmtId="14" fontId="2" fillId="9" borderId="1" xfId="0" applyNumberFormat="1" applyFont="1" applyFill="1" applyBorder="1"/>
    <xf numFmtId="0" fontId="2" fillId="9" borderId="2" xfId="0" applyFont="1" applyFill="1" applyBorder="1"/>
    <xf numFmtId="0" fontId="2" fillId="9" borderId="3" xfId="0" applyFont="1" applyFill="1" applyBorder="1"/>
    <xf numFmtId="0" fontId="5" fillId="9" borderId="6" xfId="0" applyFont="1" applyFill="1" applyBorder="1"/>
    <xf numFmtId="4" fontId="5" fillId="9" borderId="1" xfId="0" applyNumberFormat="1" applyFont="1" applyFill="1" applyBorder="1"/>
    <xf numFmtId="14" fontId="2" fillId="11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1" fontId="2" fillId="2" borderId="1" xfId="0" applyNumberFormat="1" applyFont="1" applyFill="1" applyBorder="1" applyAlignment="1">
      <alignment horizontal="left"/>
    </xf>
    <xf numFmtId="0" fontId="2" fillId="9" borderId="1" xfId="0" quotePrefix="1" applyFont="1" applyFill="1" applyBorder="1" applyAlignment="1">
      <alignment horizontal="left"/>
    </xf>
    <xf numFmtId="0" fontId="45" fillId="9" borderId="0" xfId="0" applyFont="1" applyFill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0" fillId="0" borderId="4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1" fillId="0" borderId="7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0" fillId="0" borderId="0" xfId="0" applyFill="1" applyBorder="1"/>
    <xf numFmtId="0" fontId="11" fillId="0" borderId="7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0" fillId="0" borderId="1" xfId="0" applyFill="1" applyBorder="1"/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3" borderId="1" xfId="0" applyFont="1" applyFill="1" applyBorder="1"/>
    <xf numFmtId="0" fontId="49" fillId="0" borderId="0" xfId="0" applyFont="1" applyBorder="1" applyAlignment="1">
      <alignment horizontal="left"/>
    </xf>
    <xf numFmtId="0" fontId="49" fillId="0" borderId="0" xfId="0" applyFont="1" applyBorder="1"/>
    <xf numFmtId="14" fontId="49" fillId="0" borderId="0" xfId="0" quotePrefix="1" applyNumberFormat="1" applyFont="1" applyBorder="1" applyAlignment="1">
      <alignment horizontal="center"/>
    </xf>
    <xf numFmtId="0" fontId="49" fillId="0" borderId="0" xfId="0" quotePrefix="1" applyFont="1" applyBorder="1" applyAlignment="1">
      <alignment horizontal="center"/>
    </xf>
    <xf numFmtId="43" fontId="49" fillId="0" borderId="0" xfId="7" applyFont="1" applyFill="1" applyBorder="1"/>
    <xf numFmtId="43" fontId="47" fillId="0" borderId="0" xfId="9" applyFont="1" applyFill="1" applyBorder="1" applyAlignment="1">
      <alignment horizontal="right"/>
    </xf>
    <xf numFmtId="0" fontId="49" fillId="0" borderId="0" xfId="0" applyFont="1" applyBorder="1" applyAlignment="1">
      <alignment horizontal="center"/>
    </xf>
    <xf numFmtId="9" fontId="49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47" fillId="0" borderId="0" xfId="0" applyFont="1" applyBorder="1"/>
    <xf numFmtId="0" fontId="5" fillId="0" borderId="0" xfId="0" applyFont="1" applyBorder="1" applyAlignment="1">
      <alignment horizontal="left"/>
    </xf>
    <xf numFmtId="0" fontId="59" fillId="0" borderId="4" xfId="0" applyFont="1" applyBorder="1"/>
    <xf numFmtId="0" fontId="22" fillId="0" borderId="14" xfId="0" applyFont="1" applyBorder="1"/>
    <xf numFmtId="0" fontId="0" fillId="0" borderId="19" xfId="0" applyBorder="1" applyAlignment="1">
      <alignment horizontal="center" vertical="center"/>
    </xf>
    <xf numFmtId="0" fontId="0" fillId="4" borderId="8" xfId="0" applyFill="1" applyBorder="1" applyAlignment="1">
      <alignment horizontal="left"/>
    </xf>
    <xf numFmtId="0" fontId="0" fillId="4" borderId="8" xfId="0" applyFill="1" applyBorder="1"/>
    <xf numFmtId="0" fontId="0" fillId="3" borderId="8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2" fillId="3" borderId="14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60" fillId="0" borderId="1" xfId="0" applyFont="1" applyBorder="1"/>
    <xf numFmtId="0" fontId="0" fillId="4" borderId="18" xfId="0" applyFill="1" applyBorder="1" applyAlignment="1">
      <alignment vertical="center"/>
    </xf>
    <xf numFmtId="0" fontId="0" fillId="4" borderId="1" xfId="0" applyFill="1" applyBorder="1"/>
    <xf numFmtId="0" fontId="24" fillId="4" borderId="1" xfId="0" applyFont="1" applyFill="1" applyBorder="1"/>
    <xf numFmtId="0" fontId="0" fillId="3" borderId="0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11" fillId="0" borderId="1" xfId="0" applyFont="1" applyBorder="1"/>
    <xf numFmtId="0" fontId="0" fillId="0" borderId="20" xfId="0" applyBorder="1" applyAlignment="1">
      <alignment horizontal="right"/>
    </xf>
    <xf numFmtId="0" fontId="6" fillId="0" borderId="37" xfId="0" applyFont="1" applyBorder="1" applyAlignment="1">
      <alignment vertical="center" wrapText="1"/>
    </xf>
    <xf numFmtId="0" fontId="6" fillId="0" borderId="44" xfId="0" applyFont="1" applyBorder="1" applyAlignment="1">
      <alignment vertical="center" wrapText="1"/>
    </xf>
    <xf numFmtId="0" fontId="10" fillId="0" borderId="0" xfId="0" applyFont="1"/>
    <xf numFmtId="0" fontId="10" fillId="16" borderId="2" xfId="0" applyFont="1" applyFill="1" applyBorder="1" applyAlignment="1">
      <alignment horizontal="left"/>
    </xf>
    <xf numFmtId="0" fontId="10" fillId="16" borderId="4" xfId="0" applyFont="1" applyFill="1" applyBorder="1" applyAlignment="1">
      <alignment horizontal="left"/>
    </xf>
    <xf numFmtId="0" fontId="11" fillId="0" borderId="10" xfId="0" applyFont="1" applyBorder="1"/>
    <xf numFmtId="0" fontId="11" fillId="0" borderId="20" xfId="0" applyFont="1" applyBorder="1"/>
    <xf numFmtId="0" fontId="0" fillId="0" borderId="28" xfId="0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39" fillId="0" borderId="1" xfId="0" applyFont="1" applyBorder="1" applyAlignment="1">
      <alignment horizontal="center"/>
    </xf>
    <xf numFmtId="0" fontId="6" fillId="0" borderId="45" xfId="0" applyFont="1" applyBorder="1" applyAlignment="1">
      <alignment vertical="center" wrapText="1"/>
    </xf>
    <xf numFmtId="0" fontId="6" fillId="0" borderId="46" xfId="0" applyFont="1" applyBorder="1" applyAlignment="1">
      <alignment vertical="center" wrapText="1"/>
    </xf>
    <xf numFmtId="0" fontId="0" fillId="0" borderId="4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1" fillId="17" borderId="4" xfId="0" applyFont="1" applyFill="1" applyBorder="1" applyAlignment="1">
      <alignment horizontal="center"/>
    </xf>
    <xf numFmtId="0" fontId="11" fillId="18" borderId="4" xfId="0" applyFont="1" applyFill="1" applyBorder="1" applyAlignment="1">
      <alignment horizontal="center"/>
    </xf>
    <xf numFmtId="0" fontId="11" fillId="17" borderId="10" xfId="0" applyFont="1" applyFill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0" fillId="17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61" fillId="18" borderId="14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0" fillId="0" borderId="1" xfId="0" applyFont="1" applyFill="1" applyBorder="1"/>
    <xf numFmtId="0" fontId="6" fillId="8" borderId="44" xfId="0" applyFont="1" applyFill="1" applyBorder="1" applyAlignment="1">
      <alignment horizontal="center" vertical="center" wrapText="1"/>
    </xf>
    <xf numFmtId="14" fontId="2" fillId="8" borderId="0" xfId="0" applyNumberFormat="1" applyFont="1" applyFill="1" applyBorder="1" applyAlignment="1">
      <alignment horizontal="center"/>
    </xf>
    <xf numFmtId="0" fontId="5" fillId="0" borderId="6" xfId="0" applyFont="1" applyFill="1" applyBorder="1"/>
    <xf numFmtId="0" fontId="45" fillId="0" borderId="6" xfId="0" applyFont="1" applyFill="1" applyBorder="1" applyAlignment="1">
      <alignment horizontal="left"/>
    </xf>
    <xf numFmtId="43" fontId="45" fillId="8" borderId="1" xfId="8" applyFont="1" applyFill="1" applyBorder="1"/>
    <xf numFmtId="0" fontId="45" fillId="8" borderId="1" xfId="0" applyFont="1" applyFill="1" applyBorder="1"/>
    <xf numFmtId="9" fontId="48" fillId="8" borderId="1" xfId="0" applyNumberFormat="1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</cellXfs>
  <cellStyles count="10">
    <cellStyle name="Comma" xfId="4" builtinId="3"/>
    <cellStyle name="Comma 2" xfId="7" xr:uid="{76E3F026-A9DF-4499-8FB2-3C2FB3CE7E08}"/>
    <cellStyle name="Comma 2 3" xfId="8" xr:uid="{54080626-6943-4DA4-BBC5-944D8ED6A8E7}"/>
    <cellStyle name="Comma 3" xfId="6" xr:uid="{17E46DF1-733C-40D2-AA96-4DFB98650E45}"/>
    <cellStyle name="Comma 4" xfId="9" xr:uid="{24C1075D-0FA5-4D5C-B28F-779C41037984}"/>
    <cellStyle name="Hyperlink" xfId="3" xr:uid="{00000000-000B-0000-0000-000008000000}"/>
    <cellStyle name="Normal" xfId="0" builtinId="0"/>
    <cellStyle name="Normal 19" xfId="2" xr:uid="{31CFBE22-3975-4723-9A55-DBF47D31EE8A}"/>
    <cellStyle name="Normal 2" xfId="1" xr:uid="{43F638EB-9606-452A-B4EC-25017AE9CE68}"/>
    <cellStyle name="Normal 5" xfId="5" xr:uid="{7AAE05BE-22A6-4522-B662-C6CC63F3DF34}"/>
  </cellStyles>
  <dxfs count="8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1D6B9-33AC-4F29-B190-EA9488A606B6}">
  <sheetPr>
    <tabColor rgb="FFFFFF00"/>
  </sheetPr>
  <dimension ref="B1:I486"/>
  <sheetViews>
    <sheetView topLeftCell="A260" workbookViewId="0">
      <selection activeCell="A299" sqref="A299:XFD299"/>
    </sheetView>
  </sheetViews>
  <sheetFormatPr defaultRowHeight="14.5" x14ac:dyDescent="0.35"/>
  <cols>
    <col min="2" max="2" width="37.1796875" bestFit="1" customWidth="1"/>
    <col min="3" max="3" width="16.453125" customWidth="1"/>
    <col min="4" max="4" width="10.1796875" bestFit="1" customWidth="1"/>
    <col min="5" max="5" width="34.1796875" style="6" customWidth="1"/>
    <col min="6" max="6" width="14.453125" style="6" bestFit="1" customWidth="1"/>
    <col min="7" max="7" width="11" bestFit="1" customWidth="1"/>
    <col min="8" max="8" width="30.36328125" customWidth="1"/>
    <col min="9" max="9" width="27.26953125" customWidth="1"/>
  </cols>
  <sheetData>
    <row r="1" spans="2:9" x14ac:dyDescent="0.35">
      <c r="B1" s="13" t="s">
        <v>0</v>
      </c>
      <c r="C1" s="13" t="s">
        <v>1</v>
      </c>
      <c r="D1" s="28" t="s">
        <v>2</v>
      </c>
      <c r="E1" s="29" t="s">
        <v>3</v>
      </c>
      <c r="F1" s="26" t="s">
        <v>3480</v>
      </c>
      <c r="H1" s="796" t="s">
        <v>6235</v>
      </c>
      <c r="I1" s="796"/>
    </row>
    <row r="2" spans="2:9" s="587" customFormat="1" x14ac:dyDescent="0.35">
      <c r="B2" s="596" t="s">
        <v>4</v>
      </c>
      <c r="C2" s="583" t="s">
        <v>5</v>
      </c>
      <c r="D2" s="599" t="s">
        <v>6</v>
      </c>
      <c r="E2" s="590" t="s">
        <v>3475</v>
      </c>
      <c r="F2" s="586" t="s">
        <v>3479</v>
      </c>
      <c r="H2" s="796" t="s">
        <v>6236</v>
      </c>
      <c r="I2" s="796" t="s">
        <v>6435</v>
      </c>
    </row>
    <row r="3" spans="2:9" s="587" customFormat="1" x14ac:dyDescent="0.35">
      <c r="B3" s="596" t="s">
        <v>7</v>
      </c>
      <c r="C3" s="583" t="s">
        <v>8</v>
      </c>
      <c r="D3" s="584" t="s">
        <v>6</v>
      </c>
      <c r="E3" s="590" t="s">
        <v>3475</v>
      </c>
      <c r="F3" s="586" t="s">
        <v>3479</v>
      </c>
      <c r="H3" s="796" t="s">
        <v>6239</v>
      </c>
      <c r="I3" s="796"/>
    </row>
    <row r="4" spans="2:9" s="587" customFormat="1" x14ac:dyDescent="0.35">
      <c r="B4" s="582" t="s">
        <v>9</v>
      </c>
      <c r="C4" s="583" t="s">
        <v>10</v>
      </c>
      <c r="D4" s="584" t="s">
        <v>6</v>
      </c>
      <c r="E4" s="590" t="s">
        <v>3475</v>
      </c>
      <c r="F4" s="586" t="s">
        <v>3479</v>
      </c>
      <c r="H4" s="796" t="s">
        <v>6240</v>
      </c>
      <c r="I4" s="796"/>
    </row>
    <row r="5" spans="2:9" s="587" customFormat="1" x14ac:dyDescent="0.35">
      <c r="B5" s="582" t="s">
        <v>9</v>
      </c>
      <c r="C5" s="583" t="s">
        <v>11</v>
      </c>
      <c r="D5" s="584" t="s">
        <v>6</v>
      </c>
      <c r="E5" s="590" t="s">
        <v>3475</v>
      </c>
      <c r="F5" s="586" t="s">
        <v>3479</v>
      </c>
      <c r="H5" s="796" t="s">
        <v>6238</v>
      </c>
      <c r="I5" s="796"/>
    </row>
    <row r="6" spans="2:9" s="587" customFormat="1" x14ac:dyDescent="0.35">
      <c r="B6" s="582" t="s">
        <v>9</v>
      </c>
      <c r="C6" s="583" t="s">
        <v>12</v>
      </c>
      <c r="D6" s="584" t="s">
        <v>6</v>
      </c>
      <c r="E6" s="585" t="s">
        <v>6128</v>
      </c>
      <c r="F6" s="586" t="s">
        <v>3479</v>
      </c>
      <c r="H6" s="796"/>
      <c r="I6" s="796"/>
    </row>
    <row r="7" spans="2:9" s="587" customFormat="1" x14ac:dyDescent="0.35">
      <c r="B7" s="582" t="s">
        <v>9</v>
      </c>
      <c r="C7" s="583" t="s">
        <v>13</v>
      </c>
      <c r="D7" s="584" t="s">
        <v>6</v>
      </c>
      <c r="E7" s="590" t="s">
        <v>3475</v>
      </c>
      <c r="F7" s="586" t="s">
        <v>3479</v>
      </c>
      <c r="H7" s="796"/>
      <c r="I7" s="796"/>
    </row>
    <row r="8" spans="2:9" s="580" customFormat="1" x14ac:dyDescent="0.35">
      <c r="B8" s="557" t="s">
        <v>14</v>
      </c>
      <c r="C8" s="558" t="s">
        <v>15</v>
      </c>
      <c r="D8" s="649" t="s">
        <v>16</v>
      </c>
      <c r="E8" s="578" t="s">
        <v>2617</v>
      </c>
      <c r="F8" s="579" t="s">
        <v>3479</v>
      </c>
    </row>
    <row r="9" spans="2:9" s="587" customFormat="1" x14ac:dyDescent="0.35">
      <c r="B9" s="596" t="s">
        <v>14</v>
      </c>
      <c r="C9" s="583" t="s">
        <v>17</v>
      </c>
      <c r="D9" s="584" t="s">
        <v>16</v>
      </c>
      <c r="E9" s="590" t="s">
        <v>3475</v>
      </c>
      <c r="F9" s="586" t="s">
        <v>3479</v>
      </c>
    </row>
    <row r="10" spans="2:9" s="580" customFormat="1" x14ac:dyDescent="0.35">
      <c r="B10" s="557" t="s">
        <v>14</v>
      </c>
      <c r="C10" s="558" t="s">
        <v>18</v>
      </c>
      <c r="D10" s="581" t="s">
        <v>16</v>
      </c>
      <c r="E10" s="578" t="s">
        <v>2617</v>
      </c>
      <c r="F10" s="579" t="s">
        <v>3479</v>
      </c>
    </row>
    <row r="11" spans="2:9" s="587" customFormat="1" x14ac:dyDescent="0.35">
      <c r="B11" s="596" t="s">
        <v>19</v>
      </c>
      <c r="C11" s="583" t="s">
        <v>20</v>
      </c>
      <c r="D11" s="584" t="s">
        <v>16</v>
      </c>
      <c r="E11" s="590" t="s">
        <v>3475</v>
      </c>
      <c r="F11" s="586" t="s">
        <v>3479</v>
      </c>
    </row>
    <row r="12" spans="2:9" s="587" customFormat="1" x14ac:dyDescent="0.35">
      <c r="B12" s="596" t="s">
        <v>19</v>
      </c>
      <c r="C12" s="583" t="s">
        <v>21</v>
      </c>
      <c r="D12" s="584" t="s">
        <v>16</v>
      </c>
      <c r="E12" s="590" t="s">
        <v>3475</v>
      </c>
      <c r="F12" s="586" t="s">
        <v>3479</v>
      </c>
    </row>
    <row r="13" spans="2:9" s="587" customFormat="1" x14ac:dyDescent="0.35">
      <c r="B13" s="596" t="s">
        <v>22</v>
      </c>
      <c r="C13" s="583" t="s">
        <v>23</v>
      </c>
      <c r="D13" s="584" t="s">
        <v>16</v>
      </c>
      <c r="E13" s="590" t="s">
        <v>3475</v>
      </c>
      <c r="F13" s="586" t="s">
        <v>3479</v>
      </c>
    </row>
    <row r="14" spans="2:9" s="587" customFormat="1" x14ac:dyDescent="0.35">
      <c r="B14" s="596" t="s">
        <v>22</v>
      </c>
      <c r="C14" s="583" t="s">
        <v>24</v>
      </c>
      <c r="D14" s="584" t="s">
        <v>16</v>
      </c>
      <c r="E14" s="590" t="s">
        <v>3475</v>
      </c>
      <c r="F14" s="586" t="s">
        <v>3479</v>
      </c>
    </row>
    <row r="15" spans="2:9" s="587" customFormat="1" x14ac:dyDescent="0.35">
      <c r="B15" s="588" t="s">
        <v>25</v>
      </c>
      <c r="C15" s="583" t="s">
        <v>26</v>
      </c>
      <c r="D15" s="775" t="s">
        <v>27</v>
      </c>
      <c r="E15" s="776" t="s">
        <v>3475</v>
      </c>
      <c r="F15" s="777" t="s">
        <v>3479</v>
      </c>
    </row>
    <row r="16" spans="2:9" s="587" customFormat="1" x14ac:dyDescent="0.35">
      <c r="B16" s="588" t="s">
        <v>25</v>
      </c>
      <c r="C16" s="583" t="s">
        <v>28</v>
      </c>
      <c r="D16" s="589" t="s">
        <v>27</v>
      </c>
      <c r="E16" s="590" t="s">
        <v>3475</v>
      </c>
      <c r="F16" s="586" t="s">
        <v>3479</v>
      </c>
    </row>
    <row r="17" spans="2:6" s="580" customFormat="1" x14ac:dyDescent="0.35">
      <c r="B17" s="560" t="s">
        <v>25</v>
      </c>
      <c r="C17" s="558" t="s">
        <v>29</v>
      </c>
      <c r="D17" s="640" t="s">
        <v>27</v>
      </c>
      <c r="E17" s="578" t="s">
        <v>2617</v>
      </c>
      <c r="F17" s="579" t="s">
        <v>3479</v>
      </c>
    </row>
    <row r="18" spans="2:6" s="587" customFormat="1" x14ac:dyDescent="0.35">
      <c r="B18" s="588" t="s">
        <v>25</v>
      </c>
      <c r="C18" s="583" t="s">
        <v>30</v>
      </c>
      <c r="D18" s="589" t="s">
        <v>27</v>
      </c>
      <c r="E18" s="590" t="s">
        <v>6222</v>
      </c>
      <c r="F18" s="586" t="s">
        <v>3479</v>
      </c>
    </row>
    <row r="19" spans="2:6" s="587" customFormat="1" x14ac:dyDescent="0.35">
      <c r="B19" s="588" t="s">
        <v>25</v>
      </c>
      <c r="C19" s="583" t="s">
        <v>31</v>
      </c>
      <c r="D19" s="589" t="s">
        <v>27</v>
      </c>
      <c r="E19" s="590" t="s">
        <v>6129</v>
      </c>
      <c r="F19" s="586" t="s">
        <v>3479</v>
      </c>
    </row>
    <row r="20" spans="2:6" s="580" customFormat="1" x14ac:dyDescent="0.35">
      <c r="B20" s="560" t="s">
        <v>25</v>
      </c>
      <c r="C20" s="774" t="s">
        <v>6227</v>
      </c>
      <c r="D20" s="640" t="s">
        <v>27</v>
      </c>
      <c r="E20" s="578" t="s">
        <v>6228</v>
      </c>
      <c r="F20" s="579"/>
    </row>
    <row r="21" spans="2:6" s="580" customFormat="1" x14ac:dyDescent="0.35">
      <c r="B21" s="560" t="s">
        <v>25</v>
      </c>
      <c r="C21" s="558" t="s">
        <v>32</v>
      </c>
      <c r="D21" s="640" t="s">
        <v>27</v>
      </c>
      <c r="E21" s="578" t="s">
        <v>33</v>
      </c>
      <c r="F21" s="579" t="s">
        <v>3479</v>
      </c>
    </row>
    <row r="22" spans="2:6" s="587" customFormat="1" x14ac:dyDescent="0.35">
      <c r="B22" s="588" t="s">
        <v>25</v>
      </c>
      <c r="C22" s="583" t="s">
        <v>34</v>
      </c>
      <c r="D22" s="589" t="s">
        <v>27</v>
      </c>
      <c r="E22" s="590" t="s">
        <v>3475</v>
      </c>
      <c r="F22" s="586" t="s">
        <v>3479</v>
      </c>
    </row>
    <row r="23" spans="2:6" s="587" customFormat="1" x14ac:dyDescent="0.35">
      <c r="B23" s="588" t="s">
        <v>25</v>
      </c>
      <c r="C23" s="583" t="s">
        <v>35</v>
      </c>
      <c r="D23" s="589" t="s">
        <v>27</v>
      </c>
      <c r="E23" s="590" t="s">
        <v>3475</v>
      </c>
      <c r="F23" s="586" t="s">
        <v>3479</v>
      </c>
    </row>
    <row r="24" spans="2:6" s="587" customFormat="1" x14ac:dyDescent="0.35">
      <c r="B24" s="588" t="s">
        <v>25</v>
      </c>
      <c r="C24" s="583" t="s">
        <v>36</v>
      </c>
      <c r="D24" s="589" t="s">
        <v>27</v>
      </c>
      <c r="E24" s="590" t="s">
        <v>3475</v>
      </c>
      <c r="F24" s="586" t="s">
        <v>3479</v>
      </c>
    </row>
    <row r="25" spans="2:6" s="587" customFormat="1" x14ac:dyDescent="0.35">
      <c r="B25" s="588" t="s">
        <v>37</v>
      </c>
      <c r="C25" s="583" t="s">
        <v>38</v>
      </c>
      <c r="D25" s="589" t="s">
        <v>27</v>
      </c>
      <c r="E25" s="590" t="s">
        <v>3475</v>
      </c>
      <c r="F25" s="586" t="s">
        <v>3479</v>
      </c>
    </row>
    <row r="26" spans="2:6" s="587" customFormat="1" x14ac:dyDescent="0.35">
      <c r="B26" s="588" t="s">
        <v>37</v>
      </c>
      <c r="C26" s="583" t="s">
        <v>39</v>
      </c>
      <c r="D26" s="589" t="s">
        <v>27</v>
      </c>
      <c r="E26" s="590" t="s">
        <v>3475</v>
      </c>
      <c r="F26" s="586" t="s">
        <v>3479</v>
      </c>
    </row>
    <row r="27" spans="2:6" s="587" customFormat="1" x14ac:dyDescent="0.35">
      <c r="B27" s="588" t="s">
        <v>37</v>
      </c>
      <c r="C27" s="591" t="s">
        <v>40</v>
      </c>
      <c r="D27" s="589" t="s">
        <v>27</v>
      </c>
      <c r="E27" s="590" t="s">
        <v>3475</v>
      </c>
      <c r="F27" s="586" t="s">
        <v>3479</v>
      </c>
    </row>
    <row r="28" spans="2:6" s="580" customFormat="1" x14ac:dyDescent="0.35">
      <c r="B28" s="560" t="s">
        <v>37</v>
      </c>
      <c r="C28" s="570" t="s">
        <v>41</v>
      </c>
      <c r="D28" s="640" t="s">
        <v>27</v>
      </c>
      <c r="E28" s="578" t="s">
        <v>42</v>
      </c>
      <c r="F28" s="579" t="s">
        <v>3479</v>
      </c>
    </row>
    <row r="29" spans="2:6" s="580" customFormat="1" x14ac:dyDescent="0.35">
      <c r="B29" s="560" t="s">
        <v>37</v>
      </c>
      <c r="C29" s="639" t="s">
        <v>6121</v>
      </c>
      <c r="D29" s="640" t="s">
        <v>27</v>
      </c>
      <c r="E29" s="578" t="s">
        <v>1664</v>
      </c>
      <c r="F29" s="579"/>
    </row>
    <row r="30" spans="2:6" s="580" customFormat="1" x14ac:dyDescent="0.35">
      <c r="B30" s="560" t="s">
        <v>37</v>
      </c>
      <c r="C30" s="570" t="s">
        <v>43</v>
      </c>
      <c r="D30" s="640" t="s">
        <v>27</v>
      </c>
      <c r="E30" s="578" t="s">
        <v>2617</v>
      </c>
      <c r="F30" s="579" t="s">
        <v>3479</v>
      </c>
    </row>
    <row r="31" spans="2:6" s="580" customFormat="1" x14ac:dyDescent="0.35">
      <c r="B31" s="560" t="s">
        <v>37</v>
      </c>
      <c r="C31" s="563" t="s">
        <v>6125</v>
      </c>
      <c r="D31" s="640" t="s">
        <v>27</v>
      </c>
      <c r="E31" s="578" t="s">
        <v>1664</v>
      </c>
      <c r="F31" s="579"/>
    </row>
    <row r="32" spans="2:6" s="587" customFormat="1" x14ac:dyDescent="0.35">
      <c r="B32" s="596" t="s">
        <v>44</v>
      </c>
      <c r="C32" s="583" t="s">
        <v>45</v>
      </c>
      <c r="D32" s="599" t="s">
        <v>46</v>
      </c>
      <c r="E32" s="590" t="s">
        <v>6176</v>
      </c>
      <c r="F32" s="586" t="s">
        <v>3479</v>
      </c>
    </row>
    <row r="33" spans="2:6" s="587" customFormat="1" x14ac:dyDescent="0.35">
      <c r="B33" s="596" t="s">
        <v>44</v>
      </c>
      <c r="C33" s="583" t="s">
        <v>47</v>
      </c>
      <c r="D33" s="584" t="s">
        <v>46</v>
      </c>
      <c r="E33" s="590" t="s">
        <v>6175</v>
      </c>
      <c r="F33" s="586" t="s">
        <v>3479</v>
      </c>
    </row>
    <row r="34" spans="2:6" s="587" customFormat="1" x14ac:dyDescent="0.35">
      <c r="B34" s="596" t="s">
        <v>44</v>
      </c>
      <c r="C34" s="583" t="s">
        <v>48</v>
      </c>
      <c r="D34" s="584" t="s">
        <v>46</v>
      </c>
      <c r="E34" s="590" t="s">
        <v>6130</v>
      </c>
      <c r="F34" s="586" t="s">
        <v>3479</v>
      </c>
    </row>
    <row r="35" spans="2:6" s="587" customFormat="1" x14ac:dyDescent="0.35">
      <c r="B35" s="596" t="s">
        <v>44</v>
      </c>
      <c r="C35" s="583" t="s">
        <v>49</v>
      </c>
      <c r="D35" s="584" t="s">
        <v>46</v>
      </c>
      <c r="E35" s="590" t="s">
        <v>3475</v>
      </c>
      <c r="F35" s="586" t="s">
        <v>3479</v>
      </c>
    </row>
    <row r="36" spans="2:6" s="580" customFormat="1" x14ac:dyDescent="0.35">
      <c r="B36" s="557" t="s">
        <v>44</v>
      </c>
      <c r="C36" s="558" t="s">
        <v>50</v>
      </c>
      <c r="D36" s="581" t="s">
        <v>46</v>
      </c>
      <c r="E36" s="578" t="s">
        <v>42</v>
      </c>
      <c r="F36" s="579" t="s">
        <v>3479</v>
      </c>
    </row>
    <row r="37" spans="2:6" s="580" customFormat="1" x14ac:dyDescent="0.35">
      <c r="B37" s="557" t="s">
        <v>44</v>
      </c>
      <c r="C37" s="558" t="s">
        <v>51</v>
      </c>
      <c r="D37" s="581" t="s">
        <v>46</v>
      </c>
      <c r="E37" s="578" t="s">
        <v>6434</v>
      </c>
      <c r="F37" s="579" t="s">
        <v>3479</v>
      </c>
    </row>
    <row r="38" spans="2:6" s="587" customFormat="1" x14ac:dyDescent="0.35">
      <c r="B38" s="596" t="s">
        <v>52</v>
      </c>
      <c r="C38" s="583" t="s">
        <v>53</v>
      </c>
      <c r="D38" s="584" t="s">
        <v>46</v>
      </c>
      <c r="E38" s="590" t="s">
        <v>3475</v>
      </c>
      <c r="F38" s="586" t="s">
        <v>3479</v>
      </c>
    </row>
    <row r="39" spans="2:6" s="587" customFormat="1" x14ac:dyDescent="0.35">
      <c r="B39" s="596" t="s">
        <v>52</v>
      </c>
      <c r="C39" s="583" t="s">
        <v>54</v>
      </c>
      <c r="D39" s="584" t="s">
        <v>46</v>
      </c>
      <c r="E39" s="590" t="s">
        <v>3475</v>
      </c>
      <c r="F39" s="586" t="s">
        <v>3479</v>
      </c>
    </row>
    <row r="40" spans="2:6" s="580" customFormat="1" x14ac:dyDescent="0.35">
      <c r="B40" s="557" t="s">
        <v>55</v>
      </c>
      <c r="C40" s="558" t="s">
        <v>56</v>
      </c>
      <c r="D40" s="581" t="s">
        <v>46</v>
      </c>
      <c r="E40" s="578" t="s">
        <v>2617</v>
      </c>
      <c r="F40" s="579" t="s">
        <v>3479</v>
      </c>
    </row>
    <row r="41" spans="2:6" s="580" customFormat="1" x14ac:dyDescent="0.35">
      <c r="B41" s="557" t="s">
        <v>55</v>
      </c>
      <c r="C41" s="558" t="s">
        <v>210</v>
      </c>
      <c r="D41" s="581" t="s">
        <v>197</v>
      </c>
      <c r="E41" s="578" t="s">
        <v>211</v>
      </c>
      <c r="F41" s="579" t="s">
        <v>3479</v>
      </c>
    </row>
    <row r="42" spans="2:6" s="580" customFormat="1" x14ac:dyDescent="0.35">
      <c r="B42" s="557" t="s">
        <v>55</v>
      </c>
      <c r="C42" s="558" t="s">
        <v>208</v>
      </c>
      <c r="D42" s="581" t="s">
        <v>197</v>
      </c>
      <c r="E42" s="578" t="s">
        <v>57</v>
      </c>
      <c r="F42" s="579" t="s">
        <v>3479</v>
      </c>
    </row>
    <row r="43" spans="2:6" s="587" customFormat="1" x14ac:dyDescent="0.35">
      <c r="B43" s="596" t="s">
        <v>55</v>
      </c>
      <c r="C43" s="583" t="s">
        <v>58</v>
      </c>
      <c r="D43" s="584" t="s">
        <v>46</v>
      </c>
      <c r="E43" s="590" t="s">
        <v>3475</v>
      </c>
      <c r="F43" s="586" t="s">
        <v>3479</v>
      </c>
    </row>
    <row r="44" spans="2:6" s="587" customFormat="1" x14ac:dyDescent="0.35">
      <c r="B44" s="596" t="s">
        <v>44</v>
      </c>
      <c r="C44" s="583" t="s">
        <v>59</v>
      </c>
      <c r="D44" s="584" t="s">
        <v>46</v>
      </c>
      <c r="E44" s="590" t="s">
        <v>3475</v>
      </c>
      <c r="F44" s="586" t="s">
        <v>3479</v>
      </c>
    </row>
    <row r="45" spans="2:6" s="587" customFormat="1" x14ac:dyDescent="0.35">
      <c r="B45" s="596" t="s">
        <v>44</v>
      </c>
      <c r="C45" s="583" t="s">
        <v>60</v>
      </c>
      <c r="D45" s="584" t="s">
        <v>46</v>
      </c>
      <c r="E45" s="590" t="s">
        <v>3475</v>
      </c>
      <c r="F45" s="586" t="s">
        <v>3479</v>
      </c>
    </row>
    <row r="46" spans="2:6" s="580" customFormat="1" x14ac:dyDescent="0.35">
      <c r="B46" s="557" t="s">
        <v>44</v>
      </c>
      <c r="C46" s="558" t="s">
        <v>61</v>
      </c>
      <c r="D46" s="581" t="s">
        <v>46</v>
      </c>
      <c r="E46" s="578" t="s">
        <v>1664</v>
      </c>
      <c r="F46" s="579" t="s">
        <v>3479</v>
      </c>
    </row>
    <row r="47" spans="2:6" s="580" customFormat="1" x14ac:dyDescent="0.35">
      <c r="B47" s="557" t="s">
        <v>62</v>
      </c>
      <c r="C47" s="558" t="s">
        <v>63</v>
      </c>
      <c r="D47" s="581" t="s">
        <v>46</v>
      </c>
      <c r="E47" s="578" t="s">
        <v>64</v>
      </c>
      <c r="F47" s="579" t="s">
        <v>3479</v>
      </c>
    </row>
    <row r="48" spans="2:6" s="587" customFormat="1" x14ac:dyDescent="0.35">
      <c r="B48" s="596" t="s">
        <v>62</v>
      </c>
      <c r="C48" s="583" t="s">
        <v>65</v>
      </c>
      <c r="D48" s="584" t="s">
        <v>46</v>
      </c>
      <c r="E48" s="590" t="s">
        <v>6131</v>
      </c>
      <c r="F48" s="586" t="s">
        <v>3479</v>
      </c>
    </row>
    <row r="49" spans="2:6" s="580" customFormat="1" x14ac:dyDescent="0.35">
      <c r="B49" s="557" t="s">
        <v>62</v>
      </c>
      <c r="C49" s="558" t="s">
        <v>66</v>
      </c>
      <c r="D49" s="581">
        <v>2017</v>
      </c>
      <c r="E49" s="578" t="s">
        <v>1664</v>
      </c>
      <c r="F49" s="579" t="s">
        <v>3479</v>
      </c>
    </row>
    <row r="50" spans="2:6" s="580" customFormat="1" x14ac:dyDescent="0.35">
      <c r="B50" s="557" t="s">
        <v>62</v>
      </c>
      <c r="C50" s="558" t="s">
        <v>6123</v>
      </c>
      <c r="D50" s="581" t="s">
        <v>46</v>
      </c>
      <c r="E50" s="578" t="s">
        <v>2617</v>
      </c>
      <c r="F50" s="579" t="s">
        <v>3479</v>
      </c>
    </row>
    <row r="51" spans="2:6" s="580" customFormat="1" x14ac:dyDescent="0.35">
      <c r="B51" s="557" t="s">
        <v>62</v>
      </c>
      <c r="C51" s="563" t="s">
        <v>6127</v>
      </c>
      <c r="D51" s="581" t="s">
        <v>46</v>
      </c>
      <c r="E51" s="578" t="s">
        <v>6122</v>
      </c>
      <c r="F51" s="579"/>
    </row>
    <row r="52" spans="2:6" s="587" customFormat="1" x14ac:dyDescent="0.35">
      <c r="B52" s="596" t="s">
        <v>44</v>
      </c>
      <c r="C52" s="583" t="s">
        <v>69</v>
      </c>
      <c r="D52" s="584" t="s">
        <v>46</v>
      </c>
      <c r="E52" s="590" t="s">
        <v>3475</v>
      </c>
      <c r="F52" s="586" t="s">
        <v>3479</v>
      </c>
    </row>
    <row r="53" spans="2:6" s="587" customFormat="1" x14ac:dyDescent="0.35">
      <c r="B53" s="596" t="s">
        <v>44</v>
      </c>
      <c r="C53" s="583" t="s">
        <v>70</v>
      </c>
      <c r="D53" s="584" t="s">
        <v>46</v>
      </c>
      <c r="E53" s="590" t="s">
        <v>6174</v>
      </c>
      <c r="F53" s="586" t="s">
        <v>3479</v>
      </c>
    </row>
    <row r="54" spans="2:6" s="587" customFormat="1" x14ac:dyDescent="0.35">
      <c r="B54" s="596" t="s">
        <v>44</v>
      </c>
      <c r="C54" s="583" t="s">
        <v>71</v>
      </c>
      <c r="D54" s="584" t="s">
        <v>46</v>
      </c>
      <c r="E54" s="590" t="s">
        <v>6223</v>
      </c>
      <c r="F54" s="586" t="s">
        <v>3479</v>
      </c>
    </row>
    <row r="55" spans="2:6" s="580" customFormat="1" x14ac:dyDescent="0.35">
      <c r="B55" s="557" t="s">
        <v>55</v>
      </c>
      <c r="C55" s="558" t="s">
        <v>72</v>
      </c>
      <c r="D55" s="581" t="s">
        <v>46</v>
      </c>
      <c r="E55" s="578" t="s">
        <v>73</v>
      </c>
      <c r="F55" s="579" t="s">
        <v>3479</v>
      </c>
    </row>
    <row r="56" spans="2:6" s="625" customFormat="1" x14ac:dyDescent="0.35">
      <c r="B56" s="658" t="s">
        <v>55</v>
      </c>
      <c r="C56" s="659" t="s">
        <v>74</v>
      </c>
      <c r="D56" s="660" t="s">
        <v>46</v>
      </c>
      <c r="E56" s="661" t="s">
        <v>75</v>
      </c>
      <c r="F56" s="662" t="s">
        <v>3479</v>
      </c>
    </row>
    <row r="57" spans="2:6" s="625" customFormat="1" x14ac:dyDescent="0.35">
      <c r="B57" s="658" t="s">
        <v>55</v>
      </c>
      <c r="C57" s="659" t="s">
        <v>76</v>
      </c>
      <c r="D57" s="660" t="s">
        <v>46</v>
      </c>
      <c r="E57" s="661" t="s">
        <v>77</v>
      </c>
      <c r="F57" s="662" t="s">
        <v>3479</v>
      </c>
    </row>
    <row r="58" spans="2:6" s="625" customFormat="1" x14ac:dyDescent="0.35">
      <c r="B58" s="658" t="s">
        <v>55</v>
      </c>
      <c r="C58" s="659" t="s">
        <v>78</v>
      </c>
      <c r="D58" s="660" t="s">
        <v>46</v>
      </c>
      <c r="E58" s="661" t="s">
        <v>79</v>
      </c>
      <c r="F58" s="662" t="s">
        <v>3479</v>
      </c>
    </row>
    <row r="59" spans="2:6" s="587" customFormat="1" x14ac:dyDescent="0.35">
      <c r="B59" s="596" t="s">
        <v>55</v>
      </c>
      <c r="C59" s="583" t="s">
        <v>80</v>
      </c>
      <c r="D59" s="584" t="s">
        <v>46</v>
      </c>
      <c r="E59" s="590" t="s">
        <v>6132</v>
      </c>
      <c r="F59" s="586" t="s">
        <v>3479</v>
      </c>
    </row>
    <row r="60" spans="2:6" s="587" customFormat="1" x14ac:dyDescent="0.35">
      <c r="B60" s="596" t="s">
        <v>55</v>
      </c>
      <c r="C60" s="583" t="s">
        <v>81</v>
      </c>
      <c r="D60" s="584" t="s">
        <v>46</v>
      </c>
      <c r="E60" s="590" t="s">
        <v>6133</v>
      </c>
      <c r="F60" s="586" t="s">
        <v>3479</v>
      </c>
    </row>
    <row r="61" spans="2:6" s="580" customFormat="1" x14ac:dyDescent="0.35">
      <c r="B61" s="557" t="s">
        <v>55</v>
      </c>
      <c r="C61" s="558" t="s">
        <v>82</v>
      </c>
      <c r="D61" s="581" t="s">
        <v>46</v>
      </c>
      <c r="E61" s="578" t="s">
        <v>6433</v>
      </c>
      <c r="F61" s="579" t="s">
        <v>3479</v>
      </c>
    </row>
    <row r="62" spans="2:6" s="580" customFormat="1" ht="15" thickBot="1" x14ac:dyDescent="0.4">
      <c r="B62" s="557" t="s">
        <v>55</v>
      </c>
      <c r="C62" s="888" t="s">
        <v>6432</v>
      </c>
      <c r="D62" s="581" t="s">
        <v>46</v>
      </c>
      <c r="E62" s="579" t="s">
        <v>6122</v>
      </c>
      <c r="F62" s="579"/>
    </row>
    <row r="63" spans="2:6" s="587" customFormat="1" x14ac:dyDescent="0.35">
      <c r="B63" s="596" t="s">
        <v>52</v>
      </c>
      <c r="C63" s="583" t="s">
        <v>83</v>
      </c>
      <c r="D63" s="584" t="s">
        <v>46</v>
      </c>
      <c r="E63" s="590" t="s">
        <v>6134</v>
      </c>
      <c r="F63" s="586" t="s">
        <v>3479</v>
      </c>
    </row>
    <row r="64" spans="2:6" s="587" customFormat="1" x14ac:dyDescent="0.35">
      <c r="B64" s="596" t="s">
        <v>52</v>
      </c>
      <c r="C64" s="583" t="s">
        <v>84</v>
      </c>
      <c r="D64" s="584" t="s">
        <v>46</v>
      </c>
      <c r="E64" s="590" t="s">
        <v>6135</v>
      </c>
      <c r="F64" s="586" t="s">
        <v>3479</v>
      </c>
    </row>
    <row r="65" spans="2:6" s="580" customFormat="1" x14ac:dyDescent="0.35">
      <c r="B65" s="557" t="s">
        <v>52</v>
      </c>
      <c r="C65" s="558" t="s">
        <v>85</v>
      </c>
      <c r="D65" s="581" t="s">
        <v>46</v>
      </c>
      <c r="E65" s="578" t="s">
        <v>86</v>
      </c>
      <c r="F65" s="579" t="s">
        <v>3479</v>
      </c>
    </row>
    <row r="66" spans="2:6" s="625" customFormat="1" x14ac:dyDescent="0.35">
      <c r="B66" s="658" t="s">
        <v>52</v>
      </c>
      <c r="C66" s="659" t="s">
        <v>87</v>
      </c>
      <c r="D66" s="659" t="s">
        <v>46</v>
      </c>
      <c r="E66" s="665" t="s">
        <v>88</v>
      </c>
      <c r="F66" s="662" t="s">
        <v>3479</v>
      </c>
    </row>
    <row r="67" spans="2:6" s="587" customFormat="1" x14ac:dyDescent="0.35">
      <c r="B67" s="596" t="s">
        <v>52</v>
      </c>
      <c r="C67" s="583" t="s">
        <v>89</v>
      </c>
      <c r="D67" s="584" t="s">
        <v>46</v>
      </c>
      <c r="E67" s="590" t="s">
        <v>6136</v>
      </c>
      <c r="F67" s="586" t="s">
        <v>3479</v>
      </c>
    </row>
    <row r="68" spans="2:6" s="587" customFormat="1" x14ac:dyDescent="0.35">
      <c r="B68" s="596" t="s">
        <v>52</v>
      </c>
      <c r="C68" s="583" t="s">
        <v>90</v>
      </c>
      <c r="D68" s="584" t="s">
        <v>46</v>
      </c>
      <c r="E68" s="590" t="s">
        <v>3475</v>
      </c>
      <c r="F68" s="586" t="s">
        <v>3479</v>
      </c>
    </row>
    <row r="69" spans="2:6" s="580" customFormat="1" x14ac:dyDescent="0.35">
      <c r="B69" s="557" t="s">
        <v>91</v>
      </c>
      <c r="C69" s="558" t="s">
        <v>92</v>
      </c>
      <c r="D69" s="581" t="s">
        <v>46</v>
      </c>
      <c r="E69" s="578" t="s">
        <v>2617</v>
      </c>
      <c r="F69" s="579" t="s">
        <v>3479</v>
      </c>
    </row>
    <row r="70" spans="2:6" s="580" customFormat="1" x14ac:dyDescent="0.35">
      <c r="B70" s="557" t="s">
        <v>52</v>
      </c>
      <c r="C70" s="558" t="s">
        <v>93</v>
      </c>
      <c r="D70" s="581" t="s">
        <v>46</v>
      </c>
      <c r="E70" s="578" t="s">
        <v>2617</v>
      </c>
      <c r="F70" s="579" t="s">
        <v>3479</v>
      </c>
    </row>
    <row r="71" spans="2:6" s="587" customFormat="1" x14ac:dyDescent="0.35">
      <c r="B71" s="596" t="s">
        <v>52</v>
      </c>
      <c r="C71" s="583" t="s">
        <v>94</v>
      </c>
      <c r="D71" s="584" t="s">
        <v>95</v>
      </c>
      <c r="E71" s="590" t="s">
        <v>6137</v>
      </c>
      <c r="F71" s="586" t="s">
        <v>3479</v>
      </c>
    </row>
    <row r="72" spans="2:6" s="580" customFormat="1" x14ac:dyDescent="0.35">
      <c r="B72" s="557" t="s">
        <v>52</v>
      </c>
      <c r="C72" s="558" t="s">
        <v>96</v>
      </c>
      <c r="D72" s="581" t="s">
        <v>95</v>
      </c>
      <c r="E72" s="578" t="s">
        <v>2617</v>
      </c>
      <c r="F72" s="579" t="s">
        <v>3479</v>
      </c>
    </row>
    <row r="73" spans="2:6" s="587" customFormat="1" x14ac:dyDescent="0.35">
      <c r="B73" s="596" t="s">
        <v>52</v>
      </c>
      <c r="C73" s="583" t="s">
        <v>97</v>
      </c>
      <c r="D73" s="584" t="s">
        <v>95</v>
      </c>
      <c r="E73" s="590" t="s">
        <v>3475</v>
      </c>
      <c r="F73" s="586" t="s">
        <v>3479</v>
      </c>
    </row>
    <row r="74" spans="2:6" s="587" customFormat="1" x14ac:dyDescent="0.35">
      <c r="B74" s="596" t="s">
        <v>52</v>
      </c>
      <c r="C74" s="583" t="s">
        <v>98</v>
      </c>
      <c r="D74" s="584" t="s">
        <v>95</v>
      </c>
      <c r="E74" s="590" t="s">
        <v>3475</v>
      </c>
      <c r="F74" s="586" t="s">
        <v>3479</v>
      </c>
    </row>
    <row r="75" spans="2:6" s="587" customFormat="1" x14ac:dyDescent="0.35">
      <c r="B75" s="596" t="s">
        <v>52</v>
      </c>
      <c r="C75" s="583" t="s">
        <v>99</v>
      </c>
      <c r="D75" s="584" t="s">
        <v>95</v>
      </c>
      <c r="E75" s="590" t="s">
        <v>3475</v>
      </c>
      <c r="F75" s="586" t="s">
        <v>3479</v>
      </c>
    </row>
    <row r="76" spans="2:6" s="587" customFormat="1" x14ac:dyDescent="0.35">
      <c r="B76" s="596" t="s">
        <v>52</v>
      </c>
      <c r="C76" s="583" t="s">
        <v>100</v>
      </c>
      <c r="D76" s="584" t="s">
        <v>95</v>
      </c>
      <c r="E76" s="590" t="s">
        <v>3475</v>
      </c>
      <c r="F76" s="586" t="s">
        <v>3479</v>
      </c>
    </row>
    <row r="77" spans="2:6" s="625" customFormat="1" x14ac:dyDescent="0.35">
      <c r="B77" s="658" t="s">
        <v>52</v>
      </c>
      <c r="C77" s="659" t="s">
        <v>101</v>
      </c>
      <c r="D77" s="660" t="s">
        <v>95</v>
      </c>
      <c r="E77" s="623" t="s">
        <v>947</v>
      </c>
      <c r="F77" s="624" t="s">
        <v>3479</v>
      </c>
    </row>
    <row r="78" spans="2:6" s="580" customFormat="1" x14ac:dyDescent="0.35">
      <c r="B78" s="557" t="s">
        <v>52</v>
      </c>
      <c r="C78" s="558" t="s">
        <v>102</v>
      </c>
      <c r="D78" s="581" t="s">
        <v>95</v>
      </c>
      <c r="E78" s="637" t="s">
        <v>1664</v>
      </c>
      <c r="F78" s="638" t="s">
        <v>3479</v>
      </c>
    </row>
    <row r="79" spans="2:6" s="580" customFormat="1" x14ac:dyDescent="0.35">
      <c r="B79" s="557" t="s">
        <v>52</v>
      </c>
      <c r="C79" s="558" t="s">
        <v>104</v>
      </c>
      <c r="D79" s="581" t="s">
        <v>95</v>
      </c>
      <c r="E79" s="578" t="s">
        <v>105</v>
      </c>
      <c r="F79" s="579" t="s">
        <v>3479</v>
      </c>
    </row>
    <row r="80" spans="2:6" s="625" customFormat="1" x14ac:dyDescent="0.35">
      <c r="B80" s="658" t="s">
        <v>52</v>
      </c>
      <c r="C80" s="659" t="s">
        <v>106</v>
      </c>
      <c r="D80" s="660" t="s">
        <v>95</v>
      </c>
      <c r="E80" s="661" t="s">
        <v>107</v>
      </c>
      <c r="F80" s="662" t="s">
        <v>3479</v>
      </c>
    </row>
    <row r="81" spans="2:6" s="580" customFormat="1" x14ac:dyDescent="0.35">
      <c r="B81" s="557" t="s">
        <v>52</v>
      </c>
      <c r="C81" s="558" t="s">
        <v>108</v>
      </c>
      <c r="D81" s="581" t="s">
        <v>95</v>
      </c>
      <c r="E81" s="578" t="s">
        <v>109</v>
      </c>
      <c r="F81" s="579" t="s">
        <v>3479</v>
      </c>
    </row>
    <row r="82" spans="2:6" s="587" customFormat="1" x14ac:dyDescent="0.35">
      <c r="B82" s="596" t="s">
        <v>52</v>
      </c>
      <c r="C82" s="583" t="s">
        <v>110</v>
      </c>
      <c r="D82" s="584" t="s">
        <v>95</v>
      </c>
      <c r="E82" s="590" t="s">
        <v>6138</v>
      </c>
      <c r="F82" s="586" t="s">
        <v>3479</v>
      </c>
    </row>
    <row r="83" spans="2:6" s="587" customFormat="1" x14ac:dyDescent="0.35">
      <c r="B83" s="596" t="s">
        <v>52</v>
      </c>
      <c r="C83" s="583" t="s">
        <v>111</v>
      </c>
      <c r="D83" s="584" t="s">
        <v>95</v>
      </c>
      <c r="E83" s="590" t="s">
        <v>6139</v>
      </c>
      <c r="F83" s="586" t="s">
        <v>3479</v>
      </c>
    </row>
    <row r="84" spans="2:6" s="580" customFormat="1" x14ac:dyDescent="0.35">
      <c r="B84" s="557" t="s">
        <v>52</v>
      </c>
      <c r="C84" s="558" t="s">
        <v>112</v>
      </c>
      <c r="D84" s="581" t="s">
        <v>95</v>
      </c>
      <c r="E84" s="578" t="s">
        <v>113</v>
      </c>
      <c r="F84" s="579" t="s">
        <v>3479</v>
      </c>
    </row>
    <row r="85" spans="2:6" s="580" customFormat="1" x14ac:dyDescent="0.35">
      <c r="B85" s="557" t="s">
        <v>52</v>
      </c>
      <c r="C85" s="558" t="s">
        <v>114</v>
      </c>
      <c r="D85" s="581" t="s">
        <v>95</v>
      </c>
      <c r="E85" s="578" t="s">
        <v>115</v>
      </c>
      <c r="F85" s="579" t="s">
        <v>3479</v>
      </c>
    </row>
    <row r="86" spans="2:6" s="580" customFormat="1" x14ac:dyDescent="0.35">
      <c r="B86" s="557" t="s">
        <v>52</v>
      </c>
      <c r="C86" s="558" t="s">
        <v>116</v>
      </c>
      <c r="D86" s="581" t="s">
        <v>95</v>
      </c>
      <c r="E86" s="578" t="s">
        <v>6140</v>
      </c>
      <c r="F86" s="579" t="s">
        <v>3479</v>
      </c>
    </row>
    <row r="87" spans="2:6" s="587" customFormat="1" x14ac:dyDescent="0.35">
      <c r="B87" s="596" t="s">
        <v>52</v>
      </c>
      <c r="C87" s="583" t="s">
        <v>117</v>
      </c>
      <c r="D87" s="584" t="s">
        <v>95</v>
      </c>
      <c r="E87" s="590" t="s">
        <v>6141</v>
      </c>
      <c r="F87" s="586" t="s">
        <v>3479</v>
      </c>
    </row>
    <row r="88" spans="2:6" s="587" customFormat="1" x14ac:dyDescent="0.35">
      <c r="B88" s="596" t="s">
        <v>52</v>
      </c>
      <c r="C88" s="583" t="s">
        <v>118</v>
      </c>
      <c r="D88" s="584" t="s">
        <v>95</v>
      </c>
      <c r="E88" s="590" t="s">
        <v>3475</v>
      </c>
      <c r="F88" s="586" t="s">
        <v>3479</v>
      </c>
    </row>
    <row r="89" spans="2:6" s="580" customFormat="1" x14ac:dyDescent="0.35">
      <c r="B89" s="557" t="s">
        <v>52</v>
      </c>
      <c r="C89" s="558" t="s">
        <v>119</v>
      </c>
      <c r="D89" s="581" t="s">
        <v>95</v>
      </c>
      <c r="E89" s="578" t="s">
        <v>120</v>
      </c>
      <c r="F89" s="579" t="s">
        <v>3479</v>
      </c>
    </row>
    <row r="90" spans="2:6" s="587" customFormat="1" x14ac:dyDescent="0.35">
      <c r="B90" s="596" t="s">
        <v>52</v>
      </c>
      <c r="C90" s="583" t="s">
        <v>121</v>
      </c>
      <c r="D90" s="584" t="s">
        <v>95</v>
      </c>
      <c r="E90" s="590" t="s">
        <v>3475</v>
      </c>
      <c r="F90" s="586" t="s">
        <v>3479</v>
      </c>
    </row>
    <row r="91" spans="2:6" s="587" customFormat="1" x14ac:dyDescent="0.35">
      <c r="B91" s="596" t="s">
        <v>52</v>
      </c>
      <c r="C91" s="583" t="s">
        <v>123</v>
      </c>
      <c r="D91" s="584" t="s">
        <v>95</v>
      </c>
      <c r="E91" s="590" t="s">
        <v>6142</v>
      </c>
      <c r="F91" s="586" t="s">
        <v>3479</v>
      </c>
    </row>
    <row r="92" spans="2:6" s="587" customFormat="1" x14ac:dyDescent="0.35">
      <c r="B92" s="596" t="s">
        <v>52</v>
      </c>
      <c r="C92" s="583" t="s">
        <v>124</v>
      </c>
      <c r="D92" s="584" t="s">
        <v>95</v>
      </c>
      <c r="E92" s="585" t="s">
        <v>6143</v>
      </c>
      <c r="F92" s="586" t="s">
        <v>3479</v>
      </c>
    </row>
    <row r="93" spans="2:6" s="587" customFormat="1" x14ac:dyDescent="0.35">
      <c r="B93" s="596" t="s">
        <v>52</v>
      </c>
      <c r="C93" s="583" t="s">
        <v>125</v>
      </c>
      <c r="D93" s="584" t="s">
        <v>95</v>
      </c>
      <c r="E93" s="590" t="s">
        <v>3475</v>
      </c>
      <c r="F93" s="586" t="s">
        <v>3479</v>
      </c>
    </row>
    <row r="94" spans="2:6" s="587" customFormat="1" x14ac:dyDescent="0.35">
      <c r="B94" s="596" t="s">
        <v>52</v>
      </c>
      <c r="C94" s="583" t="s">
        <v>126</v>
      </c>
      <c r="D94" s="584" t="s">
        <v>95</v>
      </c>
      <c r="E94" s="590" t="s">
        <v>3475</v>
      </c>
      <c r="F94" s="586" t="s">
        <v>3479</v>
      </c>
    </row>
    <row r="95" spans="2:6" s="580" customFormat="1" x14ac:dyDescent="0.35">
      <c r="B95" s="557" t="s">
        <v>52</v>
      </c>
      <c r="C95" s="558" t="s">
        <v>127</v>
      </c>
      <c r="D95" s="581" t="s">
        <v>95</v>
      </c>
      <c r="E95" s="578" t="s">
        <v>2617</v>
      </c>
      <c r="F95" s="579" t="s">
        <v>3479</v>
      </c>
    </row>
    <row r="96" spans="2:6" s="580" customFormat="1" x14ac:dyDescent="0.35">
      <c r="B96" s="557" t="s">
        <v>52</v>
      </c>
      <c r="C96" s="558" t="s">
        <v>6124</v>
      </c>
      <c r="D96" s="581" t="s">
        <v>95</v>
      </c>
      <c r="E96" s="578" t="s">
        <v>2617</v>
      </c>
      <c r="F96" s="579"/>
    </row>
    <row r="97" spans="2:6" s="587" customFormat="1" x14ac:dyDescent="0.35">
      <c r="B97" s="596" t="s">
        <v>52</v>
      </c>
      <c r="C97" s="583" t="s">
        <v>128</v>
      </c>
      <c r="D97" s="584" t="s">
        <v>95</v>
      </c>
      <c r="E97" s="590" t="s">
        <v>3475</v>
      </c>
      <c r="F97" s="586" t="s">
        <v>3479</v>
      </c>
    </row>
    <row r="98" spans="2:6" s="580" customFormat="1" x14ac:dyDescent="0.35">
      <c r="B98" s="557" t="s">
        <v>52</v>
      </c>
      <c r="C98" s="558" t="s">
        <v>6120</v>
      </c>
      <c r="D98" s="581" t="s">
        <v>95</v>
      </c>
      <c r="E98" s="637" t="s">
        <v>1664</v>
      </c>
      <c r="F98" s="579"/>
    </row>
    <row r="99" spans="2:6" s="587" customFormat="1" x14ac:dyDescent="0.35">
      <c r="B99" s="596" t="s">
        <v>52</v>
      </c>
      <c r="C99" s="583" t="s">
        <v>129</v>
      </c>
      <c r="D99" s="584" t="s">
        <v>95</v>
      </c>
      <c r="E99" s="590" t="s">
        <v>6144</v>
      </c>
      <c r="F99" s="586" t="s">
        <v>3479</v>
      </c>
    </row>
    <row r="100" spans="2:6" s="580" customFormat="1" x14ac:dyDescent="0.35">
      <c r="B100" s="557" t="s">
        <v>44</v>
      </c>
      <c r="C100" s="558" t="s">
        <v>130</v>
      </c>
      <c r="D100" s="581" t="s">
        <v>95</v>
      </c>
      <c r="E100" s="578" t="s">
        <v>131</v>
      </c>
      <c r="F100" s="579" t="s">
        <v>3479</v>
      </c>
    </row>
    <row r="101" spans="2:6" s="20" customFormat="1" x14ac:dyDescent="0.35">
      <c r="B101" s="327" t="s">
        <v>44</v>
      </c>
      <c r="C101" s="252" t="s">
        <v>132</v>
      </c>
      <c r="D101" s="778" t="s">
        <v>95</v>
      </c>
      <c r="E101" s="29" t="s">
        <v>6233</v>
      </c>
      <c r="F101" s="26" t="s">
        <v>3479</v>
      </c>
    </row>
    <row r="102" spans="2:6" s="587" customFormat="1" x14ac:dyDescent="0.35">
      <c r="B102" s="596" t="s">
        <v>44</v>
      </c>
      <c r="C102" s="583" t="s">
        <v>133</v>
      </c>
      <c r="D102" s="584" t="s">
        <v>95</v>
      </c>
      <c r="E102" s="590" t="s">
        <v>6145</v>
      </c>
      <c r="F102" s="586" t="s">
        <v>3479</v>
      </c>
    </row>
    <row r="103" spans="2:6" s="587" customFormat="1" x14ac:dyDescent="0.35">
      <c r="B103" s="596" t="s">
        <v>44</v>
      </c>
      <c r="C103" s="583" t="s">
        <v>134</v>
      </c>
      <c r="D103" s="584" t="s">
        <v>95</v>
      </c>
      <c r="E103" s="590" t="s">
        <v>6146</v>
      </c>
      <c r="F103" s="586" t="s">
        <v>3479</v>
      </c>
    </row>
    <row r="104" spans="2:6" s="580" customFormat="1" x14ac:dyDescent="0.35">
      <c r="B104" s="557" t="s">
        <v>44</v>
      </c>
      <c r="C104" s="558" t="s">
        <v>135</v>
      </c>
      <c r="D104" s="581" t="s">
        <v>95</v>
      </c>
      <c r="E104" s="578" t="s">
        <v>136</v>
      </c>
      <c r="F104" s="579" t="s">
        <v>3479</v>
      </c>
    </row>
    <row r="105" spans="2:6" s="580" customFormat="1" x14ac:dyDescent="0.35">
      <c r="B105" s="557" t="s">
        <v>44</v>
      </c>
      <c r="C105" s="558" t="s">
        <v>137</v>
      </c>
      <c r="D105" s="581" t="s">
        <v>95</v>
      </c>
      <c r="E105" s="578" t="s">
        <v>138</v>
      </c>
      <c r="F105" s="579" t="s">
        <v>3479</v>
      </c>
    </row>
    <row r="106" spans="2:6" s="587" customFormat="1" x14ac:dyDescent="0.35">
      <c r="B106" s="596" t="s">
        <v>44</v>
      </c>
      <c r="C106" s="583" t="s">
        <v>139</v>
      </c>
      <c r="D106" s="584" t="s">
        <v>95</v>
      </c>
      <c r="E106" s="590" t="s">
        <v>6224</v>
      </c>
      <c r="F106" s="586" t="s">
        <v>3479</v>
      </c>
    </row>
    <row r="107" spans="2:6" s="580" customFormat="1" x14ac:dyDescent="0.35">
      <c r="B107" s="557" t="s">
        <v>44</v>
      </c>
      <c r="C107" s="558" t="s">
        <v>140</v>
      </c>
      <c r="D107" s="581" t="s">
        <v>95</v>
      </c>
      <c r="E107" s="578" t="s">
        <v>141</v>
      </c>
      <c r="F107" s="579" t="s">
        <v>3479</v>
      </c>
    </row>
    <row r="108" spans="2:6" s="580" customFormat="1" x14ac:dyDescent="0.35">
      <c r="B108" s="557" t="s">
        <v>44</v>
      </c>
      <c r="C108" s="558" t="s">
        <v>142</v>
      </c>
      <c r="D108" s="581" t="s">
        <v>95</v>
      </c>
      <c r="E108" s="578" t="s">
        <v>143</v>
      </c>
      <c r="F108" s="579" t="s">
        <v>3479</v>
      </c>
    </row>
    <row r="109" spans="2:6" s="580" customFormat="1" x14ac:dyDescent="0.35">
      <c r="B109" s="557" t="s">
        <v>44</v>
      </c>
      <c r="C109" s="558" t="s">
        <v>144</v>
      </c>
      <c r="D109" s="581" t="s">
        <v>95</v>
      </c>
      <c r="E109" s="578" t="s">
        <v>145</v>
      </c>
      <c r="F109" s="579" t="s">
        <v>3479</v>
      </c>
    </row>
    <row r="110" spans="2:6" s="587" customFormat="1" x14ac:dyDescent="0.35">
      <c r="B110" s="596" t="s">
        <v>44</v>
      </c>
      <c r="C110" s="583" t="s">
        <v>146</v>
      </c>
      <c r="D110" s="584" t="s">
        <v>95</v>
      </c>
      <c r="E110" s="590" t="s">
        <v>6147</v>
      </c>
      <c r="F110" s="586" t="s">
        <v>3479</v>
      </c>
    </row>
    <row r="111" spans="2:6" s="587" customFormat="1" x14ac:dyDescent="0.35">
      <c r="B111" s="596" t="s">
        <v>44</v>
      </c>
      <c r="C111" s="583" t="s">
        <v>147</v>
      </c>
      <c r="D111" s="584" t="s">
        <v>95</v>
      </c>
      <c r="E111" s="590" t="s">
        <v>6148</v>
      </c>
      <c r="F111" s="586" t="s">
        <v>3479</v>
      </c>
    </row>
    <row r="112" spans="2:6" s="587" customFormat="1" x14ac:dyDescent="0.35">
      <c r="B112" s="596" t="s">
        <v>44</v>
      </c>
      <c r="C112" s="583" t="s">
        <v>148</v>
      </c>
      <c r="D112" s="584" t="s">
        <v>95</v>
      </c>
      <c r="E112" s="590" t="s">
        <v>6149</v>
      </c>
      <c r="F112" s="586" t="s">
        <v>3479</v>
      </c>
    </row>
    <row r="113" spans="2:6" s="587" customFormat="1" x14ac:dyDescent="0.35">
      <c r="B113" s="596" t="s">
        <v>44</v>
      </c>
      <c r="C113" s="583" t="s">
        <v>149</v>
      </c>
      <c r="D113" s="584" t="s">
        <v>95</v>
      </c>
      <c r="E113" s="590" t="s">
        <v>6150</v>
      </c>
      <c r="F113" s="586" t="s">
        <v>3479</v>
      </c>
    </row>
    <row r="114" spans="2:6" s="580" customFormat="1" x14ac:dyDescent="0.35">
      <c r="B114" s="557" t="s">
        <v>44</v>
      </c>
      <c r="C114" s="558" t="s">
        <v>150</v>
      </c>
      <c r="D114" s="581" t="s">
        <v>95</v>
      </c>
      <c r="E114" s="627" t="s">
        <v>151</v>
      </c>
      <c r="F114" s="579" t="s">
        <v>3479</v>
      </c>
    </row>
    <row r="115" spans="2:6" s="587" customFormat="1" x14ac:dyDescent="0.35">
      <c r="B115" s="596" t="s">
        <v>44</v>
      </c>
      <c r="C115" s="583" t="s">
        <v>152</v>
      </c>
      <c r="D115" s="584" t="s">
        <v>95</v>
      </c>
      <c r="E115" s="590" t="s">
        <v>6151</v>
      </c>
      <c r="F115" s="586" t="s">
        <v>3479</v>
      </c>
    </row>
    <row r="116" spans="2:6" s="587" customFormat="1" x14ac:dyDescent="0.35">
      <c r="B116" s="596" t="s">
        <v>44</v>
      </c>
      <c r="C116" s="583" t="s">
        <v>153</v>
      </c>
      <c r="D116" s="584" t="s">
        <v>95</v>
      </c>
      <c r="E116" s="590" t="s">
        <v>6152</v>
      </c>
      <c r="F116" s="586" t="s">
        <v>3479</v>
      </c>
    </row>
    <row r="117" spans="2:6" s="587" customFormat="1" x14ac:dyDescent="0.35">
      <c r="B117" s="596" t="s">
        <v>44</v>
      </c>
      <c r="C117" s="583" t="s">
        <v>154</v>
      </c>
      <c r="D117" s="584" t="s">
        <v>95</v>
      </c>
      <c r="E117" s="590" t="s">
        <v>6153</v>
      </c>
      <c r="F117" s="586" t="s">
        <v>3479</v>
      </c>
    </row>
    <row r="118" spans="2:6" s="587" customFormat="1" x14ac:dyDescent="0.35">
      <c r="B118" s="596" t="s">
        <v>44</v>
      </c>
      <c r="C118" s="583" t="s">
        <v>155</v>
      </c>
      <c r="D118" s="584" t="s">
        <v>95</v>
      </c>
      <c r="E118" s="590" t="s">
        <v>3475</v>
      </c>
      <c r="F118" s="586" t="s">
        <v>3479</v>
      </c>
    </row>
    <row r="119" spans="2:6" s="580" customFormat="1" x14ac:dyDescent="0.35">
      <c r="B119" s="557" t="s">
        <v>44</v>
      </c>
      <c r="C119" s="558" t="s">
        <v>156</v>
      </c>
      <c r="D119" s="581" t="s">
        <v>95</v>
      </c>
      <c r="E119" s="578" t="s">
        <v>2617</v>
      </c>
      <c r="F119" s="579" t="s">
        <v>3479</v>
      </c>
    </row>
    <row r="120" spans="2:6" s="587" customFormat="1" x14ac:dyDescent="0.35">
      <c r="B120" s="596" t="s">
        <v>44</v>
      </c>
      <c r="C120" s="583" t="s">
        <v>157</v>
      </c>
      <c r="D120" s="584" t="s">
        <v>95</v>
      </c>
      <c r="E120" s="590" t="s">
        <v>3475</v>
      </c>
      <c r="F120" s="586" t="s">
        <v>3479</v>
      </c>
    </row>
    <row r="121" spans="2:6" s="580" customFormat="1" x14ac:dyDescent="0.35">
      <c r="B121" s="557" t="s">
        <v>44</v>
      </c>
      <c r="C121" s="558" t="s">
        <v>158</v>
      </c>
      <c r="D121" s="581" t="s">
        <v>95</v>
      </c>
      <c r="E121" s="578" t="s">
        <v>2617</v>
      </c>
      <c r="F121" s="579" t="s">
        <v>3479</v>
      </c>
    </row>
    <row r="122" spans="2:6" s="580" customFormat="1" x14ac:dyDescent="0.35">
      <c r="B122" s="557" t="s">
        <v>44</v>
      </c>
      <c r="C122" s="558" t="s">
        <v>6167</v>
      </c>
      <c r="D122" s="581" t="s">
        <v>95</v>
      </c>
      <c r="E122" s="578" t="s">
        <v>2617</v>
      </c>
      <c r="F122" s="579"/>
    </row>
    <row r="123" spans="2:6" s="587" customFormat="1" x14ac:dyDescent="0.35">
      <c r="B123" s="596" t="s">
        <v>44</v>
      </c>
      <c r="C123" s="583" t="s">
        <v>159</v>
      </c>
      <c r="D123" s="584" t="s">
        <v>95</v>
      </c>
      <c r="E123" s="590" t="s">
        <v>3475</v>
      </c>
      <c r="F123" s="586" t="s">
        <v>3479</v>
      </c>
    </row>
    <row r="124" spans="2:6" s="587" customFormat="1" x14ac:dyDescent="0.35">
      <c r="B124" s="596" t="s">
        <v>44</v>
      </c>
      <c r="C124" s="583" t="s">
        <v>160</v>
      </c>
      <c r="D124" s="584" t="s">
        <v>95</v>
      </c>
      <c r="E124" s="590" t="s">
        <v>3475</v>
      </c>
      <c r="F124" s="586" t="s">
        <v>3479</v>
      </c>
    </row>
    <row r="125" spans="2:6" s="587" customFormat="1" x14ac:dyDescent="0.35">
      <c r="B125" s="596" t="s">
        <v>44</v>
      </c>
      <c r="C125" s="583" t="s">
        <v>161</v>
      </c>
      <c r="D125" s="584" t="s">
        <v>95</v>
      </c>
      <c r="E125" s="590" t="s">
        <v>3475</v>
      </c>
      <c r="F125" s="586" t="s">
        <v>3479</v>
      </c>
    </row>
    <row r="126" spans="2:6" s="587" customFormat="1" x14ac:dyDescent="0.35">
      <c r="B126" s="596" t="s">
        <v>44</v>
      </c>
      <c r="C126" s="583" t="s">
        <v>162</v>
      </c>
      <c r="D126" s="584" t="s">
        <v>95</v>
      </c>
      <c r="E126" s="590" t="s">
        <v>3475</v>
      </c>
      <c r="F126" s="586" t="s">
        <v>3479</v>
      </c>
    </row>
    <row r="127" spans="2:6" s="587" customFormat="1" x14ac:dyDescent="0.35">
      <c r="B127" s="596" t="s">
        <v>44</v>
      </c>
      <c r="C127" s="583" t="s">
        <v>163</v>
      </c>
      <c r="D127" s="584" t="s">
        <v>95</v>
      </c>
      <c r="E127" s="590" t="s">
        <v>3475</v>
      </c>
      <c r="F127" s="586" t="s">
        <v>3479</v>
      </c>
    </row>
    <row r="128" spans="2:6" s="587" customFormat="1" x14ac:dyDescent="0.35">
      <c r="B128" s="596" t="s">
        <v>44</v>
      </c>
      <c r="C128" s="583" t="s">
        <v>164</v>
      </c>
      <c r="D128" s="584" t="s">
        <v>95</v>
      </c>
      <c r="E128" s="590" t="s">
        <v>3475</v>
      </c>
      <c r="F128" s="586" t="s">
        <v>3479</v>
      </c>
    </row>
    <row r="129" spans="2:6" s="580" customFormat="1" ht="15" thickBot="1" x14ac:dyDescent="0.4">
      <c r="B129" s="557" t="s">
        <v>44</v>
      </c>
      <c r="C129" s="888" t="s">
        <v>6431</v>
      </c>
      <c r="D129" s="581" t="s">
        <v>95</v>
      </c>
      <c r="E129" s="579" t="s">
        <v>6122</v>
      </c>
      <c r="F129" s="579"/>
    </row>
    <row r="130" spans="2:6" s="587" customFormat="1" ht="11.5" customHeight="1" x14ac:dyDescent="0.35">
      <c r="B130" s="596" t="s">
        <v>62</v>
      </c>
      <c r="C130" s="583" t="s">
        <v>165</v>
      </c>
      <c r="D130" s="584" t="s">
        <v>95</v>
      </c>
      <c r="E130" s="590" t="s">
        <v>3475</v>
      </c>
      <c r="F130" s="586" t="s">
        <v>3479</v>
      </c>
    </row>
    <row r="131" spans="2:6" s="587" customFormat="1" x14ac:dyDescent="0.35">
      <c r="B131" s="596" t="s">
        <v>62</v>
      </c>
      <c r="C131" s="583" t="s">
        <v>166</v>
      </c>
      <c r="D131" s="584" t="s">
        <v>95</v>
      </c>
      <c r="E131" s="590" t="s">
        <v>3475</v>
      </c>
      <c r="F131" s="586" t="s">
        <v>3479</v>
      </c>
    </row>
    <row r="132" spans="2:6" s="587" customFormat="1" x14ac:dyDescent="0.35">
      <c r="B132" s="596" t="s">
        <v>62</v>
      </c>
      <c r="C132" s="583" t="s">
        <v>167</v>
      </c>
      <c r="D132" s="584" t="s">
        <v>95</v>
      </c>
      <c r="E132" s="590" t="s">
        <v>3475</v>
      </c>
      <c r="F132" s="586" t="s">
        <v>3479</v>
      </c>
    </row>
    <row r="133" spans="2:6" s="587" customFormat="1" x14ac:dyDescent="0.35">
      <c r="B133" s="596" t="s">
        <v>62</v>
      </c>
      <c r="C133" s="583" t="s">
        <v>168</v>
      </c>
      <c r="D133" s="584" t="s">
        <v>95</v>
      </c>
      <c r="E133" s="590" t="s">
        <v>3475</v>
      </c>
      <c r="F133" s="586" t="s">
        <v>3479</v>
      </c>
    </row>
    <row r="134" spans="2:6" s="587" customFormat="1" x14ac:dyDescent="0.35">
      <c r="B134" s="596" t="s">
        <v>62</v>
      </c>
      <c r="C134" s="583" t="s">
        <v>169</v>
      </c>
      <c r="D134" s="584" t="s">
        <v>95</v>
      </c>
      <c r="E134" s="590" t="s">
        <v>3475</v>
      </c>
      <c r="F134" s="586" t="s">
        <v>3479</v>
      </c>
    </row>
    <row r="135" spans="2:6" s="580" customFormat="1" x14ac:dyDescent="0.35">
      <c r="B135" s="557" t="s">
        <v>62</v>
      </c>
      <c r="C135" s="558" t="s">
        <v>6166</v>
      </c>
      <c r="D135" s="581" t="s">
        <v>95</v>
      </c>
      <c r="E135" s="578" t="s">
        <v>2617</v>
      </c>
      <c r="F135" s="579" t="s">
        <v>3479</v>
      </c>
    </row>
    <row r="136" spans="2:6" s="587" customFormat="1" x14ac:dyDescent="0.35">
      <c r="B136" s="596" t="s">
        <v>62</v>
      </c>
      <c r="C136" s="583" t="s">
        <v>171</v>
      </c>
      <c r="D136" s="584" t="s">
        <v>95</v>
      </c>
      <c r="E136" s="590" t="s">
        <v>3475</v>
      </c>
      <c r="F136" s="586" t="s">
        <v>3479</v>
      </c>
    </row>
    <row r="137" spans="2:6" s="580" customFormat="1" x14ac:dyDescent="0.35">
      <c r="B137" s="557" t="s">
        <v>62</v>
      </c>
      <c r="C137" s="558" t="s">
        <v>6118</v>
      </c>
      <c r="D137" s="581" t="s">
        <v>95</v>
      </c>
      <c r="E137" s="578" t="s">
        <v>2617</v>
      </c>
      <c r="F137" s="579" t="s">
        <v>3479</v>
      </c>
    </row>
    <row r="138" spans="2:6" s="587" customFormat="1" x14ac:dyDescent="0.35">
      <c r="B138" s="596" t="s">
        <v>62</v>
      </c>
      <c r="C138" s="583" t="s">
        <v>172</v>
      </c>
      <c r="D138" s="584" t="s">
        <v>95</v>
      </c>
      <c r="E138" s="590" t="s">
        <v>3475</v>
      </c>
      <c r="F138" s="586" t="s">
        <v>3479</v>
      </c>
    </row>
    <row r="139" spans="2:6" s="587" customFormat="1" x14ac:dyDescent="0.35">
      <c r="B139" s="596" t="s">
        <v>52</v>
      </c>
      <c r="C139" s="583" t="s">
        <v>173</v>
      </c>
      <c r="D139" s="584" t="s">
        <v>95</v>
      </c>
      <c r="E139" s="590" t="s">
        <v>3475</v>
      </c>
      <c r="F139" s="586" t="s">
        <v>3479</v>
      </c>
    </row>
    <row r="140" spans="2:6" s="587" customFormat="1" x14ac:dyDescent="0.35">
      <c r="B140" s="596" t="s">
        <v>52</v>
      </c>
      <c r="C140" s="583" t="s">
        <v>174</v>
      </c>
      <c r="D140" s="584" t="s">
        <v>95</v>
      </c>
      <c r="E140" s="590" t="s">
        <v>3475</v>
      </c>
      <c r="F140" s="586" t="s">
        <v>3479</v>
      </c>
    </row>
    <row r="141" spans="2:6" s="587" customFormat="1" x14ac:dyDescent="0.35">
      <c r="B141" s="596" t="s">
        <v>52</v>
      </c>
      <c r="C141" s="583" t="s">
        <v>175</v>
      </c>
      <c r="D141" s="584" t="s">
        <v>95</v>
      </c>
      <c r="E141" s="590" t="s">
        <v>6154</v>
      </c>
      <c r="F141" s="586" t="s">
        <v>3479</v>
      </c>
    </row>
    <row r="142" spans="2:6" s="587" customFormat="1" x14ac:dyDescent="0.35">
      <c r="B142" s="596" t="s">
        <v>52</v>
      </c>
      <c r="C142" s="583" t="s">
        <v>176</v>
      </c>
      <c r="D142" s="584" t="s">
        <v>95</v>
      </c>
      <c r="E142" s="590" t="s">
        <v>6155</v>
      </c>
      <c r="F142" s="586" t="s">
        <v>3479</v>
      </c>
    </row>
    <row r="143" spans="2:6" s="580" customFormat="1" x14ac:dyDescent="0.35">
      <c r="B143" s="557" t="s">
        <v>52</v>
      </c>
      <c r="C143" s="558" t="s">
        <v>177</v>
      </c>
      <c r="D143" s="581" t="s">
        <v>95</v>
      </c>
      <c r="E143" s="578" t="s">
        <v>178</v>
      </c>
      <c r="F143" s="579" t="s">
        <v>3479</v>
      </c>
    </row>
    <row r="144" spans="2:6" s="587" customFormat="1" x14ac:dyDescent="0.35">
      <c r="B144" s="596" t="s">
        <v>52</v>
      </c>
      <c r="C144" s="583" t="s">
        <v>179</v>
      </c>
      <c r="D144" s="584" t="s">
        <v>95</v>
      </c>
      <c r="E144" s="590" t="s">
        <v>6156</v>
      </c>
      <c r="F144" s="586" t="s">
        <v>3479</v>
      </c>
    </row>
    <row r="145" spans="2:6" s="587" customFormat="1" x14ac:dyDescent="0.35">
      <c r="B145" s="596" t="s">
        <v>52</v>
      </c>
      <c r="C145" s="583" t="s">
        <v>180</v>
      </c>
      <c r="D145" s="584" t="s">
        <v>95</v>
      </c>
      <c r="E145" s="590" t="s">
        <v>3475</v>
      </c>
      <c r="F145" s="586" t="s">
        <v>3479</v>
      </c>
    </row>
    <row r="146" spans="2:6" s="580" customFormat="1" x14ac:dyDescent="0.35">
      <c r="B146" s="557" t="s">
        <v>52</v>
      </c>
      <c r="C146" s="558" t="s">
        <v>181</v>
      </c>
      <c r="D146" s="581" t="s">
        <v>95</v>
      </c>
      <c r="E146" s="578" t="s">
        <v>2617</v>
      </c>
      <c r="F146" s="579" t="s">
        <v>3479</v>
      </c>
    </row>
    <row r="147" spans="2:6" s="587" customFormat="1" x14ac:dyDescent="0.35">
      <c r="B147" s="596" t="s">
        <v>52</v>
      </c>
      <c r="C147" s="583" t="s">
        <v>182</v>
      </c>
      <c r="D147" s="584" t="s">
        <v>95</v>
      </c>
      <c r="E147" s="590" t="s">
        <v>3475</v>
      </c>
      <c r="F147" s="586" t="s">
        <v>3479</v>
      </c>
    </row>
    <row r="148" spans="2:6" s="587" customFormat="1" x14ac:dyDescent="0.35">
      <c r="B148" s="596" t="s">
        <v>183</v>
      </c>
      <c r="C148" s="583" t="s">
        <v>184</v>
      </c>
      <c r="D148" s="584" t="s">
        <v>95</v>
      </c>
      <c r="E148" s="590" t="s">
        <v>6157</v>
      </c>
      <c r="F148" s="586" t="s">
        <v>3479</v>
      </c>
    </row>
    <row r="149" spans="2:6" s="625" customFormat="1" x14ac:dyDescent="0.35">
      <c r="B149" s="658" t="s">
        <v>183</v>
      </c>
      <c r="C149" s="659" t="s">
        <v>185</v>
      </c>
      <c r="D149" s="660" t="s">
        <v>95</v>
      </c>
      <c r="E149" s="661" t="s">
        <v>186</v>
      </c>
      <c r="F149" s="662" t="s">
        <v>3479</v>
      </c>
    </row>
    <row r="150" spans="2:6" s="625" customFormat="1" x14ac:dyDescent="0.35">
      <c r="B150" s="658" t="s">
        <v>183</v>
      </c>
      <c r="C150" s="659" t="s">
        <v>187</v>
      </c>
      <c r="D150" s="660" t="s">
        <v>95</v>
      </c>
      <c r="E150" s="661" t="s">
        <v>188</v>
      </c>
      <c r="F150" s="662" t="s">
        <v>3479</v>
      </c>
    </row>
    <row r="151" spans="2:6" s="625" customFormat="1" x14ac:dyDescent="0.35">
      <c r="B151" s="658" t="s">
        <v>183</v>
      </c>
      <c r="C151" s="659" t="s">
        <v>189</v>
      </c>
      <c r="D151" s="660" t="s">
        <v>95</v>
      </c>
      <c r="E151" s="661" t="s">
        <v>190</v>
      </c>
      <c r="F151" s="662" t="s">
        <v>3479</v>
      </c>
    </row>
    <row r="152" spans="2:6" s="580" customFormat="1" x14ac:dyDescent="0.35">
      <c r="B152" s="557" t="s">
        <v>183</v>
      </c>
      <c r="C152" s="558" t="s">
        <v>191</v>
      </c>
      <c r="D152" s="581" t="s">
        <v>95</v>
      </c>
      <c r="E152" s="578" t="s">
        <v>192</v>
      </c>
      <c r="F152" s="579" t="s">
        <v>3479</v>
      </c>
    </row>
    <row r="153" spans="2:6" s="580" customFormat="1" x14ac:dyDescent="0.35">
      <c r="B153" s="557" t="s">
        <v>183</v>
      </c>
      <c r="C153" s="558" t="s">
        <v>193</v>
      </c>
      <c r="D153" s="581" t="s">
        <v>95</v>
      </c>
      <c r="E153" s="578" t="s">
        <v>2617</v>
      </c>
      <c r="F153" s="579" t="s">
        <v>3479</v>
      </c>
    </row>
    <row r="154" spans="2:6" s="587" customFormat="1" x14ac:dyDescent="0.35">
      <c r="B154" s="596" t="s">
        <v>183</v>
      </c>
      <c r="C154" s="583" t="s">
        <v>194</v>
      </c>
      <c r="D154" s="584" t="s">
        <v>95</v>
      </c>
      <c r="E154" s="590" t="s">
        <v>3475</v>
      </c>
      <c r="F154" s="586" t="s">
        <v>3479</v>
      </c>
    </row>
    <row r="155" spans="2:6" s="587" customFormat="1" x14ac:dyDescent="0.35">
      <c r="B155" s="596" t="s">
        <v>183</v>
      </c>
      <c r="C155" s="583" t="s">
        <v>195</v>
      </c>
      <c r="D155" s="584" t="s">
        <v>95</v>
      </c>
      <c r="E155" s="590" t="s">
        <v>3475</v>
      </c>
      <c r="F155" s="586" t="s">
        <v>3479</v>
      </c>
    </row>
    <row r="156" spans="2:6" s="587" customFormat="1" x14ac:dyDescent="0.35">
      <c r="B156" s="596" t="s">
        <v>52</v>
      </c>
      <c r="C156" s="583" t="s">
        <v>196</v>
      </c>
      <c r="D156" s="584" t="s">
        <v>197</v>
      </c>
      <c r="E156" s="590" t="s">
        <v>3475</v>
      </c>
      <c r="F156" s="586" t="s">
        <v>3479</v>
      </c>
    </row>
    <row r="157" spans="2:6" s="587" customFormat="1" x14ac:dyDescent="0.35">
      <c r="B157" s="596" t="s">
        <v>52</v>
      </c>
      <c r="C157" s="583" t="s">
        <v>198</v>
      </c>
      <c r="D157" s="584" t="s">
        <v>197</v>
      </c>
      <c r="E157" s="590" t="s">
        <v>3475</v>
      </c>
      <c r="F157" s="586" t="s">
        <v>3479</v>
      </c>
    </row>
    <row r="158" spans="2:6" s="587" customFormat="1" x14ac:dyDescent="0.35">
      <c r="B158" s="596" t="s">
        <v>52</v>
      </c>
      <c r="C158" s="583" t="s">
        <v>199</v>
      </c>
      <c r="D158" s="584" t="s">
        <v>197</v>
      </c>
      <c r="E158" s="590" t="s">
        <v>3475</v>
      </c>
      <c r="F158" s="586" t="s">
        <v>3479</v>
      </c>
    </row>
    <row r="159" spans="2:6" s="587" customFormat="1" x14ac:dyDescent="0.35">
      <c r="B159" s="596" t="s">
        <v>52</v>
      </c>
      <c r="C159" s="583" t="s">
        <v>200</v>
      </c>
      <c r="D159" s="584" t="s">
        <v>197</v>
      </c>
      <c r="E159" s="590" t="s">
        <v>6158</v>
      </c>
      <c r="F159" s="586" t="s">
        <v>3479</v>
      </c>
    </row>
    <row r="160" spans="2:6" s="587" customFormat="1" x14ac:dyDescent="0.35">
      <c r="B160" s="596" t="s">
        <v>52</v>
      </c>
      <c r="C160" s="583" t="s">
        <v>201</v>
      </c>
      <c r="D160" s="584" t="s">
        <v>197</v>
      </c>
      <c r="E160" s="590" t="s">
        <v>4001</v>
      </c>
      <c r="F160" s="586" t="s">
        <v>3479</v>
      </c>
    </row>
    <row r="161" spans="2:6" s="580" customFormat="1" x14ac:dyDescent="0.35">
      <c r="B161" s="557" t="s">
        <v>52</v>
      </c>
      <c r="C161" s="558" t="s">
        <v>202</v>
      </c>
      <c r="D161" s="581" t="s">
        <v>197</v>
      </c>
      <c r="E161" s="578" t="s">
        <v>2617</v>
      </c>
      <c r="F161" s="579" t="s">
        <v>3479</v>
      </c>
    </row>
    <row r="162" spans="2:6" s="587" customFormat="1" x14ac:dyDescent="0.35">
      <c r="B162" s="596" t="s">
        <v>52</v>
      </c>
      <c r="C162" s="583" t="s">
        <v>203</v>
      </c>
      <c r="D162" s="584" t="s">
        <v>197</v>
      </c>
      <c r="E162" s="590" t="s">
        <v>3475</v>
      </c>
      <c r="F162" s="586" t="s">
        <v>3479</v>
      </c>
    </row>
    <row r="163" spans="2:6" s="587" customFormat="1" x14ac:dyDescent="0.35">
      <c r="B163" s="596" t="s">
        <v>52</v>
      </c>
      <c r="C163" s="583" t="s">
        <v>204</v>
      </c>
      <c r="D163" s="584" t="s">
        <v>197</v>
      </c>
      <c r="E163" s="590" t="s">
        <v>6225</v>
      </c>
      <c r="F163" s="586" t="s">
        <v>3479</v>
      </c>
    </row>
    <row r="164" spans="2:6" s="587" customFormat="1" x14ac:dyDescent="0.35">
      <c r="B164" s="596" t="s">
        <v>52</v>
      </c>
      <c r="C164" s="583" t="s">
        <v>205</v>
      </c>
      <c r="D164" s="584" t="s">
        <v>197</v>
      </c>
      <c r="E164" s="590" t="s">
        <v>3475</v>
      </c>
      <c r="F164" s="586" t="s">
        <v>3479</v>
      </c>
    </row>
    <row r="165" spans="2:6" s="587" customFormat="1" x14ac:dyDescent="0.35">
      <c r="B165" s="596" t="s">
        <v>52</v>
      </c>
      <c r="C165" s="583" t="s">
        <v>206</v>
      </c>
      <c r="D165" s="584" t="s">
        <v>197</v>
      </c>
      <c r="E165" s="590" t="s">
        <v>3475</v>
      </c>
      <c r="F165" s="586" t="s">
        <v>3479</v>
      </c>
    </row>
    <row r="166" spans="2:6" s="580" customFormat="1" x14ac:dyDescent="0.35">
      <c r="B166" s="557" t="s">
        <v>52</v>
      </c>
      <c r="C166" s="558" t="s">
        <v>207</v>
      </c>
      <c r="D166" s="581" t="s">
        <v>197</v>
      </c>
      <c r="E166" s="637" t="s">
        <v>1664</v>
      </c>
      <c r="F166" s="638" t="s">
        <v>3479</v>
      </c>
    </row>
    <row r="167" spans="2:6" s="587" customFormat="1" x14ac:dyDescent="0.35">
      <c r="B167" s="596" t="s">
        <v>52</v>
      </c>
      <c r="C167" s="583" t="s">
        <v>209</v>
      </c>
      <c r="D167" s="584" t="s">
        <v>197</v>
      </c>
      <c r="E167" s="590" t="s">
        <v>3475</v>
      </c>
      <c r="F167" s="586" t="s">
        <v>3479</v>
      </c>
    </row>
    <row r="168" spans="2:6" s="587" customFormat="1" x14ac:dyDescent="0.35">
      <c r="B168" s="596" t="s">
        <v>52</v>
      </c>
      <c r="C168" s="583" t="s">
        <v>212</v>
      </c>
      <c r="D168" s="584" t="s">
        <v>197</v>
      </c>
      <c r="E168" s="590" t="s">
        <v>3475</v>
      </c>
      <c r="F168" s="586" t="s">
        <v>3479</v>
      </c>
    </row>
    <row r="169" spans="2:6" s="587" customFormat="1" x14ac:dyDescent="0.35">
      <c r="B169" s="596" t="s">
        <v>52</v>
      </c>
      <c r="C169" s="583" t="s">
        <v>213</v>
      </c>
      <c r="D169" s="584" t="s">
        <v>197</v>
      </c>
      <c r="E169" s="590" t="s">
        <v>3475</v>
      </c>
      <c r="F169" s="586" t="s">
        <v>3479</v>
      </c>
    </row>
    <row r="170" spans="2:6" s="587" customFormat="1" x14ac:dyDescent="0.35">
      <c r="B170" s="596" t="s">
        <v>52</v>
      </c>
      <c r="C170" s="583" t="s">
        <v>214</v>
      </c>
      <c r="D170" s="584" t="s">
        <v>197</v>
      </c>
      <c r="E170" s="590" t="s">
        <v>3475</v>
      </c>
      <c r="F170" s="586" t="s">
        <v>3479</v>
      </c>
    </row>
    <row r="171" spans="2:6" s="587" customFormat="1" x14ac:dyDescent="0.35">
      <c r="B171" s="596" t="s">
        <v>52</v>
      </c>
      <c r="C171" s="583" t="s">
        <v>215</v>
      </c>
      <c r="D171" s="584" t="s">
        <v>197</v>
      </c>
      <c r="E171" s="590" t="s">
        <v>3475</v>
      </c>
      <c r="F171" s="586" t="s">
        <v>3479</v>
      </c>
    </row>
    <row r="172" spans="2:6" s="587" customFormat="1" x14ac:dyDescent="0.35">
      <c r="B172" s="596" t="s">
        <v>52</v>
      </c>
      <c r="C172" s="583" t="s">
        <v>216</v>
      </c>
      <c r="D172" s="584" t="s">
        <v>197</v>
      </c>
      <c r="E172" s="590" t="s">
        <v>3475</v>
      </c>
      <c r="F172" s="586" t="s">
        <v>3479</v>
      </c>
    </row>
    <row r="173" spans="2:6" s="580" customFormat="1" x14ac:dyDescent="0.35">
      <c r="B173" s="557" t="s">
        <v>52</v>
      </c>
      <c r="C173" s="558" t="s">
        <v>217</v>
      </c>
      <c r="D173" s="581" t="s">
        <v>197</v>
      </c>
      <c r="E173" s="578" t="s">
        <v>218</v>
      </c>
      <c r="F173" s="579" t="s">
        <v>3479</v>
      </c>
    </row>
    <row r="174" spans="2:6" s="587" customFormat="1" x14ac:dyDescent="0.35">
      <c r="B174" s="596" t="s">
        <v>52</v>
      </c>
      <c r="C174" s="583" t="s">
        <v>219</v>
      </c>
      <c r="D174" s="584" t="s">
        <v>197</v>
      </c>
      <c r="E174" s="590" t="s">
        <v>3475</v>
      </c>
      <c r="F174" s="586" t="s">
        <v>3479</v>
      </c>
    </row>
    <row r="175" spans="2:6" s="587" customFormat="1" x14ac:dyDescent="0.35">
      <c r="B175" s="596" t="s">
        <v>52</v>
      </c>
      <c r="C175" s="583" t="s">
        <v>220</v>
      </c>
      <c r="D175" s="584" t="s">
        <v>197</v>
      </c>
      <c r="E175" s="590" t="s">
        <v>3475</v>
      </c>
      <c r="F175" s="586" t="s">
        <v>3479</v>
      </c>
    </row>
    <row r="176" spans="2:6" s="587" customFormat="1" x14ac:dyDescent="0.35">
      <c r="B176" s="596" t="s">
        <v>52</v>
      </c>
      <c r="C176" s="583" t="s">
        <v>221</v>
      </c>
      <c r="D176" s="584" t="s">
        <v>197</v>
      </c>
      <c r="E176" s="590" t="s">
        <v>6159</v>
      </c>
      <c r="F176" s="586" t="s">
        <v>3479</v>
      </c>
    </row>
    <row r="177" spans="2:6" s="587" customFormat="1" x14ac:dyDescent="0.35">
      <c r="B177" s="596" t="s">
        <v>52</v>
      </c>
      <c r="C177" s="583" t="s">
        <v>222</v>
      </c>
      <c r="D177" s="584" t="s">
        <v>197</v>
      </c>
      <c r="E177" s="602" t="s">
        <v>6160</v>
      </c>
      <c r="F177" s="603" t="s">
        <v>3479</v>
      </c>
    </row>
    <row r="178" spans="2:6" s="587" customFormat="1" x14ac:dyDescent="0.35">
      <c r="B178" s="596" t="s">
        <v>52</v>
      </c>
      <c r="C178" s="583" t="s">
        <v>223</v>
      </c>
      <c r="D178" s="584" t="s">
        <v>197</v>
      </c>
      <c r="E178" s="590" t="s">
        <v>3475</v>
      </c>
      <c r="F178" s="586" t="s">
        <v>3479</v>
      </c>
    </row>
    <row r="179" spans="2:6" s="587" customFormat="1" x14ac:dyDescent="0.35">
      <c r="B179" s="596" t="s">
        <v>52</v>
      </c>
      <c r="C179" s="583" t="s">
        <v>224</v>
      </c>
      <c r="D179" s="584" t="s">
        <v>197</v>
      </c>
      <c r="E179" s="590" t="s">
        <v>3475</v>
      </c>
      <c r="F179" s="586" t="s">
        <v>3479</v>
      </c>
    </row>
    <row r="180" spans="2:6" s="587" customFormat="1" x14ac:dyDescent="0.35">
      <c r="B180" s="596" t="s">
        <v>52</v>
      </c>
      <c r="C180" s="583" t="s">
        <v>225</v>
      </c>
      <c r="D180" s="584" t="s">
        <v>197</v>
      </c>
      <c r="E180" s="590" t="s">
        <v>3475</v>
      </c>
      <c r="F180" s="586" t="s">
        <v>3479</v>
      </c>
    </row>
    <row r="181" spans="2:6" s="587" customFormat="1" x14ac:dyDescent="0.35">
      <c r="B181" s="596" t="s">
        <v>52</v>
      </c>
      <c r="C181" s="583" t="s">
        <v>226</v>
      </c>
      <c r="D181" s="584" t="s">
        <v>197</v>
      </c>
      <c r="E181" s="590" t="s">
        <v>3475</v>
      </c>
      <c r="F181" s="586" t="s">
        <v>3479</v>
      </c>
    </row>
    <row r="182" spans="2:6" s="587" customFormat="1" x14ac:dyDescent="0.35">
      <c r="B182" s="596" t="s">
        <v>52</v>
      </c>
      <c r="C182" s="583" t="s">
        <v>227</v>
      </c>
      <c r="D182" s="584" t="s">
        <v>197</v>
      </c>
      <c r="E182" s="590" t="s">
        <v>3475</v>
      </c>
      <c r="F182" s="586" t="s">
        <v>3479</v>
      </c>
    </row>
    <row r="183" spans="2:6" s="587" customFormat="1" x14ac:dyDescent="0.35">
      <c r="B183" s="596" t="s">
        <v>52</v>
      </c>
      <c r="C183" s="583" t="s">
        <v>228</v>
      </c>
      <c r="D183" s="584" t="s">
        <v>197</v>
      </c>
      <c r="E183" s="590" t="s">
        <v>6162</v>
      </c>
      <c r="F183" s="586" t="s">
        <v>3479</v>
      </c>
    </row>
    <row r="184" spans="2:6" s="587" customFormat="1" x14ac:dyDescent="0.35">
      <c r="B184" s="596" t="s">
        <v>229</v>
      </c>
      <c r="C184" s="583" t="s">
        <v>230</v>
      </c>
      <c r="D184" s="584" t="s">
        <v>197</v>
      </c>
      <c r="E184" s="590" t="s">
        <v>3475</v>
      </c>
      <c r="F184" s="586" t="s">
        <v>3479</v>
      </c>
    </row>
    <row r="185" spans="2:6" s="587" customFormat="1" x14ac:dyDescent="0.35">
      <c r="B185" s="596" t="s">
        <v>229</v>
      </c>
      <c r="C185" s="583" t="s">
        <v>231</v>
      </c>
      <c r="D185" s="584" t="s">
        <v>197</v>
      </c>
      <c r="E185" s="590" t="s">
        <v>3475</v>
      </c>
      <c r="F185" s="586" t="s">
        <v>3479</v>
      </c>
    </row>
    <row r="186" spans="2:6" s="625" customFormat="1" x14ac:dyDescent="0.35">
      <c r="B186" s="658" t="s">
        <v>229</v>
      </c>
      <c r="C186" s="659" t="s">
        <v>232</v>
      </c>
      <c r="D186" s="660" t="s">
        <v>197</v>
      </c>
      <c r="E186" s="623" t="s">
        <v>6226</v>
      </c>
      <c r="F186" s="624" t="s">
        <v>3479</v>
      </c>
    </row>
    <row r="187" spans="2:6" s="587" customFormat="1" x14ac:dyDescent="0.35">
      <c r="B187" s="596" t="s">
        <v>229</v>
      </c>
      <c r="C187" s="583" t="s">
        <v>233</v>
      </c>
      <c r="D187" s="584" t="s">
        <v>197</v>
      </c>
      <c r="E187" s="590" t="s">
        <v>3475</v>
      </c>
      <c r="F187" s="586" t="s">
        <v>3479</v>
      </c>
    </row>
    <row r="188" spans="2:6" s="587" customFormat="1" x14ac:dyDescent="0.35">
      <c r="B188" s="596" t="s">
        <v>229</v>
      </c>
      <c r="C188" s="583" t="s">
        <v>234</v>
      </c>
      <c r="D188" s="584" t="s">
        <v>197</v>
      </c>
      <c r="E188" s="590" t="s">
        <v>3475</v>
      </c>
      <c r="F188" s="586" t="s">
        <v>3479</v>
      </c>
    </row>
    <row r="189" spans="2:6" s="587" customFormat="1" x14ac:dyDescent="0.35">
      <c r="B189" s="596" t="s">
        <v>229</v>
      </c>
      <c r="C189" s="583" t="s">
        <v>235</v>
      </c>
      <c r="D189" s="584" t="s">
        <v>197</v>
      </c>
      <c r="E189" s="590" t="s">
        <v>3475</v>
      </c>
      <c r="F189" s="586" t="s">
        <v>3479</v>
      </c>
    </row>
    <row r="190" spans="2:6" s="580" customFormat="1" x14ac:dyDescent="0.35">
      <c r="B190" s="557" t="s">
        <v>229</v>
      </c>
      <c r="C190" s="558" t="s">
        <v>236</v>
      </c>
      <c r="D190" s="581" t="s">
        <v>197</v>
      </c>
      <c r="E190" s="635" t="s">
        <v>1664</v>
      </c>
      <c r="F190" s="636" t="s">
        <v>3479</v>
      </c>
    </row>
    <row r="191" spans="2:6" s="587" customFormat="1" x14ac:dyDescent="0.35">
      <c r="B191" s="596" t="s">
        <v>229</v>
      </c>
      <c r="C191" s="583" t="s">
        <v>238</v>
      </c>
      <c r="D191" s="584" t="s">
        <v>197</v>
      </c>
      <c r="E191" s="590" t="s">
        <v>3475</v>
      </c>
      <c r="F191" s="586" t="s">
        <v>3479</v>
      </c>
    </row>
    <row r="192" spans="2:6" s="587" customFormat="1" x14ac:dyDescent="0.35">
      <c r="B192" s="596" t="s">
        <v>229</v>
      </c>
      <c r="C192" s="583" t="s">
        <v>239</v>
      </c>
      <c r="D192" s="584" t="s">
        <v>197</v>
      </c>
      <c r="E192" s="590" t="s">
        <v>3475</v>
      </c>
      <c r="F192" s="586" t="s">
        <v>3479</v>
      </c>
    </row>
    <row r="193" spans="2:6" s="587" customFormat="1" x14ac:dyDescent="0.35">
      <c r="B193" s="596" t="s">
        <v>229</v>
      </c>
      <c r="C193" s="583" t="s">
        <v>240</v>
      </c>
      <c r="D193" s="584" t="s">
        <v>197</v>
      </c>
      <c r="E193" s="590" t="s">
        <v>6163</v>
      </c>
      <c r="F193" s="586" t="s">
        <v>3479</v>
      </c>
    </row>
    <row r="194" spans="2:6" s="587" customFormat="1" x14ac:dyDescent="0.35">
      <c r="B194" s="596" t="s">
        <v>229</v>
      </c>
      <c r="C194" s="583" t="s">
        <v>241</v>
      </c>
      <c r="D194" s="584" t="s">
        <v>197</v>
      </c>
      <c r="E194" s="590" t="s">
        <v>3475</v>
      </c>
      <c r="F194" s="586" t="s">
        <v>3479</v>
      </c>
    </row>
    <row r="195" spans="2:6" s="587" customFormat="1" x14ac:dyDescent="0.35">
      <c r="B195" s="596" t="s">
        <v>229</v>
      </c>
      <c r="C195" s="583" t="s">
        <v>242</v>
      </c>
      <c r="D195" s="584" t="s">
        <v>197</v>
      </c>
      <c r="E195" s="590" t="s">
        <v>3475</v>
      </c>
      <c r="F195" s="586" t="s">
        <v>3479</v>
      </c>
    </row>
    <row r="196" spans="2:6" s="587" customFormat="1" x14ac:dyDescent="0.35">
      <c r="B196" s="596" t="s">
        <v>229</v>
      </c>
      <c r="C196" s="583" t="s">
        <v>243</v>
      </c>
      <c r="D196" s="584" t="s">
        <v>197</v>
      </c>
      <c r="E196" s="590" t="s">
        <v>3475</v>
      </c>
      <c r="F196" s="586" t="s">
        <v>3479</v>
      </c>
    </row>
    <row r="197" spans="2:6" s="587" customFormat="1" x14ac:dyDescent="0.35">
      <c r="B197" s="596" t="s">
        <v>229</v>
      </c>
      <c r="C197" s="583" t="s">
        <v>244</v>
      </c>
      <c r="D197" s="584" t="s">
        <v>197</v>
      </c>
      <c r="E197" s="590" t="s">
        <v>3475</v>
      </c>
      <c r="F197" s="586" t="s">
        <v>3479</v>
      </c>
    </row>
    <row r="198" spans="2:6" s="587" customFormat="1" x14ac:dyDescent="0.35">
      <c r="B198" s="596" t="s">
        <v>229</v>
      </c>
      <c r="C198" s="583" t="s">
        <v>245</v>
      </c>
      <c r="D198" s="584" t="s">
        <v>197</v>
      </c>
      <c r="E198" s="590" t="s">
        <v>3475</v>
      </c>
      <c r="F198" s="586" t="s">
        <v>3479</v>
      </c>
    </row>
    <row r="199" spans="2:6" s="587" customFormat="1" x14ac:dyDescent="0.35">
      <c r="B199" s="596" t="s">
        <v>229</v>
      </c>
      <c r="C199" s="583" t="s">
        <v>246</v>
      </c>
      <c r="D199" s="584" t="s">
        <v>197</v>
      </c>
      <c r="E199" s="590" t="s">
        <v>3475</v>
      </c>
      <c r="F199" s="586" t="s">
        <v>3479</v>
      </c>
    </row>
    <row r="200" spans="2:6" s="587" customFormat="1" x14ac:dyDescent="0.35">
      <c r="B200" s="596" t="s">
        <v>229</v>
      </c>
      <c r="C200" s="583" t="s">
        <v>247</v>
      </c>
      <c r="D200" s="584" t="s">
        <v>197</v>
      </c>
      <c r="E200" s="590" t="s">
        <v>3475</v>
      </c>
      <c r="F200" s="586" t="s">
        <v>3479</v>
      </c>
    </row>
    <row r="201" spans="2:6" s="587" customFormat="1" x14ac:dyDescent="0.35">
      <c r="B201" s="596" t="s">
        <v>229</v>
      </c>
      <c r="C201" s="583" t="s">
        <v>248</v>
      </c>
      <c r="D201" s="584" t="s">
        <v>197</v>
      </c>
      <c r="E201" s="590" t="s">
        <v>3475</v>
      </c>
      <c r="F201" s="586" t="s">
        <v>3479</v>
      </c>
    </row>
    <row r="202" spans="2:6" s="587" customFormat="1" x14ac:dyDescent="0.35">
      <c r="B202" s="596" t="s">
        <v>229</v>
      </c>
      <c r="C202" s="583" t="s">
        <v>249</v>
      </c>
      <c r="D202" s="584" t="s">
        <v>197</v>
      </c>
      <c r="E202" s="590" t="s">
        <v>3475</v>
      </c>
      <c r="F202" s="586" t="s">
        <v>3479</v>
      </c>
    </row>
    <row r="203" spans="2:6" s="625" customFormat="1" x14ac:dyDescent="0.35">
      <c r="B203" s="658" t="s">
        <v>229</v>
      </c>
      <c r="C203" s="659" t="s">
        <v>250</v>
      </c>
      <c r="D203" s="660" t="s">
        <v>197</v>
      </c>
      <c r="E203" s="623" t="s">
        <v>237</v>
      </c>
      <c r="F203" s="624" t="s">
        <v>3479</v>
      </c>
    </row>
    <row r="204" spans="2:6" s="587" customFormat="1" x14ac:dyDescent="0.35">
      <c r="B204" s="596" t="s">
        <v>229</v>
      </c>
      <c r="C204" s="583" t="s">
        <v>251</v>
      </c>
      <c r="D204" s="584" t="s">
        <v>197</v>
      </c>
      <c r="E204" s="590" t="s">
        <v>3475</v>
      </c>
      <c r="F204" s="586" t="s">
        <v>3479</v>
      </c>
    </row>
    <row r="205" spans="2:6" s="587" customFormat="1" x14ac:dyDescent="0.35">
      <c r="B205" s="596" t="s">
        <v>229</v>
      </c>
      <c r="C205" s="583" t="s">
        <v>252</v>
      </c>
      <c r="D205" s="584" t="s">
        <v>197</v>
      </c>
      <c r="E205" s="590" t="s">
        <v>3475</v>
      </c>
      <c r="F205" s="586" t="s">
        <v>3479</v>
      </c>
    </row>
    <row r="206" spans="2:6" s="587" customFormat="1" x14ac:dyDescent="0.35">
      <c r="B206" s="596" t="s">
        <v>229</v>
      </c>
      <c r="C206" s="583" t="s">
        <v>253</v>
      </c>
      <c r="D206" s="584" t="s">
        <v>197</v>
      </c>
      <c r="E206" s="590" t="s">
        <v>3475</v>
      </c>
      <c r="F206" s="586" t="s">
        <v>3479</v>
      </c>
    </row>
    <row r="207" spans="2:6" s="587" customFormat="1" x14ac:dyDescent="0.35">
      <c r="B207" s="596" t="s">
        <v>229</v>
      </c>
      <c r="C207" s="583" t="s">
        <v>254</v>
      </c>
      <c r="D207" s="584" t="s">
        <v>197</v>
      </c>
      <c r="E207" s="590" t="s">
        <v>3475</v>
      </c>
      <c r="F207" s="586" t="s">
        <v>3479</v>
      </c>
    </row>
    <row r="208" spans="2:6" s="587" customFormat="1" x14ac:dyDescent="0.35">
      <c r="B208" s="596" t="s">
        <v>229</v>
      </c>
      <c r="C208" s="583" t="s">
        <v>255</v>
      </c>
      <c r="D208" s="584" t="s">
        <v>197</v>
      </c>
      <c r="E208" s="590" t="s">
        <v>3475</v>
      </c>
      <c r="F208" s="586" t="s">
        <v>3479</v>
      </c>
    </row>
    <row r="209" spans="2:6" s="587" customFormat="1" x14ac:dyDescent="0.35">
      <c r="B209" s="596" t="s">
        <v>229</v>
      </c>
      <c r="C209" s="583" t="s">
        <v>256</v>
      </c>
      <c r="D209" s="584" t="s">
        <v>197</v>
      </c>
      <c r="E209" s="590" t="s">
        <v>3475</v>
      </c>
      <c r="F209" s="586" t="s">
        <v>3479</v>
      </c>
    </row>
    <row r="210" spans="2:6" s="587" customFormat="1" x14ac:dyDescent="0.35">
      <c r="B210" s="596" t="s">
        <v>229</v>
      </c>
      <c r="C210" s="583" t="s">
        <v>257</v>
      </c>
      <c r="D210" s="584" t="s">
        <v>197</v>
      </c>
      <c r="E210" s="590" t="s">
        <v>3475</v>
      </c>
      <c r="F210" s="586" t="s">
        <v>3479</v>
      </c>
    </row>
    <row r="211" spans="2:6" s="625" customFormat="1" x14ac:dyDescent="0.35">
      <c r="B211" s="658" t="s">
        <v>229</v>
      </c>
      <c r="C211" s="659" t="s">
        <v>258</v>
      </c>
      <c r="D211" s="660" t="s">
        <v>197</v>
      </c>
      <c r="E211" s="623" t="s">
        <v>259</v>
      </c>
      <c r="F211" s="624" t="s">
        <v>3479</v>
      </c>
    </row>
    <row r="212" spans="2:6" s="784" customFormat="1" x14ac:dyDescent="0.35">
      <c r="B212" s="779" t="s">
        <v>229</v>
      </c>
      <c r="C212" s="780" t="s">
        <v>260</v>
      </c>
      <c r="D212" s="781" t="s">
        <v>197</v>
      </c>
      <c r="E212" s="782" t="s">
        <v>3475</v>
      </c>
      <c r="F212" s="783" t="s">
        <v>3479</v>
      </c>
    </row>
    <row r="213" spans="2:6" s="625" customFormat="1" x14ac:dyDescent="0.35">
      <c r="B213" s="658" t="s">
        <v>229</v>
      </c>
      <c r="C213" s="659" t="s">
        <v>261</v>
      </c>
      <c r="D213" s="660" t="s">
        <v>197</v>
      </c>
      <c r="E213" s="661" t="s">
        <v>262</v>
      </c>
      <c r="F213" s="662" t="s">
        <v>3479</v>
      </c>
    </row>
    <row r="214" spans="2:6" s="625" customFormat="1" x14ac:dyDescent="0.35">
      <c r="B214" s="658" t="s">
        <v>229</v>
      </c>
      <c r="C214" s="659" t="s">
        <v>263</v>
      </c>
      <c r="D214" s="660" t="s">
        <v>197</v>
      </c>
      <c r="E214" s="667" t="s">
        <v>6180</v>
      </c>
      <c r="F214" s="648" t="s">
        <v>3479</v>
      </c>
    </row>
    <row r="215" spans="2:6" s="784" customFormat="1" x14ac:dyDescent="0.35">
      <c r="B215" s="779" t="s">
        <v>229</v>
      </c>
      <c r="C215" s="780" t="s">
        <v>265</v>
      </c>
      <c r="D215" s="781" t="s">
        <v>197</v>
      </c>
      <c r="E215" s="782" t="s">
        <v>3475</v>
      </c>
      <c r="F215" s="783" t="s">
        <v>3479</v>
      </c>
    </row>
    <row r="216" spans="2:6" s="784" customFormat="1" x14ac:dyDescent="0.35">
      <c r="B216" s="779" t="s">
        <v>229</v>
      </c>
      <c r="C216" s="780" t="s">
        <v>266</v>
      </c>
      <c r="D216" s="781" t="s">
        <v>197</v>
      </c>
      <c r="E216" s="782" t="s">
        <v>3475</v>
      </c>
      <c r="F216" s="783" t="s">
        <v>3479</v>
      </c>
    </row>
    <row r="217" spans="2:6" s="784" customFormat="1" x14ac:dyDescent="0.35">
      <c r="B217" s="779" t="s">
        <v>229</v>
      </c>
      <c r="C217" s="780" t="s">
        <v>267</v>
      </c>
      <c r="D217" s="781" t="s">
        <v>197</v>
      </c>
      <c r="E217" s="782" t="s">
        <v>3475</v>
      </c>
      <c r="F217" s="783" t="s">
        <v>3479</v>
      </c>
    </row>
    <row r="218" spans="2:6" s="784" customFormat="1" x14ac:dyDescent="0.35">
      <c r="B218" s="779" t="s">
        <v>229</v>
      </c>
      <c r="C218" s="780" t="s">
        <v>268</v>
      </c>
      <c r="D218" s="781" t="s">
        <v>197</v>
      </c>
      <c r="E218" s="782" t="s">
        <v>3475</v>
      </c>
      <c r="F218" s="783" t="s">
        <v>3479</v>
      </c>
    </row>
    <row r="219" spans="2:6" s="587" customFormat="1" x14ac:dyDescent="0.35">
      <c r="B219" s="596" t="s">
        <v>229</v>
      </c>
      <c r="C219" s="583" t="s">
        <v>269</v>
      </c>
      <c r="D219" s="584" t="s">
        <v>197</v>
      </c>
      <c r="E219" s="604" t="s">
        <v>4001</v>
      </c>
      <c r="F219" s="586" t="s">
        <v>3479</v>
      </c>
    </row>
    <row r="220" spans="2:6" s="784" customFormat="1" x14ac:dyDescent="0.35">
      <c r="B220" s="779" t="s">
        <v>229</v>
      </c>
      <c r="C220" s="780" t="s">
        <v>270</v>
      </c>
      <c r="D220" s="781" t="s">
        <v>197</v>
      </c>
      <c r="E220" s="782" t="s">
        <v>3475</v>
      </c>
      <c r="F220" s="783" t="s">
        <v>3479</v>
      </c>
    </row>
    <row r="221" spans="2:6" s="784" customFormat="1" x14ac:dyDescent="0.35">
      <c r="B221" s="779" t="s">
        <v>229</v>
      </c>
      <c r="C221" s="780" t="s">
        <v>271</v>
      </c>
      <c r="D221" s="781" t="s">
        <v>197</v>
      </c>
      <c r="E221" s="782" t="s">
        <v>3475</v>
      </c>
      <c r="F221" s="783" t="s">
        <v>3479</v>
      </c>
    </row>
    <row r="222" spans="2:6" s="784" customFormat="1" x14ac:dyDescent="0.35">
      <c r="B222" s="779" t="s">
        <v>229</v>
      </c>
      <c r="C222" s="780" t="s">
        <v>272</v>
      </c>
      <c r="D222" s="781" t="s">
        <v>197</v>
      </c>
      <c r="E222" s="782" t="s">
        <v>3475</v>
      </c>
      <c r="F222" s="783" t="s">
        <v>3479</v>
      </c>
    </row>
    <row r="223" spans="2:6" s="784" customFormat="1" x14ac:dyDescent="0.35">
      <c r="B223" s="779" t="s">
        <v>229</v>
      </c>
      <c r="C223" s="780" t="s">
        <v>273</v>
      </c>
      <c r="D223" s="781" t="s">
        <v>197</v>
      </c>
      <c r="E223" s="782" t="s">
        <v>3475</v>
      </c>
      <c r="F223" s="783" t="s">
        <v>3479</v>
      </c>
    </row>
    <row r="224" spans="2:6" s="625" customFormat="1" x14ac:dyDescent="0.35">
      <c r="B224" s="658" t="s">
        <v>274</v>
      </c>
      <c r="C224" s="659" t="s">
        <v>275</v>
      </c>
      <c r="D224" s="668" t="s">
        <v>276</v>
      </c>
      <c r="E224" s="661" t="s">
        <v>277</v>
      </c>
      <c r="F224" s="662" t="s">
        <v>3479</v>
      </c>
    </row>
    <row r="225" spans="2:6" s="784" customFormat="1" x14ac:dyDescent="0.35">
      <c r="B225" s="779" t="s">
        <v>274</v>
      </c>
      <c r="C225" s="780" t="s">
        <v>278</v>
      </c>
      <c r="D225" s="781" t="s">
        <v>276</v>
      </c>
      <c r="E225" s="785" t="s">
        <v>6234</v>
      </c>
      <c r="F225" s="786" t="s">
        <v>3479</v>
      </c>
    </row>
    <row r="226" spans="2:6" s="625" customFormat="1" x14ac:dyDescent="0.35">
      <c r="B226" s="658" t="s">
        <v>274</v>
      </c>
      <c r="C226" s="659" t="s">
        <v>279</v>
      </c>
      <c r="D226" s="660" t="s">
        <v>276</v>
      </c>
      <c r="E226" s="661" t="s">
        <v>280</v>
      </c>
      <c r="F226" s="662" t="s">
        <v>3479</v>
      </c>
    </row>
    <row r="227" spans="2:6" s="625" customFormat="1" x14ac:dyDescent="0.35">
      <c r="B227" s="658" t="s">
        <v>274</v>
      </c>
      <c r="C227" s="659" t="s">
        <v>281</v>
      </c>
      <c r="D227" s="660" t="s">
        <v>276</v>
      </c>
      <c r="E227" s="661" t="s">
        <v>282</v>
      </c>
      <c r="F227" s="662" t="s">
        <v>3479</v>
      </c>
    </row>
    <row r="228" spans="2:6" s="625" customFormat="1" x14ac:dyDescent="0.35">
      <c r="B228" s="658" t="s">
        <v>274</v>
      </c>
      <c r="C228" s="659" t="s">
        <v>283</v>
      </c>
      <c r="D228" s="660" t="s">
        <v>276</v>
      </c>
      <c r="E228" s="661" t="s">
        <v>284</v>
      </c>
      <c r="F228" s="662" t="s">
        <v>3479</v>
      </c>
    </row>
    <row r="229" spans="2:6" s="625" customFormat="1" x14ac:dyDescent="0.35">
      <c r="B229" s="658" t="s">
        <v>274</v>
      </c>
      <c r="C229" s="659" t="s">
        <v>285</v>
      </c>
      <c r="D229" s="660" t="s">
        <v>276</v>
      </c>
      <c r="E229" s="623" t="s">
        <v>286</v>
      </c>
      <c r="F229" s="624" t="s">
        <v>3479</v>
      </c>
    </row>
    <row r="230" spans="2:6" s="625" customFormat="1" x14ac:dyDescent="0.35">
      <c r="B230" s="658" t="s">
        <v>274</v>
      </c>
      <c r="C230" s="659" t="s">
        <v>287</v>
      </c>
      <c r="D230" s="660" t="s">
        <v>276</v>
      </c>
      <c r="E230" s="661" t="s">
        <v>288</v>
      </c>
      <c r="F230" s="662" t="s">
        <v>3479</v>
      </c>
    </row>
    <row r="231" spans="2:6" s="625" customFormat="1" x14ac:dyDescent="0.35">
      <c r="B231" s="658" t="s">
        <v>274</v>
      </c>
      <c r="C231" s="659" t="s">
        <v>289</v>
      </c>
      <c r="D231" s="660" t="s">
        <v>276</v>
      </c>
      <c r="E231" s="661" t="s">
        <v>290</v>
      </c>
      <c r="F231" s="662" t="s">
        <v>3479</v>
      </c>
    </row>
    <row r="232" spans="2:6" s="625" customFormat="1" x14ac:dyDescent="0.35">
      <c r="B232" s="658" t="s">
        <v>274</v>
      </c>
      <c r="C232" s="659" t="s">
        <v>291</v>
      </c>
      <c r="D232" s="660" t="s">
        <v>276</v>
      </c>
      <c r="E232" s="661" t="s">
        <v>292</v>
      </c>
      <c r="F232" s="662" t="s">
        <v>3479</v>
      </c>
    </row>
    <row r="233" spans="2:6" s="625" customFormat="1" x14ac:dyDescent="0.35">
      <c r="B233" s="658" t="s">
        <v>274</v>
      </c>
      <c r="C233" s="659" t="s">
        <v>293</v>
      </c>
      <c r="D233" s="660" t="s">
        <v>276</v>
      </c>
      <c r="E233" s="661" t="s">
        <v>294</v>
      </c>
      <c r="F233" s="662" t="s">
        <v>3479</v>
      </c>
    </row>
    <row r="234" spans="2:6" s="784" customFormat="1" x14ac:dyDescent="0.35">
      <c r="B234" s="787" t="s">
        <v>91</v>
      </c>
      <c r="C234" s="788" t="s">
        <v>295</v>
      </c>
      <c r="D234" s="789" t="s">
        <v>296</v>
      </c>
      <c r="E234" s="782" t="s">
        <v>3475</v>
      </c>
      <c r="F234" s="790" t="s">
        <v>3479</v>
      </c>
    </row>
    <row r="235" spans="2:6" s="625" customFormat="1" x14ac:dyDescent="0.35">
      <c r="B235" s="620" t="s">
        <v>91</v>
      </c>
      <c r="C235" s="621" t="s">
        <v>297</v>
      </c>
      <c r="D235" s="622" t="s">
        <v>296</v>
      </c>
      <c r="E235" s="661" t="s">
        <v>298</v>
      </c>
      <c r="F235" s="648" t="s">
        <v>3479</v>
      </c>
    </row>
    <row r="236" spans="2:6" s="784" customFormat="1" x14ac:dyDescent="0.35">
      <c r="B236" s="787" t="s">
        <v>91</v>
      </c>
      <c r="C236" s="788" t="s">
        <v>299</v>
      </c>
      <c r="D236" s="791" t="s">
        <v>296</v>
      </c>
      <c r="E236" s="785" t="s">
        <v>3475</v>
      </c>
      <c r="F236" s="790" t="s">
        <v>3479</v>
      </c>
    </row>
    <row r="237" spans="2:6" s="580" customFormat="1" x14ac:dyDescent="0.35">
      <c r="B237" s="575" t="s">
        <v>91</v>
      </c>
      <c r="C237" s="576" t="s">
        <v>301</v>
      </c>
      <c r="D237" s="577" t="s">
        <v>296</v>
      </c>
      <c r="E237" s="578" t="s">
        <v>2617</v>
      </c>
      <c r="F237" s="636" t="s">
        <v>3479</v>
      </c>
    </row>
    <row r="238" spans="2:6" s="625" customFormat="1" x14ac:dyDescent="0.35">
      <c r="B238" s="620" t="s">
        <v>91</v>
      </c>
      <c r="C238" s="621" t="s">
        <v>302</v>
      </c>
      <c r="D238" s="622" t="s">
        <v>296</v>
      </c>
      <c r="E238" s="661" t="s">
        <v>303</v>
      </c>
      <c r="F238" s="648" t="s">
        <v>3479</v>
      </c>
    </row>
    <row r="239" spans="2:6" s="625" customFormat="1" x14ac:dyDescent="0.35">
      <c r="B239" s="620" t="s">
        <v>91</v>
      </c>
      <c r="C239" s="621" t="s">
        <v>304</v>
      </c>
      <c r="D239" s="622" t="s">
        <v>296</v>
      </c>
      <c r="E239" s="661" t="s">
        <v>305</v>
      </c>
      <c r="F239" s="648" t="s">
        <v>3479</v>
      </c>
    </row>
    <row r="240" spans="2:6" s="784" customFormat="1" x14ac:dyDescent="0.35">
      <c r="B240" s="787" t="s">
        <v>91</v>
      </c>
      <c r="C240" s="788" t="s">
        <v>306</v>
      </c>
      <c r="D240" s="791" t="s">
        <v>296</v>
      </c>
      <c r="E240" s="782" t="s">
        <v>3475</v>
      </c>
      <c r="F240" s="790" t="s">
        <v>3479</v>
      </c>
    </row>
    <row r="241" spans="2:6" s="625" customFormat="1" x14ac:dyDescent="0.35">
      <c r="B241" s="620" t="s">
        <v>91</v>
      </c>
      <c r="C241" s="621" t="s">
        <v>307</v>
      </c>
      <c r="D241" s="622" t="s">
        <v>296</v>
      </c>
      <c r="E241" s="667" t="s">
        <v>308</v>
      </c>
      <c r="F241" s="648" t="s">
        <v>3479</v>
      </c>
    </row>
    <row r="242" spans="2:6" s="784" customFormat="1" x14ac:dyDescent="0.35">
      <c r="B242" s="787" t="s">
        <v>91</v>
      </c>
      <c r="C242" s="788" t="s">
        <v>309</v>
      </c>
      <c r="D242" s="791" t="s">
        <v>296</v>
      </c>
      <c r="E242" s="782" t="s">
        <v>3475</v>
      </c>
      <c r="F242" s="783" t="s">
        <v>3479</v>
      </c>
    </row>
    <row r="243" spans="2:6" s="625" customFormat="1" x14ac:dyDescent="0.35">
      <c r="B243" s="620" t="s">
        <v>91</v>
      </c>
      <c r="C243" s="621" t="s">
        <v>310</v>
      </c>
      <c r="D243" s="621" t="s">
        <v>296</v>
      </c>
      <c r="E243" s="672" t="s">
        <v>311</v>
      </c>
      <c r="F243" s="648" t="s">
        <v>3479</v>
      </c>
    </row>
    <row r="244" spans="2:6" s="784" customFormat="1" x14ac:dyDescent="0.35">
      <c r="B244" s="787" t="s">
        <v>91</v>
      </c>
      <c r="C244" s="788" t="s">
        <v>312</v>
      </c>
      <c r="D244" s="791" t="s">
        <v>296</v>
      </c>
      <c r="E244" s="782" t="s">
        <v>3475</v>
      </c>
      <c r="F244" s="783" t="s">
        <v>3479</v>
      </c>
    </row>
    <row r="245" spans="2:6" s="784" customFormat="1" x14ac:dyDescent="0.35">
      <c r="B245" s="787" t="s">
        <v>91</v>
      </c>
      <c r="C245" s="788" t="s">
        <v>313</v>
      </c>
      <c r="D245" s="791" t="s">
        <v>296</v>
      </c>
      <c r="E245" s="782" t="s">
        <v>3475</v>
      </c>
      <c r="F245" s="783" t="s">
        <v>3479</v>
      </c>
    </row>
    <row r="246" spans="2:6" s="784" customFormat="1" x14ac:dyDescent="0.35">
      <c r="B246" s="787" t="s">
        <v>91</v>
      </c>
      <c r="C246" s="788" t="s">
        <v>314</v>
      </c>
      <c r="D246" s="791" t="s">
        <v>296</v>
      </c>
      <c r="E246" s="782" t="s">
        <v>3475</v>
      </c>
      <c r="F246" s="783" t="s">
        <v>3479</v>
      </c>
    </row>
    <row r="247" spans="2:6" s="580" customFormat="1" x14ac:dyDescent="0.35">
      <c r="B247" s="575" t="s">
        <v>91</v>
      </c>
      <c r="C247" s="576" t="s">
        <v>315</v>
      </c>
      <c r="D247" s="576" t="s">
        <v>296</v>
      </c>
      <c r="E247" s="641" t="s">
        <v>57</v>
      </c>
      <c r="F247" s="638" t="s">
        <v>3479</v>
      </c>
    </row>
    <row r="248" spans="2:6" s="625" customFormat="1" x14ac:dyDescent="0.35">
      <c r="B248" s="620" t="s">
        <v>91</v>
      </c>
      <c r="C248" s="621" t="s">
        <v>316</v>
      </c>
      <c r="D248" s="621" t="s">
        <v>296</v>
      </c>
      <c r="E248" s="673" t="s">
        <v>317</v>
      </c>
      <c r="F248" s="662" t="s">
        <v>3479</v>
      </c>
    </row>
    <row r="249" spans="2:6" s="580" customFormat="1" x14ac:dyDescent="0.35">
      <c r="B249" s="575" t="s">
        <v>91</v>
      </c>
      <c r="C249" s="576" t="s">
        <v>318</v>
      </c>
      <c r="D249" s="576" t="s">
        <v>296</v>
      </c>
      <c r="E249" s="647" t="s">
        <v>1664</v>
      </c>
      <c r="F249" s="638" t="s">
        <v>3479</v>
      </c>
    </row>
    <row r="250" spans="2:6" s="580" customFormat="1" x14ac:dyDescent="0.35">
      <c r="B250" s="575" t="s">
        <v>91</v>
      </c>
      <c r="C250" s="576" t="s">
        <v>320</v>
      </c>
      <c r="D250" s="577" t="s">
        <v>296</v>
      </c>
      <c r="E250" s="578" t="s">
        <v>2617</v>
      </c>
      <c r="F250" s="579" t="s">
        <v>3479</v>
      </c>
    </row>
    <row r="251" spans="2:6" s="784" customFormat="1" x14ac:dyDescent="0.35">
      <c r="B251" s="787" t="s">
        <v>91</v>
      </c>
      <c r="C251" s="788" t="s">
        <v>321</v>
      </c>
      <c r="D251" s="791" t="s">
        <v>296</v>
      </c>
      <c r="E251" s="782" t="s">
        <v>3475</v>
      </c>
      <c r="F251" s="783" t="s">
        <v>3479</v>
      </c>
    </row>
    <row r="252" spans="2:6" s="625" customFormat="1" x14ac:dyDescent="0.35">
      <c r="B252" s="620" t="s">
        <v>91</v>
      </c>
      <c r="C252" s="621" t="s">
        <v>322</v>
      </c>
      <c r="D252" s="622" t="s">
        <v>296</v>
      </c>
      <c r="E252" s="623" t="s">
        <v>6182</v>
      </c>
      <c r="F252" s="624" t="s">
        <v>3479</v>
      </c>
    </row>
    <row r="253" spans="2:6" s="625" customFormat="1" x14ac:dyDescent="0.35">
      <c r="B253" s="620" t="s">
        <v>91</v>
      </c>
      <c r="C253" s="621" t="s">
        <v>323</v>
      </c>
      <c r="D253" s="621" t="s">
        <v>296</v>
      </c>
      <c r="E253" s="665" t="s">
        <v>6229</v>
      </c>
      <c r="F253" s="662" t="s">
        <v>3479</v>
      </c>
    </row>
    <row r="254" spans="2:6" s="784" customFormat="1" x14ac:dyDescent="0.35">
      <c r="B254" s="787" t="s">
        <v>91</v>
      </c>
      <c r="C254" s="788" t="s">
        <v>325</v>
      </c>
      <c r="D254" s="791" t="s">
        <v>296</v>
      </c>
      <c r="E254" s="782" t="s">
        <v>3475</v>
      </c>
      <c r="F254" s="783" t="s">
        <v>3479</v>
      </c>
    </row>
    <row r="255" spans="2:6" s="784" customFormat="1" x14ac:dyDescent="0.35">
      <c r="B255" s="787" t="s">
        <v>91</v>
      </c>
      <c r="C255" s="792" t="s">
        <v>326</v>
      </c>
      <c r="D255" s="793" t="s">
        <v>296</v>
      </c>
      <c r="E255" s="782" t="s">
        <v>3475</v>
      </c>
      <c r="F255" s="783" t="s">
        <v>3479</v>
      </c>
    </row>
    <row r="256" spans="2:6" s="784" customFormat="1" x14ac:dyDescent="0.35">
      <c r="B256" s="794" t="s">
        <v>91</v>
      </c>
      <c r="C256" s="782" t="s">
        <v>327</v>
      </c>
      <c r="D256" s="795" t="s">
        <v>296</v>
      </c>
      <c r="E256" s="782" t="s">
        <v>3475</v>
      </c>
      <c r="F256" s="783" t="s">
        <v>3479</v>
      </c>
    </row>
    <row r="257" spans="2:6" s="625" customFormat="1" x14ac:dyDescent="0.35">
      <c r="B257" s="620" t="s">
        <v>328</v>
      </c>
      <c r="C257" s="674" t="s">
        <v>329</v>
      </c>
      <c r="D257" s="674" t="s">
        <v>296</v>
      </c>
      <c r="E257" s="675" t="s">
        <v>330</v>
      </c>
      <c r="F257" s="662" t="s">
        <v>3479</v>
      </c>
    </row>
    <row r="258" spans="2:6" s="625" customFormat="1" x14ac:dyDescent="0.35">
      <c r="B258" s="620" t="s">
        <v>328</v>
      </c>
      <c r="C258" s="621" t="s">
        <v>6183</v>
      </c>
      <c r="D258" s="621" t="s">
        <v>296</v>
      </c>
      <c r="E258" s="673" t="s">
        <v>6172</v>
      </c>
      <c r="F258" s="662" t="s">
        <v>3479</v>
      </c>
    </row>
    <row r="259" spans="2:6" s="625" customFormat="1" x14ac:dyDescent="0.35">
      <c r="B259" s="620" t="s">
        <v>328</v>
      </c>
      <c r="C259" s="621" t="s">
        <v>332</v>
      </c>
      <c r="D259" s="621" t="s">
        <v>296</v>
      </c>
      <c r="E259" s="673" t="s">
        <v>333</v>
      </c>
      <c r="F259" s="662" t="s">
        <v>3479</v>
      </c>
    </row>
    <row r="260" spans="2:6" s="625" customFormat="1" x14ac:dyDescent="0.35">
      <c r="B260" s="620" t="s">
        <v>328</v>
      </c>
      <c r="C260" s="621" t="s">
        <v>334</v>
      </c>
      <c r="D260" s="621" t="s">
        <v>296</v>
      </c>
      <c r="E260" s="673" t="s">
        <v>6184</v>
      </c>
      <c r="F260" s="662" t="s">
        <v>3479</v>
      </c>
    </row>
    <row r="261" spans="2:6" s="625" customFormat="1" x14ac:dyDescent="0.35">
      <c r="B261" s="620" t="s">
        <v>328</v>
      </c>
      <c r="C261" s="621" t="s">
        <v>335</v>
      </c>
      <c r="D261" s="621" t="s">
        <v>296</v>
      </c>
      <c r="E261" s="667" t="s">
        <v>6185</v>
      </c>
      <c r="F261" s="648" t="s">
        <v>3479</v>
      </c>
    </row>
    <row r="262" spans="2:6" s="625" customFormat="1" x14ac:dyDescent="0.35">
      <c r="B262" s="620" t="s">
        <v>328</v>
      </c>
      <c r="C262" s="621" t="s">
        <v>337</v>
      </c>
      <c r="D262" s="621" t="s">
        <v>296</v>
      </c>
      <c r="E262" s="673" t="s">
        <v>338</v>
      </c>
      <c r="F262" s="662" t="s">
        <v>3479</v>
      </c>
    </row>
    <row r="263" spans="2:6" s="625" customFormat="1" x14ac:dyDescent="0.35">
      <c r="B263" s="620" t="s">
        <v>328</v>
      </c>
      <c r="C263" s="621" t="s">
        <v>339</v>
      </c>
      <c r="D263" s="621" t="s">
        <v>296</v>
      </c>
      <c r="E263" s="667" t="s">
        <v>340</v>
      </c>
      <c r="F263" s="648" t="s">
        <v>3479</v>
      </c>
    </row>
    <row r="264" spans="2:6" s="625" customFormat="1" x14ac:dyDescent="0.35">
      <c r="B264" s="620" t="s">
        <v>328</v>
      </c>
      <c r="C264" s="621" t="s">
        <v>341</v>
      </c>
      <c r="D264" s="621" t="s">
        <v>296</v>
      </c>
      <c r="E264" s="676" t="s">
        <v>342</v>
      </c>
      <c r="F264" s="677" t="s">
        <v>3479</v>
      </c>
    </row>
    <row r="265" spans="2:6" s="625" customFormat="1" x14ac:dyDescent="0.35">
      <c r="B265" s="620" t="s">
        <v>328</v>
      </c>
      <c r="C265" s="621" t="s">
        <v>343</v>
      </c>
      <c r="D265" s="621" t="s">
        <v>296</v>
      </c>
      <c r="E265" s="667" t="s">
        <v>344</v>
      </c>
      <c r="F265" s="648" t="s">
        <v>3479</v>
      </c>
    </row>
    <row r="266" spans="2:6" s="625" customFormat="1" x14ac:dyDescent="0.35">
      <c r="B266" s="620" t="s">
        <v>328</v>
      </c>
      <c r="C266" s="621" t="s">
        <v>345</v>
      </c>
      <c r="D266" s="621" t="s">
        <v>296</v>
      </c>
      <c r="E266" s="678" t="s">
        <v>346</v>
      </c>
      <c r="F266" s="662" t="s">
        <v>3479</v>
      </c>
    </row>
    <row r="267" spans="2:6" s="587" customFormat="1" x14ac:dyDescent="0.35">
      <c r="B267" s="605" t="s">
        <v>328</v>
      </c>
      <c r="C267" s="606" t="s">
        <v>347</v>
      </c>
      <c r="D267" s="607" t="s">
        <v>296</v>
      </c>
      <c r="E267" s="590" t="s">
        <v>3475</v>
      </c>
      <c r="F267" s="586" t="s">
        <v>3479</v>
      </c>
    </row>
    <row r="268" spans="2:6" s="625" customFormat="1" x14ac:dyDescent="0.35">
      <c r="B268" s="620" t="s">
        <v>328</v>
      </c>
      <c r="C268" s="621" t="s">
        <v>348</v>
      </c>
      <c r="D268" s="621" t="s">
        <v>296</v>
      </c>
      <c r="E268" s="665" t="s">
        <v>3095</v>
      </c>
      <c r="F268" s="662" t="s">
        <v>3479</v>
      </c>
    </row>
    <row r="269" spans="2:6" s="587" customFormat="1" x14ac:dyDescent="0.35">
      <c r="B269" s="605" t="s">
        <v>328</v>
      </c>
      <c r="C269" s="606" t="s">
        <v>349</v>
      </c>
      <c r="D269" s="607" t="s">
        <v>296</v>
      </c>
      <c r="E269" s="590" t="s">
        <v>3475</v>
      </c>
      <c r="F269" s="586" t="s">
        <v>3479</v>
      </c>
    </row>
    <row r="270" spans="2:6" s="580" customFormat="1" x14ac:dyDescent="0.35">
      <c r="B270" s="575" t="s">
        <v>328</v>
      </c>
      <c r="C270" s="576" t="s">
        <v>350</v>
      </c>
      <c r="D270" s="576" t="s">
        <v>296</v>
      </c>
      <c r="E270" s="641" t="s">
        <v>351</v>
      </c>
      <c r="F270" s="638" t="s">
        <v>3479</v>
      </c>
    </row>
    <row r="271" spans="2:6" s="625" customFormat="1" x14ac:dyDescent="0.35">
      <c r="B271" s="620" t="s">
        <v>328</v>
      </c>
      <c r="C271" s="621" t="s">
        <v>352</v>
      </c>
      <c r="D271" s="621" t="s">
        <v>296</v>
      </c>
      <c r="E271" s="673" t="s">
        <v>353</v>
      </c>
      <c r="F271" s="662" t="s">
        <v>3479</v>
      </c>
    </row>
    <row r="272" spans="2:6" s="625" customFormat="1" x14ac:dyDescent="0.35">
      <c r="B272" s="620" t="s">
        <v>328</v>
      </c>
      <c r="C272" s="621" t="s">
        <v>354</v>
      </c>
      <c r="D272" s="621" t="s">
        <v>296</v>
      </c>
      <c r="E272" s="673" t="s">
        <v>355</v>
      </c>
      <c r="F272" s="662" t="s">
        <v>3479</v>
      </c>
    </row>
    <row r="273" spans="2:6" s="625" customFormat="1" x14ac:dyDescent="0.35">
      <c r="B273" s="620" t="s">
        <v>328</v>
      </c>
      <c r="C273" s="621" t="s">
        <v>356</v>
      </c>
      <c r="D273" s="621" t="s">
        <v>296</v>
      </c>
      <c r="E273" s="673" t="s">
        <v>357</v>
      </c>
      <c r="F273" s="662" t="s">
        <v>3479</v>
      </c>
    </row>
    <row r="274" spans="2:6" s="625" customFormat="1" x14ac:dyDescent="0.35">
      <c r="B274" s="620" t="s">
        <v>328</v>
      </c>
      <c r="C274" s="621" t="s">
        <v>358</v>
      </c>
      <c r="D274" s="621" t="s">
        <v>296</v>
      </c>
      <c r="E274" s="673" t="s">
        <v>359</v>
      </c>
      <c r="F274" s="662" t="s">
        <v>3479</v>
      </c>
    </row>
    <row r="275" spans="2:6" s="625" customFormat="1" x14ac:dyDescent="0.35">
      <c r="B275" s="620" t="s">
        <v>328</v>
      </c>
      <c r="C275" s="621" t="s">
        <v>360</v>
      </c>
      <c r="D275" s="621" t="s">
        <v>296</v>
      </c>
      <c r="E275" s="667" t="s">
        <v>361</v>
      </c>
      <c r="F275" s="648" t="s">
        <v>3479</v>
      </c>
    </row>
    <row r="276" spans="2:6" s="580" customFormat="1" x14ac:dyDescent="0.35">
      <c r="B276" s="575" t="s">
        <v>328</v>
      </c>
      <c r="C276" s="576" t="s">
        <v>362</v>
      </c>
      <c r="D276" s="576" t="s">
        <v>296</v>
      </c>
      <c r="E276" s="639" t="s">
        <v>57</v>
      </c>
      <c r="F276" s="638" t="s">
        <v>3479</v>
      </c>
    </row>
    <row r="277" spans="2:6" s="20" customFormat="1" x14ac:dyDescent="0.35">
      <c r="B277" s="248" t="s">
        <v>328</v>
      </c>
      <c r="C277" s="249" t="s">
        <v>363</v>
      </c>
      <c r="D277" s="249" t="s">
        <v>296</v>
      </c>
      <c r="E277" s="650" t="s">
        <v>6177</v>
      </c>
      <c r="F277" s="651" t="s">
        <v>3479</v>
      </c>
    </row>
    <row r="278" spans="2:6" s="625" customFormat="1" x14ac:dyDescent="0.35">
      <c r="B278" s="620" t="s">
        <v>328</v>
      </c>
      <c r="C278" s="621" t="s">
        <v>364</v>
      </c>
      <c r="D278" s="621" t="s">
        <v>296</v>
      </c>
      <c r="E278" s="673" t="s">
        <v>365</v>
      </c>
      <c r="F278" s="662" t="s">
        <v>3479</v>
      </c>
    </row>
    <row r="279" spans="2:6" s="625" customFormat="1" x14ac:dyDescent="0.35">
      <c r="B279" s="620" t="s">
        <v>328</v>
      </c>
      <c r="C279" s="621" t="s">
        <v>366</v>
      </c>
      <c r="D279" s="621" t="s">
        <v>296</v>
      </c>
      <c r="E279" s="673" t="s">
        <v>367</v>
      </c>
      <c r="F279" s="662" t="s">
        <v>3479</v>
      </c>
    </row>
    <row r="280" spans="2:6" s="625" customFormat="1" x14ac:dyDescent="0.35">
      <c r="B280" s="620" t="s">
        <v>328</v>
      </c>
      <c r="C280" s="621" t="s">
        <v>368</v>
      </c>
      <c r="D280" s="621" t="s">
        <v>296</v>
      </c>
      <c r="E280" s="673" t="s">
        <v>369</v>
      </c>
      <c r="F280" s="662" t="s">
        <v>3479</v>
      </c>
    </row>
    <row r="281" spans="2:6" s="20" customFormat="1" x14ac:dyDescent="0.35">
      <c r="B281" s="248" t="s">
        <v>328</v>
      </c>
      <c r="C281" s="249" t="s">
        <v>370</v>
      </c>
      <c r="D281" s="249" t="s">
        <v>296</v>
      </c>
      <c r="E281" s="680" t="s">
        <v>6189</v>
      </c>
      <c r="F281" s="651" t="s">
        <v>3479</v>
      </c>
    </row>
    <row r="282" spans="2:6" s="625" customFormat="1" x14ac:dyDescent="0.35">
      <c r="B282" s="620" t="s">
        <v>328</v>
      </c>
      <c r="C282" s="621" t="s">
        <v>371</v>
      </c>
      <c r="D282" s="622" t="s">
        <v>296</v>
      </c>
      <c r="E282" s="623" t="s">
        <v>372</v>
      </c>
      <c r="F282" s="624" t="s">
        <v>3479</v>
      </c>
    </row>
    <row r="283" spans="2:6" s="625" customFormat="1" x14ac:dyDescent="0.35">
      <c r="B283" s="620" t="s">
        <v>328</v>
      </c>
      <c r="C283" s="621" t="s">
        <v>373</v>
      </c>
      <c r="D283" s="621" t="s">
        <v>296</v>
      </c>
      <c r="E283" s="675" t="s">
        <v>374</v>
      </c>
      <c r="F283" s="662" t="s">
        <v>3479</v>
      </c>
    </row>
    <row r="284" spans="2:6" s="580" customFormat="1" x14ac:dyDescent="0.35">
      <c r="B284" s="575" t="s">
        <v>328</v>
      </c>
      <c r="C284" s="576" t="s">
        <v>375</v>
      </c>
      <c r="D284" s="576" t="s">
        <v>296</v>
      </c>
      <c r="E284" s="639" t="s">
        <v>1664</v>
      </c>
      <c r="F284" s="638" t="s">
        <v>3479</v>
      </c>
    </row>
    <row r="285" spans="2:6" s="625" customFormat="1" x14ac:dyDescent="0.35">
      <c r="B285" s="620" t="s">
        <v>328</v>
      </c>
      <c r="C285" s="621" t="s">
        <v>376</v>
      </c>
      <c r="D285" s="621" t="s">
        <v>296</v>
      </c>
      <c r="E285" s="676" t="s">
        <v>377</v>
      </c>
      <c r="F285" s="677" t="s">
        <v>3479</v>
      </c>
    </row>
    <row r="286" spans="2:6" s="625" customFormat="1" x14ac:dyDescent="0.35">
      <c r="B286" s="620" t="s">
        <v>328</v>
      </c>
      <c r="C286" s="621" t="s">
        <v>378</v>
      </c>
      <c r="D286" s="621" t="s">
        <v>296</v>
      </c>
      <c r="E286" s="673" t="s">
        <v>379</v>
      </c>
      <c r="F286" s="662" t="s">
        <v>3479</v>
      </c>
    </row>
    <row r="287" spans="2:6" s="625" customFormat="1" x14ac:dyDescent="0.35">
      <c r="B287" s="620" t="s">
        <v>328</v>
      </c>
      <c r="C287" s="621" t="s">
        <v>380</v>
      </c>
      <c r="D287" s="621" t="s">
        <v>296</v>
      </c>
      <c r="E287" s="673" t="s">
        <v>381</v>
      </c>
      <c r="F287" s="662" t="s">
        <v>3479</v>
      </c>
    </row>
    <row r="288" spans="2:6" s="625" customFormat="1" x14ac:dyDescent="0.35">
      <c r="B288" s="620" t="s">
        <v>328</v>
      </c>
      <c r="C288" s="621" t="s">
        <v>382</v>
      </c>
      <c r="D288" s="621" t="s">
        <v>296</v>
      </c>
      <c r="E288" s="673" t="s">
        <v>383</v>
      </c>
      <c r="F288" s="662" t="s">
        <v>3479</v>
      </c>
    </row>
    <row r="289" spans="2:6" s="625" customFormat="1" x14ac:dyDescent="0.35">
      <c r="B289" s="620" t="s">
        <v>328</v>
      </c>
      <c r="C289" s="621" t="s">
        <v>384</v>
      </c>
      <c r="D289" s="621" t="s">
        <v>296</v>
      </c>
      <c r="E289" s="673" t="s">
        <v>385</v>
      </c>
      <c r="F289" s="662" t="s">
        <v>3479</v>
      </c>
    </row>
    <row r="290" spans="2:6" s="625" customFormat="1" x14ac:dyDescent="0.35">
      <c r="B290" s="620" t="s">
        <v>328</v>
      </c>
      <c r="C290" s="621" t="s">
        <v>386</v>
      </c>
      <c r="D290" s="621" t="s">
        <v>296</v>
      </c>
      <c r="E290" s="673" t="s">
        <v>387</v>
      </c>
      <c r="F290" s="662" t="s">
        <v>3479</v>
      </c>
    </row>
    <row r="291" spans="2:6" s="625" customFormat="1" x14ac:dyDescent="0.35">
      <c r="B291" s="620" t="s">
        <v>328</v>
      </c>
      <c r="C291" s="621" t="s">
        <v>388</v>
      </c>
      <c r="D291" s="621" t="s">
        <v>296</v>
      </c>
      <c r="E291" s="673" t="s">
        <v>389</v>
      </c>
      <c r="F291" s="662" t="s">
        <v>3479</v>
      </c>
    </row>
    <row r="292" spans="2:6" s="625" customFormat="1" x14ac:dyDescent="0.35">
      <c r="B292" s="620" t="s">
        <v>328</v>
      </c>
      <c r="C292" s="621" t="s">
        <v>390</v>
      </c>
      <c r="D292" s="621" t="s">
        <v>296</v>
      </c>
      <c r="E292" s="667" t="s">
        <v>6190</v>
      </c>
      <c r="F292" s="648" t="s">
        <v>3479</v>
      </c>
    </row>
    <row r="293" spans="2:6" s="625" customFormat="1" x14ac:dyDescent="0.35">
      <c r="B293" s="620" t="s">
        <v>328</v>
      </c>
      <c r="C293" s="621" t="s">
        <v>391</v>
      </c>
      <c r="D293" s="621" t="s">
        <v>296</v>
      </c>
      <c r="E293" s="673" t="s">
        <v>392</v>
      </c>
      <c r="F293" s="662" t="s">
        <v>3479</v>
      </c>
    </row>
    <row r="294" spans="2:6" s="625" customFormat="1" x14ac:dyDescent="0.35">
      <c r="B294" s="620" t="s">
        <v>328</v>
      </c>
      <c r="C294" s="621" t="s">
        <v>393</v>
      </c>
      <c r="D294" s="621" t="s">
        <v>296</v>
      </c>
      <c r="E294" s="667" t="s">
        <v>394</v>
      </c>
      <c r="F294" s="648" t="s">
        <v>3479</v>
      </c>
    </row>
    <row r="295" spans="2:6" s="625" customFormat="1" x14ac:dyDescent="0.35">
      <c r="B295" s="620" t="s">
        <v>328</v>
      </c>
      <c r="C295" s="621" t="s">
        <v>395</v>
      </c>
      <c r="D295" s="621" t="s">
        <v>296</v>
      </c>
      <c r="E295" s="678" t="s">
        <v>396</v>
      </c>
      <c r="F295" s="662" t="s">
        <v>3479</v>
      </c>
    </row>
    <row r="296" spans="2:6" s="20" customFormat="1" x14ac:dyDescent="0.35">
      <c r="B296" s="248" t="s">
        <v>328</v>
      </c>
      <c r="C296" s="249" t="s">
        <v>397</v>
      </c>
      <c r="D296" s="250" t="s">
        <v>296</v>
      </c>
      <c r="E296" s="29" t="s">
        <v>398</v>
      </c>
      <c r="F296" s="26" t="s">
        <v>3479</v>
      </c>
    </row>
    <row r="297" spans="2:6" s="625" customFormat="1" x14ac:dyDescent="0.35">
      <c r="B297" s="620" t="s">
        <v>328</v>
      </c>
      <c r="C297" s="621" t="s">
        <v>399</v>
      </c>
      <c r="D297" s="621" t="s">
        <v>296</v>
      </c>
      <c r="E297" s="675" t="s">
        <v>400</v>
      </c>
      <c r="F297" s="662" t="s">
        <v>3479</v>
      </c>
    </row>
    <row r="298" spans="2:6" s="625" customFormat="1" x14ac:dyDescent="0.35">
      <c r="B298" s="620" t="s">
        <v>328</v>
      </c>
      <c r="C298" s="621" t="s">
        <v>401</v>
      </c>
      <c r="D298" s="621" t="s">
        <v>296</v>
      </c>
      <c r="E298" s="673" t="s">
        <v>402</v>
      </c>
      <c r="F298" s="662" t="s">
        <v>3479</v>
      </c>
    </row>
    <row r="299" spans="2:6" s="580" customFormat="1" x14ac:dyDescent="0.35">
      <c r="B299" s="575" t="s">
        <v>328</v>
      </c>
      <c r="C299" s="576" t="s">
        <v>403</v>
      </c>
      <c r="D299" s="576" t="s">
        <v>296</v>
      </c>
      <c r="E299" s="639" t="s">
        <v>6191</v>
      </c>
      <c r="F299" s="638" t="s">
        <v>3479</v>
      </c>
    </row>
    <row r="300" spans="2:6" s="625" customFormat="1" x14ac:dyDescent="0.35">
      <c r="B300" s="620" t="s">
        <v>328</v>
      </c>
      <c r="C300" s="621" t="s">
        <v>405</v>
      </c>
      <c r="D300" s="621" t="s">
        <v>296</v>
      </c>
      <c r="E300" s="681" t="s">
        <v>406</v>
      </c>
      <c r="F300" s="648" t="s">
        <v>3479</v>
      </c>
    </row>
    <row r="301" spans="2:6" s="587" customFormat="1" x14ac:dyDescent="0.35">
      <c r="B301" s="605" t="s">
        <v>328</v>
      </c>
      <c r="C301" s="606" t="s">
        <v>407</v>
      </c>
      <c r="D301" s="607" t="s">
        <v>296</v>
      </c>
      <c r="E301" s="590" t="s">
        <v>4001</v>
      </c>
      <c r="F301" s="586" t="s">
        <v>3479</v>
      </c>
    </row>
    <row r="302" spans="2:6" s="625" customFormat="1" x14ac:dyDescent="0.35">
      <c r="B302" s="620" t="s">
        <v>328</v>
      </c>
      <c r="C302" s="621" t="s">
        <v>408</v>
      </c>
      <c r="D302" s="621" t="s">
        <v>296</v>
      </c>
      <c r="E302" s="675" t="s">
        <v>409</v>
      </c>
      <c r="F302" s="662" t="s">
        <v>3479</v>
      </c>
    </row>
    <row r="303" spans="2:6" s="580" customFormat="1" x14ac:dyDescent="0.35">
      <c r="B303" s="575" t="s">
        <v>328</v>
      </c>
      <c r="C303" s="576" t="s">
        <v>410</v>
      </c>
      <c r="D303" s="576" t="s">
        <v>296</v>
      </c>
      <c r="E303" s="639" t="s">
        <v>411</v>
      </c>
      <c r="F303" s="638" t="s">
        <v>3479</v>
      </c>
    </row>
    <row r="304" spans="2:6" s="625" customFormat="1" x14ac:dyDescent="0.35">
      <c r="B304" s="620" t="s">
        <v>328</v>
      </c>
      <c r="C304" s="621" t="s">
        <v>412</v>
      </c>
      <c r="D304" s="621" t="s">
        <v>296</v>
      </c>
      <c r="E304" s="673" t="s">
        <v>1835</v>
      </c>
      <c r="F304" s="662" t="s">
        <v>3479</v>
      </c>
    </row>
    <row r="305" spans="2:6" s="625" customFormat="1" x14ac:dyDescent="0.35">
      <c r="B305" s="620" t="s">
        <v>328</v>
      </c>
      <c r="C305" s="621" t="s">
        <v>414</v>
      </c>
      <c r="D305" s="621" t="s">
        <v>296</v>
      </c>
      <c r="E305" s="673" t="s">
        <v>415</v>
      </c>
      <c r="F305" s="662" t="s">
        <v>3479</v>
      </c>
    </row>
    <row r="306" spans="2:6" s="625" customFormat="1" x14ac:dyDescent="0.35">
      <c r="B306" s="620" t="s">
        <v>328</v>
      </c>
      <c r="C306" s="621" t="s">
        <v>416</v>
      </c>
      <c r="D306" s="621" t="s">
        <v>296</v>
      </c>
      <c r="E306" s="667" t="s">
        <v>417</v>
      </c>
      <c r="F306" s="648" t="s">
        <v>3479</v>
      </c>
    </row>
    <row r="307" spans="2:6" s="625" customFormat="1" x14ac:dyDescent="0.35">
      <c r="B307" s="620" t="s">
        <v>328</v>
      </c>
      <c r="C307" s="621" t="s">
        <v>418</v>
      </c>
      <c r="D307" s="621" t="s">
        <v>296</v>
      </c>
      <c r="E307" s="667" t="s">
        <v>419</v>
      </c>
      <c r="F307" s="648" t="s">
        <v>3479</v>
      </c>
    </row>
    <row r="308" spans="2:6" s="625" customFormat="1" x14ac:dyDescent="0.35">
      <c r="B308" s="620" t="s">
        <v>328</v>
      </c>
      <c r="C308" s="621" t="s">
        <v>420</v>
      </c>
      <c r="D308" s="621" t="s">
        <v>296</v>
      </c>
      <c r="E308" s="678" t="s">
        <v>421</v>
      </c>
      <c r="F308" s="662" t="s">
        <v>3479</v>
      </c>
    </row>
    <row r="309" spans="2:6" s="580" customFormat="1" x14ac:dyDescent="0.35">
      <c r="B309" s="575" t="s">
        <v>328</v>
      </c>
      <c r="C309" s="576" t="s">
        <v>422</v>
      </c>
      <c r="D309" s="577" t="s">
        <v>296</v>
      </c>
      <c r="E309" s="578" t="s">
        <v>57</v>
      </c>
      <c r="F309" s="579" t="s">
        <v>3479</v>
      </c>
    </row>
    <row r="310" spans="2:6" s="587" customFormat="1" x14ac:dyDescent="0.35">
      <c r="B310" s="605" t="s">
        <v>328</v>
      </c>
      <c r="C310" s="606" t="s">
        <v>423</v>
      </c>
      <c r="D310" s="607" t="s">
        <v>296</v>
      </c>
      <c r="E310" s="683" t="s">
        <v>3533</v>
      </c>
      <c r="F310" s="586" t="s">
        <v>3479</v>
      </c>
    </row>
    <row r="311" spans="2:6" s="625" customFormat="1" x14ac:dyDescent="0.35">
      <c r="B311" s="620" t="s">
        <v>328</v>
      </c>
      <c r="C311" s="624" t="s">
        <v>6192</v>
      </c>
      <c r="D311" s="622" t="s">
        <v>296</v>
      </c>
      <c r="E311" s="682" t="s">
        <v>67</v>
      </c>
      <c r="F311" s="624"/>
    </row>
    <row r="312" spans="2:6" s="20" customFormat="1" x14ac:dyDescent="0.35">
      <c r="B312" s="248" t="s">
        <v>328</v>
      </c>
      <c r="C312" s="274" t="s">
        <v>424</v>
      </c>
      <c r="D312" s="250" t="s">
        <v>296</v>
      </c>
      <c r="E312" s="29" t="s">
        <v>425</v>
      </c>
      <c r="F312" s="26" t="s">
        <v>3481</v>
      </c>
    </row>
    <row r="313" spans="2:6" s="625" customFormat="1" x14ac:dyDescent="0.35">
      <c r="B313" s="620" t="s">
        <v>328</v>
      </c>
      <c r="C313" s="621" t="s">
        <v>426</v>
      </c>
      <c r="D313" s="622" t="s">
        <v>296</v>
      </c>
      <c r="E313" s="684" t="s">
        <v>427</v>
      </c>
      <c r="F313" s="662" t="s">
        <v>3479</v>
      </c>
    </row>
    <row r="314" spans="2:6" s="625" customFormat="1" x14ac:dyDescent="0.35">
      <c r="B314" s="620" t="s">
        <v>328</v>
      </c>
      <c r="C314" s="661" t="s">
        <v>428</v>
      </c>
      <c r="D314" s="622" t="s">
        <v>296</v>
      </c>
      <c r="E314" s="661" t="s">
        <v>6194</v>
      </c>
      <c r="F314" s="662" t="s">
        <v>3479</v>
      </c>
    </row>
    <row r="315" spans="2:6" s="625" customFormat="1" x14ac:dyDescent="0.35">
      <c r="B315" s="620" t="s">
        <v>328</v>
      </c>
      <c r="C315" s="662" t="s">
        <v>429</v>
      </c>
      <c r="D315" s="622" t="s">
        <v>296</v>
      </c>
      <c r="E315" s="628" t="s">
        <v>430</v>
      </c>
      <c r="F315" s="624" t="s">
        <v>3479</v>
      </c>
    </row>
    <row r="316" spans="2:6" s="625" customFormat="1" x14ac:dyDescent="0.35">
      <c r="B316" s="620" t="s">
        <v>328</v>
      </c>
      <c r="C316" s="628" t="s">
        <v>431</v>
      </c>
      <c r="D316" s="622" t="s">
        <v>296</v>
      </c>
      <c r="E316" s="628" t="s">
        <v>432</v>
      </c>
      <c r="F316" s="624" t="s">
        <v>3479</v>
      </c>
    </row>
    <row r="317" spans="2:6" s="625" customFormat="1" x14ac:dyDescent="0.35">
      <c r="B317" s="620" t="s">
        <v>328</v>
      </c>
      <c r="C317" s="621" t="s">
        <v>433</v>
      </c>
      <c r="D317" s="622" t="s">
        <v>296</v>
      </c>
      <c r="E317" s="661" t="s">
        <v>434</v>
      </c>
      <c r="F317" s="662" t="s">
        <v>3479</v>
      </c>
    </row>
    <row r="318" spans="2:6" s="625" customFormat="1" x14ac:dyDescent="0.35">
      <c r="B318" s="620" t="s">
        <v>328</v>
      </c>
      <c r="C318" s="621" t="s">
        <v>6195</v>
      </c>
      <c r="D318" s="622" t="s">
        <v>296</v>
      </c>
      <c r="E318" s="766" t="s">
        <v>1935</v>
      </c>
      <c r="F318" s="662"/>
    </row>
    <row r="319" spans="2:6" s="625" customFormat="1" x14ac:dyDescent="0.35">
      <c r="B319" s="620" t="s">
        <v>435</v>
      </c>
      <c r="C319" s="621" t="s">
        <v>436</v>
      </c>
      <c r="D319" s="692" t="s">
        <v>276</v>
      </c>
      <c r="E319" s="675" t="s">
        <v>437</v>
      </c>
      <c r="F319" s="662" t="s">
        <v>3479</v>
      </c>
    </row>
    <row r="320" spans="2:6" s="625" customFormat="1" x14ac:dyDescent="0.35">
      <c r="B320" s="620" t="s">
        <v>435</v>
      </c>
      <c r="C320" s="621" t="s">
        <v>438</v>
      </c>
      <c r="D320" s="621" t="s">
        <v>276</v>
      </c>
      <c r="E320" s="678" t="s">
        <v>439</v>
      </c>
      <c r="F320" s="662" t="s">
        <v>3479</v>
      </c>
    </row>
    <row r="321" spans="2:6" s="20" customFormat="1" x14ac:dyDescent="0.35">
      <c r="B321" s="248" t="s">
        <v>435</v>
      </c>
      <c r="C321" s="249" t="s">
        <v>440</v>
      </c>
      <c r="D321" s="250" t="s">
        <v>276</v>
      </c>
      <c r="E321" s="29" t="s">
        <v>122</v>
      </c>
      <c r="F321" s="26" t="s">
        <v>3479</v>
      </c>
    </row>
    <row r="322" spans="2:6" s="625" customFormat="1" x14ac:dyDescent="0.35">
      <c r="B322" s="620" t="s">
        <v>435</v>
      </c>
      <c r="C322" s="621" t="s">
        <v>441</v>
      </c>
      <c r="D322" s="621" t="s">
        <v>276</v>
      </c>
      <c r="E322" s="675" t="s">
        <v>442</v>
      </c>
      <c r="F322" s="662" t="s">
        <v>3479</v>
      </c>
    </row>
    <row r="323" spans="2:6" s="625" customFormat="1" x14ac:dyDescent="0.35">
      <c r="B323" s="620" t="s">
        <v>435</v>
      </c>
      <c r="C323" s="621" t="s">
        <v>443</v>
      </c>
      <c r="D323" s="621" t="s">
        <v>276</v>
      </c>
      <c r="E323" s="673" t="s">
        <v>444</v>
      </c>
      <c r="F323" s="662" t="s">
        <v>3479</v>
      </c>
    </row>
    <row r="324" spans="2:6" s="625" customFormat="1" x14ac:dyDescent="0.35">
      <c r="B324" s="620" t="s">
        <v>435</v>
      </c>
      <c r="C324" s="621" t="s">
        <v>445</v>
      </c>
      <c r="D324" s="621" t="s">
        <v>276</v>
      </c>
      <c r="E324" s="673" t="s">
        <v>446</v>
      </c>
      <c r="F324" s="662" t="s">
        <v>3479</v>
      </c>
    </row>
    <row r="325" spans="2:6" s="625" customFormat="1" x14ac:dyDescent="0.35">
      <c r="B325" s="620" t="s">
        <v>435</v>
      </c>
      <c r="C325" s="621" t="s">
        <v>447</v>
      </c>
      <c r="D325" s="621" t="s">
        <v>276</v>
      </c>
      <c r="E325" s="673" t="s">
        <v>448</v>
      </c>
      <c r="F325" s="662" t="s">
        <v>3479</v>
      </c>
    </row>
    <row r="326" spans="2:6" s="625" customFormat="1" x14ac:dyDescent="0.35">
      <c r="B326" s="620" t="s">
        <v>435</v>
      </c>
      <c r="C326" s="621" t="s">
        <v>449</v>
      </c>
      <c r="D326" s="621" t="s">
        <v>276</v>
      </c>
      <c r="E326" s="673" t="s">
        <v>450</v>
      </c>
      <c r="F326" s="662" t="s">
        <v>3479</v>
      </c>
    </row>
    <row r="327" spans="2:6" s="625" customFormat="1" x14ac:dyDescent="0.35">
      <c r="B327" s="620" t="s">
        <v>435</v>
      </c>
      <c r="C327" s="621" t="s">
        <v>451</v>
      </c>
      <c r="D327" s="621" t="s">
        <v>276</v>
      </c>
      <c r="E327" s="673" t="s">
        <v>452</v>
      </c>
      <c r="F327" s="662" t="s">
        <v>3479</v>
      </c>
    </row>
    <row r="328" spans="2:6" s="625" customFormat="1" x14ac:dyDescent="0.35">
      <c r="B328" s="620" t="s">
        <v>435</v>
      </c>
      <c r="C328" s="621" t="s">
        <v>453</v>
      </c>
      <c r="D328" s="621" t="s">
        <v>276</v>
      </c>
      <c r="E328" s="673" t="s">
        <v>454</v>
      </c>
      <c r="F328" s="662" t="s">
        <v>3479</v>
      </c>
    </row>
    <row r="329" spans="2:6" s="625" customFormat="1" x14ac:dyDescent="0.35">
      <c r="B329" s="620" t="s">
        <v>435</v>
      </c>
      <c r="C329" s="621" t="s">
        <v>455</v>
      </c>
      <c r="D329" s="621" t="s">
        <v>276</v>
      </c>
      <c r="E329" s="678" t="s">
        <v>456</v>
      </c>
      <c r="F329" s="662" t="s">
        <v>3479</v>
      </c>
    </row>
    <row r="330" spans="2:6" s="698" customFormat="1" x14ac:dyDescent="0.35">
      <c r="B330" s="693" t="s">
        <v>435</v>
      </c>
      <c r="C330" s="694" t="s">
        <v>457</v>
      </c>
      <c r="D330" s="695" t="s">
        <v>276</v>
      </c>
      <c r="E330" s="696" t="s">
        <v>6173</v>
      </c>
      <c r="F330" s="697" t="s">
        <v>3479</v>
      </c>
    </row>
    <row r="331" spans="2:6" s="625" customFormat="1" x14ac:dyDescent="0.35">
      <c r="B331" s="620" t="s">
        <v>435</v>
      </c>
      <c r="C331" s="621" t="s">
        <v>458</v>
      </c>
      <c r="D331" s="621" t="s">
        <v>276</v>
      </c>
      <c r="E331" s="675" t="s">
        <v>459</v>
      </c>
      <c r="F331" s="662" t="s">
        <v>3479</v>
      </c>
    </row>
    <row r="332" spans="2:6" s="625" customFormat="1" x14ac:dyDescent="0.35">
      <c r="B332" s="620" t="s">
        <v>435</v>
      </c>
      <c r="C332" s="621" t="s">
        <v>460</v>
      </c>
      <c r="D332" s="621" t="s">
        <v>276</v>
      </c>
      <c r="E332" s="673" t="s">
        <v>461</v>
      </c>
      <c r="F332" s="662" t="s">
        <v>3479</v>
      </c>
    </row>
    <row r="333" spans="2:6" s="625" customFormat="1" x14ac:dyDescent="0.35">
      <c r="B333" s="620" t="s">
        <v>435</v>
      </c>
      <c r="C333" s="621" t="s">
        <v>462</v>
      </c>
      <c r="D333" s="621" t="s">
        <v>276</v>
      </c>
      <c r="E333" s="673" t="s">
        <v>463</v>
      </c>
      <c r="F333" s="662" t="s">
        <v>3479</v>
      </c>
    </row>
    <row r="334" spans="2:6" s="625" customFormat="1" x14ac:dyDescent="0.35">
      <c r="B334" s="620" t="s">
        <v>435</v>
      </c>
      <c r="C334" s="621" t="s">
        <v>464</v>
      </c>
      <c r="D334" s="621" t="s">
        <v>276</v>
      </c>
      <c r="E334" s="673" t="s">
        <v>465</v>
      </c>
      <c r="F334" s="662" t="s">
        <v>3479</v>
      </c>
    </row>
    <row r="335" spans="2:6" s="625" customFormat="1" x14ac:dyDescent="0.35">
      <c r="B335" s="620" t="s">
        <v>435</v>
      </c>
      <c r="C335" s="621" t="s">
        <v>466</v>
      </c>
      <c r="D335" s="621" t="s">
        <v>276</v>
      </c>
      <c r="E335" s="673" t="s">
        <v>467</v>
      </c>
      <c r="F335" s="662" t="s">
        <v>3479</v>
      </c>
    </row>
    <row r="336" spans="2:6" s="625" customFormat="1" x14ac:dyDescent="0.35">
      <c r="B336" s="620" t="s">
        <v>435</v>
      </c>
      <c r="C336" s="621" t="s">
        <v>468</v>
      </c>
      <c r="D336" s="621" t="s">
        <v>276</v>
      </c>
      <c r="E336" s="673" t="s">
        <v>469</v>
      </c>
      <c r="F336" s="662" t="s">
        <v>3479</v>
      </c>
    </row>
    <row r="337" spans="2:6" s="625" customFormat="1" x14ac:dyDescent="0.35">
      <c r="B337" s="620" t="s">
        <v>435</v>
      </c>
      <c r="C337" s="621" t="s">
        <v>470</v>
      </c>
      <c r="D337" s="621" t="s">
        <v>276</v>
      </c>
      <c r="E337" s="681" t="s">
        <v>471</v>
      </c>
      <c r="F337" s="648" t="s">
        <v>3479</v>
      </c>
    </row>
    <row r="338" spans="2:6" s="587" customFormat="1" x14ac:dyDescent="0.35">
      <c r="B338" s="699" t="s">
        <v>472</v>
      </c>
      <c r="C338" s="606" t="s">
        <v>473</v>
      </c>
      <c r="D338" s="607" t="s">
        <v>276</v>
      </c>
      <c r="E338" s="590" t="s">
        <v>6197</v>
      </c>
      <c r="F338" s="586" t="s">
        <v>3479</v>
      </c>
    </row>
    <row r="339" spans="2:6" s="625" customFormat="1" x14ac:dyDescent="0.35">
      <c r="B339" s="620" t="s">
        <v>472</v>
      </c>
      <c r="C339" s="621" t="s">
        <v>474</v>
      </c>
      <c r="D339" s="621" t="s">
        <v>276</v>
      </c>
      <c r="E339" s="675" t="s">
        <v>475</v>
      </c>
      <c r="F339" s="662" t="s">
        <v>3479</v>
      </c>
    </row>
    <row r="340" spans="2:6" s="625" customFormat="1" x14ac:dyDescent="0.35">
      <c r="B340" s="620" t="s">
        <v>472</v>
      </c>
      <c r="C340" s="621" t="s">
        <v>6198</v>
      </c>
      <c r="D340" s="621" t="s">
        <v>276</v>
      </c>
      <c r="E340" s="662" t="s">
        <v>3188</v>
      </c>
      <c r="F340" s="662" t="s">
        <v>3479</v>
      </c>
    </row>
    <row r="341" spans="2:6" s="625" customFormat="1" x14ac:dyDescent="0.35">
      <c r="B341" s="620" t="s">
        <v>472</v>
      </c>
      <c r="C341" s="621" t="s">
        <v>476</v>
      </c>
      <c r="D341" s="621" t="s">
        <v>276</v>
      </c>
      <c r="E341" s="681" t="s">
        <v>477</v>
      </c>
      <c r="F341" s="648" t="s">
        <v>3479</v>
      </c>
    </row>
    <row r="342" spans="2:6" s="580" customFormat="1" x14ac:dyDescent="0.35">
      <c r="B342" s="575" t="s">
        <v>472</v>
      </c>
      <c r="C342" s="576" t="s">
        <v>478</v>
      </c>
      <c r="D342" s="577" t="s">
        <v>276</v>
      </c>
      <c r="E342" s="578" t="s">
        <v>57</v>
      </c>
      <c r="F342" s="579" t="s">
        <v>3479</v>
      </c>
    </row>
    <row r="343" spans="2:6" s="20" customFormat="1" x14ac:dyDescent="0.35">
      <c r="B343" s="248" t="s">
        <v>472</v>
      </c>
      <c r="C343" s="249" t="s">
        <v>479</v>
      </c>
      <c r="D343" s="250" t="s">
        <v>296</v>
      </c>
      <c r="E343" s="29" t="s">
        <v>6199</v>
      </c>
      <c r="F343" s="26" t="s">
        <v>3479</v>
      </c>
    </row>
    <row r="344" spans="2:6" s="625" customFormat="1" x14ac:dyDescent="0.35">
      <c r="B344" s="620" t="s">
        <v>472</v>
      </c>
      <c r="C344" s="621" t="s">
        <v>481</v>
      </c>
      <c r="D344" s="622" t="s">
        <v>276</v>
      </c>
      <c r="E344" s="623" t="s">
        <v>482</v>
      </c>
      <c r="F344" s="624" t="s">
        <v>3479</v>
      </c>
    </row>
    <row r="345" spans="2:6" s="625" customFormat="1" x14ac:dyDescent="0.35">
      <c r="B345" s="620" t="s">
        <v>472</v>
      </c>
      <c r="C345" s="621" t="s">
        <v>483</v>
      </c>
      <c r="D345" s="621" t="s">
        <v>276</v>
      </c>
      <c r="E345" s="665" t="s">
        <v>484</v>
      </c>
      <c r="F345" s="662" t="s">
        <v>3479</v>
      </c>
    </row>
    <row r="346" spans="2:6" s="587" customFormat="1" x14ac:dyDescent="0.35">
      <c r="B346" s="605" t="s">
        <v>472</v>
      </c>
      <c r="C346" s="606" t="s">
        <v>485</v>
      </c>
      <c r="D346" s="607" t="s">
        <v>276</v>
      </c>
      <c r="E346" s="590" t="s">
        <v>3475</v>
      </c>
      <c r="F346" s="586" t="s">
        <v>3479</v>
      </c>
    </row>
    <row r="347" spans="2:6" s="580" customFormat="1" x14ac:dyDescent="0.35">
      <c r="B347" s="575" t="s">
        <v>472</v>
      </c>
      <c r="C347" s="576" t="s">
        <v>486</v>
      </c>
      <c r="D347" s="577" t="s">
        <v>276</v>
      </c>
      <c r="E347" s="578" t="s">
        <v>57</v>
      </c>
      <c r="F347" s="579" t="s">
        <v>3479</v>
      </c>
    </row>
    <row r="348" spans="2:6" s="625" customFormat="1" x14ac:dyDescent="0.35">
      <c r="B348" s="620" t="s">
        <v>472</v>
      </c>
      <c r="C348" s="621" t="s">
        <v>487</v>
      </c>
      <c r="D348" s="621" t="s">
        <v>276</v>
      </c>
      <c r="E348" s="710" t="s">
        <v>488</v>
      </c>
      <c r="F348" s="648" t="s">
        <v>3479</v>
      </c>
    </row>
    <row r="349" spans="2:6" s="698" customFormat="1" x14ac:dyDescent="0.35">
      <c r="B349" s="693" t="s">
        <v>472</v>
      </c>
      <c r="C349" s="708" t="s">
        <v>6119</v>
      </c>
      <c r="D349" s="694" t="s">
        <v>276</v>
      </c>
      <c r="E349" s="696" t="s">
        <v>6173</v>
      </c>
      <c r="F349" s="709"/>
    </row>
    <row r="350" spans="2:6" s="625" customFormat="1" x14ac:dyDescent="0.35">
      <c r="B350" s="620" t="s">
        <v>472</v>
      </c>
      <c r="C350" s="621" t="s">
        <v>489</v>
      </c>
      <c r="D350" s="621" t="s">
        <v>276</v>
      </c>
      <c r="E350" s="673" t="s">
        <v>490</v>
      </c>
      <c r="F350" s="662" t="s">
        <v>3479</v>
      </c>
    </row>
    <row r="351" spans="2:6" s="580" customFormat="1" x14ac:dyDescent="0.35">
      <c r="B351" s="575" t="s">
        <v>491</v>
      </c>
      <c r="C351" s="576" t="s">
        <v>492</v>
      </c>
      <c r="D351" s="576" t="s">
        <v>276</v>
      </c>
      <c r="E351" s="647" t="s">
        <v>1664</v>
      </c>
      <c r="F351" s="638" t="s">
        <v>3479</v>
      </c>
    </row>
    <row r="352" spans="2:6" s="587" customFormat="1" x14ac:dyDescent="0.35">
      <c r="B352" s="605" t="s">
        <v>491</v>
      </c>
      <c r="C352" s="606" t="s">
        <v>493</v>
      </c>
      <c r="D352" s="607" t="s">
        <v>276</v>
      </c>
      <c r="E352" s="590" t="s">
        <v>3475</v>
      </c>
      <c r="F352" s="586" t="s">
        <v>3479</v>
      </c>
    </row>
    <row r="353" spans="2:6" s="625" customFormat="1" x14ac:dyDescent="0.35">
      <c r="B353" s="620" t="s">
        <v>491</v>
      </c>
      <c r="C353" s="621" t="s">
        <v>494</v>
      </c>
      <c r="D353" s="621" t="s">
        <v>276</v>
      </c>
      <c r="E353" s="665" t="s">
        <v>495</v>
      </c>
      <c r="F353" s="662" t="s">
        <v>3479</v>
      </c>
    </row>
    <row r="354" spans="2:6" s="625" customFormat="1" x14ac:dyDescent="0.35">
      <c r="B354" s="620" t="s">
        <v>491</v>
      </c>
      <c r="C354" s="621" t="s">
        <v>496</v>
      </c>
      <c r="D354" s="622" t="s">
        <v>276</v>
      </c>
      <c r="E354" s="623" t="s">
        <v>497</v>
      </c>
      <c r="F354" s="624" t="s">
        <v>3479</v>
      </c>
    </row>
    <row r="355" spans="2:6" s="580" customFormat="1" x14ac:dyDescent="0.35">
      <c r="B355" s="575" t="s">
        <v>491</v>
      </c>
      <c r="C355" s="576" t="s">
        <v>498</v>
      </c>
      <c r="D355" s="577" t="s">
        <v>276</v>
      </c>
      <c r="E355" s="578" t="s">
        <v>57</v>
      </c>
      <c r="F355" s="579" t="s">
        <v>3479</v>
      </c>
    </row>
    <row r="356" spans="2:6" s="20" customFormat="1" x14ac:dyDescent="0.35">
      <c r="B356" s="248" t="s">
        <v>491</v>
      </c>
      <c r="C356" s="249" t="s">
        <v>499</v>
      </c>
      <c r="D356" s="250" t="s">
        <v>276</v>
      </c>
      <c r="E356" s="29" t="s">
        <v>6237</v>
      </c>
      <c r="F356" s="26" t="s">
        <v>3479</v>
      </c>
    </row>
    <row r="357" spans="2:6" s="625" customFormat="1" x14ac:dyDescent="0.35">
      <c r="B357" s="620" t="s">
        <v>491</v>
      </c>
      <c r="C357" s="621" t="s">
        <v>500</v>
      </c>
      <c r="D357" s="621" t="s">
        <v>276</v>
      </c>
      <c r="E357" s="675" t="s">
        <v>501</v>
      </c>
      <c r="F357" s="662" t="s">
        <v>3479</v>
      </c>
    </row>
    <row r="358" spans="2:6" s="580" customFormat="1" x14ac:dyDescent="0.35">
      <c r="B358" s="575" t="s">
        <v>491</v>
      </c>
      <c r="C358" s="576" t="s">
        <v>502</v>
      </c>
      <c r="D358" s="576" t="s">
        <v>276</v>
      </c>
      <c r="E358" s="647" t="s">
        <v>1664</v>
      </c>
      <c r="F358" s="638" t="s">
        <v>3479</v>
      </c>
    </row>
    <row r="359" spans="2:6" s="587" customFormat="1" x14ac:dyDescent="0.35">
      <c r="B359" s="605" t="s">
        <v>491</v>
      </c>
      <c r="C359" s="606" t="s">
        <v>504</v>
      </c>
      <c r="D359" s="607" t="s">
        <v>276</v>
      </c>
      <c r="E359" s="590" t="s">
        <v>4001</v>
      </c>
      <c r="F359" s="586" t="s">
        <v>3479</v>
      </c>
    </row>
    <row r="360" spans="2:6" s="625" customFormat="1" x14ac:dyDescent="0.35">
      <c r="B360" s="620" t="s">
        <v>505</v>
      </c>
      <c r="C360" s="621" t="s">
        <v>506</v>
      </c>
      <c r="D360" s="621" t="s">
        <v>276</v>
      </c>
      <c r="E360" s="665" t="s">
        <v>507</v>
      </c>
      <c r="F360" s="662" t="s">
        <v>3479</v>
      </c>
    </row>
    <row r="361" spans="2:6" s="698" customFormat="1" x14ac:dyDescent="0.35">
      <c r="B361" s="693" t="s">
        <v>505</v>
      </c>
      <c r="C361" s="694" t="s">
        <v>508</v>
      </c>
      <c r="D361" s="695" t="s">
        <v>276</v>
      </c>
      <c r="E361" s="696" t="s">
        <v>509</v>
      </c>
      <c r="F361" s="697" t="s">
        <v>3479</v>
      </c>
    </row>
    <row r="362" spans="2:6" s="698" customFormat="1" x14ac:dyDescent="0.35">
      <c r="B362" s="693" t="s">
        <v>505</v>
      </c>
      <c r="C362" s="694" t="s">
        <v>510</v>
      </c>
      <c r="D362" s="695" t="s">
        <v>276</v>
      </c>
      <c r="E362" s="696" t="s">
        <v>509</v>
      </c>
      <c r="F362" s="697" t="s">
        <v>3479</v>
      </c>
    </row>
    <row r="363" spans="2:6" s="698" customFormat="1" x14ac:dyDescent="0.35">
      <c r="B363" s="693" t="s">
        <v>505</v>
      </c>
      <c r="C363" s="694" t="s">
        <v>511</v>
      </c>
      <c r="D363" s="695" t="s">
        <v>276</v>
      </c>
      <c r="E363" s="696" t="s">
        <v>509</v>
      </c>
      <c r="F363" s="697" t="s">
        <v>3479</v>
      </c>
    </row>
    <row r="364" spans="2:6" s="698" customFormat="1" x14ac:dyDescent="0.35">
      <c r="B364" s="693" t="s">
        <v>505</v>
      </c>
      <c r="C364" s="694" t="s">
        <v>512</v>
      </c>
      <c r="D364" s="695" t="s">
        <v>276</v>
      </c>
      <c r="E364" s="696" t="s">
        <v>509</v>
      </c>
      <c r="F364" s="697" t="s">
        <v>3479</v>
      </c>
    </row>
    <row r="365" spans="2:6" s="625" customFormat="1" x14ac:dyDescent="0.35">
      <c r="B365" s="620" t="s">
        <v>435</v>
      </c>
      <c r="C365" s="621" t="s">
        <v>513</v>
      </c>
      <c r="D365" s="621" t="s">
        <v>276</v>
      </c>
      <c r="E365" s="675" t="s">
        <v>514</v>
      </c>
      <c r="F365" s="624" t="s">
        <v>3479</v>
      </c>
    </row>
    <row r="366" spans="2:6" s="625" customFormat="1" x14ac:dyDescent="0.35">
      <c r="B366" s="620" t="s">
        <v>435</v>
      </c>
      <c r="C366" s="621" t="s">
        <v>515</v>
      </c>
      <c r="D366" s="621" t="s">
        <v>276</v>
      </c>
      <c r="E366" s="678" t="s">
        <v>516</v>
      </c>
      <c r="F366" s="624" t="s">
        <v>3479</v>
      </c>
    </row>
    <row r="367" spans="2:6" s="625" customFormat="1" x14ac:dyDescent="0.35">
      <c r="B367" s="620" t="s">
        <v>435</v>
      </c>
      <c r="C367" s="621" t="s">
        <v>517</v>
      </c>
      <c r="D367" s="622" t="s">
        <v>276</v>
      </c>
      <c r="E367" s="623" t="s">
        <v>6164</v>
      </c>
      <c r="F367" s="624" t="s">
        <v>3479</v>
      </c>
    </row>
    <row r="368" spans="2:6" s="625" customFormat="1" x14ac:dyDescent="0.35">
      <c r="B368" s="620" t="s">
        <v>435</v>
      </c>
      <c r="C368" s="621" t="s">
        <v>518</v>
      </c>
      <c r="D368" s="621" t="s">
        <v>276</v>
      </c>
      <c r="E368" s="675" t="s">
        <v>519</v>
      </c>
      <c r="F368" s="624" t="s">
        <v>3479</v>
      </c>
    </row>
    <row r="369" spans="2:6" s="625" customFormat="1" x14ac:dyDescent="0.35">
      <c r="B369" s="620" t="s">
        <v>435</v>
      </c>
      <c r="C369" s="621" t="s">
        <v>520</v>
      </c>
      <c r="D369" s="621" t="s">
        <v>276</v>
      </c>
      <c r="E369" s="673" t="s">
        <v>521</v>
      </c>
      <c r="F369" s="624" t="s">
        <v>3479</v>
      </c>
    </row>
    <row r="370" spans="2:6" s="625" customFormat="1" x14ac:dyDescent="0.35">
      <c r="B370" s="620" t="s">
        <v>435</v>
      </c>
      <c r="C370" s="621" t="s">
        <v>522</v>
      </c>
      <c r="D370" s="621" t="s">
        <v>276</v>
      </c>
      <c r="E370" s="673" t="s">
        <v>523</v>
      </c>
      <c r="F370" s="624" t="s">
        <v>3479</v>
      </c>
    </row>
    <row r="371" spans="2:6" s="625" customFormat="1" x14ac:dyDescent="0.35">
      <c r="B371" s="620" t="s">
        <v>435</v>
      </c>
      <c r="C371" s="621" t="s">
        <v>524</v>
      </c>
      <c r="D371" s="621" t="s">
        <v>276</v>
      </c>
      <c r="E371" s="678" t="s">
        <v>525</v>
      </c>
      <c r="F371" s="662" t="s">
        <v>3479</v>
      </c>
    </row>
    <row r="372" spans="2:6" s="625" customFormat="1" x14ac:dyDescent="0.35">
      <c r="B372" s="620" t="s">
        <v>435</v>
      </c>
      <c r="C372" s="621" t="s">
        <v>526</v>
      </c>
      <c r="D372" s="622" t="s">
        <v>276</v>
      </c>
      <c r="E372" s="623" t="s">
        <v>3482</v>
      </c>
      <c r="F372" s="624" t="s">
        <v>3479</v>
      </c>
    </row>
    <row r="373" spans="2:6" s="625" customFormat="1" x14ac:dyDescent="0.35">
      <c r="B373" s="620" t="s">
        <v>435</v>
      </c>
      <c r="C373" s="621" t="s">
        <v>529</v>
      </c>
      <c r="D373" s="621" t="s">
        <v>276</v>
      </c>
      <c r="E373" s="675" t="s">
        <v>530</v>
      </c>
      <c r="F373" s="662" t="s">
        <v>3479</v>
      </c>
    </row>
    <row r="374" spans="2:6" s="625" customFormat="1" x14ac:dyDescent="0.35">
      <c r="B374" s="620" t="s">
        <v>435</v>
      </c>
      <c r="C374" s="621" t="s">
        <v>531</v>
      </c>
      <c r="D374" s="621" t="s">
        <v>276</v>
      </c>
      <c r="E374" s="673" t="s">
        <v>532</v>
      </c>
      <c r="F374" s="662" t="s">
        <v>3479</v>
      </c>
    </row>
    <row r="375" spans="2:6" s="625" customFormat="1" x14ac:dyDescent="0.35">
      <c r="B375" s="620" t="s">
        <v>435</v>
      </c>
      <c r="C375" s="621" t="s">
        <v>533</v>
      </c>
      <c r="D375" s="621" t="s">
        <v>276</v>
      </c>
      <c r="E375" s="673" t="s">
        <v>534</v>
      </c>
      <c r="F375" s="662" t="s">
        <v>3479</v>
      </c>
    </row>
    <row r="376" spans="2:6" s="625" customFormat="1" x14ac:dyDescent="0.35">
      <c r="B376" s="620" t="s">
        <v>435</v>
      </c>
      <c r="C376" s="621" t="s">
        <v>535</v>
      </c>
      <c r="D376" s="621" t="s">
        <v>276</v>
      </c>
      <c r="E376" s="673" t="s">
        <v>536</v>
      </c>
      <c r="F376" s="662" t="s">
        <v>3479</v>
      </c>
    </row>
    <row r="377" spans="2:6" s="625" customFormat="1" x14ac:dyDescent="0.35">
      <c r="B377" s="620" t="s">
        <v>435</v>
      </c>
      <c r="C377" s="621" t="s">
        <v>537</v>
      </c>
      <c r="D377" s="621" t="s">
        <v>276</v>
      </c>
      <c r="E377" s="673" t="s">
        <v>538</v>
      </c>
      <c r="F377" s="662" t="s">
        <v>3479</v>
      </c>
    </row>
    <row r="378" spans="2:6" s="625" customFormat="1" x14ac:dyDescent="0.35">
      <c r="B378" s="620" t="s">
        <v>435</v>
      </c>
      <c r="C378" s="621" t="s">
        <v>539</v>
      </c>
      <c r="D378" s="621" t="s">
        <v>276</v>
      </c>
      <c r="E378" s="769" t="s">
        <v>540</v>
      </c>
      <c r="F378" s="770" t="s">
        <v>3479</v>
      </c>
    </row>
    <row r="379" spans="2:6" s="625" customFormat="1" x14ac:dyDescent="0.35">
      <c r="B379" s="620" t="s">
        <v>435</v>
      </c>
      <c r="C379" s="621" t="s">
        <v>541</v>
      </c>
      <c r="D379" s="621" t="s">
        <v>276</v>
      </c>
      <c r="E379" s="673" t="s">
        <v>542</v>
      </c>
      <c r="F379" s="662" t="s">
        <v>3479</v>
      </c>
    </row>
    <row r="380" spans="2:6" s="625" customFormat="1" x14ac:dyDescent="0.35">
      <c r="B380" s="620" t="s">
        <v>435</v>
      </c>
      <c r="C380" s="621" t="s">
        <v>543</v>
      </c>
      <c r="D380" s="621" t="s">
        <v>276</v>
      </c>
      <c r="E380" s="673" t="s">
        <v>544</v>
      </c>
      <c r="F380" s="662" t="s">
        <v>3479</v>
      </c>
    </row>
    <row r="381" spans="2:6" s="625" customFormat="1" x14ac:dyDescent="0.35">
      <c r="B381" s="620" t="s">
        <v>435</v>
      </c>
      <c r="C381" s="621" t="s">
        <v>545</v>
      </c>
      <c r="D381" s="621" t="s">
        <v>276</v>
      </c>
      <c r="E381" s="673" t="s">
        <v>546</v>
      </c>
      <c r="F381" s="662" t="s">
        <v>3479</v>
      </c>
    </row>
    <row r="382" spans="2:6" s="625" customFormat="1" x14ac:dyDescent="0.35">
      <c r="B382" s="620" t="s">
        <v>435</v>
      </c>
      <c r="C382" s="621" t="s">
        <v>547</v>
      </c>
      <c r="D382" s="621" t="s">
        <v>276</v>
      </c>
      <c r="E382" s="673" t="s">
        <v>548</v>
      </c>
      <c r="F382" s="662" t="s">
        <v>3479</v>
      </c>
    </row>
    <row r="383" spans="2:6" s="625" customFormat="1" x14ac:dyDescent="0.35">
      <c r="B383" s="620" t="s">
        <v>435</v>
      </c>
      <c r="C383" s="621" t="s">
        <v>549</v>
      </c>
      <c r="D383" s="621" t="s">
        <v>276</v>
      </c>
      <c r="E383" s="673" t="s">
        <v>550</v>
      </c>
      <c r="F383" s="662" t="s">
        <v>3479</v>
      </c>
    </row>
    <row r="384" spans="2:6" s="20" customFormat="1" x14ac:dyDescent="0.35">
      <c r="B384" s="248" t="s">
        <v>435</v>
      </c>
      <c r="C384" s="249" t="s">
        <v>551</v>
      </c>
      <c r="D384" s="249" t="s">
        <v>276</v>
      </c>
      <c r="E384" s="275" t="s">
        <v>6178</v>
      </c>
      <c r="F384" s="276" t="s">
        <v>3479</v>
      </c>
    </row>
    <row r="385" spans="2:6" s="625" customFormat="1" x14ac:dyDescent="0.35">
      <c r="B385" s="620" t="s">
        <v>435</v>
      </c>
      <c r="C385" s="621" t="s">
        <v>552</v>
      </c>
      <c r="D385" s="621" t="s">
        <v>276</v>
      </c>
      <c r="E385" s="621" t="s">
        <v>553</v>
      </c>
      <c r="F385" s="771" t="s">
        <v>3479</v>
      </c>
    </row>
    <row r="386" spans="2:6" s="625" customFormat="1" x14ac:dyDescent="0.35">
      <c r="B386" s="620" t="s">
        <v>435</v>
      </c>
      <c r="C386" s="621" t="s">
        <v>554</v>
      </c>
      <c r="D386" s="621" t="s">
        <v>276</v>
      </c>
      <c r="E386" s="673" t="s">
        <v>555</v>
      </c>
      <c r="F386" s="662" t="s">
        <v>3479</v>
      </c>
    </row>
    <row r="387" spans="2:6" s="625" customFormat="1" x14ac:dyDescent="0.35">
      <c r="B387" s="620" t="s">
        <v>435</v>
      </c>
      <c r="C387" s="621" t="s">
        <v>556</v>
      </c>
      <c r="D387" s="621" t="s">
        <v>276</v>
      </c>
      <c r="E387" s="673" t="s">
        <v>557</v>
      </c>
      <c r="F387" s="662" t="s">
        <v>3479</v>
      </c>
    </row>
    <row r="388" spans="2:6" s="625" customFormat="1" x14ac:dyDescent="0.35">
      <c r="B388" s="620" t="s">
        <v>6201</v>
      </c>
      <c r="C388" s="621" t="s">
        <v>527</v>
      </c>
      <c r="D388" s="622" t="s">
        <v>276</v>
      </c>
      <c r="E388" s="623" t="s">
        <v>528</v>
      </c>
      <c r="F388" s="624" t="s">
        <v>3479</v>
      </c>
    </row>
    <row r="389" spans="2:6" s="625" customFormat="1" x14ac:dyDescent="0.35">
      <c r="B389" s="620" t="s">
        <v>558</v>
      </c>
      <c r="C389" s="621" t="s">
        <v>559</v>
      </c>
      <c r="D389" s="621" t="s">
        <v>276</v>
      </c>
      <c r="E389" s="673" t="s">
        <v>560</v>
      </c>
      <c r="F389" s="662" t="s">
        <v>3479</v>
      </c>
    </row>
    <row r="390" spans="2:6" s="625" customFormat="1" x14ac:dyDescent="0.35">
      <c r="B390" s="620" t="s">
        <v>558</v>
      </c>
      <c r="C390" s="621" t="s">
        <v>561</v>
      </c>
      <c r="D390" s="621" t="s">
        <v>276</v>
      </c>
      <c r="E390" s="673" t="s">
        <v>562</v>
      </c>
      <c r="F390" s="662" t="s">
        <v>3479</v>
      </c>
    </row>
    <row r="391" spans="2:6" s="625" customFormat="1" x14ac:dyDescent="0.35">
      <c r="B391" s="620" t="s">
        <v>558</v>
      </c>
      <c r="C391" s="621" t="s">
        <v>563</v>
      </c>
      <c r="D391" s="621" t="s">
        <v>276</v>
      </c>
      <c r="E391" s="678" t="s">
        <v>564</v>
      </c>
      <c r="F391" s="662" t="s">
        <v>3479</v>
      </c>
    </row>
    <row r="392" spans="2:6" s="625" customFormat="1" x14ac:dyDescent="0.35">
      <c r="B392" s="620" t="s">
        <v>558</v>
      </c>
      <c r="C392" s="621" t="s">
        <v>565</v>
      </c>
      <c r="D392" s="621" t="s">
        <v>276</v>
      </c>
      <c r="E392" s="678" t="s">
        <v>566</v>
      </c>
      <c r="F392" s="662" t="s">
        <v>3479</v>
      </c>
    </row>
    <row r="393" spans="2:6" s="625" customFormat="1" x14ac:dyDescent="0.35">
      <c r="B393" s="620" t="s">
        <v>558</v>
      </c>
      <c r="C393" s="621" t="s">
        <v>567</v>
      </c>
      <c r="D393" s="622" t="s">
        <v>276</v>
      </c>
      <c r="E393" s="623" t="s">
        <v>6202</v>
      </c>
      <c r="F393" s="624" t="s">
        <v>3479</v>
      </c>
    </row>
    <row r="394" spans="2:6" s="625" customFormat="1" x14ac:dyDescent="0.35">
      <c r="B394" s="620" t="s">
        <v>558</v>
      </c>
      <c r="C394" s="621" t="s">
        <v>568</v>
      </c>
      <c r="D394" s="622" t="s">
        <v>276</v>
      </c>
      <c r="E394" s="661" t="s">
        <v>569</v>
      </c>
      <c r="F394" s="662" t="s">
        <v>3479</v>
      </c>
    </row>
    <row r="395" spans="2:6" s="625" customFormat="1" x14ac:dyDescent="0.35">
      <c r="B395" s="620" t="s">
        <v>558</v>
      </c>
      <c r="C395" s="621" t="s">
        <v>570</v>
      </c>
      <c r="D395" s="622" t="s">
        <v>276</v>
      </c>
      <c r="E395" s="623" t="s">
        <v>571</v>
      </c>
      <c r="F395" s="624" t="s">
        <v>3479</v>
      </c>
    </row>
    <row r="396" spans="2:6" s="625" customFormat="1" x14ac:dyDescent="0.35">
      <c r="B396" s="620" t="s">
        <v>558</v>
      </c>
      <c r="C396" s="621" t="s">
        <v>572</v>
      </c>
      <c r="D396" s="621" t="s">
        <v>276</v>
      </c>
      <c r="E396" s="675" t="s">
        <v>573</v>
      </c>
      <c r="F396" s="662" t="s">
        <v>3479</v>
      </c>
    </row>
    <row r="397" spans="2:6" s="625" customFormat="1" x14ac:dyDescent="0.35">
      <c r="B397" s="620" t="s">
        <v>558</v>
      </c>
      <c r="C397" s="621" t="s">
        <v>574</v>
      </c>
      <c r="D397" s="621" t="s">
        <v>276</v>
      </c>
      <c r="E397" s="673" t="s">
        <v>575</v>
      </c>
      <c r="F397" s="662" t="s">
        <v>3479</v>
      </c>
    </row>
    <row r="398" spans="2:6" s="625" customFormat="1" x14ac:dyDescent="0.35">
      <c r="B398" s="620" t="s">
        <v>558</v>
      </c>
      <c r="C398" s="621" t="s">
        <v>576</v>
      </c>
      <c r="D398" s="621" t="s">
        <v>276</v>
      </c>
      <c r="E398" s="673" t="s">
        <v>577</v>
      </c>
      <c r="F398" s="662" t="s">
        <v>3479</v>
      </c>
    </row>
    <row r="399" spans="2:6" s="625" customFormat="1" x14ac:dyDescent="0.35">
      <c r="B399" s="620" t="s">
        <v>558</v>
      </c>
      <c r="C399" s="621" t="s">
        <v>578</v>
      </c>
      <c r="D399" s="621" t="s">
        <v>276</v>
      </c>
      <c r="E399" s="673" t="s">
        <v>579</v>
      </c>
      <c r="F399" s="662" t="s">
        <v>3479</v>
      </c>
    </row>
    <row r="400" spans="2:6" s="625" customFormat="1" x14ac:dyDescent="0.35">
      <c r="B400" s="620" t="s">
        <v>558</v>
      </c>
      <c r="C400" s="621" t="s">
        <v>580</v>
      </c>
      <c r="D400" s="621" t="s">
        <v>276</v>
      </c>
      <c r="E400" s="673" t="s">
        <v>581</v>
      </c>
      <c r="F400" s="662" t="s">
        <v>3479</v>
      </c>
    </row>
    <row r="401" spans="2:6" s="625" customFormat="1" x14ac:dyDescent="0.35">
      <c r="B401" s="620" t="s">
        <v>558</v>
      </c>
      <c r="C401" s="621" t="s">
        <v>582</v>
      </c>
      <c r="D401" s="621" t="s">
        <v>276</v>
      </c>
      <c r="E401" s="673" t="s">
        <v>583</v>
      </c>
      <c r="F401" s="662" t="s">
        <v>3479</v>
      </c>
    </row>
    <row r="402" spans="2:6" s="587" customFormat="1" x14ac:dyDescent="0.35">
      <c r="B402" s="605" t="s">
        <v>558</v>
      </c>
      <c r="C402" s="606" t="s">
        <v>584</v>
      </c>
      <c r="D402" s="606" t="s">
        <v>276</v>
      </c>
      <c r="E402" s="586" t="s">
        <v>6203</v>
      </c>
      <c r="F402" s="586" t="s">
        <v>3484</v>
      </c>
    </row>
    <row r="403" spans="2:6" s="625" customFormat="1" x14ac:dyDescent="0.35">
      <c r="B403" s="620" t="s">
        <v>558</v>
      </c>
      <c r="C403" s="621" t="s">
        <v>585</v>
      </c>
      <c r="D403" s="621" t="s">
        <v>276</v>
      </c>
      <c r="E403" s="673" t="s">
        <v>586</v>
      </c>
      <c r="F403" s="662" t="s">
        <v>3479</v>
      </c>
    </row>
    <row r="404" spans="2:6" s="625" customFormat="1" x14ac:dyDescent="0.35">
      <c r="B404" s="620" t="s">
        <v>558</v>
      </c>
      <c r="C404" s="621" t="s">
        <v>587</v>
      </c>
      <c r="D404" s="621" t="s">
        <v>276</v>
      </c>
      <c r="E404" s="673" t="s">
        <v>588</v>
      </c>
      <c r="F404" s="662" t="s">
        <v>3479</v>
      </c>
    </row>
    <row r="405" spans="2:6" s="625" customFormat="1" x14ac:dyDescent="0.35">
      <c r="B405" s="620" t="s">
        <v>558</v>
      </c>
      <c r="C405" s="659" t="s">
        <v>589</v>
      </c>
      <c r="D405" s="621" t="s">
        <v>276</v>
      </c>
      <c r="E405" s="623" t="s">
        <v>590</v>
      </c>
      <c r="F405" s="624" t="s">
        <v>3479</v>
      </c>
    </row>
    <row r="406" spans="2:6" s="625" customFormat="1" x14ac:dyDescent="0.35">
      <c r="B406" s="620" t="s">
        <v>558</v>
      </c>
      <c r="C406" s="621" t="s">
        <v>591</v>
      </c>
      <c r="D406" s="621" t="s">
        <v>276</v>
      </c>
      <c r="E406" s="673" t="s">
        <v>592</v>
      </c>
      <c r="F406" s="662" t="s">
        <v>3479</v>
      </c>
    </row>
    <row r="407" spans="2:6" s="625" customFormat="1" x14ac:dyDescent="0.35">
      <c r="B407" s="620" t="s">
        <v>593</v>
      </c>
      <c r="C407" s="621" t="s">
        <v>594</v>
      </c>
      <c r="D407" s="621" t="s">
        <v>595</v>
      </c>
      <c r="E407" s="673" t="s">
        <v>596</v>
      </c>
      <c r="F407" s="662" t="s">
        <v>3479</v>
      </c>
    </row>
    <row r="408" spans="2:6" s="625" customFormat="1" x14ac:dyDescent="0.35">
      <c r="B408" s="620" t="s">
        <v>593</v>
      </c>
      <c r="C408" s="621" t="s">
        <v>597</v>
      </c>
      <c r="D408" s="621" t="s">
        <v>595</v>
      </c>
      <c r="E408" s="673" t="s">
        <v>598</v>
      </c>
      <c r="F408" s="662" t="s">
        <v>3479</v>
      </c>
    </row>
    <row r="409" spans="2:6" s="625" customFormat="1" x14ac:dyDescent="0.35">
      <c r="B409" s="620" t="s">
        <v>593</v>
      </c>
      <c r="C409" s="621" t="s">
        <v>599</v>
      </c>
      <c r="D409" s="621" t="s">
        <v>595</v>
      </c>
      <c r="E409" s="673" t="s">
        <v>6186</v>
      </c>
      <c r="F409" s="662" t="s">
        <v>3479</v>
      </c>
    </row>
    <row r="410" spans="2:6" s="625" customFormat="1" x14ac:dyDescent="0.35">
      <c r="B410" s="620" t="s">
        <v>593</v>
      </c>
      <c r="C410" s="621" t="s">
        <v>601</v>
      </c>
      <c r="D410" s="621" t="s">
        <v>595</v>
      </c>
      <c r="E410" s="673" t="s">
        <v>602</v>
      </c>
      <c r="F410" s="662" t="s">
        <v>3479</v>
      </c>
    </row>
    <row r="411" spans="2:6" s="625" customFormat="1" x14ac:dyDescent="0.35">
      <c r="B411" s="620" t="s">
        <v>593</v>
      </c>
      <c r="C411" s="621" t="s">
        <v>603</v>
      </c>
      <c r="D411" s="621" t="s">
        <v>595</v>
      </c>
      <c r="E411" s="772" t="s">
        <v>604</v>
      </c>
      <c r="F411" s="624" t="s">
        <v>3479</v>
      </c>
    </row>
    <row r="412" spans="2:6" s="625" customFormat="1" x14ac:dyDescent="0.35">
      <c r="B412" s="620" t="s">
        <v>593</v>
      </c>
      <c r="C412" s="621" t="s">
        <v>605</v>
      </c>
      <c r="D412" s="621" t="s">
        <v>595</v>
      </c>
      <c r="E412" s="623" t="s">
        <v>606</v>
      </c>
      <c r="F412" s="624" t="s">
        <v>3479</v>
      </c>
    </row>
    <row r="413" spans="2:6" s="625" customFormat="1" x14ac:dyDescent="0.35">
      <c r="B413" s="620" t="s">
        <v>593</v>
      </c>
      <c r="C413" s="621" t="s">
        <v>607</v>
      </c>
      <c r="D413" s="621" t="s">
        <v>595</v>
      </c>
      <c r="E413" s="623" t="s">
        <v>6204</v>
      </c>
      <c r="F413" s="624" t="s">
        <v>3479</v>
      </c>
    </row>
    <row r="414" spans="2:6" s="625" customFormat="1" x14ac:dyDescent="0.35">
      <c r="B414" s="620" t="s">
        <v>593</v>
      </c>
      <c r="C414" s="621" t="s">
        <v>608</v>
      </c>
      <c r="D414" s="621" t="s">
        <v>595</v>
      </c>
      <c r="E414" s="623" t="s">
        <v>609</v>
      </c>
      <c r="F414" s="624" t="s">
        <v>3479</v>
      </c>
    </row>
    <row r="415" spans="2:6" s="625" customFormat="1" x14ac:dyDescent="0.35">
      <c r="B415" s="620" t="s">
        <v>593</v>
      </c>
      <c r="C415" s="621" t="s">
        <v>610</v>
      </c>
      <c r="D415" s="621" t="s">
        <v>595</v>
      </c>
      <c r="E415" s="623" t="s">
        <v>611</v>
      </c>
      <c r="F415" s="624" t="s">
        <v>3479</v>
      </c>
    </row>
    <row r="416" spans="2:6" s="625" customFormat="1" x14ac:dyDescent="0.35">
      <c r="B416" s="620" t="s">
        <v>593</v>
      </c>
      <c r="C416" s="621" t="s">
        <v>612</v>
      </c>
      <c r="D416" s="621" t="s">
        <v>595</v>
      </c>
      <c r="E416" s="623" t="s">
        <v>613</v>
      </c>
      <c r="F416" s="624" t="s">
        <v>3479</v>
      </c>
    </row>
    <row r="417" spans="2:6" s="625" customFormat="1" x14ac:dyDescent="0.35">
      <c r="B417" s="620" t="s">
        <v>593</v>
      </c>
      <c r="C417" s="621" t="s">
        <v>614</v>
      </c>
      <c r="D417" s="621" t="s">
        <v>595</v>
      </c>
      <c r="E417" s="623" t="s">
        <v>615</v>
      </c>
      <c r="F417" s="624" t="s">
        <v>3479</v>
      </c>
    </row>
    <row r="418" spans="2:6" s="625" customFormat="1" x14ac:dyDescent="0.35">
      <c r="B418" s="620" t="s">
        <v>593</v>
      </c>
      <c r="C418" s="621" t="s">
        <v>616</v>
      </c>
      <c r="D418" s="621" t="s">
        <v>595</v>
      </c>
      <c r="E418" s="623" t="s">
        <v>617</v>
      </c>
      <c r="F418" s="624" t="s">
        <v>3479</v>
      </c>
    </row>
    <row r="419" spans="2:6" s="625" customFormat="1" x14ac:dyDescent="0.35">
      <c r="B419" s="620" t="s">
        <v>593</v>
      </c>
      <c r="C419" s="621" t="s">
        <v>618</v>
      </c>
      <c r="D419" s="621" t="s">
        <v>595</v>
      </c>
      <c r="E419" s="623" t="s">
        <v>619</v>
      </c>
      <c r="F419" s="624" t="s">
        <v>3479</v>
      </c>
    </row>
    <row r="420" spans="2:6" s="625" customFormat="1" x14ac:dyDescent="0.35">
      <c r="B420" s="620" t="s">
        <v>593</v>
      </c>
      <c r="C420" s="621" t="s">
        <v>620</v>
      </c>
      <c r="D420" s="621" t="s">
        <v>595</v>
      </c>
      <c r="E420" s="623" t="s">
        <v>621</v>
      </c>
      <c r="F420" s="624" t="s">
        <v>3479</v>
      </c>
    </row>
    <row r="421" spans="2:6" s="625" customFormat="1" x14ac:dyDescent="0.35">
      <c r="B421" s="620" t="s">
        <v>593</v>
      </c>
      <c r="C421" s="621" t="s">
        <v>622</v>
      </c>
      <c r="D421" s="621" t="s">
        <v>595</v>
      </c>
      <c r="E421" s="623" t="s">
        <v>623</v>
      </c>
      <c r="F421" s="624" t="s">
        <v>3479</v>
      </c>
    </row>
    <row r="422" spans="2:6" s="625" customFormat="1" x14ac:dyDescent="0.35">
      <c r="B422" s="620" t="s">
        <v>593</v>
      </c>
      <c r="C422" s="621" t="s">
        <v>624</v>
      </c>
      <c r="D422" s="621" t="s">
        <v>595</v>
      </c>
      <c r="E422" s="623" t="s">
        <v>625</v>
      </c>
      <c r="F422" s="624" t="s">
        <v>3479</v>
      </c>
    </row>
    <row r="423" spans="2:6" s="625" customFormat="1" x14ac:dyDescent="0.35">
      <c r="B423" s="620" t="s">
        <v>593</v>
      </c>
      <c r="C423" s="621" t="s">
        <v>626</v>
      </c>
      <c r="D423" s="621" t="s">
        <v>595</v>
      </c>
      <c r="E423" s="623" t="s">
        <v>6205</v>
      </c>
      <c r="F423" s="624" t="s">
        <v>3479</v>
      </c>
    </row>
    <row r="424" spans="2:6" s="625" customFormat="1" x14ac:dyDescent="0.35">
      <c r="B424" s="620" t="s">
        <v>593</v>
      </c>
      <c r="C424" s="621" t="s">
        <v>627</v>
      </c>
      <c r="D424" s="621" t="s">
        <v>595</v>
      </c>
      <c r="E424" s="623" t="s">
        <v>628</v>
      </c>
      <c r="F424" s="624" t="s">
        <v>3479</v>
      </c>
    </row>
    <row r="425" spans="2:6" s="625" customFormat="1" x14ac:dyDescent="0.35">
      <c r="B425" s="620" t="s">
        <v>593</v>
      </c>
      <c r="C425" s="621" t="s">
        <v>629</v>
      </c>
      <c r="D425" s="621" t="s">
        <v>595</v>
      </c>
      <c r="E425" s="623" t="s">
        <v>630</v>
      </c>
      <c r="F425" s="624" t="s">
        <v>3479</v>
      </c>
    </row>
    <row r="426" spans="2:6" s="625" customFormat="1" x14ac:dyDescent="0.35">
      <c r="B426" s="620" t="s">
        <v>593</v>
      </c>
      <c r="C426" s="621" t="s">
        <v>631</v>
      </c>
      <c r="D426" s="621" t="s">
        <v>595</v>
      </c>
      <c r="E426" s="623" t="s">
        <v>632</v>
      </c>
      <c r="F426" s="624" t="s">
        <v>3479</v>
      </c>
    </row>
    <row r="427" spans="2:6" s="625" customFormat="1" x14ac:dyDescent="0.35">
      <c r="B427" s="620" t="s">
        <v>593</v>
      </c>
      <c r="C427" s="621" t="s">
        <v>633</v>
      </c>
      <c r="D427" s="621" t="s">
        <v>595</v>
      </c>
      <c r="E427" s="623" t="s">
        <v>634</v>
      </c>
      <c r="F427" s="624" t="s">
        <v>3479</v>
      </c>
    </row>
    <row r="428" spans="2:6" s="625" customFormat="1" x14ac:dyDescent="0.35">
      <c r="B428" s="620" t="s">
        <v>593</v>
      </c>
      <c r="C428" s="621" t="s">
        <v>635</v>
      </c>
      <c r="D428" s="621" t="s">
        <v>595</v>
      </c>
      <c r="E428" s="623" t="s">
        <v>636</v>
      </c>
      <c r="F428" s="624" t="s">
        <v>3479</v>
      </c>
    </row>
    <row r="429" spans="2:6" s="625" customFormat="1" x14ac:dyDescent="0.35">
      <c r="B429" s="620" t="s">
        <v>593</v>
      </c>
      <c r="C429" s="621" t="s">
        <v>637</v>
      </c>
      <c r="D429" s="621" t="s">
        <v>595</v>
      </c>
      <c r="E429" s="623" t="s">
        <v>638</v>
      </c>
      <c r="F429" s="624" t="s">
        <v>3479</v>
      </c>
    </row>
    <row r="430" spans="2:6" s="625" customFormat="1" x14ac:dyDescent="0.35">
      <c r="B430" s="620" t="s">
        <v>593</v>
      </c>
      <c r="C430" s="621" t="s">
        <v>639</v>
      </c>
      <c r="D430" s="621" t="s">
        <v>595</v>
      </c>
      <c r="E430" s="623" t="s">
        <v>640</v>
      </c>
      <c r="F430" s="624" t="s">
        <v>3479</v>
      </c>
    </row>
    <row r="431" spans="2:6" s="625" customFormat="1" x14ac:dyDescent="0.35">
      <c r="B431" s="620" t="s">
        <v>593</v>
      </c>
      <c r="C431" s="621" t="s">
        <v>641</v>
      </c>
      <c r="D431" s="621" t="s">
        <v>595</v>
      </c>
      <c r="E431" s="623" t="s">
        <v>642</v>
      </c>
      <c r="F431" s="624" t="s">
        <v>3479</v>
      </c>
    </row>
    <row r="432" spans="2:6" s="625" customFormat="1" x14ac:dyDescent="0.35">
      <c r="B432" s="620" t="s">
        <v>593</v>
      </c>
      <c r="C432" s="621" t="s">
        <v>643</v>
      </c>
      <c r="D432" s="621" t="s">
        <v>595</v>
      </c>
      <c r="E432" s="623" t="s">
        <v>644</v>
      </c>
      <c r="F432" s="624" t="s">
        <v>3479</v>
      </c>
    </row>
    <row r="433" spans="2:6" s="625" customFormat="1" x14ac:dyDescent="0.35">
      <c r="B433" s="620" t="s">
        <v>593</v>
      </c>
      <c r="C433" s="621" t="s">
        <v>645</v>
      </c>
      <c r="D433" s="621" t="s">
        <v>595</v>
      </c>
      <c r="E433" s="623" t="s">
        <v>646</v>
      </c>
      <c r="F433" s="624" t="s">
        <v>3479</v>
      </c>
    </row>
    <row r="434" spans="2:6" s="625" customFormat="1" x14ac:dyDescent="0.35">
      <c r="B434" s="620" t="s">
        <v>593</v>
      </c>
      <c r="C434" s="621" t="s">
        <v>647</v>
      </c>
      <c r="D434" s="621" t="s">
        <v>595</v>
      </c>
      <c r="E434" s="623" t="s">
        <v>648</v>
      </c>
      <c r="F434" s="624" t="s">
        <v>3479</v>
      </c>
    </row>
    <row r="435" spans="2:6" s="625" customFormat="1" x14ac:dyDescent="0.35">
      <c r="B435" s="620" t="s">
        <v>593</v>
      </c>
      <c r="C435" s="621" t="s">
        <v>649</v>
      </c>
      <c r="D435" s="621" t="s">
        <v>595</v>
      </c>
      <c r="E435" s="623" t="s">
        <v>650</v>
      </c>
      <c r="F435" s="624" t="s">
        <v>3479</v>
      </c>
    </row>
    <row r="436" spans="2:6" s="625" customFormat="1" x14ac:dyDescent="0.35">
      <c r="B436" s="620" t="s">
        <v>593</v>
      </c>
      <c r="C436" s="621" t="s">
        <v>651</v>
      </c>
      <c r="D436" s="621" t="s">
        <v>595</v>
      </c>
      <c r="E436" s="623" t="s">
        <v>869</v>
      </c>
      <c r="F436" s="624" t="s">
        <v>3479</v>
      </c>
    </row>
    <row r="437" spans="2:6" s="625" customFormat="1" x14ac:dyDescent="0.35">
      <c r="B437" s="620" t="s">
        <v>593</v>
      </c>
      <c r="C437" s="621" t="s">
        <v>653</v>
      </c>
      <c r="D437" s="621" t="s">
        <v>595</v>
      </c>
      <c r="E437" s="623" t="s">
        <v>654</v>
      </c>
      <c r="F437" s="624" t="s">
        <v>3479</v>
      </c>
    </row>
    <row r="438" spans="2:6" s="625" customFormat="1" x14ac:dyDescent="0.35">
      <c r="B438" s="620" t="s">
        <v>593</v>
      </c>
      <c r="C438" s="621" t="s">
        <v>655</v>
      </c>
      <c r="D438" s="621" t="s">
        <v>595</v>
      </c>
      <c r="E438" s="623" t="s">
        <v>656</v>
      </c>
      <c r="F438" s="624" t="s">
        <v>3479</v>
      </c>
    </row>
    <row r="439" spans="2:6" s="625" customFormat="1" x14ac:dyDescent="0.35">
      <c r="B439" s="620" t="s">
        <v>593</v>
      </c>
      <c r="C439" s="621" t="s">
        <v>657</v>
      </c>
      <c r="D439" s="621" t="s">
        <v>595</v>
      </c>
      <c r="E439" s="623" t="s">
        <v>658</v>
      </c>
      <c r="F439" s="624" t="s">
        <v>3479</v>
      </c>
    </row>
    <row r="440" spans="2:6" s="625" customFormat="1" x14ac:dyDescent="0.35">
      <c r="B440" s="620" t="s">
        <v>593</v>
      </c>
      <c r="C440" s="621" t="s">
        <v>659</v>
      </c>
      <c r="D440" s="621" t="s">
        <v>595</v>
      </c>
      <c r="E440" s="623" t="s">
        <v>660</v>
      </c>
      <c r="F440" s="624" t="s">
        <v>3479</v>
      </c>
    </row>
    <row r="441" spans="2:6" s="625" customFormat="1" x14ac:dyDescent="0.35">
      <c r="B441" s="620" t="s">
        <v>593</v>
      </c>
      <c r="C441" s="621" t="s">
        <v>661</v>
      </c>
      <c r="D441" s="621" t="s">
        <v>595</v>
      </c>
      <c r="E441" s="623" t="s">
        <v>662</v>
      </c>
      <c r="F441" s="624" t="s">
        <v>3479</v>
      </c>
    </row>
    <row r="442" spans="2:6" s="625" customFormat="1" x14ac:dyDescent="0.35">
      <c r="B442" s="620" t="s">
        <v>593</v>
      </c>
      <c r="C442" s="621" t="s">
        <v>663</v>
      </c>
      <c r="D442" s="621" t="s">
        <v>595</v>
      </c>
      <c r="E442" s="623" t="s">
        <v>664</v>
      </c>
      <c r="F442" s="624" t="s">
        <v>3479</v>
      </c>
    </row>
    <row r="443" spans="2:6" s="625" customFormat="1" x14ac:dyDescent="0.35">
      <c r="B443" s="620" t="s">
        <v>593</v>
      </c>
      <c r="C443" s="621" t="s">
        <v>665</v>
      </c>
      <c r="D443" s="621" t="s">
        <v>595</v>
      </c>
      <c r="E443" s="623" t="s">
        <v>666</v>
      </c>
      <c r="F443" s="624" t="s">
        <v>3479</v>
      </c>
    </row>
    <row r="444" spans="2:6" s="625" customFormat="1" x14ac:dyDescent="0.35">
      <c r="B444" s="620" t="s">
        <v>593</v>
      </c>
      <c r="C444" s="621" t="s">
        <v>667</v>
      </c>
      <c r="D444" s="621" t="s">
        <v>595</v>
      </c>
      <c r="E444" s="623" t="s">
        <v>668</v>
      </c>
      <c r="F444" s="624" t="s">
        <v>3479</v>
      </c>
    </row>
    <row r="445" spans="2:6" s="625" customFormat="1" x14ac:dyDescent="0.35">
      <c r="B445" s="620" t="s">
        <v>593</v>
      </c>
      <c r="C445" s="621" t="s">
        <v>669</v>
      </c>
      <c r="D445" s="621" t="s">
        <v>595</v>
      </c>
      <c r="E445" s="682" t="s">
        <v>670</v>
      </c>
      <c r="F445" s="624" t="s">
        <v>3479</v>
      </c>
    </row>
    <row r="446" spans="2:6" s="625" customFormat="1" x14ac:dyDescent="0.35">
      <c r="B446" s="620" t="s">
        <v>593</v>
      </c>
      <c r="C446" s="621" t="s">
        <v>671</v>
      </c>
      <c r="D446" s="622" t="s">
        <v>595</v>
      </c>
      <c r="E446" s="623" t="s">
        <v>672</v>
      </c>
      <c r="F446" s="624" t="s">
        <v>3479</v>
      </c>
    </row>
    <row r="447" spans="2:6" s="625" customFormat="1" x14ac:dyDescent="0.35">
      <c r="B447" s="620" t="s">
        <v>673</v>
      </c>
      <c r="C447" s="621" t="s">
        <v>674</v>
      </c>
      <c r="D447" s="621" t="s">
        <v>595</v>
      </c>
      <c r="E447" s="673" t="s">
        <v>675</v>
      </c>
      <c r="F447" s="662" t="s">
        <v>3479</v>
      </c>
    </row>
    <row r="448" spans="2:6" s="625" customFormat="1" x14ac:dyDescent="0.35">
      <c r="B448" s="620" t="s">
        <v>673</v>
      </c>
      <c r="C448" s="621" t="s">
        <v>676</v>
      </c>
      <c r="D448" s="621" t="s">
        <v>595</v>
      </c>
      <c r="E448" s="678" t="s">
        <v>677</v>
      </c>
      <c r="F448" s="662" t="s">
        <v>3479</v>
      </c>
    </row>
    <row r="449" spans="2:6" s="625" customFormat="1" x14ac:dyDescent="0.35">
      <c r="B449" s="620" t="s">
        <v>673</v>
      </c>
      <c r="C449" s="621" t="s">
        <v>678</v>
      </c>
      <c r="D449" s="622" t="s">
        <v>595</v>
      </c>
      <c r="E449" s="623" t="s">
        <v>6209</v>
      </c>
      <c r="F449" s="624" t="s">
        <v>3479</v>
      </c>
    </row>
    <row r="450" spans="2:6" s="625" customFormat="1" x14ac:dyDescent="0.35">
      <c r="B450" s="620" t="s">
        <v>673</v>
      </c>
      <c r="C450" s="621" t="s">
        <v>679</v>
      </c>
      <c r="D450" s="622" t="s">
        <v>595</v>
      </c>
      <c r="E450" s="623" t="s">
        <v>6207</v>
      </c>
      <c r="F450" s="624" t="s">
        <v>3479</v>
      </c>
    </row>
    <row r="451" spans="2:6" s="698" customFormat="1" x14ac:dyDescent="0.35">
      <c r="B451" s="693" t="s">
        <v>673</v>
      </c>
      <c r="C451" s="694" t="s">
        <v>6208</v>
      </c>
      <c r="D451" s="695" t="s">
        <v>595</v>
      </c>
      <c r="E451" s="696" t="s">
        <v>509</v>
      </c>
      <c r="F451" s="697" t="s">
        <v>3479</v>
      </c>
    </row>
    <row r="452" spans="2:6" s="625" customFormat="1" x14ac:dyDescent="0.35">
      <c r="B452" s="620" t="s">
        <v>673</v>
      </c>
      <c r="C452" s="621" t="s">
        <v>680</v>
      </c>
      <c r="D452" s="621" t="s">
        <v>595</v>
      </c>
      <c r="E452" s="665" t="s">
        <v>681</v>
      </c>
      <c r="F452" s="662" t="s">
        <v>3479</v>
      </c>
    </row>
    <row r="453" spans="2:6" s="625" customFormat="1" x14ac:dyDescent="0.35">
      <c r="B453" s="620" t="s">
        <v>673</v>
      </c>
      <c r="C453" s="621" t="s">
        <v>682</v>
      </c>
      <c r="D453" s="622" t="s">
        <v>595</v>
      </c>
      <c r="E453" s="623" t="s">
        <v>683</v>
      </c>
      <c r="F453" s="624" t="s">
        <v>3479</v>
      </c>
    </row>
    <row r="454" spans="2:6" s="625" customFormat="1" x14ac:dyDescent="0.35">
      <c r="B454" s="620" t="s">
        <v>673</v>
      </c>
      <c r="C454" s="621" t="s">
        <v>684</v>
      </c>
      <c r="D454" s="621" t="s">
        <v>595</v>
      </c>
      <c r="E454" s="665" t="s">
        <v>685</v>
      </c>
      <c r="F454" s="662" t="s">
        <v>3479</v>
      </c>
    </row>
    <row r="455" spans="2:6" s="625" customFormat="1" x14ac:dyDescent="0.35">
      <c r="B455" s="620" t="s">
        <v>673</v>
      </c>
      <c r="C455" s="621" t="s">
        <v>686</v>
      </c>
      <c r="D455" s="622" t="s">
        <v>595</v>
      </c>
      <c r="E455" s="623" t="s">
        <v>6210</v>
      </c>
      <c r="F455" s="624" t="s">
        <v>3479</v>
      </c>
    </row>
    <row r="456" spans="2:6" s="625" customFormat="1" x14ac:dyDescent="0.35">
      <c r="B456" s="620" t="s">
        <v>673</v>
      </c>
      <c r="C456" s="621" t="s">
        <v>687</v>
      </c>
      <c r="D456" s="621" t="s">
        <v>595</v>
      </c>
      <c r="E456" s="665" t="s">
        <v>688</v>
      </c>
      <c r="F456" s="662" t="s">
        <v>3479</v>
      </c>
    </row>
    <row r="457" spans="2:6" s="625" customFormat="1" x14ac:dyDescent="0.35">
      <c r="B457" s="620" t="s">
        <v>673</v>
      </c>
      <c r="C457" s="621" t="s">
        <v>689</v>
      </c>
      <c r="D457" s="622" t="s">
        <v>595</v>
      </c>
      <c r="E457" s="623" t="s">
        <v>6211</v>
      </c>
      <c r="F457" s="624" t="s">
        <v>3479</v>
      </c>
    </row>
    <row r="458" spans="2:6" s="625" customFormat="1" x14ac:dyDescent="0.35">
      <c r="B458" s="620" t="s">
        <v>673</v>
      </c>
      <c r="C458" s="621" t="s">
        <v>690</v>
      </c>
      <c r="D458" s="621" t="s">
        <v>595</v>
      </c>
      <c r="E458" s="675" t="s">
        <v>691</v>
      </c>
      <c r="F458" s="662" t="s">
        <v>3479</v>
      </c>
    </row>
    <row r="459" spans="2:6" s="625" customFormat="1" x14ac:dyDescent="0.35">
      <c r="B459" s="620" t="s">
        <v>673</v>
      </c>
      <c r="C459" s="621" t="s">
        <v>692</v>
      </c>
      <c r="D459" s="621" t="s">
        <v>595</v>
      </c>
      <c r="E459" s="678" t="s">
        <v>693</v>
      </c>
      <c r="F459" s="662" t="s">
        <v>3479</v>
      </c>
    </row>
    <row r="460" spans="2:6" s="587" customFormat="1" x14ac:dyDescent="0.35">
      <c r="B460" s="605" t="s">
        <v>673</v>
      </c>
      <c r="C460" s="606" t="s">
        <v>694</v>
      </c>
      <c r="D460" s="607" t="s">
        <v>595</v>
      </c>
      <c r="E460" s="590" t="s">
        <v>509</v>
      </c>
      <c r="F460" s="586" t="s">
        <v>3479</v>
      </c>
    </row>
    <row r="461" spans="2:6" s="625" customFormat="1" x14ac:dyDescent="0.35">
      <c r="B461" s="620" t="s">
        <v>673</v>
      </c>
      <c r="C461" s="621" t="s">
        <v>695</v>
      </c>
      <c r="D461" s="622" t="s">
        <v>595</v>
      </c>
      <c r="E461" s="623" t="s">
        <v>6212</v>
      </c>
      <c r="F461" s="624" t="s">
        <v>3479</v>
      </c>
    </row>
    <row r="462" spans="2:6" s="587" customFormat="1" x14ac:dyDescent="0.35">
      <c r="B462" s="605" t="s">
        <v>673</v>
      </c>
      <c r="C462" s="606" t="s">
        <v>696</v>
      </c>
      <c r="D462" s="607" t="s">
        <v>595</v>
      </c>
      <c r="E462" s="590" t="s">
        <v>509</v>
      </c>
      <c r="F462" s="586" t="s">
        <v>3479</v>
      </c>
    </row>
    <row r="463" spans="2:6" s="625" customFormat="1" x14ac:dyDescent="0.35">
      <c r="B463" s="620" t="s">
        <v>673</v>
      </c>
      <c r="C463" s="621" t="s">
        <v>697</v>
      </c>
      <c r="D463" s="621" t="s">
        <v>595</v>
      </c>
      <c r="E463" s="675" t="s">
        <v>698</v>
      </c>
      <c r="F463" s="662" t="s">
        <v>3479</v>
      </c>
    </row>
    <row r="464" spans="2:6" s="625" customFormat="1" x14ac:dyDescent="0.35">
      <c r="B464" s="620" t="s">
        <v>673</v>
      </c>
      <c r="C464" s="621" t="s">
        <v>699</v>
      </c>
      <c r="D464" s="621" t="s">
        <v>595</v>
      </c>
      <c r="E464" s="678" t="s">
        <v>700</v>
      </c>
      <c r="F464" s="662" t="s">
        <v>3479</v>
      </c>
    </row>
    <row r="465" spans="2:6" s="625" customFormat="1" x14ac:dyDescent="0.35">
      <c r="B465" s="620" t="s">
        <v>673</v>
      </c>
      <c r="C465" s="621" t="s">
        <v>701</v>
      </c>
      <c r="D465" s="622" t="s">
        <v>595</v>
      </c>
      <c r="E465" s="623" t="s">
        <v>6213</v>
      </c>
      <c r="F465" s="624" t="s">
        <v>3479</v>
      </c>
    </row>
    <row r="466" spans="2:6" s="625" customFormat="1" x14ac:dyDescent="0.35">
      <c r="B466" s="620" t="s">
        <v>673</v>
      </c>
      <c r="C466" s="621" t="s">
        <v>702</v>
      </c>
      <c r="D466" s="622" t="s">
        <v>595</v>
      </c>
      <c r="E466" s="623" t="s">
        <v>703</v>
      </c>
      <c r="F466" s="624" t="s">
        <v>3479</v>
      </c>
    </row>
    <row r="467" spans="2:6" s="625" customFormat="1" x14ac:dyDescent="0.35">
      <c r="B467" s="620" t="s">
        <v>673</v>
      </c>
      <c r="C467" s="621" t="s">
        <v>704</v>
      </c>
      <c r="D467" s="621" t="s">
        <v>595</v>
      </c>
      <c r="E467" s="675" t="s">
        <v>705</v>
      </c>
      <c r="F467" s="662" t="s">
        <v>3479</v>
      </c>
    </row>
    <row r="468" spans="2:6" s="625" customFormat="1" x14ac:dyDescent="0.35">
      <c r="B468" s="620" t="s">
        <v>673</v>
      </c>
      <c r="C468" s="621" t="s">
        <v>706</v>
      </c>
      <c r="D468" s="621" t="s">
        <v>595</v>
      </c>
      <c r="E468" s="678" t="s">
        <v>707</v>
      </c>
      <c r="F468" s="662" t="s">
        <v>3479</v>
      </c>
    </row>
    <row r="469" spans="2:6" s="625" customFormat="1" x14ac:dyDescent="0.35">
      <c r="B469" s="620" t="s">
        <v>673</v>
      </c>
      <c r="C469" s="621" t="s">
        <v>708</v>
      </c>
      <c r="D469" s="622" t="s">
        <v>595</v>
      </c>
      <c r="E469" s="623" t="s">
        <v>6214</v>
      </c>
      <c r="F469" s="624" t="s">
        <v>3479</v>
      </c>
    </row>
    <row r="470" spans="2:6" s="625" customFormat="1" x14ac:dyDescent="0.35">
      <c r="B470" s="620" t="s">
        <v>673</v>
      </c>
      <c r="C470" s="621" t="s">
        <v>709</v>
      </c>
      <c r="D470" s="621" t="s">
        <v>595</v>
      </c>
      <c r="E470" s="665" t="s">
        <v>710</v>
      </c>
      <c r="F470" s="662" t="s">
        <v>3479</v>
      </c>
    </row>
    <row r="471" spans="2:6" s="625" customFormat="1" x14ac:dyDescent="0.35">
      <c r="B471" s="620" t="s">
        <v>673</v>
      </c>
      <c r="C471" s="621" t="s">
        <v>6215</v>
      </c>
      <c r="D471" s="622" t="s">
        <v>595</v>
      </c>
      <c r="E471" s="682" t="s">
        <v>6216</v>
      </c>
      <c r="F471" s="624" t="s">
        <v>3479</v>
      </c>
    </row>
    <row r="472" spans="2:6" s="625" customFormat="1" x14ac:dyDescent="0.35">
      <c r="B472" s="620" t="s">
        <v>673</v>
      </c>
      <c r="C472" s="621" t="s">
        <v>711</v>
      </c>
      <c r="D472" s="622" t="s">
        <v>595</v>
      </c>
      <c r="E472" s="661" t="s">
        <v>712</v>
      </c>
      <c r="F472" s="662" t="s">
        <v>3479</v>
      </c>
    </row>
    <row r="473" spans="2:6" s="625" customFormat="1" x14ac:dyDescent="0.35">
      <c r="B473" s="620" t="s">
        <v>673</v>
      </c>
      <c r="C473" s="621" t="s">
        <v>6217</v>
      </c>
      <c r="D473" s="622" t="s">
        <v>595</v>
      </c>
      <c r="E473" s="623" t="s">
        <v>886</v>
      </c>
      <c r="F473" s="624" t="s">
        <v>3479</v>
      </c>
    </row>
    <row r="474" spans="2:6" s="625" customFormat="1" x14ac:dyDescent="0.35">
      <c r="B474" s="620" t="s">
        <v>673</v>
      </c>
      <c r="C474" s="621" t="s">
        <v>713</v>
      </c>
      <c r="D474" s="622" t="s">
        <v>595</v>
      </c>
      <c r="E474" s="773" t="s">
        <v>6218</v>
      </c>
      <c r="F474" s="624" t="s">
        <v>3479</v>
      </c>
    </row>
    <row r="475" spans="2:6" s="625" customFormat="1" x14ac:dyDescent="0.35">
      <c r="B475" s="620" t="s">
        <v>673</v>
      </c>
      <c r="C475" s="621" t="s">
        <v>714</v>
      </c>
      <c r="D475" s="622" t="s">
        <v>595</v>
      </c>
      <c r="E475" s="623" t="s">
        <v>6219</v>
      </c>
      <c r="F475" s="624" t="s">
        <v>3479</v>
      </c>
    </row>
    <row r="476" spans="2:6" s="625" customFormat="1" x14ac:dyDescent="0.35">
      <c r="B476" s="620" t="s">
        <v>673</v>
      </c>
      <c r="C476" s="621" t="s">
        <v>715</v>
      </c>
      <c r="D476" s="621" t="s">
        <v>595</v>
      </c>
      <c r="E476" s="675" t="s">
        <v>716</v>
      </c>
      <c r="F476" s="662" t="s">
        <v>3479</v>
      </c>
    </row>
    <row r="477" spans="2:6" s="625" customFormat="1" x14ac:dyDescent="0.35">
      <c r="B477" s="620" t="s">
        <v>673</v>
      </c>
      <c r="C477" s="621" t="s">
        <v>717</v>
      </c>
      <c r="D477" s="621" t="s">
        <v>595</v>
      </c>
      <c r="E477" s="678" t="s">
        <v>718</v>
      </c>
      <c r="F477" s="662" t="s">
        <v>3479</v>
      </c>
    </row>
    <row r="478" spans="2:6" s="625" customFormat="1" x14ac:dyDescent="0.35">
      <c r="B478" s="620" t="s">
        <v>673</v>
      </c>
      <c r="C478" s="621" t="s">
        <v>719</v>
      </c>
      <c r="D478" s="622" t="s">
        <v>595</v>
      </c>
      <c r="E478" s="623" t="s">
        <v>6220</v>
      </c>
      <c r="F478" s="624" t="s">
        <v>3479</v>
      </c>
    </row>
    <row r="479" spans="2:6" s="625" customFormat="1" x14ac:dyDescent="0.35">
      <c r="B479" s="620" t="s">
        <v>673</v>
      </c>
      <c r="C479" s="621" t="s">
        <v>720</v>
      </c>
      <c r="D479" s="622" t="s">
        <v>595</v>
      </c>
      <c r="E479" s="623" t="s">
        <v>324</v>
      </c>
      <c r="F479" s="624" t="s">
        <v>3479</v>
      </c>
    </row>
    <row r="480" spans="2:6" s="625" customFormat="1" x14ac:dyDescent="0.35">
      <c r="B480" s="620" t="s">
        <v>673</v>
      </c>
      <c r="C480" s="621" t="s">
        <v>721</v>
      </c>
      <c r="D480" s="622" t="s">
        <v>595</v>
      </c>
      <c r="E480" s="623" t="s">
        <v>6221</v>
      </c>
      <c r="F480" s="624" t="s">
        <v>3479</v>
      </c>
    </row>
    <row r="481" spans="2:6" s="625" customFormat="1" x14ac:dyDescent="0.35">
      <c r="B481" s="620" t="s">
        <v>673</v>
      </c>
      <c r="C481" s="621" t="s">
        <v>722</v>
      </c>
      <c r="D481" s="621" t="s">
        <v>595</v>
      </c>
      <c r="E481" s="675" t="s">
        <v>723</v>
      </c>
      <c r="F481" s="662" t="s">
        <v>3479</v>
      </c>
    </row>
    <row r="482" spans="2:6" s="625" customFormat="1" x14ac:dyDescent="0.35">
      <c r="B482" s="620" t="s">
        <v>673</v>
      </c>
      <c r="C482" s="621" t="s">
        <v>724</v>
      </c>
      <c r="D482" s="621" t="s">
        <v>595</v>
      </c>
      <c r="E482" s="673" t="s">
        <v>725</v>
      </c>
      <c r="F482" s="662" t="s">
        <v>3479</v>
      </c>
    </row>
    <row r="483" spans="2:6" s="625" customFormat="1" x14ac:dyDescent="0.35">
      <c r="B483" s="620" t="s">
        <v>673</v>
      </c>
      <c r="C483" s="621" t="s">
        <v>726</v>
      </c>
      <c r="D483" s="621" t="s">
        <v>595</v>
      </c>
      <c r="E483" s="673" t="s">
        <v>727</v>
      </c>
      <c r="F483" s="662" t="s">
        <v>3479</v>
      </c>
    </row>
    <row r="484" spans="2:6" s="625" customFormat="1" x14ac:dyDescent="0.35">
      <c r="B484" s="620" t="s">
        <v>673</v>
      </c>
      <c r="C484" s="621" t="s">
        <v>728</v>
      </c>
      <c r="D484" s="621" t="s">
        <v>595</v>
      </c>
      <c r="E484" s="673" t="s">
        <v>729</v>
      </c>
      <c r="F484" s="662" t="s">
        <v>3479</v>
      </c>
    </row>
    <row r="485" spans="2:6" s="625" customFormat="1" x14ac:dyDescent="0.35">
      <c r="B485" s="620" t="s">
        <v>673</v>
      </c>
      <c r="C485" s="621" t="s">
        <v>730</v>
      </c>
      <c r="D485" s="621" t="s">
        <v>595</v>
      </c>
      <c r="E485" s="673" t="s">
        <v>731</v>
      </c>
      <c r="F485" s="662" t="s">
        <v>3479</v>
      </c>
    </row>
    <row r="486" spans="2:6" s="625" customFormat="1" x14ac:dyDescent="0.35">
      <c r="B486" s="620" t="s">
        <v>673</v>
      </c>
      <c r="C486" s="621" t="s">
        <v>732</v>
      </c>
      <c r="D486" s="621" t="s">
        <v>595</v>
      </c>
      <c r="E486" s="673" t="s">
        <v>733</v>
      </c>
      <c r="F486" s="662" t="s">
        <v>3479</v>
      </c>
    </row>
  </sheetData>
  <autoFilter ref="B1:F486" xr:uid="{3C11D6B9-33AC-4F29-B190-EA9488A606B6}"/>
  <conditionalFormatting sqref="C2:C14">
    <cfRule type="duplicateValues" dxfId="824" priority="104"/>
    <cfRule type="duplicateValues" dxfId="823" priority="105"/>
    <cfRule type="duplicateValues" dxfId="822" priority="106"/>
    <cfRule type="duplicateValues" dxfId="821" priority="107"/>
  </conditionalFormatting>
  <conditionalFormatting sqref="C29">
    <cfRule type="duplicateValues" dxfId="820" priority="18"/>
    <cfRule type="duplicateValues" dxfId="819" priority="19"/>
    <cfRule type="duplicateValues" dxfId="818" priority="20"/>
    <cfRule type="duplicateValues" dxfId="817" priority="21"/>
  </conditionalFormatting>
  <conditionalFormatting sqref="C31">
    <cfRule type="duplicateValues" dxfId="816" priority="29"/>
    <cfRule type="duplicateValues" dxfId="815" priority="30"/>
    <cfRule type="duplicateValues" dxfId="814" priority="31"/>
  </conditionalFormatting>
  <conditionalFormatting sqref="C43 C15:C19 C32:C40 C30 C21:C28">
    <cfRule type="duplicateValues" dxfId="813" priority="132"/>
  </conditionalFormatting>
  <conditionalFormatting sqref="C51">
    <cfRule type="duplicateValues" dxfId="812" priority="8501"/>
  </conditionalFormatting>
  <conditionalFormatting sqref="C71:C128 C130:C155">
    <cfRule type="duplicateValues" dxfId="811" priority="8067"/>
  </conditionalFormatting>
  <conditionalFormatting sqref="C156:C223 C41:C42">
    <cfRule type="duplicateValues" dxfId="810" priority="8506"/>
    <cfRule type="duplicateValues" dxfId="809" priority="8507"/>
    <cfRule type="duplicateValues" dxfId="808" priority="8508"/>
    <cfRule type="duplicateValues" dxfId="807" priority="8509"/>
  </conditionalFormatting>
  <conditionalFormatting sqref="C224:C233">
    <cfRule type="duplicateValues" dxfId="806" priority="84"/>
    <cfRule type="duplicateValues" dxfId="805" priority="85"/>
    <cfRule type="duplicateValues" dxfId="804" priority="86"/>
    <cfRule type="duplicateValues" dxfId="803" priority="87"/>
  </conditionalFormatting>
  <conditionalFormatting sqref="C343 C234:C310 C317:C337 C312:C315">
    <cfRule type="duplicateValues" dxfId="802" priority="81"/>
    <cfRule type="duplicateValues" dxfId="801" priority="82"/>
    <cfRule type="duplicateValues" dxfId="800" priority="83"/>
  </conditionalFormatting>
  <conditionalFormatting sqref="C316">
    <cfRule type="duplicateValues" dxfId="799" priority="54"/>
  </conditionalFormatting>
  <conditionalFormatting sqref="C340">
    <cfRule type="duplicateValues" dxfId="798" priority="4"/>
    <cfRule type="duplicateValues" dxfId="797" priority="5"/>
    <cfRule type="duplicateValues" dxfId="796" priority="6"/>
    <cfRule type="duplicateValues" dxfId="795" priority="7"/>
    <cfRule type="duplicateValues" dxfId="794" priority="8"/>
  </conditionalFormatting>
  <conditionalFormatting sqref="C349">
    <cfRule type="duplicateValues" dxfId="793" priority="22"/>
    <cfRule type="duplicateValues" dxfId="792" priority="23"/>
    <cfRule type="duplicateValues" dxfId="791" priority="24"/>
    <cfRule type="duplicateValues" dxfId="790" priority="25"/>
  </conditionalFormatting>
  <conditionalFormatting sqref="C350:C1048576 C52:C61 C63:C128 C130:C310 C1:C19 C30 C32:C50 C312:C339 C341:C348 C21:C28">
    <cfRule type="duplicateValues" dxfId="789" priority="32"/>
  </conditionalFormatting>
  <conditionalFormatting sqref="C405 C44:C50 C52:C61 C63:C70">
    <cfRule type="duplicateValues" dxfId="788" priority="96"/>
    <cfRule type="duplicateValues" dxfId="787" priority="97"/>
    <cfRule type="duplicateValues" dxfId="786" priority="98"/>
    <cfRule type="duplicateValues" dxfId="785" priority="99"/>
  </conditionalFormatting>
  <conditionalFormatting sqref="C406 C338:C339 C344:C348 C350:C404 C341:C342">
    <cfRule type="duplicateValues" dxfId="784" priority="78"/>
    <cfRule type="duplicateValues" dxfId="783" priority="79"/>
    <cfRule type="duplicateValues" dxfId="782" priority="80"/>
  </conditionalFormatting>
  <conditionalFormatting sqref="C407:C486">
    <cfRule type="duplicateValues" dxfId="781" priority="75"/>
    <cfRule type="duplicateValues" dxfId="780" priority="76"/>
    <cfRule type="duplicateValues" dxfId="779" priority="77"/>
  </conditionalFormatting>
  <conditionalFormatting sqref="C794:C1048576 C1:C19 C317:C339 C52:C61 C63:C128 C130:C310 C350:C486 C30 C32:C50 C312:C315 C341:C348 C21:C28">
    <cfRule type="duplicateValues" dxfId="778" priority="74"/>
  </conditionalFormatting>
  <conditionalFormatting sqref="E385:F385">
    <cfRule type="duplicateValues" dxfId="777" priority="59"/>
    <cfRule type="duplicateValues" dxfId="776" priority="60"/>
    <cfRule type="duplicateValues" dxfId="775" priority="61"/>
    <cfRule type="duplicateValues" dxfId="774" priority="62"/>
  </conditionalFormatting>
  <conditionalFormatting sqref="C20">
    <cfRule type="duplicateValues" dxfId="773" priority="1"/>
    <cfRule type="duplicateValues" dxfId="772" priority="2"/>
    <cfRule type="duplicateValues" dxfId="771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0A10A-3507-4604-B5BE-0726C9612E05}">
  <sheetPr filterMode="1">
    <tabColor rgb="FF92D050"/>
  </sheetPr>
  <dimension ref="A1:H504"/>
  <sheetViews>
    <sheetView workbookViewId="0">
      <pane ySplit="1" topLeftCell="A359" activePane="bottomLeft" state="frozen"/>
      <selection pane="bottomLeft" activeCell="E378" sqref="E378"/>
    </sheetView>
  </sheetViews>
  <sheetFormatPr defaultRowHeight="14.5" x14ac:dyDescent="0.35"/>
  <cols>
    <col min="1" max="1" width="32.26953125" style="46" customWidth="1"/>
    <col min="2" max="2" width="29.26953125" style="102" bestFit="1" customWidth="1"/>
    <col min="3" max="3" width="15.54296875" customWidth="1"/>
    <col min="4" max="4" width="32.26953125" customWidth="1"/>
    <col min="5" max="5" width="29" customWidth="1"/>
    <col min="6" max="6" width="27.453125" style="6" customWidth="1"/>
    <col min="7" max="7" width="9.1796875" style="228"/>
    <col min="8" max="8" width="11.453125" customWidth="1"/>
  </cols>
  <sheetData>
    <row r="1" spans="1:8" x14ac:dyDescent="0.35">
      <c r="A1" s="160" t="s">
        <v>734</v>
      </c>
      <c r="B1" s="161" t="s">
        <v>735</v>
      </c>
      <c r="C1" s="162" t="s">
        <v>736</v>
      </c>
      <c r="D1" s="163" t="s">
        <v>737</v>
      </c>
      <c r="E1" s="162" t="s">
        <v>738</v>
      </c>
      <c r="F1" s="222" t="s">
        <v>739</v>
      </c>
      <c r="G1" s="227" t="s">
        <v>2</v>
      </c>
      <c r="H1" s="277" t="s">
        <v>3478</v>
      </c>
    </row>
    <row r="2" spans="1:8" x14ac:dyDescent="0.35">
      <c r="A2" s="30" t="s">
        <v>727</v>
      </c>
      <c r="B2" s="93" t="s">
        <v>740</v>
      </c>
      <c r="C2" s="32" t="s">
        <v>741</v>
      </c>
      <c r="D2" s="33" t="s">
        <v>742</v>
      </c>
      <c r="E2" s="32" t="s">
        <v>743</v>
      </c>
      <c r="F2" s="223" t="s">
        <v>744</v>
      </c>
      <c r="G2" s="232">
        <v>2022</v>
      </c>
      <c r="H2" s="288" t="s">
        <v>3479</v>
      </c>
    </row>
    <row r="3" spans="1:8" x14ac:dyDescent="0.35">
      <c r="A3" s="30" t="s">
        <v>6273</v>
      </c>
      <c r="B3" s="93" t="s">
        <v>740</v>
      </c>
      <c r="C3" s="32" t="s">
        <v>741</v>
      </c>
      <c r="D3" s="39" t="s">
        <v>748</v>
      </c>
      <c r="E3" s="32" t="s">
        <v>1472</v>
      </c>
      <c r="F3" s="223"/>
      <c r="G3" s="232"/>
      <c r="H3" s="288" t="s">
        <v>6274</v>
      </c>
    </row>
    <row r="4" spans="1:8" x14ac:dyDescent="0.35">
      <c r="A4" s="30" t="s">
        <v>654</v>
      </c>
      <c r="B4" s="93" t="s">
        <v>740</v>
      </c>
      <c r="C4" s="32" t="s">
        <v>741</v>
      </c>
      <c r="D4" s="33" t="s">
        <v>745</v>
      </c>
      <c r="E4" s="32" t="s">
        <v>746</v>
      </c>
      <c r="F4" s="223" t="s">
        <v>747</v>
      </c>
      <c r="G4" s="228">
        <v>2020</v>
      </c>
      <c r="H4" s="288" t="s">
        <v>3479</v>
      </c>
    </row>
    <row r="5" spans="1:8" x14ac:dyDescent="0.35">
      <c r="A5" s="750" t="s">
        <v>6207</v>
      </c>
      <c r="B5" s="94" t="s">
        <v>740</v>
      </c>
      <c r="C5" s="35" t="s">
        <v>741</v>
      </c>
      <c r="D5" s="36" t="s">
        <v>748</v>
      </c>
      <c r="E5" s="37" t="s">
        <v>749</v>
      </c>
      <c r="F5" s="233" t="s">
        <v>750</v>
      </c>
      <c r="G5" s="228">
        <v>2024</v>
      </c>
      <c r="H5" t="s">
        <v>3479</v>
      </c>
    </row>
    <row r="6" spans="1:8" x14ac:dyDescent="0.35">
      <c r="A6" s="712"/>
      <c r="B6" s="95" t="s">
        <v>740</v>
      </c>
      <c r="C6" s="39" t="s">
        <v>741</v>
      </c>
      <c r="D6" s="39" t="s">
        <v>748</v>
      </c>
      <c r="E6" t="s">
        <v>751</v>
      </c>
      <c r="F6" s="233" t="s">
        <v>750</v>
      </c>
      <c r="G6" s="228">
        <v>2024</v>
      </c>
      <c r="H6" t="s">
        <v>3479</v>
      </c>
    </row>
    <row r="7" spans="1:8" x14ac:dyDescent="0.35">
      <c r="A7" s="711" t="s">
        <v>752</v>
      </c>
      <c r="B7" s="51" t="s">
        <v>740</v>
      </c>
      <c r="C7" s="41" t="s">
        <v>741</v>
      </c>
      <c r="D7" s="42" t="s">
        <v>753</v>
      </c>
      <c r="E7" s="23" t="s">
        <v>754</v>
      </c>
      <c r="F7" s="233" t="s">
        <v>750</v>
      </c>
      <c r="G7" s="228">
        <v>2017</v>
      </c>
      <c r="H7" s="78" t="s">
        <v>3479</v>
      </c>
    </row>
    <row r="8" spans="1:8" x14ac:dyDescent="0.35">
      <c r="A8" s="711"/>
      <c r="B8" s="51" t="s">
        <v>740</v>
      </c>
      <c r="C8" s="41" t="s">
        <v>741</v>
      </c>
      <c r="D8" s="42" t="s">
        <v>753</v>
      </c>
      <c r="E8" s="23" t="s">
        <v>755</v>
      </c>
      <c r="F8" s="233" t="s">
        <v>750</v>
      </c>
      <c r="G8" s="228">
        <v>2017</v>
      </c>
      <c r="H8" t="s">
        <v>3479</v>
      </c>
    </row>
    <row r="9" spans="1:8" x14ac:dyDescent="0.35">
      <c r="A9" s="711" t="s">
        <v>756</v>
      </c>
      <c r="B9" s="51" t="s">
        <v>740</v>
      </c>
      <c r="C9" s="41" t="s">
        <v>741</v>
      </c>
      <c r="D9" s="42" t="s">
        <v>753</v>
      </c>
      <c r="E9" s="23" t="s">
        <v>757</v>
      </c>
      <c r="F9" s="233" t="s">
        <v>750</v>
      </c>
      <c r="G9" s="228">
        <v>2017</v>
      </c>
      <c r="H9" s="78" t="s">
        <v>3479</v>
      </c>
    </row>
    <row r="10" spans="1:8" x14ac:dyDescent="0.35">
      <c r="A10" s="711"/>
      <c r="B10" s="51" t="s">
        <v>740</v>
      </c>
      <c r="C10" s="41" t="s">
        <v>741</v>
      </c>
      <c r="D10" s="42" t="s">
        <v>758</v>
      </c>
      <c r="E10" s="23" t="s">
        <v>759</v>
      </c>
      <c r="F10" s="233" t="s">
        <v>750</v>
      </c>
      <c r="G10" s="228">
        <v>2018</v>
      </c>
      <c r="H10" s="35" t="s">
        <v>3479</v>
      </c>
    </row>
    <row r="11" spans="1:8" x14ac:dyDescent="0.35">
      <c r="A11" s="711" t="s">
        <v>760</v>
      </c>
      <c r="B11" s="51" t="s">
        <v>740</v>
      </c>
      <c r="C11" s="41" t="s">
        <v>741</v>
      </c>
      <c r="D11" s="42" t="s">
        <v>758</v>
      </c>
      <c r="E11" s="122" t="s">
        <v>761</v>
      </c>
      <c r="F11" s="233" t="s">
        <v>750</v>
      </c>
      <c r="G11" s="228">
        <v>2019</v>
      </c>
      <c r="H11" s="35" t="s">
        <v>3479</v>
      </c>
    </row>
    <row r="12" spans="1:8" x14ac:dyDescent="0.35">
      <c r="A12" s="711"/>
      <c r="B12" s="51" t="s">
        <v>740</v>
      </c>
      <c r="C12" s="41" t="s">
        <v>741</v>
      </c>
      <c r="D12" s="42" t="s">
        <v>758</v>
      </c>
      <c r="E12" s="23" t="s">
        <v>762</v>
      </c>
      <c r="F12" s="233" t="s">
        <v>750</v>
      </c>
      <c r="G12" s="228">
        <v>2018</v>
      </c>
      <c r="H12" s="35" t="s">
        <v>3479</v>
      </c>
    </row>
    <row r="13" spans="1:8" x14ac:dyDescent="0.35">
      <c r="A13" s="711" t="s">
        <v>707</v>
      </c>
      <c r="B13" s="51" t="s">
        <v>740</v>
      </c>
      <c r="C13" s="41" t="s">
        <v>741</v>
      </c>
      <c r="D13" s="42" t="s">
        <v>758</v>
      </c>
      <c r="E13" s="122" t="s">
        <v>763</v>
      </c>
      <c r="F13" s="233" t="s">
        <v>750</v>
      </c>
      <c r="G13" s="228">
        <v>2019</v>
      </c>
      <c r="H13" s="35" t="s">
        <v>3479</v>
      </c>
    </row>
    <row r="14" spans="1:8" x14ac:dyDescent="0.35">
      <c r="A14" s="711"/>
      <c r="B14" s="51" t="s">
        <v>740</v>
      </c>
      <c r="C14" s="41" t="s">
        <v>741</v>
      </c>
      <c r="D14" s="42" t="s">
        <v>758</v>
      </c>
      <c r="E14" s="122" t="s">
        <v>764</v>
      </c>
      <c r="F14" s="233" t="s">
        <v>750</v>
      </c>
      <c r="G14" s="228">
        <v>2019</v>
      </c>
      <c r="H14" s="35" t="s">
        <v>3479</v>
      </c>
    </row>
    <row r="15" spans="1:8" x14ac:dyDescent="0.35">
      <c r="A15" s="711" t="s">
        <v>765</v>
      </c>
      <c r="B15" s="51" t="s">
        <v>740</v>
      </c>
      <c r="C15" s="41" t="s">
        <v>741</v>
      </c>
      <c r="D15" s="42" t="s">
        <v>758</v>
      </c>
      <c r="E15" s="23" t="s">
        <v>766</v>
      </c>
      <c r="F15" s="233" t="s">
        <v>750</v>
      </c>
      <c r="G15" s="228">
        <v>2018</v>
      </c>
      <c r="H15" t="s">
        <v>3479</v>
      </c>
    </row>
    <row r="16" spans="1:8" x14ac:dyDescent="0.35">
      <c r="A16" s="711"/>
      <c r="B16" s="51" t="s">
        <v>740</v>
      </c>
      <c r="C16" s="41" t="s">
        <v>741</v>
      </c>
      <c r="D16" s="42" t="s">
        <v>758</v>
      </c>
      <c r="E16" s="122" t="s">
        <v>767</v>
      </c>
      <c r="F16" s="233" t="s">
        <v>750</v>
      </c>
      <c r="G16" s="228">
        <v>2019</v>
      </c>
      <c r="H16" s="35" t="s">
        <v>3479</v>
      </c>
    </row>
    <row r="17" spans="1:8" x14ac:dyDescent="0.35">
      <c r="A17" s="711" t="s">
        <v>768</v>
      </c>
      <c r="B17" s="51" t="s">
        <v>740</v>
      </c>
      <c r="C17" s="41" t="s">
        <v>741</v>
      </c>
      <c r="D17" s="42" t="s">
        <v>758</v>
      </c>
      <c r="E17" s="23" t="s">
        <v>769</v>
      </c>
      <c r="F17" s="233" t="s">
        <v>750</v>
      </c>
      <c r="G17" s="228">
        <v>2018</v>
      </c>
      <c r="H17" t="s">
        <v>3479</v>
      </c>
    </row>
    <row r="18" spans="1:8" x14ac:dyDescent="0.35">
      <c r="A18" s="711"/>
      <c r="B18" s="51" t="s">
        <v>740</v>
      </c>
      <c r="C18" s="41" t="s">
        <v>741</v>
      </c>
      <c r="D18" s="42" t="s">
        <v>758</v>
      </c>
      <c r="E18" s="23" t="s">
        <v>770</v>
      </c>
      <c r="F18" s="233" t="s">
        <v>750</v>
      </c>
      <c r="G18" s="228">
        <v>2018</v>
      </c>
      <c r="H18" t="s">
        <v>3479</v>
      </c>
    </row>
    <row r="19" spans="1:8" x14ac:dyDescent="0.35">
      <c r="A19" s="711" t="s">
        <v>771</v>
      </c>
      <c r="B19" s="51" t="s">
        <v>740</v>
      </c>
      <c r="C19" s="41" t="s">
        <v>741</v>
      </c>
      <c r="D19" s="42" t="s">
        <v>758</v>
      </c>
      <c r="E19" s="279" t="s">
        <v>772</v>
      </c>
      <c r="F19" s="238" t="s">
        <v>773</v>
      </c>
      <c r="G19" s="228">
        <v>2019</v>
      </c>
      <c r="H19" t="s">
        <v>3479</v>
      </c>
    </row>
    <row r="20" spans="1:8" x14ac:dyDescent="0.35">
      <c r="A20" s="711"/>
      <c r="B20" s="51" t="s">
        <v>740</v>
      </c>
      <c r="C20" s="41" t="s">
        <v>741</v>
      </c>
      <c r="D20" s="81" t="s">
        <v>758</v>
      </c>
      <c r="E20" s="23" t="s">
        <v>774</v>
      </c>
      <c r="F20" s="238"/>
      <c r="G20" s="228">
        <v>2018</v>
      </c>
      <c r="H20" t="s">
        <v>3479</v>
      </c>
    </row>
    <row r="21" spans="1:8" x14ac:dyDescent="0.35">
      <c r="A21" s="711" t="s">
        <v>775</v>
      </c>
      <c r="B21" s="51" t="s">
        <v>740</v>
      </c>
      <c r="C21" s="23" t="s">
        <v>741</v>
      </c>
      <c r="D21" s="41" t="s">
        <v>758</v>
      </c>
      <c r="E21" s="23" t="s">
        <v>776</v>
      </c>
      <c r="F21" s="238"/>
      <c r="G21" s="228">
        <v>2018</v>
      </c>
      <c r="H21" s="78" t="s">
        <v>3479</v>
      </c>
    </row>
    <row r="22" spans="1:8" x14ac:dyDescent="0.35">
      <c r="A22" s="715"/>
      <c r="B22" s="51" t="s">
        <v>740</v>
      </c>
      <c r="C22" s="23" t="s">
        <v>741</v>
      </c>
      <c r="D22" s="41" t="s">
        <v>758</v>
      </c>
      <c r="E22" s="23" t="s">
        <v>779</v>
      </c>
      <c r="F22" s="238"/>
      <c r="H22" s="78"/>
    </row>
    <row r="23" spans="1:8" x14ac:dyDescent="0.35">
      <c r="A23" s="40" t="s">
        <v>311</v>
      </c>
      <c r="B23" s="51" t="s">
        <v>740</v>
      </c>
      <c r="C23" s="23" t="s">
        <v>741</v>
      </c>
      <c r="D23" s="41" t="s">
        <v>758</v>
      </c>
      <c r="E23" s="23" t="s">
        <v>777</v>
      </c>
      <c r="F23" s="238"/>
      <c r="H23" s="78" t="s">
        <v>3479</v>
      </c>
    </row>
    <row r="24" spans="1:8" x14ac:dyDescent="0.35">
      <c r="A24" s="711" t="s">
        <v>780</v>
      </c>
      <c r="B24" s="51" t="s">
        <v>740</v>
      </c>
      <c r="C24" s="41" t="s">
        <v>741</v>
      </c>
      <c r="D24" s="42" t="s">
        <v>758</v>
      </c>
      <c r="E24" s="50" t="s">
        <v>781</v>
      </c>
      <c r="F24" s="236" t="s">
        <v>782</v>
      </c>
      <c r="G24" s="228">
        <v>2020</v>
      </c>
      <c r="H24" t="s">
        <v>3479</v>
      </c>
    </row>
    <row r="25" spans="1:8" x14ac:dyDescent="0.35">
      <c r="A25" s="711"/>
      <c r="B25" s="51" t="s">
        <v>740</v>
      </c>
      <c r="C25" s="41" t="s">
        <v>741</v>
      </c>
      <c r="D25" s="42" t="s">
        <v>758</v>
      </c>
      <c r="E25" s="23" t="s">
        <v>783</v>
      </c>
      <c r="F25" s="239"/>
      <c r="G25" s="228">
        <v>2020</v>
      </c>
      <c r="H25" t="s">
        <v>3479</v>
      </c>
    </row>
    <row r="26" spans="1:8" x14ac:dyDescent="0.35">
      <c r="A26" s="711" t="s">
        <v>784</v>
      </c>
      <c r="B26" s="51" t="s">
        <v>740</v>
      </c>
      <c r="C26" s="23" t="s">
        <v>741</v>
      </c>
      <c r="D26" s="23" t="s">
        <v>758</v>
      </c>
      <c r="E26" s="122" t="s">
        <v>785</v>
      </c>
      <c r="F26" s="239"/>
      <c r="G26" s="228">
        <v>2019</v>
      </c>
      <c r="H26" t="s">
        <v>3479</v>
      </c>
    </row>
    <row r="27" spans="1:8" x14ac:dyDescent="0.35">
      <c r="A27" s="711"/>
      <c r="B27" s="51" t="s">
        <v>740</v>
      </c>
      <c r="C27" s="23" t="s">
        <v>741</v>
      </c>
      <c r="D27" s="23" t="s">
        <v>758</v>
      </c>
      <c r="E27" s="23" t="s">
        <v>786</v>
      </c>
      <c r="F27" s="239"/>
      <c r="G27" s="228">
        <v>2018</v>
      </c>
      <c r="H27" s="78" t="s">
        <v>3479</v>
      </c>
    </row>
    <row r="28" spans="1:8" x14ac:dyDescent="0.35">
      <c r="A28" s="711" t="s">
        <v>787</v>
      </c>
      <c r="B28" s="96" t="s">
        <v>740</v>
      </c>
      <c r="C28" s="43" t="s">
        <v>741</v>
      </c>
      <c r="D28" s="39" t="s">
        <v>758</v>
      </c>
      <c r="E28" s="23" t="s">
        <v>788</v>
      </c>
      <c r="F28" s="239"/>
      <c r="G28" s="228">
        <v>2024</v>
      </c>
      <c r="H28" s="78" t="s">
        <v>3479</v>
      </c>
    </row>
    <row r="29" spans="1:8" x14ac:dyDescent="0.35">
      <c r="A29" s="711"/>
      <c r="B29" s="96" t="s">
        <v>740</v>
      </c>
      <c r="C29" s="43" t="s">
        <v>741</v>
      </c>
      <c r="D29" s="39" t="s">
        <v>789</v>
      </c>
      <c r="E29" s="122" t="s">
        <v>790</v>
      </c>
      <c r="F29" s="239"/>
      <c r="G29" s="228">
        <v>2019</v>
      </c>
      <c r="H29" s="35" t="s">
        <v>3479</v>
      </c>
    </row>
    <row r="30" spans="1:8" x14ac:dyDescent="0.35">
      <c r="A30" s="711" t="s">
        <v>791</v>
      </c>
      <c r="B30" s="96" t="s">
        <v>740</v>
      </c>
      <c r="C30" s="43" t="s">
        <v>741</v>
      </c>
      <c r="D30" s="23" t="s">
        <v>792</v>
      </c>
      <c r="E30" s="23" t="s">
        <v>793</v>
      </c>
      <c r="F30" s="239"/>
      <c r="G30" s="228">
        <v>2017</v>
      </c>
      <c r="H30" s="78" t="s">
        <v>3479</v>
      </c>
    </row>
    <row r="31" spans="1:8" x14ac:dyDescent="0.35">
      <c r="A31" s="715"/>
      <c r="B31" s="96" t="s">
        <v>740</v>
      </c>
      <c r="C31" s="43" t="s">
        <v>741</v>
      </c>
      <c r="D31" s="39" t="s">
        <v>789</v>
      </c>
      <c r="E31" s="23" t="s">
        <v>794</v>
      </c>
      <c r="F31" s="239"/>
      <c r="G31" s="228">
        <v>2023</v>
      </c>
      <c r="H31" s="35" t="s">
        <v>3479</v>
      </c>
    </row>
    <row r="32" spans="1:8" x14ac:dyDescent="0.35">
      <c r="A32" s="19" t="s">
        <v>333</v>
      </c>
      <c r="B32" s="51" t="s">
        <v>740</v>
      </c>
      <c r="C32" s="23" t="s">
        <v>741</v>
      </c>
      <c r="D32" s="23" t="s">
        <v>795</v>
      </c>
      <c r="E32" s="23" t="s">
        <v>796</v>
      </c>
      <c r="F32" s="239"/>
      <c r="G32" s="228">
        <v>2021</v>
      </c>
      <c r="H32" s="78" t="s">
        <v>3479</v>
      </c>
    </row>
    <row r="33" spans="1:8" x14ac:dyDescent="0.35">
      <c r="A33" s="711" t="s">
        <v>797</v>
      </c>
      <c r="B33" s="51" t="s">
        <v>740</v>
      </c>
      <c r="C33" s="23" t="s">
        <v>741</v>
      </c>
      <c r="D33" s="23" t="s">
        <v>798</v>
      </c>
      <c r="E33" s="23" t="s">
        <v>799</v>
      </c>
      <c r="F33" s="239"/>
      <c r="G33" s="228">
        <v>2022</v>
      </c>
      <c r="H33" s="78" t="s">
        <v>3479</v>
      </c>
    </row>
    <row r="34" spans="1:8" x14ac:dyDescent="0.35">
      <c r="A34" s="711"/>
      <c r="B34" s="51" t="s">
        <v>740</v>
      </c>
      <c r="C34" s="23" t="s">
        <v>741</v>
      </c>
      <c r="D34" s="23" t="s">
        <v>758</v>
      </c>
      <c r="E34" s="23" t="s">
        <v>800</v>
      </c>
      <c r="F34" s="239"/>
      <c r="G34" s="228">
        <v>2017</v>
      </c>
      <c r="H34" s="78" t="s">
        <v>3479</v>
      </c>
    </row>
    <row r="35" spans="1:8" x14ac:dyDescent="0.35">
      <c r="A35" s="711" t="s">
        <v>801</v>
      </c>
      <c r="B35" s="51" t="s">
        <v>740</v>
      </c>
      <c r="C35" s="23" t="s">
        <v>741</v>
      </c>
      <c r="D35" s="23" t="s">
        <v>758</v>
      </c>
      <c r="E35" s="122" t="s">
        <v>802</v>
      </c>
      <c r="F35" s="239"/>
      <c r="G35" s="228">
        <v>2019</v>
      </c>
      <c r="H35" t="s">
        <v>3479</v>
      </c>
    </row>
    <row r="36" spans="1:8" x14ac:dyDescent="0.35">
      <c r="A36" s="711"/>
      <c r="B36" s="51" t="s">
        <v>740</v>
      </c>
      <c r="C36" s="23" t="s">
        <v>741</v>
      </c>
      <c r="D36" s="23" t="s">
        <v>758</v>
      </c>
      <c r="E36" s="23" t="s">
        <v>803</v>
      </c>
      <c r="F36" s="239"/>
      <c r="G36" s="228">
        <v>2018</v>
      </c>
      <c r="H36" s="78" t="s">
        <v>3479</v>
      </c>
    </row>
    <row r="37" spans="1:8" x14ac:dyDescent="0.35">
      <c r="A37" s="714" t="s">
        <v>514</v>
      </c>
      <c r="B37" s="51" t="s">
        <v>740</v>
      </c>
      <c r="C37" s="23" t="s">
        <v>741</v>
      </c>
      <c r="D37" s="23" t="s">
        <v>758</v>
      </c>
      <c r="E37" s="23" t="s">
        <v>804</v>
      </c>
      <c r="F37" s="239"/>
      <c r="G37" s="228">
        <v>2018</v>
      </c>
      <c r="H37" s="78" t="s">
        <v>3479</v>
      </c>
    </row>
    <row r="38" spans="1:8" x14ac:dyDescent="0.35">
      <c r="A38" s="714"/>
      <c r="B38" s="51" t="s">
        <v>740</v>
      </c>
      <c r="C38" s="23" t="s">
        <v>741</v>
      </c>
      <c r="D38" s="23" t="s">
        <v>758</v>
      </c>
      <c r="E38" s="122" t="s">
        <v>805</v>
      </c>
      <c r="F38" s="239"/>
      <c r="G38" s="228">
        <v>2019</v>
      </c>
      <c r="H38" s="35" t="s">
        <v>3479</v>
      </c>
    </row>
    <row r="39" spans="1:8" x14ac:dyDescent="0.35">
      <c r="A39" s="19" t="s">
        <v>806</v>
      </c>
      <c r="B39" s="51" t="s">
        <v>740</v>
      </c>
      <c r="C39" s="23" t="s">
        <v>741</v>
      </c>
      <c r="D39" s="23" t="s">
        <v>748</v>
      </c>
      <c r="E39" s="23" t="s">
        <v>807</v>
      </c>
      <c r="F39" s="239"/>
      <c r="G39" s="228">
        <v>2024</v>
      </c>
      <c r="H39" s="78" t="s">
        <v>3479</v>
      </c>
    </row>
    <row r="40" spans="1:8" x14ac:dyDescent="0.35">
      <c r="A40" s="19" t="s">
        <v>383</v>
      </c>
      <c r="B40" s="51" t="s">
        <v>740</v>
      </c>
      <c r="C40" s="23" t="s">
        <v>741</v>
      </c>
      <c r="D40" s="23" t="s">
        <v>748</v>
      </c>
      <c r="E40" t="s">
        <v>808</v>
      </c>
      <c r="F40" s="239"/>
      <c r="G40" s="228">
        <v>2024</v>
      </c>
      <c r="H40" t="s">
        <v>3479</v>
      </c>
    </row>
    <row r="41" spans="1:8" hidden="1" x14ac:dyDescent="0.35">
      <c r="A41" s="19" t="s">
        <v>623</v>
      </c>
      <c r="B41" s="51" t="s">
        <v>809</v>
      </c>
      <c r="C41" s="23" t="s">
        <v>741</v>
      </c>
      <c r="D41" s="43" t="s">
        <v>810</v>
      </c>
      <c r="E41" s="23" t="s">
        <v>811</v>
      </c>
      <c r="F41" s="239"/>
    </row>
    <row r="42" spans="1:8" x14ac:dyDescent="0.35">
      <c r="A42" s="19" t="s">
        <v>812</v>
      </c>
      <c r="B42" s="51" t="s">
        <v>740</v>
      </c>
      <c r="C42" s="23" t="s">
        <v>741</v>
      </c>
      <c r="D42" s="23" t="s">
        <v>813</v>
      </c>
      <c r="E42" s="23" t="s">
        <v>814</v>
      </c>
      <c r="F42" s="239"/>
      <c r="H42" s="78" t="s">
        <v>3479</v>
      </c>
    </row>
    <row r="43" spans="1:8" x14ac:dyDescent="0.35">
      <c r="A43" s="19" t="s">
        <v>815</v>
      </c>
      <c r="B43" s="97" t="s">
        <v>740</v>
      </c>
      <c r="C43" s="41" t="s">
        <v>741</v>
      </c>
      <c r="D43" s="23" t="s">
        <v>816</v>
      </c>
      <c r="E43" s="45" t="s">
        <v>817</v>
      </c>
      <c r="F43" s="239"/>
      <c r="G43" s="228">
        <v>2022</v>
      </c>
      <c r="H43" t="s">
        <v>3479</v>
      </c>
    </row>
    <row r="44" spans="1:8" x14ac:dyDescent="0.35">
      <c r="A44" s="19" t="s">
        <v>818</v>
      </c>
      <c r="B44" s="97" t="s">
        <v>740</v>
      </c>
      <c r="C44" s="41" t="s">
        <v>741</v>
      </c>
      <c r="D44" s="23" t="s">
        <v>819</v>
      </c>
      <c r="E44" s="45" t="s">
        <v>820</v>
      </c>
      <c r="F44" s="239"/>
      <c r="G44" s="228">
        <v>2015</v>
      </c>
      <c r="H44" t="s">
        <v>3479</v>
      </c>
    </row>
    <row r="45" spans="1:8" x14ac:dyDescent="0.35">
      <c r="A45" s="19" t="s">
        <v>821</v>
      </c>
      <c r="B45" s="97" t="s">
        <v>740</v>
      </c>
      <c r="C45" s="41" t="s">
        <v>741</v>
      </c>
      <c r="D45" s="23" t="s">
        <v>819</v>
      </c>
      <c r="E45" s="45" t="s">
        <v>822</v>
      </c>
      <c r="F45" s="239"/>
      <c r="G45" s="228">
        <v>2015</v>
      </c>
      <c r="H45" t="s">
        <v>3479</v>
      </c>
    </row>
    <row r="46" spans="1:8" x14ac:dyDescent="0.35">
      <c r="A46" s="46" t="s">
        <v>823</v>
      </c>
      <c r="B46" s="51" t="s">
        <v>740</v>
      </c>
      <c r="C46" s="23" t="s">
        <v>741</v>
      </c>
      <c r="D46" s="23" t="s">
        <v>824</v>
      </c>
      <c r="E46" s="47" t="s">
        <v>825</v>
      </c>
      <c r="F46" s="239"/>
      <c r="G46" s="228">
        <v>2024</v>
      </c>
      <c r="H46" t="s">
        <v>3479</v>
      </c>
    </row>
    <row r="47" spans="1:8" x14ac:dyDescent="0.35">
      <c r="A47" s="19" t="s">
        <v>826</v>
      </c>
      <c r="B47" s="97" t="s">
        <v>740</v>
      </c>
      <c r="C47" s="41" t="s">
        <v>741</v>
      </c>
      <c r="D47" s="23" t="s">
        <v>748</v>
      </c>
      <c r="E47" s="48" t="s">
        <v>827</v>
      </c>
      <c r="F47" s="239"/>
      <c r="G47" s="228">
        <v>2023</v>
      </c>
      <c r="H47" s="182" t="s">
        <v>3479</v>
      </c>
    </row>
    <row r="48" spans="1:8" x14ac:dyDescent="0.35">
      <c r="A48" s="19" t="s">
        <v>828</v>
      </c>
      <c r="B48" s="97" t="s">
        <v>740</v>
      </c>
      <c r="C48" s="41" t="s">
        <v>741</v>
      </c>
      <c r="D48" s="23" t="s">
        <v>829</v>
      </c>
      <c r="E48" s="48" t="s">
        <v>830</v>
      </c>
      <c r="F48" s="239"/>
      <c r="G48" s="228">
        <v>2017</v>
      </c>
      <c r="H48" s="182" t="s">
        <v>3479</v>
      </c>
    </row>
    <row r="49" spans="1:8" s="6" customFormat="1" x14ac:dyDescent="0.35">
      <c r="A49" s="19" t="s">
        <v>600</v>
      </c>
      <c r="B49" s="99" t="s">
        <v>740</v>
      </c>
      <c r="C49" s="23" t="s">
        <v>741</v>
      </c>
      <c r="D49" s="51" t="s">
        <v>748</v>
      </c>
      <c r="E49" s="52" t="s">
        <v>857</v>
      </c>
      <c r="F49" s="236"/>
      <c r="G49" s="228">
        <v>2024</v>
      </c>
      <c r="H49" s="102" t="s">
        <v>3479</v>
      </c>
    </row>
    <row r="50" spans="1:8" x14ac:dyDescent="0.35">
      <c r="A50" s="19" t="s">
        <v>831</v>
      </c>
      <c r="B50" s="97" t="s">
        <v>740</v>
      </c>
      <c r="C50" s="41" t="s">
        <v>741</v>
      </c>
      <c r="D50" s="23" t="s">
        <v>789</v>
      </c>
      <c r="E50" s="48" t="s">
        <v>832</v>
      </c>
      <c r="F50" s="239"/>
      <c r="G50" s="228">
        <v>2023</v>
      </c>
      <c r="H50" s="182" t="s">
        <v>3479</v>
      </c>
    </row>
    <row r="51" spans="1:8" x14ac:dyDescent="0.35">
      <c r="A51" s="19" t="s">
        <v>833</v>
      </c>
      <c r="B51" s="97" t="s">
        <v>740</v>
      </c>
      <c r="C51" s="41" t="s">
        <v>741</v>
      </c>
      <c r="D51" s="49" t="s">
        <v>798</v>
      </c>
      <c r="E51" s="45" t="s">
        <v>834</v>
      </c>
      <c r="F51" s="239"/>
      <c r="G51" s="228">
        <v>2022</v>
      </c>
      <c r="H51" t="s">
        <v>3479</v>
      </c>
    </row>
    <row r="52" spans="1:8" hidden="1" x14ac:dyDescent="0.35">
      <c r="A52" s="40" t="s">
        <v>835</v>
      </c>
      <c r="B52" s="97" t="s">
        <v>809</v>
      </c>
      <c r="C52" s="39" t="s">
        <v>741</v>
      </c>
      <c r="D52" s="43" t="s">
        <v>810</v>
      </c>
      <c r="E52" s="38" t="s">
        <v>836</v>
      </c>
      <c r="F52" s="239"/>
    </row>
    <row r="53" spans="1:8" x14ac:dyDescent="0.35">
      <c r="A53" s="19" t="s">
        <v>837</v>
      </c>
      <c r="B53" s="51" t="s">
        <v>740</v>
      </c>
      <c r="C53" s="23" t="s">
        <v>741</v>
      </c>
      <c r="D53" s="23" t="s">
        <v>758</v>
      </c>
      <c r="E53" s="23" t="s">
        <v>1284</v>
      </c>
      <c r="F53" s="239"/>
      <c r="G53" s="228">
        <v>2022</v>
      </c>
      <c r="H53" s="78" t="s">
        <v>3483</v>
      </c>
    </row>
    <row r="54" spans="1:8" x14ac:dyDescent="0.35">
      <c r="A54" s="19" t="s">
        <v>840</v>
      </c>
      <c r="B54" s="51" t="s">
        <v>740</v>
      </c>
      <c r="C54" s="23" t="s">
        <v>741</v>
      </c>
      <c r="D54" s="42" t="s">
        <v>753</v>
      </c>
      <c r="E54" s="23" t="s">
        <v>841</v>
      </c>
      <c r="F54" s="240"/>
      <c r="H54" t="s">
        <v>3479</v>
      </c>
    </row>
    <row r="55" spans="1:8" x14ac:dyDescent="0.35">
      <c r="A55" s="19" t="s">
        <v>1455</v>
      </c>
      <c r="B55" s="51" t="s">
        <v>740</v>
      </c>
      <c r="C55" s="41" t="s">
        <v>741</v>
      </c>
      <c r="D55" s="23" t="s">
        <v>753</v>
      </c>
      <c r="E55" s="38" t="s">
        <v>1072</v>
      </c>
      <c r="F55" s="236"/>
      <c r="G55" s="228">
        <v>2017</v>
      </c>
    </row>
    <row r="56" spans="1:8" x14ac:dyDescent="0.35">
      <c r="A56" s="44" t="s">
        <v>6275</v>
      </c>
      <c r="B56" s="51" t="s">
        <v>740</v>
      </c>
      <c r="C56" s="23" t="s">
        <v>741</v>
      </c>
      <c r="D56" s="841" t="s">
        <v>745</v>
      </c>
      <c r="E56" s="41" t="s">
        <v>986</v>
      </c>
      <c r="F56" s="44"/>
    </row>
    <row r="57" spans="1:8" x14ac:dyDescent="0.35">
      <c r="A57" s="44" t="s">
        <v>369</v>
      </c>
      <c r="B57" s="98" t="s">
        <v>740</v>
      </c>
      <c r="C57" s="50" t="s">
        <v>741</v>
      </c>
      <c r="D57" s="50" t="s">
        <v>758</v>
      </c>
      <c r="E57" s="50" t="s">
        <v>842</v>
      </c>
      <c r="F57" s="236" t="s">
        <v>843</v>
      </c>
      <c r="G57" s="228">
        <v>2017</v>
      </c>
      <c r="H57" s="78" t="s">
        <v>3479</v>
      </c>
    </row>
    <row r="58" spans="1:8" x14ac:dyDescent="0.35">
      <c r="A58" s="19" t="s">
        <v>844</v>
      </c>
      <c r="B58" s="97" t="s">
        <v>740</v>
      </c>
      <c r="C58" s="41" t="s">
        <v>741</v>
      </c>
      <c r="D58" s="23" t="s">
        <v>845</v>
      </c>
      <c r="E58" s="127" t="s">
        <v>846</v>
      </c>
      <c r="F58" s="239"/>
      <c r="G58" s="228">
        <v>2015</v>
      </c>
      <c r="H58" t="s">
        <v>3476</v>
      </c>
    </row>
    <row r="59" spans="1:8" x14ac:dyDescent="0.35">
      <c r="A59" s="44" t="s">
        <v>847</v>
      </c>
      <c r="B59" s="97" t="s">
        <v>740</v>
      </c>
      <c r="C59" s="41" t="s">
        <v>741</v>
      </c>
      <c r="D59" s="41" t="s">
        <v>848</v>
      </c>
      <c r="E59" s="23" t="s">
        <v>849</v>
      </c>
      <c r="F59" s="241"/>
      <c r="G59" s="228">
        <v>2015</v>
      </c>
      <c r="H59" t="s">
        <v>3476</v>
      </c>
    </row>
    <row r="60" spans="1:8" x14ac:dyDescent="0.35">
      <c r="A60" s="19" t="s">
        <v>850</v>
      </c>
      <c r="B60" s="97" t="s">
        <v>740</v>
      </c>
      <c r="C60" s="41" t="s">
        <v>741</v>
      </c>
      <c r="D60" s="23" t="s">
        <v>753</v>
      </c>
      <c r="E60" s="74" t="s">
        <v>851</v>
      </c>
      <c r="F60" s="239"/>
      <c r="G60" s="228">
        <v>2017</v>
      </c>
      <c r="H60" t="s">
        <v>3479</v>
      </c>
    </row>
    <row r="61" spans="1:8" x14ac:dyDescent="0.35">
      <c r="A61" s="19" t="s">
        <v>852</v>
      </c>
      <c r="B61" s="96" t="s">
        <v>740</v>
      </c>
      <c r="C61" s="43" t="s">
        <v>741</v>
      </c>
      <c r="D61" s="43" t="s">
        <v>745</v>
      </c>
      <c r="E61" s="279" t="s">
        <v>853</v>
      </c>
      <c r="F61" s="240"/>
      <c r="G61" s="228">
        <v>2019</v>
      </c>
      <c r="H61" t="s">
        <v>3479</v>
      </c>
    </row>
    <row r="62" spans="1:8" x14ac:dyDescent="0.35">
      <c r="A62" s="720" t="s">
        <v>712</v>
      </c>
      <c r="B62" s="191" t="s">
        <v>740</v>
      </c>
      <c r="C62" s="15" t="s">
        <v>741</v>
      </c>
      <c r="D62" s="15" t="s">
        <v>753</v>
      </c>
      <c r="E62" s="856"/>
      <c r="F62" s="855" t="s">
        <v>854</v>
      </c>
      <c r="G62" s="259"/>
      <c r="H62" t="s">
        <v>3479</v>
      </c>
    </row>
    <row r="63" spans="1:8" x14ac:dyDescent="0.35">
      <c r="A63" s="720"/>
      <c r="B63" s="191" t="s">
        <v>740</v>
      </c>
      <c r="C63" s="15" t="s">
        <v>741</v>
      </c>
      <c r="D63" s="247" t="s">
        <v>855</v>
      </c>
      <c r="E63" s="857"/>
      <c r="F63" s="855"/>
      <c r="G63" s="259"/>
      <c r="H63" t="s">
        <v>3479</v>
      </c>
    </row>
    <row r="64" spans="1:8" x14ac:dyDescent="0.35">
      <c r="A64" s="737" t="s">
        <v>725</v>
      </c>
      <c r="B64" s="191" t="s">
        <v>740</v>
      </c>
      <c r="C64" s="15" t="s">
        <v>741</v>
      </c>
      <c r="D64" s="15" t="s">
        <v>753</v>
      </c>
      <c r="E64" s="15" t="s">
        <v>859</v>
      </c>
      <c r="F64" s="238" t="s">
        <v>860</v>
      </c>
      <c r="G64" s="228">
        <v>2021</v>
      </c>
      <c r="H64" s="78" t="s">
        <v>3479</v>
      </c>
    </row>
    <row r="65" spans="1:8" x14ac:dyDescent="0.35">
      <c r="A65" s="737"/>
      <c r="B65" s="191" t="s">
        <v>740</v>
      </c>
      <c r="C65" s="15" t="s">
        <v>741</v>
      </c>
      <c r="D65" s="15" t="s">
        <v>758</v>
      </c>
      <c r="E65" s="15" t="s">
        <v>861</v>
      </c>
      <c r="F65" s="238"/>
      <c r="G65" s="228">
        <v>2017</v>
      </c>
      <c r="H65" s="78" t="s">
        <v>3479</v>
      </c>
    </row>
    <row r="66" spans="1:8" x14ac:dyDescent="0.35">
      <c r="A66" s="714" t="s">
        <v>432</v>
      </c>
      <c r="B66" s="100" t="s">
        <v>740</v>
      </c>
      <c r="C66" s="50" t="s">
        <v>741</v>
      </c>
      <c r="D66" s="50" t="s">
        <v>758</v>
      </c>
      <c r="E66" s="50" t="s">
        <v>862</v>
      </c>
      <c r="F66" s="236"/>
      <c r="G66" s="228">
        <v>2018</v>
      </c>
      <c r="H66" s="78" t="s">
        <v>3479</v>
      </c>
    </row>
    <row r="67" spans="1:8" x14ac:dyDescent="0.35">
      <c r="A67" s="714"/>
      <c r="B67" s="99" t="s">
        <v>740</v>
      </c>
      <c r="C67" s="23" t="s">
        <v>741</v>
      </c>
      <c r="D67" s="23" t="s">
        <v>753</v>
      </c>
      <c r="E67" s="23" t="s">
        <v>863</v>
      </c>
      <c r="F67" s="236"/>
      <c r="G67" s="228">
        <v>2015</v>
      </c>
      <c r="H67" s="78" t="s">
        <v>3479</v>
      </c>
    </row>
    <row r="68" spans="1:8" x14ac:dyDescent="0.35">
      <c r="A68" s="711" t="s">
        <v>415</v>
      </c>
      <c r="B68" s="51" t="s">
        <v>740</v>
      </c>
      <c r="C68" s="23" t="s">
        <v>741</v>
      </c>
      <c r="D68" s="23" t="s">
        <v>758</v>
      </c>
      <c r="E68" s="122" t="s">
        <v>864</v>
      </c>
      <c r="F68" s="236"/>
      <c r="G68" s="228">
        <v>2019</v>
      </c>
      <c r="H68" s="35" t="s">
        <v>3479</v>
      </c>
    </row>
    <row r="69" spans="1:8" x14ac:dyDescent="0.35">
      <c r="A69" s="711"/>
      <c r="B69" s="51" t="s">
        <v>740</v>
      </c>
      <c r="C69" s="23" t="s">
        <v>741</v>
      </c>
      <c r="D69" s="23" t="s">
        <v>758</v>
      </c>
      <c r="E69" s="23" t="s">
        <v>865</v>
      </c>
      <c r="F69" s="236"/>
      <c r="G69" s="228">
        <v>2018</v>
      </c>
      <c r="H69" s="35" t="s">
        <v>3479</v>
      </c>
    </row>
    <row r="70" spans="1:8" x14ac:dyDescent="0.35">
      <c r="A70" s="711" t="s">
        <v>866</v>
      </c>
      <c r="B70" s="51" t="s">
        <v>740</v>
      </c>
      <c r="C70" s="23" t="s">
        <v>741</v>
      </c>
      <c r="D70" s="23" t="s">
        <v>753</v>
      </c>
      <c r="E70" s="23" t="s">
        <v>867</v>
      </c>
      <c r="F70" s="236"/>
      <c r="G70" s="228">
        <v>2017</v>
      </c>
      <c r="H70" s="78" t="s">
        <v>3479</v>
      </c>
    </row>
    <row r="71" spans="1:8" x14ac:dyDescent="0.35">
      <c r="A71" s="711"/>
      <c r="B71" s="51" t="s">
        <v>740</v>
      </c>
      <c r="C71" s="23" t="s">
        <v>741</v>
      </c>
      <c r="D71" s="23" t="s">
        <v>753</v>
      </c>
      <c r="E71" s="23" t="s">
        <v>868</v>
      </c>
      <c r="F71" s="236"/>
      <c r="G71" s="228">
        <v>2016</v>
      </c>
      <c r="H71" s="78" t="s">
        <v>3479</v>
      </c>
    </row>
    <row r="72" spans="1:8" x14ac:dyDescent="0.35">
      <c r="A72" s="714" t="s">
        <v>869</v>
      </c>
      <c r="B72" s="100" t="s">
        <v>740</v>
      </c>
      <c r="C72" s="36" t="s">
        <v>741</v>
      </c>
      <c r="D72" s="61" t="s">
        <v>753</v>
      </c>
      <c r="E72" s="55" t="s">
        <v>870</v>
      </c>
      <c r="F72" s="236"/>
      <c r="G72" s="228">
        <v>2016</v>
      </c>
      <c r="H72" t="s">
        <v>3479</v>
      </c>
    </row>
    <row r="73" spans="1:8" x14ac:dyDescent="0.35">
      <c r="A73" s="714"/>
      <c r="B73" s="100" t="s">
        <v>740</v>
      </c>
      <c r="C73" s="36" t="s">
        <v>741</v>
      </c>
      <c r="D73" s="49" t="s">
        <v>829</v>
      </c>
      <c r="E73" s="62" t="s">
        <v>871</v>
      </c>
      <c r="F73" s="236"/>
      <c r="G73" s="228">
        <v>2017</v>
      </c>
      <c r="H73" t="s">
        <v>3479</v>
      </c>
    </row>
    <row r="74" spans="1:8" x14ac:dyDescent="0.35">
      <c r="A74" s="725" t="s">
        <v>525</v>
      </c>
      <c r="B74" s="98" t="s">
        <v>740</v>
      </c>
      <c r="C74" s="36" t="s">
        <v>741</v>
      </c>
      <c r="D74" s="49" t="s">
        <v>748</v>
      </c>
      <c r="E74" s="62" t="s">
        <v>872</v>
      </c>
      <c r="F74" s="236" t="s">
        <v>873</v>
      </c>
      <c r="G74" s="228">
        <v>2023</v>
      </c>
      <c r="H74" t="s">
        <v>3479</v>
      </c>
    </row>
    <row r="75" spans="1:8" x14ac:dyDescent="0.35">
      <c r="A75" s="715"/>
      <c r="B75" s="98" t="s">
        <v>740</v>
      </c>
      <c r="C75" s="36" t="s">
        <v>741</v>
      </c>
      <c r="D75" s="49" t="s">
        <v>748</v>
      </c>
      <c r="E75" s="62" t="s">
        <v>874</v>
      </c>
      <c r="F75" s="236"/>
      <c r="G75" s="228">
        <v>2023</v>
      </c>
      <c r="H75" t="s">
        <v>3479</v>
      </c>
    </row>
    <row r="76" spans="1:8" x14ac:dyDescent="0.35">
      <c r="A76" s="714" t="s">
        <v>670</v>
      </c>
      <c r="B76" s="98" t="s">
        <v>740</v>
      </c>
      <c r="C76" s="23" t="s">
        <v>741</v>
      </c>
      <c r="D76" s="23" t="s">
        <v>753</v>
      </c>
      <c r="E76" s="23" t="s">
        <v>875</v>
      </c>
      <c r="F76" s="236"/>
      <c r="G76" s="228">
        <v>2017</v>
      </c>
      <c r="H76" s="78" t="s">
        <v>3479</v>
      </c>
    </row>
    <row r="77" spans="1:8" x14ac:dyDescent="0.35">
      <c r="A77" s="714"/>
      <c r="B77" s="99" t="s">
        <v>740</v>
      </c>
      <c r="C77" s="23" t="s">
        <v>741</v>
      </c>
      <c r="D77" s="23" t="s">
        <v>758</v>
      </c>
      <c r="E77" s="23" t="s">
        <v>876</v>
      </c>
      <c r="F77" s="236"/>
      <c r="G77" s="228">
        <v>2018</v>
      </c>
      <c r="H77" s="78" t="s">
        <v>3479</v>
      </c>
    </row>
    <row r="78" spans="1:8" hidden="1" x14ac:dyDescent="0.35">
      <c r="A78" s="714" t="s">
        <v>877</v>
      </c>
      <c r="B78" s="51" t="s">
        <v>809</v>
      </c>
      <c r="C78" s="23" t="s">
        <v>741</v>
      </c>
      <c r="D78" s="23" t="s">
        <v>810</v>
      </c>
      <c r="E78" s="150" t="s">
        <v>878</v>
      </c>
      <c r="F78" s="236"/>
    </row>
    <row r="79" spans="1:8" x14ac:dyDescent="0.35">
      <c r="A79" s="714"/>
      <c r="B79" s="51" t="s">
        <v>740</v>
      </c>
      <c r="C79" s="23" t="s">
        <v>741</v>
      </c>
      <c r="D79" s="23" t="s">
        <v>848</v>
      </c>
      <c r="E79" s="41" t="s">
        <v>879</v>
      </c>
      <c r="F79" s="236"/>
    </row>
    <row r="80" spans="1:8" x14ac:dyDescent="0.35">
      <c r="A80" s="714"/>
      <c r="B80" s="51" t="s">
        <v>809</v>
      </c>
      <c r="C80" s="23" t="s">
        <v>741</v>
      </c>
      <c r="D80" s="23" t="s">
        <v>810</v>
      </c>
      <c r="E80" s="150" t="s">
        <v>878</v>
      </c>
      <c r="F80" s="236"/>
      <c r="G80" s="228">
        <v>2015</v>
      </c>
      <c r="H80" s="35" t="s">
        <v>3479</v>
      </c>
    </row>
    <row r="81" spans="1:8" x14ac:dyDescent="0.35">
      <c r="A81" s="715" t="s">
        <v>880</v>
      </c>
      <c r="B81" s="98" t="s">
        <v>740</v>
      </c>
      <c r="C81" s="50" t="s">
        <v>741</v>
      </c>
      <c r="D81" s="50" t="s">
        <v>758</v>
      </c>
      <c r="E81" s="36" t="s">
        <v>881</v>
      </c>
      <c r="F81" s="236"/>
      <c r="G81" s="228">
        <v>2018</v>
      </c>
      <c r="H81" s="35" t="s">
        <v>3479</v>
      </c>
    </row>
    <row r="82" spans="1:8" x14ac:dyDescent="0.35">
      <c r="A82" s="715"/>
      <c r="B82" s="51" t="s">
        <v>740</v>
      </c>
      <c r="C82" s="23" t="s">
        <v>741</v>
      </c>
      <c r="D82" s="23" t="s">
        <v>758</v>
      </c>
      <c r="E82" s="280" t="s">
        <v>882</v>
      </c>
      <c r="F82" s="236"/>
      <c r="G82" s="228">
        <v>2019</v>
      </c>
      <c r="H82" s="35" t="s">
        <v>3479</v>
      </c>
    </row>
    <row r="83" spans="1:8" x14ac:dyDescent="0.35">
      <c r="A83" s="711" t="s">
        <v>577</v>
      </c>
      <c r="B83" s="51" t="s">
        <v>740</v>
      </c>
      <c r="C83" s="23" t="s">
        <v>741</v>
      </c>
      <c r="D83" s="23" t="s">
        <v>758</v>
      </c>
      <c r="E83" s="122" t="s">
        <v>883</v>
      </c>
      <c r="F83" s="236" t="s">
        <v>884</v>
      </c>
      <c r="G83" s="228">
        <v>2019</v>
      </c>
      <c r="H83" s="35" t="s">
        <v>3479</v>
      </c>
    </row>
    <row r="84" spans="1:8" x14ac:dyDescent="0.35">
      <c r="A84" s="711"/>
      <c r="B84" s="51" t="s">
        <v>740</v>
      </c>
      <c r="C84" s="23" t="s">
        <v>741</v>
      </c>
      <c r="D84" s="23" t="s">
        <v>758</v>
      </c>
      <c r="E84" s="23" t="s">
        <v>885</v>
      </c>
      <c r="F84" s="236"/>
      <c r="G84" s="228">
        <v>2018</v>
      </c>
      <c r="H84" s="78" t="s">
        <v>3479</v>
      </c>
    </row>
    <row r="85" spans="1:8" x14ac:dyDescent="0.35">
      <c r="A85" s="714" t="s">
        <v>886</v>
      </c>
      <c r="B85" s="99" t="s">
        <v>740</v>
      </c>
      <c r="C85" s="23" t="s">
        <v>741</v>
      </c>
      <c r="D85" s="23" t="s">
        <v>758</v>
      </c>
      <c r="E85" s="122" t="s">
        <v>887</v>
      </c>
      <c r="F85" s="236"/>
      <c r="G85" s="228">
        <v>2019</v>
      </c>
      <c r="H85" s="35" t="s">
        <v>3479</v>
      </c>
    </row>
    <row r="86" spans="1:8" x14ac:dyDescent="0.35">
      <c r="A86" s="714"/>
      <c r="B86" s="99" t="s">
        <v>740</v>
      </c>
      <c r="C86" s="23" t="s">
        <v>741</v>
      </c>
      <c r="D86" s="23" t="s">
        <v>758</v>
      </c>
      <c r="E86" s="23" t="s">
        <v>888</v>
      </c>
      <c r="F86" s="236"/>
      <c r="G86" s="228">
        <v>2018</v>
      </c>
      <c r="H86" s="78" t="s">
        <v>3479</v>
      </c>
    </row>
    <row r="87" spans="1:8" x14ac:dyDescent="0.35">
      <c r="A87" s="725" t="s">
        <v>889</v>
      </c>
      <c r="B87" s="51" t="s">
        <v>740</v>
      </c>
      <c r="C87" s="23" t="s">
        <v>741</v>
      </c>
      <c r="D87" s="23" t="s">
        <v>758</v>
      </c>
      <c r="E87" s="23" t="s">
        <v>6293</v>
      </c>
      <c r="F87" s="236"/>
      <c r="G87" s="228">
        <v>2018</v>
      </c>
      <c r="H87" s="78" t="s">
        <v>3479</v>
      </c>
    </row>
    <row r="88" spans="1:8" x14ac:dyDescent="0.35">
      <c r="A88" s="711"/>
      <c r="B88" s="51" t="s">
        <v>740</v>
      </c>
      <c r="C88" s="23" t="s">
        <v>741</v>
      </c>
      <c r="D88" s="23" t="s">
        <v>758</v>
      </c>
      <c r="E88" s="23" t="s">
        <v>891</v>
      </c>
      <c r="F88" s="236"/>
      <c r="G88" s="228">
        <v>2017</v>
      </c>
      <c r="H88" s="78" t="s">
        <v>3479</v>
      </c>
    </row>
    <row r="89" spans="1:8" x14ac:dyDescent="0.35">
      <c r="A89" s="711" t="s">
        <v>892</v>
      </c>
      <c r="B89" s="51" t="s">
        <v>740</v>
      </c>
      <c r="C89" s="23" t="s">
        <v>741</v>
      </c>
      <c r="D89" s="23" t="s">
        <v>758</v>
      </c>
      <c r="E89" s="122" t="s">
        <v>893</v>
      </c>
      <c r="F89" s="236"/>
      <c r="G89" s="228">
        <v>2019</v>
      </c>
      <c r="H89" s="35" t="s">
        <v>3479</v>
      </c>
    </row>
    <row r="90" spans="1:8" x14ac:dyDescent="0.35">
      <c r="A90" s="711"/>
      <c r="B90" s="51" t="s">
        <v>740</v>
      </c>
      <c r="C90" s="23" t="s">
        <v>741</v>
      </c>
      <c r="D90" s="23" t="s">
        <v>758</v>
      </c>
      <c r="E90" s="23" t="s">
        <v>894</v>
      </c>
      <c r="F90" s="236"/>
      <c r="G90" s="228">
        <v>2018</v>
      </c>
      <c r="H90" s="35" t="s">
        <v>3479</v>
      </c>
    </row>
    <row r="91" spans="1:8" x14ac:dyDescent="0.35">
      <c r="A91" s="711" t="s">
        <v>586</v>
      </c>
      <c r="B91" s="51" t="s">
        <v>740</v>
      </c>
      <c r="C91" s="23" t="s">
        <v>741</v>
      </c>
      <c r="D91" s="23" t="s">
        <v>753</v>
      </c>
      <c r="E91" s="23" t="s">
        <v>895</v>
      </c>
      <c r="F91" s="236"/>
      <c r="G91" s="228">
        <v>2016</v>
      </c>
      <c r="H91" s="78" t="s">
        <v>3479</v>
      </c>
    </row>
    <row r="92" spans="1:8" x14ac:dyDescent="0.35">
      <c r="A92" s="711"/>
      <c r="B92" s="51" t="s">
        <v>740</v>
      </c>
      <c r="C92" s="23" t="s">
        <v>741</v>
      </c>
      <c r="D92" s="23" t="s">
        <v>753</v>
      </c>
      <c r="E92" s="23" t="s">
        <v>896</v>
      </c>
      <c r="F92" s="236"/>
      <c r="G92" s="228">
        <v>2017</v>
      </c>
      <c r="H92" s="78" t="s">
        <v>3479</v>
      </c>
    </row>
    <row r="93" spans="1:8" x14ac:dyDescent="0.35">
      <c r="A93" s="711" t="s">
        <v>666</v>
      </c>
      <c r="B93" s="99" t="s">
        <v>740</v>
      </c>
      <c r="C93" s="23" t="s">
        <v>741</v>
      </c>
      <c r="D93" s="23" t="s">
        <v>745</v>
      </c>
      <c r="E93" s="23" t="s">
        <v>897</v>
      </c>
      <c r="F93" s="236"/>
      <c r="G93" s="228">
        <v>2018</v>
      </c>
      <c r="H93" s="35" t="s">
        <v>3479</v>
      </c>
    </row>
    <row r="94" spans="1:8" x14ac:dyDescent="0.35">
      <c r="A94" s="715"/>
      <c r="B94" s="95" t="s">
        <v>740</v>
      </c>
      <c r="C94" s="43" t="s">
        <v>741</v>
      </c>
      <c r="D94" s="43" t="s">
        <v>829</v>
      </c>
      <c r="E94" s="43" t="s">
        <v>898</v>
      </c>
      <c r="F94" s="236"/>
      <c r="H94" s="35"/>
    </row>
    <row r="95" spans="1:8" x14ac:dyDescent="0.35">
      <c r="A95" s="633" t="s">
        <v>899</v>
      </c>
      <c r="B95" s="51" t="s">
        <v>809</v>
      </c>
      <c r="C95" s="23" t="s">
        <v>741</v>
      </c>
      <c r="D95" s="23" t="s">
        <v>900</v>
      </c>
      <c r="E95" s="150" t="s">
        <v>901</v>
      </c>
      <c r="F95" s="236"/>
      <c r="G95" s="228">
        <v>2016</v>
      </c>
      <c r="H95" s="78" t="s">
        <v>3479</v>
      </c>
    </row>
    <row r="96" spans="1:8" ht="18" hidden="1" customHeight="1" x14ac:dyDescent="0.35">
      <c r="A96" s="19" t="s">
        <v>899</v>
      </c>
      <c r="B96" s="51" t="s">
        <v>809</v>
      </c>
      <c r="C96" s="23" t="s">
        <v>741</v>
      </c>
      <c r="D96" s="23" t="s">
        <v>900</v>
      </c>
      <c r="E96" s="150" t="s">
        <v>901</v>
      </c>
      <c r="F96" s="236"/>
    </row>
    <row r="97" spans="1:8" x14ac:dyDescent="0.35">
      <c r="A97" s="714" t="s">
        <v>588</v>
      </c>
      <c r="B97" s="51" t="s">
        <v>740</v>
      </c>
      <c r="C97" s="23" t="s">
        <v>741</v>
      </c>
      <c r="D97" s="23" t="s">
        <v>758</v>
      </c>
      <c r="E97" s="23" t="s">
        <v>902</v>
      </c>
      <c r="F97" s="236" t="s">
        <v>903</v>
      </c>
      <c r="G97" s="228">
        <v>2020</v>
      </c>
      <c r="H97" s="78" t="s">
        <v>3479</v>
      </c>
    </row>
    <row r="98" spans="1:8" x14ac:dyDescent="0.35">
      <c r="A98" s="714"/>
      <c r="B98" s="51" t="s">
        <v>740</v>
      </c>
      <c r="C98" s="23" t="s">
        <v>741</v>
      </c>
      <c r="D98" s="23" t="s">
        <v>758</v>
      </c>
      <c r="E98" s="122" t="s">
        <v>904</v>
      </c>
      <c r="F98" s="236"/>
      <c r="G98" s="228">
        <v>2019</v>
      </c>
      <c r="H98" t="s">
        <v>3479</v>
      </c>
    </row>
    <row r="99" spans="1:8" x14ac:dyDescent="0.35">
      <c r="A99" s="711" t="s">
        <v>259</v>
      </c>
      <c r="B99" s="51" t="s">
        <v>740</v>
      </c>
      <c r="C99" s="23" t="s">
        <v>741</v>
      </c>
      <c r="D99" s="23" t="s">
        <v>753</v>
      </c>
      <c r="E99" s="23" t="s">
        <v>905</v>
      </c>
      <c r="F99" s="236"/>
      <c r="G99" s="228">
        <v>2017</v>
      </c>
      <c r="H99" s="78" t="s">
        <v>3479</v>
      </c>
    </row>
    <row r="100" spans="1:8" x14ac:dyDescent="0.35">
      <c r="A100" s="711"/>
      <c r="B100" s="95" t="s">
        <v>740</v>
      </c>
      <c r="C100" s="39" t="s">
        <v>741</v>
      </c>
      <c r="D100" s="23" t="s">
        <v>829</v>
      </c>
      <c r="E100" s="62" t="s">
        <v>906</v>
      </c>
      <c r="F100" s="236"/>
      <c r="G100" s="228">
        <v>2018</v>
      </c>
      <c r="H100" t="s">
        <v>3479</v>
      </c>
    </row>
    <row r="101" spans="1:8" x14ac:dyDescent="0.35">
      <c r="A101" s="711" t="s">
        <v>907</v>
      </c>
      <c r="B101" s="51" t="s">
        <v>740</v>
      </c>
      <c r="C101" s="23" t="s">
        <v>741</v>
      </c>
      <c r="D101" s="23" t="s">
        <v>745</v>
      </c>
      <c r="E101" s="23" t="s">
        <v>908</v>
      </c>
      <c r="F101" s="236"/>
      <c r="G101" s="228">
        <v>2018</v>
      </c>
      <c r="H101" s="78" t="s">
        <v>3479</v>
      </c>
    </row>
    <row r="102" spans="1:8" x14ac:dyDescent="0.35">
      <c r="A102" s="711"/>
      <c r="B102" s="51" t="s">
        <v>740</v>
      </c>
      <c r="C102" s="23" t="s">
        <v>741</v>
      </c>
      <c r="D102" s="57" t="s">
        <v>745</v>
      </c>
      <c r="E102" s="58" t="s">
        <v>909</v>
      </c>
      <c r="F102" s="236"/>
      <c r="G102" s="228">
        <v>2020</v>
      </c>
      <c r="H102" s="35" t="s">
        <v>3479</v>
      </c>
    </row>
    <row r="103" spans="1:8" x14ac:dyDescent="0.35">
      <c r="A103" s="711" t="s">
        <v>910</v>
      </c>
      <c r="B103" s="51" t="s">
        <v>740</v>
      </c>
      <c r="C103" s="23" t="s">
        <v>741</v>
      </c>
      <c r="D103" s="23" t="s">
        <v>745</v>
      </c>
      <c r="E103" s="23" t="s">
        <v>911</v>
      </c>
      <c r="F103" s="236"/>
      <c r="G103" s="228">
        <v>2018</v>
      </c>
      <c r="H103" s="78" t="s">
        <v>3479</v>
      </c>
    </row>
    <row r="104" spans="1:8" x14ac:dyDescent="0.35">
      <c r="A104" s="711"/>
      <c r="B104" s="98" t="s">
        <v>740</v>
      </c>
      <c r="C104" s="50" t="s">
        <v>741</v>
      </c>
      <c r="D104" s="59" t="s">
        <v>745</v>
      </c>
      <c r="E104" s="60" t="s">
        <v>912</v>
      </c>
      <c r="F104" s="236"/>
      <c r="G104" s="228">
        <v>2020</v>
      </c>
      <c r="H104" s="35" t="s">
        <v>3479</v>
      </c>
    </row>
    <row r="105" spans="1:8" x14ac:dyDescent="0.35">
      <c r="A105" s="711" t="s">
        <v>913</v>
      </c>
      <c r="B105" s="51" t="s">
        <v>740</v>
      </c>
      <c r="C105" s="23" t="s">
        <v>741</v>
      </c>
      <c r="D105" s="23" t="s">
        <v>745</v>
      </c>
      <c r="E105" s="122" t="s">
        <v>914</v>
      </c>
      <c r="F105" s="236"/>
      <c r="G105" s="228">
        <v>2019</v>
      </c>
      <c r="H105" t="s">
        <v>3479</v>
      </c>
    </row>
    <row r="106" spans="1:8" x14ac:dyDescent="0.35">
      <c r="A106" s="711"/>
      <c r="B106" s="51" t="s">
        <v>740</v>
      </c>
      <c r="C106" s="23" t="s">
        <v>741</v>
      </c>
      <c r="D106" s="23" t="s">
        <v>758</v>
      </c>
      <c r="E106" s="122" t="s">
        <v>915</v>
      </c>
      <c r="F106" s="236"/>
      <c r="G106" s="228">
        <v>2019</v>
      </c>
      <c r="H106" t="s">
        <v>3479</v>
      </c>
    </row>
    <row r="107" spans="1:8" x14ac:dyDescent="0.35">
      <c r="A107" s="19" t="s">
        <v>916</v>
      </c>
      <c r="B107" s="97" t="s">
        <v>740</v>
      </c>
      <c r="C107" s="41" t="s">
        <v>741</v>
      </c>
      <c r="D107" s="41" t="s">
        <v>917</v>
      </c>
      <c r="E107" s="41" t="s">
        <v>918</v>
      </c>
      <c r="F107" s="236"/>
      <c r="G107" s="228">
        <v>2015</v>
      </c>
      <c r="H107" s="35" t="s">
        <v>3479</v>
      </c>
    </row>
    <row r="108" spans="1:8" x14ac:dyDescent="0.35">
      <c r="A108" s="714" t="s">
        <v>583</v>
      </c>
      <c r="B108" s="99" t="s">
        <v>740</v>
      </c>
      <c r="C108" s="23" t="s">
        <v>741</v>
      </c>
      <c r="D108" s="23" t="s">
        <v>745</v>
      </c>
      <c r="E108" s="122" t="s">
        <v>919</v>
      </c>
      <c r="F108" s="236" t="s">
        <v>920</v>
      </c>
      <c r="G108" s="228">
        <v>2019</v>
      </c>
      <c r="H108" s="35" t="s">
        <v>3479</v>
      </c>
    </row>
    <row r="109" spans="1:8" x14ac:dyDescent="0.35">
      <c r="A109" s="714"/>
      <c r="B109" s="99" t="s">
        <v>740</v>
      </c>
      <c r="C109" s="23" t="s">
        <v>741</v>
      </c>
      <c r="D109" s="23" t="s">
        <v>753</v>
      </c>
      <c r="E109" s="23" t="s">
        <v>921</v>
      </c>
      <c r="F109" s="236"/>
      <c r="G109" s="228">
        <v>2016</v>
      </c>
      <c r="H109" s="35" t="s">
        <v>3479</v>
      </c>
    </row>
    <row r="110" spans="1:8" x14ac:dyDescent="0.35">
      <c r="A110" s="714" t="s">
        <v>922</v>
      </c>
      <c r="B110" s="100" t="s">
        <v>740</v>
      </c>
      <c r="C110" s="50" t="s">
        <v>741</v>
      </c>
      <c r="D110" s="50" t="s">
        <v>758</v>
      </c>
      <c r="E110" s="281" t="s">
        <v>923</v>
      </c>
      <c r="F110" s="236"/>
      <c r="G110" s="228">
        <v>2019</v>
      </c>
      <c r="H110" t="s">
        <v>3479</v>
      </c>
    </row>
    <row r="111" spans="1:8" x14ac:dyDescent="0.35">
      <c r="A111" s="714"/>
      <c r="B111" s="99" t="s">
        <v>740</v>
      </c>
      <c r="C111" s="23" t="s">
        <v>741</v>
      </c>
      <c r="D111" s="23" t="s">
        <v>758</v>
      </c>
      <c r="E111" s="23" t="s">
        <v>924</v>
      </c>
      <c r="F111" s="236"/>
      <c r="G111" s="228">
        <v>2017</v>
      </c>
      <c r="H111" s="78" t="s">
        <v>3479</v>
      </c>
    </row>
    <row r="112" spans="1:8" x14ac:dyDescent="0.35">
      <c r="A112" s="34" t="s">
        <v>925</v>
      </c>
      <c r="B112" s="95" t="s">
        <v>740</v>
      </c>
      <c r="C112" s="39" t="s">
        <v>741</v>
      </c>
      <c r="D112" s="36" t="s">
        <v>748</v>
      </c>
      <c r="E112" s="41" t="s">
        <v>926</v>
      </c>
      <c r="F112" s="236"/>
      <c r="G112" s="228">
        <v>2024</v>
      </c>
      <c r="H112" s="35" t="s">
        <v>3479</v>
      </c>
    </row>
    <row r="113" spans="1:8" x14ac:dyDescent="0.35">
      <c r="A113" s="746" t="s">
        <v>927</v>
      </c>
      <c r="B113" s="95" t="s">
        <v>740</v>
      </c>
      <c r="C113" s="39" t="s">
        <v>741</v>
      </c>
      <c r="D113" s="36" t="s">
        <v>748</v>
      </c>
      <c r="E113" s="41" t="s">
        <v>928</v>
      </c>
      <c r="F113" s="224" t="s">
        <v>929</v>
      </c>
      <c r="G113" s="228">
        <v>2023</v>
      </c>
      <c r="H113" s="35" t="s">
        <v>3479</v>
      </c>
    </row>
    <row r="114" spans="1:8" x14ac:dyDescent="0.35">
      <c r="A114" s="712"/>
      <c r="B114" s="262" t="s">
        <v>740</v>
      </c>
      <c r="C114" s="261" t="s">
        <v>741</v>
      </c>
      <c r="D114" s="36" t="s">
        <v>753</v>
      </c>
      <c r="E114" s="41" t="s">
        <v>6278</v>
      </c>
      <c r="F114" s="224"/>
      <c r="G114" s="259"/>
    </row>
    <row r="115" spans="1:8" ht="15" customHeight="1" x14ac:dyDescent="0.35">
      <c r="A115" s="711" t="s">
        <v>930</v>
      </c>
      <c r="B115" s="262" t="s">
        <v>740</v>
      </c>
      <c r="C115" s="261" t="s">
        <v>741</v>
      </c>
      <c r="D115" s="255" t="s">
        <v>931</v>
      </c>
      <c r="E115" s="41" t="s">
        <v>6276</v>
      </c>
      <c r="F115" s="242" t="s">
        <v>932</v>
      </c>
      <c r="G115" s="259"/>
    </row>
    <row r="116" spans="1:8" x14ac:dyDescent="0.35">
      <c r="A116" s="715"/>
      <c r="B116" s="262" t="s">
        <v>740</v>
      </c>
      <c r="C116" s="261" t="s">
        <v>741</v>
      </c>
      <c r="D116" s="255" t="s">
        <v>931</v>
      </c>
      <c r="E116" s="41" t="s">
        <v>6277</v>
      </c>
      <c r="F116" s="242"/>
      <c r="G116" s="259"/>
    </row>
    <row r="117" spans="1:8" x14ac:dyDescent="0.35">
      <c r="A117" s="711" t="s">
        <v>6211</v>
      </c>
      <c r="B117" s="95" t="s">
        <v>740</v>
      </c>
      <c r="C117" s="39" t="s">
        <v>741</v>
      </c>
      <c r="D117" s="23" t="s">
        <v>745</v>
      </c>
      <c r="E117" s="41" t="s">
        <v>6279</v>
      </c>
      <c r="F117" s="242"/>
    </row>
    <row r="118" spans="1:8" x14ac:dyDescent="0.35">
      <c r="A118" s="715"/>
      <c r="B118" s="95" t="s">
        <v>740</v>
      </c>
      <c r="C118" s="39" t="s">
        <v>741</v>
      </c>
      <c r="D118" s="23" t="s">
        <v>745</v>
      </c>
      <c r="E118" s="41" t="s">
        <v>6280</v>
      </c>
      <c r="F118" s="242"/>
    </row>
    <row r="119" spans="1:8" x14ac:dyDescent="0.35">
      <c r="A119" s="711" t="s">
        <v>262</v>
      </c>
      <c r="B119" s="51" t="s">
        <v>740</v>
      </c>
      <c r="C119" s="23" t="s">
        <v>741</v>
      </c>
      <c r="D119" s="23" t="s">
        <v>758</v>
      </c>
      <c r="E119" s="41" t="s">
        <v>933</v>
      </c>
      <c r="F119" s="242"/>
      <c r="G119" s="228">
        <v>2018</v>
      </c>
      <c r="H119" s="35" t="s">
        <v>3483</v>
      </c>
    </row>
    <row r="120" spans="1:8" x14ac:dyDescent="0.35">
      <c r="A120" s="715"/>
      <c r="B120" s="51" t="s">
        <v>740</v>
      </c>
      <c r="C120" s="23" t="s">
        <v>741</v>
      </c>
      <c r="D120" s="23" t="s">
        <v>758</v>
      </c>
      <c r="E120" s="41" t="s">
        <v>934</v>
      </c>
      <c r="F120" s="242"/>
      <c r="G120" s="228">
        <v>2015</v>
      </c>
      <c r="H120" s="35" t="s">
        <v>3483</v>
      </c>
    </row>
    <row r="121" spans="1:8" x14ac:dyDescent="0.35">
      <c r="A121" s="711" t="s">
        <v>6281</v>
      </c>
      <c r="B121" s="51" t="s">
        <v>740</v>
      </c>
      <c r="C121" s="23" t="s">
        <v>741</v>
      </c>
      <c r="D121" s="23" t="s">
        <v>758</v>
      </c>
      <c r="E121" s="41" t="s">
        <v>936</v>
      </c>
      <c r="F121" s="242"/>
      <c r="G121" s="228">
        <v>2018</v>
      </c>
      <c r="H121" s="35" t="s">
        <v>3483</v>
      </c>
    </row>
    <row r="122" spans="1:8" x14ac:dyDescent="0.35">
      <c r="A122" s="711"/>
      <c r="B122" s="51" t="s">
        <v>740</v>
      </c>
      <c r="C122" s="23" t="s">
        <v>741</v>
      </c>
      <c r="D122" s="23" t="s">
        <v>758</v>
      </c>
      <c r="E122" s="41" t="s">
        <v>937</v>
      </c>
      <c r="F122" s="242"/>
      <c r="G122" s="228">
        <v>2018</v>
      </c>
      <c r="H122" s="35" t="s">
        <v>3483</v>
      </c>
    </row>
    <row r="123" spans="1:8" x14ac:dyDescent="0.35">
      <c r="A123" s="711" t="s">
        <v>938</v>
      </c>
      <c r="B123" s="97" t="s">
        <v>740</v>
      </c>
      <c r="C123" s="41" t="s">
        <v>741</v>
      </c>
      <c r="D123" s="41" t="s">
        <v>939</v>
      </c>
      <c r="E123" s="41" t="s">
        <v>940</v>
      </c>
      <c r="F123" s="242"/>
      <c r="G123" s="228">
        <v>2018</v>
      </c>
      <c r="H123" s="35" t="s">
        <v>3483</v>
      </c>
    </row>
    <row r="124" spans="1:8" x14ac:dyDescent="0.35">
      <c r="A124" s="711"/>
      <c r="B124" s="97" t="s">
        <v>740</v>
      </c>
      <c r="C124" s="41" t="s">
        <v>741</v>
      </c>
      <c r="D124" s="49" t="s">
        <v>939</v>
      </c>
      <c r="E124" s="282" t="s">
        <v>941</v>
      </c>
      <c r="F124" s="242"/>
      <c r="G124" s="228">
        <v>2019</v>
      </c>
      <c r="H124" s="35" t="s">
        <v>3483</v>
      </c>
    </row>
    <row r="125" spans="1:8" x14ac:dyDescent="0.35">
      <c r="A125" s="711" t="s">
        <v>298</v>
      </c>
      <c r="B125" s="51" t="s">
        <v>740</v>
      </c>
      <c r="C125" s="23" t="s">
        <v>741</v>
      </c>
      <c r="D125" s="23" t="s">
        <v>758</v>
      </c>
      <c r="E125" s="41" t="s">
        <v>942</v>
      </c>
      <c r="F125" s="242"/>
      <c r="G125" s="228">
        <v>2016</v>
      </c>
      <c r="H125" s="35" t="s">
        <v>3483</v>
      </c>
    </row>
    <row r="126" spans="1:8" x14ac:dyDescent="0.35">
      <c r="A126" s="711"/>
      <c r="B126" s="51" t="s">
        <v>740</v>
      </c>
      <c r="C126" s="23" t="s">
        <v>741</v>
      </c>
      <c r="D126" s="23" t="s">
        <v>753</v>
      </c>
      <c r="E126" s="41" t="s">
        <v>943</v>
      </c>
      <c r="F126" s="242"/>
      <c r="G126" s="228">
        <v>2018</v>
      </c>
      <c r="H126" s="35" t="s">
        <v>3483</v>
      </c>
    </row>
    <row r="127" spans="1:8" x14ac:dyDescent="0.35">
      <c r="A127" s="711" t="s">
        <v>434</v>
      </c>
      <c r="B127" s="51" t="s">
        <v>740</v>
      </c>
      <c r="C127" s="23" t="s">
        <v>741</v>
      </c>
      <c r="D127" s="23" t="s">
        <v>753</v>
      </c>
      <c r="E127" s="41" t="s">
        <v>944</v>
      </c>
      <c r="F127" s="242"/>
      <c r="G127" s="228">
        <v>2016</v>
      </c>
      <c r="H127" s="35" t="s">
        <v>3483</v>
      </c>
    </row>
    <row r="128" spans="1:8" x14ac:dyDescent="0.35">
      <c r="A128" s="711"/>
      <c r="B128" s="97" t="s">
        <v>740</v>
      </c>
      <c r="C128" s="41" t="s">
        <v>741</v>
      </c>
      <c r="D128" s="53" t="s">
        <v>945</v>
      </c>
      <c r="E128" s="45" t="s">
        <v>946</v>
      </c>
      <c r="F128" s="242"/>
      <c r="G128" s="228">
        <v>2020</v>
      </c>
      <c r="H128" t="s">
        <v>3483</v>
      </c>
    </row>
    <row r="129" spans="1:8" x14ac:dyDescent="0.35">
      <c r="A129" s="711" t="s">
        <v>947</v>
      </c>
      <c r="B129" s="51" t="s">
        <v>740</v>
      </c>
      <c r="C129" s="23" t="s">
        <v>741</v>
      </c>
      <c r="D129" s="23" t="s">
        <v>848</v>
      </c>
      <c r="E129" s="41" t="s">
        <v>948</v>
      </c>
      <c r="F129" s="242"/>
      <c r="G129" s="228">
        <v>2015</v>
      </c>
      <c r="H129" s="35" t="s">
        <v>3483</v>
      </c>
    </row>
    <row r="130" spans="1:8" x14ac:dyDescent="0.35">
      <c r="A130" s="711"/>
      <c r="B130" s="51" t="s">
        <v>740</v>
      </c>
      <c r="C130" s="23" t="s">
        <v>741</v>
      </c>
      <c r="D130" s="23" t="s">
        <v>753</v>
      </c>
      <c r="E130" s="41" t="s">
        <v>949</v>
      </c>
      <c r="F130" s="242"/>
      <c r="G130" s="228">
        <v>2016</v>
      </c>
      <c r="H130" s="35" t="s">
        <v>3483</v>
      </c>
    </row>
    <row r="131" spans="1:8" s="89" customFormat="1" x14ac:dyDescent="0.35">
      <c r="A131" s="726" t="s">
        <v>950</v>
      </c>
      <c r="B131" s="101" t="s">
        <v>740</v>
      </c>
      <c r="C131" s="88" t="s">
        <v>741</v>
      </c>
      <c r="D131" s="88" t="s">
        <v>758</v>
      </c>
      <c r="E131" s="114" t="s">
        <v>951</v>
      </c>
      <c r="F131" s="242"/>
      <c r="G131" s="228">
        <v>2018</v>
      </c>
      <c r="H131" s="89" t="s">
        <v>3483</v>
      </c>
    </row>
    <row r="132" spans="1:8" s="89" customFormat="1" x14ac:dyDescent="0.35">
      <c r="A132" s="726"/>
      <c r="B132" s="101" t="s">
        <v>740</v>
      </c>
      <c r="C132" s="88" t="s">
        <v>741</v>
      </c>
      <c r="D132" s="112" t="s">
        <v>758</v>
      </c>
      <c r="E132" s="115" t="s">
        <v>952</v>
      </c>
      <c r="F132" s="242"/>
      <c r="G132" s="229">
        <v>2018</v>
      </c>
      <c r="H132" s="89" t="s">
        <v>3483</v>
      </c>
    </row>
    <row r="133" spans="1:8" s="89" customFormat="1" x14ac:dyDescent="0.35">
      <c r="A133" s="732" t="s">
        <v>953</v>
      </c>
      <c r="B133" s="180" t="s">
        <v>740</v>
      </c>
      <c r="C133" s="181" t="s">
        <v>741</v>
      </c>
      <c r="D133" s="41" t="s">
        <v>954</v>
      </c>
      <c r="E133" s="115" t="s">
        <v>955</v>
      </c>
      <c r="F133" s="242"/>
      <c r="G133" s="229">
        <v>2017</v>
      </c>
      <c r="H133" s="89" t="s">
        <v>3483</v>
      </c>
    </row>
    <row r="134" spans="1:8" x14ac:dyDescent="0.35">
      <c r="A134" s="733"/>
      <c r="B134" s="97" t="s">
        <v>740</v>
      </c>
      <c r="C134" s="41" t="s">
        <v>741</v>
      </c>
      <c r="D134" s="41" t="s">
        <v>954</v>
      </c>
      <c r="E134" s="41" t="s">
        <v>956</v>
      </c>
      <c r="F134" s="242"/>
      <c r="G134" s="228">
        <v>2016</v>
      </c>
      <c r="H134" s="35" t="s">
        <v>3483</v>
      </c>
    </row>
    <row r="135" spans="1:8" x14ac:dyDescent="0.35">
      <c r="A135" s="714" t="s">
        <v>957</v>
      </c>
      <c r="B135" s="97" t="s">
        <v>740</v>
      </c>
      <c r="C135" s="23" t="s">
        <v>741</v>
      </c>
      <c r="D135" s="69" t="s">
        <v>819</v>
      </c>
      <c r="E135" s="41" t="s">
        <v>958</v>
      </c>
      <c r="F135" s="242"/>
      <c r="G135" s="228">
        <v>2015</v>
      </c>
      <c r="H135" t="s">
        <v>3483</v>
      </c>
    </row>
    <row r="136" spans="1:8" x14ac:dyDescent="0.35">
      <c r="A136" s="714"/>
      <c r="B136" s="97" t="s">
        <v>740</v>
      </c>
      <c r="C136" s="23" t="s">
        <v>741</v>
      </c>
      <c r="D136" s="69" t="s">
        <v>959</v>
      </c>
      <c r="E136" s="36" t="s">
        <v>960</v>
      </c>
      <c r="F136" s="242"/>
      <c r="H136" t="s">
        <v>3479</v>
      </c>
    </row>
    <row r="137" spans="1:8" ht="15" customHeight="1" x14ac:dyDescent="0.35">
      <c r="A137" s="714" t="s">
        <v>961</v>
      </c>
      <c r="B137" s="51" t="s">
        <v>740</v>
      </c>
      <c r="C137" s="23" t="s">
        <v>741</v>
      </c>
      <c r="D137" s="23" t="s">
        <v>758</v>
      </c>
      <c r="E137" s="41" t="s">
        <v>962</v>
      </c>
      <c r="F137" s="242" t="s">
        <v>963</v>
      </c>
      <c r="G137" s="228">
        <v>2018</v>
      </c>
      <c r="H137" s="35" t="s">
        <v>3479</v>
      </c>
    </row>
    <row r="138" spans="1:8" x14ac:dyDescent="0.35">
      <c r="A138" s="714"/>
      <c r="B138" s="51" t="s">
        <v>740</v>
      </c>
      <c r="C138" s="23" t="s">
        <v>741</v>
      </c>
      <c r="D138" s="23" t="s">
        <v>758</v>
      </c>
      <c r="E138" s="41" t="s">
        <v>964</v>
      </c>
      <c r="F138" s="242"/>
      <c r="G138" s="228">
        <v>2020</v>
      </c>
      <c r="H138" s="35" t="s">
        <v>3479</v>
      </c>
    </row>
    <row r="139" spans="1:8" x14ac:dyDescent="0.35">
      <c r="A139" s="711" t="s">
        <v>300</v>
      </c>
      <c r="B139" s="51" t="s">
        <v>740</v>
      </c>
      <c r="C139" s="41" t="s">
        <v>741</v>
      </c>
      <c r="D139" s="42" t="s">
        <v>758</v>
      </c>
      <c r="E139" s="41" t="s">
        <v>965</v>
      </c>
      <c r="F139" s="242"/>
      <c r="G139" s="228">
        <v>2018</v>
      </c>
      <c r="H139" t="s">
        <v>3479</v>
      </c>
    </row>
    <row r="140" spans="1:8" x14ac:dyDescent="0.35">
      <c r="A140" s="711"/>
      <c r="B140" s="51" t="s">
        <v>740</v>
      </c>
      <c r="C140" s="41" t="s">
        <v>741</v>
      </c>
      <c r="D140" s="42" t="s">
        <v>758</v>
      </c>
      <c r="E140" s="41" t="s">
        <v>966</v>
      </c>
      <c r="F140" s="242"/>
      <c r="G140" s="228">
        <v>2018</v>
      </c>
      <c r="H140" t="s">
        <v>3479</v>
      </c>
    </row>
    <row r="141" spans="1:8" x14ac:dyDescent="0.35">
      <c r="A141" s="711" t="s">
        <v>638</v>
      </c>
      <c r="B141" s="51" t="s">
        <v>740</v>
      </c>
      <c r="C141" s="23" t="s">
        <v>741</v>
      </c>
      <c r="D141" s="50" t="s">
        <v>758</v>
      </c>
      <c r="E141" s="36" t="s">
        <v>967</v>
      </c>
      <c r="F141" s="242"/>
      <c r="G141" s="228">
        <v>2018</v>
      </c>
      <c r="H141" s="35" t="s">
        <v>3479</v>
      </c>
    </row>
    <row r="142" spans="1:8" x14ac:dyDescent="0.35">
      <c r="A142" s="711"/>
      <c r="B142" s="96" t="s">
        <v>740</v>
      </c>
      <c r="C142" s="43" t="s">
        <v>741</v>
      </c>
      <c r="D142" s="43" t="s">
        <v>758</v>
      </c>
      <c r="E142" s="39" t="s">
        <v>968</v>
      </c>
      <c r="F142" s="242"/>
      <c r="G142" s="228">
        <v>2020</v>
      </c>
      <c r="H142" s="35" t="s">
        <v>3479</v>
      </c>
    </row>
    <row r="143" spans="1:8" x14ac:dyDescent="0.35">
      <c r="A143" s="735" t="s">
        <v>319</v>
      </c>
      <c r="B143" s="96" t="s">
        <v>740</v>
      </c>
      <c r="C143" s="43" t="s">
        <v>741</v>
      </c>
      <c r="D143" s="111" t="s">
        <v>745</v>
      </c>
      <c r="E143" s="283" t="s">
        <v>969</v>
      </c>
      <c r="F143" s="242"/>
      <c r="G143" s="228">
        <v>2019</v>
      </c>
      <c r="H143" t="s">
        <v>3479</v>
      </c>
    </row>
    <row r="144" spans="1:8" x14ac:dyDescent="0.35">
      <c r="A144" s="736"/>
      <c r="B144" s="51" t="s">
        <v>740</v>
      </c>
      <c r="C144" s="23" t="s">
        <v>741</v>
      </c>
      <c r="D144" s="111" t="s">
        <v>745</v>
      </c>
      <c r="E144" s="280" t="s">
        <v>970</v>
      </c>
      <c r="F144" s="242"/>
      <c r="G144" s="228">
        <v>2019</v>
      </c>
      <c r="H144" t="s">
        <v>3479</v>
      </c>
    </row>
    <row r="145" spans="1:8" x14ac:dyDescent="0.35">
      <c r="A145" s="729" t="s">
        <v>971</v>
      </c>
      <c r="B145" s="113" t="s">
        <v>740</v>
      </c>
      <c r="C145" s="111" t="s">
        <v>741</v>
      </c>
      <c r="D145" s="111" t="s">
        <v>745</v>
      </c>
      <c r="E145" s="116" t="s">
        <v>972</v>
      </c>
      <c r="F145" s="242"/>
      <c r="G145" s="228">
        <v>2018</v>
      </c>
      <c r="H145" s="239" t="s">
        <v>3479</v>
      </c>
    </row>
    <row r="146" spans="1:8" x14ac:dyDescent="0.35">
      <c r="A146" s="729"/>
      <c r="B146" s="113" t="s">
        <v>740</v>
      </c>
      <c r="C146" s="111" t="s">
        <v>741</v>
      </c>
      <c r="D146" s="69" t="s">
        <v>789</v>
      </c>
      <c r="E146" s="116" t="s">
        <v>973</v>
      </c>
      <c r="F146" s="242"/>
      <c r="G146" s="228">
        <v>2023</v>
      </c>
      <c r="H146" t="s">
        <v>3479</v>
      </c>
    </row>
    <row r="147" spans="1:8" x14ac:dyDescent="0.35">
      <c r="A147" s="727" t="s">
        <v>974</v>
      </c>
      <c r="B147" s="113" t="s">
        <v>740</v>
      </c>
      <c r="C147" s="111" t="s">
        <v>741</v>
      </c>
      <c r="D147" s="111" t="s">
        <v>758</v>
      </c>
      <c r="E147" s="284" t="s">
        <v>975</v>
      </c>
      <c r="F147" s="242"/>
      <c r="G147" s="228">
        <v>2019</v>
      </c>
      <c r="H147" t="s">
        <v>3479</v>
      </c>
    </row>
    <row r="148" spans="1:8" x14ac:dyDescent="0.35">
      <c r="A148" s="728"/>
      <c r="B148" s="113" t="s">
        <v>740</v>
      </c>
      <c r="C148" s="111" t="s">
        <v>741</v>
      </c>
      <c r="D148" s="111" t="s">
        <v>758</v>
      </c>
      <c r="E148" s="284" t="s">
        <v>976</v>
      </c>
      <c r="F148" s="242"/>
      <c r="G148" s="228">
        <v>2019</v>
      </c>
      <c r="H148" t="s">
        <v>3479</v>
      </c>
    </row>
    <row r="149" spans="1:8" x14ac:dyDescent="0.35">
      <c r="A149" s="714" t="s">
        <v>977</v>
      </c>
      <c r="B149" s="99" t="s">
        <v>740</v>
      </c>
      <c r="C149" s="23" t="s">
        <v>741</v>
      </c>
      <c r="D149" s="42" t="s">
        <v>758</v>
      </c>
      <c r="E149" s="41" t="s">
        <v>978</v>
      </c>
      <c r="F149" s="242"/>
      <c r="G149" s="228">
        <v>2018</v>
      </c>
      <c r="H149" t="s">
        <v>3479</v>
      </c>
    </row>
    <row r="150" spans="1:8" x14ac:dyDescent="0.35">
      <c r="A150" s="714"/>
      <c r="B150" s="99" t="s">
        <v>740</v>
      </c>
      <c r="C150" s="23" t="s">
        <v>741</v>
      </c>
      <c r="D150" s="42" t="s">
        <v>758</v>
      </c>
      <c r="E150" s="41" t="s">
        <v>979</v>
      </c>
      <c r="F150" s="242"/>
      <c r="G150" s="228">
        <v>2018</v>
      </c>
      <c r="H150" t="s">
        <v>3479</v>
      </c>
    </row>
    <row r="151" spans="1:8" x14ac:dyDescent="0.35">
      <c r="A151" s="711" t="s">
        <v>980</v>
      </c>
      <c r="B151" s="99" t="s">
        <v>740</v>
      </c>
      <c r="C151" s="23" t="s">
        <v>741</v>
      </c>
      <c r="D151" s="69" t="s">
        <v>959</v>
      </c>
      <c r="E151" s="41" t="s">
        <v>981</v>
      </c>
      <c r="F151" s="242"/>
      <c r="G151" s="228">
        <v>2016</v>
      </c>
      <c r="H151" t="s">
        <v>3479</v>
      </c>
    </row>
    <row r="152" spans="1:8" x14ac:dyDescent="0.35">
      <c r="A152" s="715"/>
      <c r="B152" s="99" t="s">
        <v>740</v>
      </c>
      <c r="C152" s="23" t="s">
        <v>741</v>
      </c>
      <c r="D152" s="69" t="s">
        <v>855</v>
      </c>
      <c r="E152" s="41" t="s">
        <v>982</v>
      </c>
      <c r="F152" s="242"/>
      <c r="G152" s="228">
        <v>2018</v>
      </c>
      <c r="H152" t="s">
        <v>3479</v>
      </c>
    </row>
    <row r="153" spans="1:8" x14ac:dyDescent="0.35">
      <c r="A153" s="714" t="s">
        <v>987</v>
      </c>
      <c r="B153" s="97" t="s">
        <v>740</v>
      </c>
      <c r="C153" s="23" t="s">
        <v>741</v>
      </c>
      <c r="D153" s="69" t="s">
        <v>917</v>
      </c>
      <c r="E153" s="41" t="s">
        <v>988</v>
      </c>
      <c r="F153" s="242"/>
      <c r="G153" s="228">
        <v>2015</v>
      </c>
      <c r="H153" t="s">
        <v>3479</v>
      </c>
    </row>
    <row r="154" spans="1:8" x14ac:dyDescent="0.35">
      <c r="A154" s="714"/>
      <c r="B154" s="97" t="s">
        <v>740</v>
      </c>
      <c r="C154" s="23" t="s">
        <v>741</v>
      </c>
      <c r="D154" s="69" t="s">
        <v>789</v>
      </c>
      <c r="E154" s="39" t="s">
        <v>989</v>
      </c>
      <c r="F154" s="242"/>
      <c r="G154" s="228">
        <v>2023</v>
      </c>
      <c r="H154" t="s">
        <v>3479</v>
      </c>
    </row>
    <row r="155" spans="1:8" x14ac:dyDescent="0.35">
      <c r="A155" s="711" t="s">
        <v>990</v>
      </c>
      <c r="B155" s="97" t="s">
        <v>740</v>
      </c>
      <c r="C155" s="41" t="s">
        <v>741</v>
      </c>
      <c r="D155" s="69" t="s">
        <v>855</v>
      </c>
      <c r="E155" s="127" t="s">
        <v>991</v>
      </c>
      <c r="F155" s="242"/>
      <c r="G155" s="228">
        <v>2018</v>
      </c>
      <c r="H155" t="s">
        <v>3479</v>
      </c>
    </row>
    <row r="156" spans="1:8" x14ac:dyDescent="0.35">
      <c r="A156" s="734"/>
      <c r="B156" s="97" t="s">
        <v>740</v>
      </c>
      <c r="C156" s="41" t="s">
        <v>741</v>
      </c>
      <c r="D156" s="42" t="s">
        <v>917</v>
      </c>
      <c r="E156" s="278" t="s">
        <v>992</v>
      </c>
      <c r="F156" s="242"/>
      <c r="G156" s="228">
        <v>2017</v>
      </c>
      <c r="H156" t="s">
        <v>3479</v>
      </c>
    </row>
    <row r="157" spans="1:8" x14ac:dyDescent="0.35">
      <c r="A157" s="740" t="s">
        <v>421</v>
      </c>
      <c r="B157" s="103" t="s">
        <v>740</v>
      </c>
      <c r="C157" s="63" t="s">
        <v>741</v>
      </c>
      <c r="D157" s="63" t="s">
        <v>758</v>
      </c>
      <c r="E157" s="117" t="s">
        <v>993</v>
      </c>
      <c r="F157" s="737" t="s">
        <v>994</v>
      </c>
      <c r="G157" s="228">
        <v>2018</v>
      </c>
      <c r="H157" s="241" t="s">
        <v>3479</v>
      </c>
    </row>
    <row r="158" spans="1:8" x14ac:dyDescent="0.35">
      <c r="A158" s="740"/>
      <c r="B158" s="103" t="s">
        <v>740</v>
      </c>
      <c r="C158" s="63" t="s">
        <v>741</v>
      </c>
      <c r="D158" s="63" t="s">
        <v>995</v>
      </c>
      <c r="E158" s="117" t="s">
        <v>996</v>
      </c>
      <c r="F158" s="737"/>
      <c r="G158" s="228">
        <v>2015</v>
      </c>
      <c r="H158" s="241" t="s">
        <v>3479</v>
      </c>
    </row>
    <row r="159" spans="1:8" x14ac:dyDescent="0.35">
      <c r="A159" s="741" t="s">
        <v>997</v>
      </c>
      <c r="B159" s="103" t="s">
        <v>740</v>
      </c>
      <c r="C159" s="63" t="s">
        <v>741</v>
      </c>
      <c r="D159" s="63" t="s">
        <v>758</v>
      </c>
      <c r="E159" s="117" t="s">
        <v>998</v>
      </c>
      <c r="F159" s="737"/>
      <c r="G159" s="228">
        <v>2018</v>
      </c>
      <c r="H159" s="241" t="s">
        <v>3479</v>
      </c>
    </row>
    <row r="160" spans="1:8" x14ac:dyDescent="0.35">
      <c r="A160" s="741"/>
      <c r="B160" s="103" t="s">
        <v>740</v>
      </c>
      <c r="C160" s="63" t="s">
        <v>741</v>
      </c>
      <c r="D160" s="63" t="s">
        <v>995</v>
      </c>
      <c r="E160" s="117" t="s">
        <v>999</v>
      </c>
      <c r="F160" s="737"/>
      <c r="G160" s="228">
        <v>2023</v>
      </c>
      <c r="H160" s="241" t="s">
        <v>3479</v>
      </c>
    </row>
    <row r="161" spans="1:8" x14ac:dyDescent="0.35">
      <c r="A161" s="742" t="s">
        <v>1000</v>
      </c>
      <c r="B161" s="103" t="s">
        <v>740</v>
      </c>
      <c r="C161" s="63" t="s">
        <v>741</v>
      </c>
      <c r="D161" s="63" t="s">
        <v>798</v>
      </c>
      <c r="E161" s="117" t="s">
        <v>1001</v>
      </c>
      <c r="F161" s="737"/>
      <c r="G161" s="228">
        <v>2022</v>
      </c>
      <c r="H161" s="241" t="s">
        <v>3479</v>
      </c>
    </row>
    <row r="162" spans="1:8" x14ac:dyDescent="0.35">
      <c r="A162" s="743"/>
      <c r="B162" s="103" t="s">
        <v>740</v>
      </c>
      <c r="C162" s="63" t="s">
        <v>741</v>
      </c>
      <c r="D162" s="63" t="s">
        <v>758</v>
      </c>
      <c r="E162" s="117" t="s">
        <v>1002</v>
      </c>
      <c r="F162" s="737"/>
      <c r="G162" s="228">
        <v>2018</v>
      </c>
      <c r="H162" s="241" t="s">
        <v>3479</v>
      </c>
    </row>
    <row r="163" spans="1:8" s="89" customFormat="1" x14ac:dyDescent="0.35">
      <c r="A163" s="751" t="s">
        <v>1003</v>
      </c>
      <c r="B163" s="104" t="s">
        <v>740</v>
      </c>
      <c r="C163" s="76" t="s">
        <v>741</v>
      </c>
      <c r="D163" s="90" t="s">
        <v>758</v>
      </c>
      <c r="E163" s="76" t="s">
        <v>1004</v>
      </c>
      <c r="F163" s="745" t="s">
        <v>1005</v>
      </c>
      <c r="G163" s="228">
        <v>2018</v>
      </c>
      <c r="H163" s="89" t="s">
        <v>3483</v>
      </c>
    </row>
    <row r="164" spans="1:8" s="89" customFormat="1" x14ac:dyDescent="0.35">
      <c r="A164" s="751"/>
      <c r="B164" s="104" t="s">
        <v>740</v>
      </c>
      <c r="C164" s="76" t="s">
        <v>741</v>
      </c>
      <c r="D164" s="90" t="s">
        <v>848</v>
      </c>
      <c r="E164" s="76" t="s">
        <v>1006</v>
      </c>
      <c r="F164" s="745"/>
      <c r="G164" s="228">
        <v>2015</v>
      </c>
      <c r="H164" s="89" t="s">
        <v>3483</v>
      </c>
    </row>
    <row r="165" spans="1:8" x14ac:dyDescent="0.35">
      <c r="A165" s="738" t="s">
        <v>465</v>
      </c>
      <c r="B165" s="51" t="s">
        <v>740</v>
      </c>
      <c r="C165" s="23" t="s">
        <v>741</v>
      </c>
      <c r="D165" s="66" t="s">
        <v>795</v>
      </c>
      <c r="E165" s="83" t="s">
        <v>1007</v>
      </c>
      <c r="F165" s="745"/>
      <c r="G165" s="228">
        <v>2021</v>
      </c>
      <c r="H165" t="s">
        <v>3483</v>
      </c>
    </row>
    <row r="166" spans="1:8" x14ac:dyDescent="0.35">
      <c r="A166" s="739"/>
      <c r="B166" s="96" t="s">
        <v>740</v>
      </c>
      <c r="C166" s="39" t="s">
        <v>741</v>
      </c>
      <c r="D166" s="42" t="s">
        <v>758</v>
      </c>
      <c r="E166" s="118" t="s">
        <v>1008</v>
      </c>
      <c r="F166" s="745"/>
      <c r="G166" s="228">
        <v>2018</v>
      </c>
      <c r="H166" t="s">
        <v>3483</v>
      </c>
    </row>
    <row r="167" spans="1:8" x14ac:dyDescent="0.35">
      <c r="A167" s="714" t="s">
        <v>1009</v>
      </c>
      <c r="B167" s="97" t="s">
        <v>740</v>
      </c>
      <c r="C167" s="43" t="s">
        <v>741</v>
      </c>
      <c r="D167" s="70" t="s">
        <v>789</v>
      </c>
      <c r="E167" s="39" t="s">
        <v>1010</v>
      </c>
      <c r="F167" s="745"/>
      <c r="G167" s="228">
        <v>2023</v>
      </c>
      <c r="H167" t="s">
        <v>3483</v>
      </c>
    </row>
    <row r="168" spans="1:8" x14ac:dyDescent="0.35">
      <c r="A168" s="714"/>
      <c r="B168" s="51" t="s">
        <v>740</v>
      </c>
      <c r="C168" s="23" t="s">
        <v>741</v>
      </c>
      <c r="D168" s="49" t="s">
        <v>745</v>
      </c>
      <c r="E168" s="41" t="s">
        <v>1011</v>
      </c>
      <c r="F168" s="745"/>
      <c r="G168" s="228">
        <v>2020</v>
      </c>
      <c r="H168" t="s">
        <v>3483</v>
      </c>
    </row>
    <row r="169" spans="1:8" x14ac:dyDescent="0.35">
      <c r="A169" s="711" t="s">
        <v>1012</v>
      </c>
      <c r="B169" s="51" t="s">
        <v>740</v>
      </c>
      <c r="C169" s="23" t="s">
        <v>741</v>
      </c>
      <c r="D169" s="49" t="s">
        <v>1013</v>
      </c>
      <c r="E169" s="280" t="s">
        <v>1014</v>
      </c>
      <c r="F169" s="225"/>
      <c r="G169" s="228">
        <v>2019</v>
      </c>
      <c r="H169" t="s">
        <v>3483</v>
      </c>
    </row>
    <row r="170" spans="1:8" x14ac:dyDescent="0.35">
      <c r="A170" s="715"/>
      <c r="B170" s="51" t="s">
        <v>740</v>
      </c>
      <c r="C170" s="23" t="s">
        <v>741</v>
      </c>
      <c r="D170" s="49" t="s">
        <v>745</v>
      </c>
      <c r="E170" s="41" t="s">
        <v>1015</v>
      </c>
      <c r="F170" s="737" t="s">
        <v>1016</v>
      </c>
      <c r="G170" s="228">
        <v>2018</v>
      </c>
      <c r="H170" t="s">
        <v>3483</v>
      </c>
    </row>
    <row r="171" spans="1:8" x14ac:dyDescent="0.35">
      <c r="A171" s="749" t="s">
        <v>1017</v>
      </c>
      <c r="B171" s="100" t="s">
        <v>740</v>
      </c>
      <c r="C171" s="50" t="s">
        <v>741</v>
      </c>
      <c r="D171" s="61" t="s">
        <v>1018</v>
      </c>
      <c r="E171" s="119" t="s">
        <v>1019</v>
      </c>
      <c r="F171" s="737"/>
      <c r="G171" s="228">
        <v>2016</v>
      </c>
      <c r="H171" t="s">
        <v>3483</v>
      </c>
    </row>
    <row r="172" spans="1:8" x14ac:dyDescent="0.35">
      <c r="A172" s="749"/>
      <c r="B172" s="95" t="s">
        <v>740</v>
      </c>
      <c r="C172" s="43" t="s">
        <v>741</v>
      </c>
      <c r="D172" s="66" t="s">
        <v>758</v>
      </c>
      <c r="E172" s="85" t="s">
        <v>1020</v>
      </c>
      <c r="F172" s="737"/>
      <c r="G172" s="228">
        <v>2018</v>
      </c>
      <c r="H172" t="s">
        <v>3483</v>
      </c>
    </row>
    <row r="173" spans="1:8" x14ac:dyDescent="0.35">
      <c r="A173" s="750" t="s">
        <v>303</v>
      </c>
      <c r="B173" s="51" t="s">
        <v>740</v>
      </c>
      <c r="C173" s="23" t="s">
        <v>741</v>
      </c>
      <c r="D173" s="42" t="s">
        <v>995</v>
      </c>
      <c r="E173" s="83" t="s">
        <v>1021</v>
      </c>
      <c r="F173" s="737"/>
      <c r="G173" s="228">
        <v>2015</v>
      </c>
      <c r="H173" t="s">
        <v>3483</v>
      </c>
    </row>
    <row r="174" spans="1:8" x14ac:dyDescent="0.35">
      <c r="A174" s="739"/>
      <c r="B174" s="96" t="s">
        <v>740</v>
      </c>
      <c r="C174" s="43" t="s">
        <v>741</v>
      </c>
      <c r="D174" s="66" t="s">
        <v>758</v>
      </c>
      <c r="E174" s="85" t="s">
        <v>1022</v>
      </c>
      <c r="F174" s="737"/>
      <c r="G174" s="228">
        <v>2018</v>
      </c>
      <c r="H174" t="s">
        <v>3483</v>
      </c>
    </row>
    <row r="175" spans="1:8" x14ac:dyDescent="0.35">
      <c r="A175" s="848" t="s">
        <v>1023</v>
      </c>
      <c r="B175" s="191" t="s">
        <v>740</v>
      </c>
      <c r="C175" s="15" t="s">
        <v>741</v>
      </c>
      <c r="D175" s="15" t="s">
        <v>758</v>
      </c>
      <c r="E175" s="15" t="s">
        <v>6283</v>
      </c>
      <c r="F175" s="843"/>
      <c r="G175" s="228">
        <v>2017</v>
      </c>
      <c r="H175" t="s">
        <v>3483</v>
      </c>
    </row>
    <row r="176" spans="1:8" x14ac:dyDescent="0.35">
      <c r="A176" s="849"/>
      <c r="B176" s="191" t="s">
        <v>740</v>
      </c>
      <c r="C176" s="15" t="s">
        <v>741</v>
      </c>
      <c r="D176" s="15" t="s">
        <v>758</v>
      </c>
      <c r="E176" s="15" t="s">
        <v>1024</v>
      </c>
      <c r="F176" s="843"/>
      <c r="G176" s="228">
        <v>2018</v>
      </c>
      <c r="H176" s="35" t="s">
        <v>3483</v>
      </c>
    </row>
    <row r="177" spans="1:8" hidden="1" x14ac:dyDescent="0.35">
      <c r="A177" s="711" t="s">
        <v>1025</v>
      </c>
      <c r="B177" s="844"/>
      <c r="C177" s="845"/>
      <c r="D177" s="845"/>
      <c r="E177" s="845"/>
      <c r="F177" s="730" t="s">
        <v>1026</v>
      </c>
      <c r="G177" s="259"/>
    </row>
    <row r="178" spans="1:8" hidden="1" x14ac:dyDescent="0.35">
      <c r="A178" s="725"/>
      <c r="B178" s="264"/>
      <c r="C178" s="263"/>
      <c r="D178" s="263"/>
      <c r="E178" s="263"/>
      <c r="F178" s="731"/>
      <c r="G178" s="259"/>
    </row>
    <row r="179" spans="1:8" x14ac:dyDescent="0.35">
      <c r="A179" s="740" t="s">
        <v>6213</v>
      </c>
      <c r="B179" s="191" t="s">
        <v>740</v>
      </c>
      <c r="C179" s="15" t="s">
        <v>741</v>
      </c>
      <c r="D179" s="23" t="s">
        <v>1057</v>
      </c>
      <c r="E179" s="23" t="s">
        <v>1471</v>
      </c>
      <c r="F179" s="751" t="s">
        <v>6284</v>
      </c>
      <c r="G179" s="259"/>
    </row>
    <row r="180" spans="1:8" x14ac:dyDescent="0.35">
      <c r="A180" s="740"/>
      <c r="B180" s="191" t="s">
        <v>740</v>
      </c>
      <c r="C180" s="15" t="s">
        <v>741</v>
      </c>
      <c r="D180" s="23" t="s">
        <v>748</v>
      </c>
      <c r="E180" s="182" t="s">
        <v>1286</v>
      </c>
      <c r="F180" s="846"/>
      <c r="G180" s="259"/>
    </row>
    <row r="181" spans="1:8" x14ac:dyDescent="0.35">
      <c r="A181" s="859" t="s">
        <v>1025</v>
      </c>
      <c r="B181" s="191" t="s">
        <v>740</v>
      </c>
      <c r="C181" s="15" t="s">
        <v>741</v>
      </c>
      <c r="D181" s="41" t="s">
        <v>748</v>
      </c>
      <c r="E181" s="15" t="s">
        <v>6294</v>
      </c>
      <c r="F181" s="858" t="s">
        <v>1026</v>
      </c>
      <c r="G181" s="259"/>
    </row>
    <row r="182" spans="1:8" x14ac:dyDescent="0.35">
      <c r="A182" s="847"/>
      <c r="B182" s="191" t="s">
        <v>740</v>
      </c>
      <c r="C182" s="15" t="s">
        <v>741</v>
      </c>
      <c r="D182" s="41" t="s">
        <v>748</v>
      </c>
      <c r="E182" s="15" t="s">
        <v>6295</v>
      </c>
      <c r="F182" s="858"/>
      <c r="G182" s="259"/>
    </row>
    <row r="183" spans="1:8" x14ac:dyDescent="0.35">
      <c r="A183" s="847" t="s">
        <v>1027</v>
      </c>
      <c r="B183" s="191" t="s">
        <v>740</v>
      </c>
      <c r="C183" s="15" t="s">
        <v>741</v>
      </c>
      <c r="D183" s="15" t="s">
        <v>758</v>
      </c>
      <c r="E183" s="15" t="s">
        <v>1028</v>
      </c>
      <c r="F183" s="238" t="s">
        <v>1029</v>
      </c>
      <c r="G183" s="228">
        <v>2018</v>
      </c>
      <c r="H183" s="78" t="s">
        <v>3483</v>
      </c>
    </row>
    <row r="184" spans="1:8" x14ac:dyDescent="0.35">
      <c r="A184" s="850"/>
      <c r="B184" s="191" t="s">
        <v>740</v>
      </c>
      <c r="C184" s="15" t="s">
        <v>741</v>
      </c>
      <c r="D184" s="15" t="s">
        <v>758</v>
      </c>
      <c r="E184" s="15" t="s">
        <v>1030</v>
      </c>
      <c r="F184" s="238"/>
      <c r="G184" s="228">
        <v>2018</v>
      </c>
      <c r="H184" s="35" t="s">
        <v>3483</v>
      </c>
    </row>
    <row r="185" spans="1:8" x14ac:dyDescent="0.35">
      <c r="A185" s="711" t="s">
        <v>1031</v>
      </c>
      <c r="B185" s="98" t="s">
        <v>740</v>
      </c>
      <c r="C185" s="50" t="s">
        <v>741</v>
      </c>
      <c r="D185" s="50" t="s">
        <v>1032</v>
      </c>
      <c r="E185" s="50" t="s">
        <v>1033</v>
      </c>
      <c r="F185" s="236"/>
      <c r="G185" s="228">
        <v>2017</v>
      </c>
      <c r="H185" s="78" t="s">
        <v>3483</v>
      </c>
    </row>
    <row r="186" spans="1:8" x14ac:dyDescent="0.35">
      <c r="A186" s="715"/>
      <c r="B186" s="51" t="s">
        <v>740</v>
      </c>
      <c r="C186" s="23" t="s">
        <v>741</v>
      </c>
      <c r="D186" s="23" t="s">
        <v>1032</v>
      </c>
      <c r="E186" s="23" t="s">
        <v>1034</v>
      </c>
      <c r="F186" s="236"/>
      <c r="G186" s="228">
        <v>2017</v>
      </c>
      <c r="H186" s="78" t="s">
        <v>3483</v>
      </c>
    </row>
    <row r="187" spans="1:8" x14ac:dyDescent="0.35">
      <c r="A187" s="711" t="s">
        <v>1035</v>
      </c>
      <c r="B187" s="99" t="s">
        <v>740</v>
      </c>
      <c r="C187" s="23" t="s">
        <v>741</v>
      </c>
      <c r="D187" s="23" t="s">
        <v>1032</v>
      </c>
      <c r="E187" s="23" t="s">
        <v>1036</v>
      </c>
      <c r="F187" s="236"/>
      <c r="G187" s="228">
        <v>2017</v>
      </c>
      <c r="H187" s="78" t="s">
        <v>3483</v>
      </c>
    </row>
    <row r="188" spans="1:8" x14ac:dyDescent="0.35">
      <c r="A188" s="715"/>
      <c r="B188" s="99" t="s">
        <v>740</v>
      </c>
      <c r="C188" s="23" t="s">
        <v>741</v>
      </c>
      <c r="D188" s="23" t="s">
        <v>1032</v>
      </c>
      <c r="E188" s="23" t="s">
        <v>1037</v>
      </c>
      <c r="F188" s="236"/>
      <c r="G188" s="228">
        <v>2017</v>
      </c>
      <c r="H188" s="35" t="s">
        <v>3479</v>
      </c>
    </row>
    <row r="189" spans="1:8" x14ac:dyDescent="0.35">
      <c r="A189" s="711" t="s">
        <v>1038</v>
      </c>
      <c r="B189" s="98" t="s">
        <v>740</v>
      </c>
      <c r="C189" s="50" t="s">
        <v>741</v>
      </c>
      <c r="D189" s="50" t="s">
        <v>758</v>
      </c>
      <c r="E189" s="50" t="s">
        <v>1039</v>
      </c>
      <c r="F189" s="236"/>
      <c r="G189" s="228">
        <v>2017</v>
      </c>
      <c r="H189" s="35" t="s">
        <v>3479</v>
      </c>
    </row>
    <row r="190" spans="1:8" x14ac:dyDescent="0.35">
      <c r="A190" s="715"/>
      <c r="B190" s="51" t="s">
        <v>740</v>
      </c>
      <c r="C190" s="23" t="s">
        <v>741</v>
      </c>
      <c r="D190" s="23" t="s">
        <v>753</v>
      </c>
      <c r="E190" s="23" t="s">
        <v>1040</v>
      </c>
      <c r="F190" s="236"/>
      <c r="G190" s="228">
        <v>2018</v>
      </c>
      <c r="H190" s="35" t="s">
        <v>3479</v>
      </c>
    </row>
    <row r="191" spans="1:8" x14ac:dyDescent="0.35">
      <c r="A191" s="711" t="s">
        <v>1041</v>
      </c>
      <c r="B191" s="99" t="s">
        <v>740</v>
      </c>
      <c r="C191" s="23" t="s">
        <v>741</v>
      </c>
      <c r="D191" s="23" t="s">
        <v>789</v>
      </c>
      <c r="E191" s="23" t="s">
        <v>1042</v>
      </c>
      <c r="F191" s="720" t="s">
        <v>1043</v>
      </c>
      <c r="G191" s="228">
        <v>2023</v>
      </c>
      <c r="H191" s="35" t="s">
        <v>3479</v>
      </c>
    </row>
    <row r="192" spans="1:8" x14ac:dyDescent="0.35">
      <c r="A192" s="711"/>
      <c r="B192" s="95" t="s">
        <v>740</v>
      </c>
      <c r="C192" s="39" t="s">
        <v>741</v>
      </c>
      <c r="D192" s="23" t="s">
        <v>789</v>
      </c>
      <c r="E192" s="71" t="s">
        <v>1044</v>
      </c>
      <c r="F192" s="721"/>
      <c r="G192" s="228">
        <v>2023</v>
      </c>
      <c r="H192" s="35" t="s">
        <v>3479</v>
      </c>
    </row>
    <row r="193" spans="1:8" x14ac:dyDescent="0.35">
      <c r="A193" s="746" t="s">
        <v>1045</v>
      </c>
      <c r="B193" s="95" t="s">
        <v>740</v>
      </c>
      <c r="C193" s="39" t="s">
        <v>741</v>
      </c>
      <c r="D193" s="23" t="s">
        <v>748</v>
      </c>
      <c r="E193" s="23" t="s">
        <v>1046</v>
      </c>
      <c r="F193" s="721"/>
      <c r="G193" s="228">
        <v>2022</v>
      </c>
      <c r="H193" s="35" t="s">
        <v>3479</v>
      </c>
    </row>
    <row r="194" spans="1:8" x14ac:dyDescent="0.35">
      <c r="A194" s="712"/>
      <c r="B194" s="95" t="s">
        <v>740</v>
      </c>
      <c r="C194" s="39" t="s">
        <v>741</v>
      </c>
      <c r="D194" s="23" t="s">
        <v>748</v>
      </c>
      <c r="E194" s="23" t="s">
        <v>1476</v>
      </c>
      <c r="F194" s="721"/>
      <c r="H194" s="35"/>
    </row>
    <row r="195" spans="1:8" x14ac:dyDescent="0.35">
      <c r="A195" s="40" t="s">
        <v>385</v>
      </c>
      <c r="B195" s="51" t="s">
        <v>740</v>
      </c>
      <c r="C195" s="23" t="s">
        <v>741</v>
      </c>
      <c r="D195" s="23" t="s">
        <v>758</v>
      </c>
      <c r="E195" s="23" t="s">
        <v>1047</v>
      </c>
      <c r="F195" s="721"/>
      <c r="G195" s="228">
        <v>2018</v>
      </c>
      <c r="H195" s="78" t="s">
        <v>3479</v>
      </c>
    </row>
    <row r="196" spans="1:8" x14ac:dyDescent="0.35">
      <c r="A196" s="40" t="s">
        <v>1048</v>
      </c>
      <c r="B196" s="51" t="s">
        <v>740</v>
      </c>
      <c r="C196" s="23" t="s">
        <v>741</v>
      </c>
      <c r="D196" s="23" t="s">
        <v>745</v>
      </c>
      <c r="E196" s="122" t="s">
        <v>1049</v>
      </c>
      <c r="F196" s="721"/>
      <c r="G196" s="228">
        <v>2019</v>
      </c>
      <c r="H196" t="s">
        <v>3479</v>
      </c>
    </row>
    <row r="197" spans="1:8" x14ac:dyDescent="0.35">
      <c r="A197" s="19" t="s">
        <v>1050</v>
      </c>
      <c r="B197" s="51" t="s">
        <v>740</v>
      </c>
      <c r="C197" s="23" t="s">
        <v>741</v>
      </c>
      <c r="D197" s="43" t="s">
        <v>745</v>
      </c>
      <c r="E197" s="23" t="s">
        <v>1051</v>
      </c>
      <c r="F197" s="721"/>
      <c r="G197" s="228">
        <v>2018</v>
      </c>
      <c r="H197" s="78" t="s">
        <v>3479</v>
      </c>
    </row>
    <row r="198" spans="1:8" x14ac:dyDescent="0.35">
      <c r="A198" s="723" t="s">
        <v>1052</v>
      </c>
      <c r="B198" s="99" t="s">
        <v>740</v>
      </c>
      <c r="C198" s="41" t="s">
        <v>741</v>
      </c>
      <c r="D198" s="42" t="s">
        <v>745</v>
      </c>
      <c r="E198" s="285" t="s">
        <v>1053</v>
      </c>
      <c r="F198" s="721"/>
      <c r="G198" s="228">
        <v>2019</v>
      </c>
      <c r="H198" s="35" t="s">
        <v>3479</v>
      </c>
    </row>
    <row r="199" spans="1:8" x14ac:dyDescent="0.35">
      <c r="A199" s="719"/>
      <c r="B199" s="99" t="s">
        <v>740</v>
      </c>
      <c r="C199" s="41" t="s">
        <v>741</v>
      </c>
      <c r="D199" s="42" t="s">
        <v>745</v>
      </c>
      <c r="E199" s="48" t="s">
        <v>1054</v>
      </c>
      <c r="F199" s="721"/>
      <c r="G199" s="228">
        <v>2018</v>
      </c>
      <c r="H199" t="s">
        <v>3479</v>
      </c>
    </row>
    <row r="200" spans="1:8" x14ac:dyDescent="0.35">
      <c r="A200" s="634" t="s">
        <v>1055</v>
      </c>
      <c r="B200" s="99" t="s">
        <v>740</v>
      </c>
      <c r="C200" s="41" t="s">
        <v>741</v>
      </c>
      <c r="D200" s="42" t="s">
        <v>984</v>
      </c>
      <c r="E200" s="48" t="s">
        <v>1056</v>
      </c>
      <c r="F200" s="721"/>
      <c r="G200" s="228">
        <v>2022</v>
      </c>
      <c r="H200" t="s">
        <v>3479</v>
      </c>
    </row>
    <row r="201" spans="1:8" x14ac:dyDescent="0.35">
      <c r="A201" s="714" t="s">
        <v>1059</v>
      </c>
      <c r="B201" s="51" t="s">
        <v>740</v>
      </c>
      <c r="C201" s="41" t="s">
        <v>741</v>
      </c>
      <c r="D201" s="41" t="s">
        <v>745</v>
      </c>
      <c r="E201" s="23" t="s">
        <v>1060</v>
      </c>
      <c r="F201" s="711" t="s">
        <v>1061</v>
      </c>
      <c r="G201" s="228">
        <v>2020</v>
      </c>
      <c r="H201" s="78" t="s">
        <v>3479</v>
      </c>
    </row>
    <row r="202" spans="1:8" x14ac:dyDescent="0.35">
      <c r="A202" s="714"/>
      <c r="B202" s="51" t="s">
        <v>740</v>
      </c>
      <c r="C202" s="23" t="s">
        <v>741</v>
      </c>
      <c r="D202" s="36" t="s">
        <v>745</v>
      </c>
      <c r="E202" s="23" t="s">
        <v>1062</v>
      </c>
      <c r="F202" s="725"/>
      <c r="G202" s="228">
        <v>2018</v>
      </c>
      <c r="H202" s="78" t="s">
        <v>3479</v>
      </c>
    </row>
    <row r="203" spans="1:8" x14ac:dyDescent="0.35">
      <c r="A203" s="725" t="s">
        <v>400</v>
      </c>
      <c r="B203" s="51" t="s">
        <v>740</v>
      </c>
      <c r="C203" s="23" t="s">
        <v>741</v>
      </c>
      <c r="D203" s="23" t="s">
        <v>758</v>
      </c>
      <c r="E203" s="50" t="s">
        <v>1063</v>
      </c>
      <c r="F203" s="725"/>
      <c r="G203" s="228">
        <v>2017</v>
      </c>
      <c r="H203" s="78" t="s">
        <v>3479</v>
      </c>
    </row>
    <row r="204" spans="1:8" x14ac:dyDescent="0.35">
      <c r="A204" s="725"/>
      <c r="B204" s="51" t="s">
        <v>740</v>
      </c>
      <c r="C204" s="23" t="s">
        <v>741</v>
      </c>
      <c r="D204" s="23" t="s">
        <v>1057</v>
      </c>
      <c r="E204" s="47" t="s">
        <v>1064</v>
      </c>
      <c r="F204" s="725"/>
      <c r="G204" s="228">
        <v>2024</v>
      </c>
      <c r="H204" t="s">
        <v>3479</v>
      </c>
    </row>
    <row r="205" spans="1:8" x14ac:dyDescent="0.35">
      <c r="A205" s="711" t="s">
        <v>417</v>
      </c>
      <c r="B205" s="51" t="s">
        <v>740</v>
      </c>
      <c r="C205" s="23" t="s">
        <v>741</v>
      </c>
      <c r="D205" s="23" t="s">
        <v>758</v>
      </c>
      <c r="E205" s="23" t="s">
        <v>1065</v>
      </c>
      <c r="F205" s="725"/>
      <c r="G205" s="228">
        <v>2018</v>
      </c>
      <c r="H205" s="78" t="s">
        <v>3479</v>
      </c>
    </row>
    <row r="206" spans="1:8" x14ac:dyDescent="0.35">
      <c r="A206" s="711"/>
      <c r="B206" s="51" t="s">
        <v>740</v>
      </c>
      <c r="C206" s="23" t="s">
        <v>741</v>
      </c>
      <c r="D206" s="23" t="s">
        <v>758</v>
      </c>
      <c r="E206" s="23" t="s">
        <v>1066</v>
      </c>
      <c r="F206" s="725"/>
      <c r="G206" s="228">
        <v>2018</v>
      </c>
      <c r="H206" s="35" t="s">
        <v>3479</v>
      </c>
    </row>
    <row r="207" spans="1:8" x14ac:dyDescent="0.35">
      <c r="A207" s="711" t="s">
        <v>625</v>
      </c>
      <c r="B207" s="51" t="s">
        <v>740</v>
      </c>
      <c r="C207" s="23" t="s">
        <v>741</v>
      </c>
      <c r="D207" s="23" t="s">
        <v>745</v>
      </c>
      <c r="E207" s="50" t="s">
        <v>1067</v>
      </c>
      <c r="F207" s="725"/>
      <c r="G207" s="228">
        <v>2017</v>
      </c>
      <c r="H207" s="78" t="s">
        <v>3479</v>
      </c>
    </row>
    <row r="208" spans="1:8" x14ac:dyDescent="0.35">
      <c r="A208" s="711"/>
      <c r="B208" s="51" t="s">
        <v>740</v>
      </c>
      <c r="C208" s="23" t="s">
        <v>741</v>
      </c>
      <c r="D208" s="23" t="s">
        <v>745</v>
      </c>
      <c r="E208" s="23" t="s">
        <v>1068</v>
      </c>
      <c r="F208" s="725"/>
      <c r="G208" s="228">
        <v>2018</v>
      </c>
      <c r="H208" s="35" t="s">
        <v>3479</v>
      </c>
    </row>
    <row r="209" spans="1:8" x14ac:dyDescent="0.35">
      <c r="A209" s="711" t="s">
        <v>1069</v>
      </c>
      <c r="B209" s="51" t="s">
        <v>740</v>
      </c>
      <c r="C209" s="23" t="s">
        <v>741</v>
      </c>
      <c r="D209" s="23" t="s">
        <v>745</v>
      </c>
      <c r="E209" s="43" t="s">
        <v>1070</v>
      </c>
      <c r="F209" s="725"/>
      <c r="G209" s="228">
        <v>2018</v>
      </c>
      <c r="H209" s="35" t="s">
        <v>3479</v>
      </c>
    </row>
    <row r="210" spans="1:8" x14ac:dyDescent="0.35">
      <c r="A210" s="715"/>
      <c r="B210" s="51" t="s">
        <v>740</v>
      </c>
      <c r="C210" s="41" t="s">
        <v>741</v>
      </c>
      <c r="D210" s="23" t="s">
        <v>745</v>
      </c>
      <c r="E210" s="38" t="s">
        <v>1071</v>
      </c>
      <c r="F210" s="725"/>
      <c r="G210" s="228">
        <v>2020</v>
      </c>
      <c r="H210" s="35" t="s">
        <v>3479</v>
      </c>
    </row>
    <row r="211" spans="1:8" x14ac:dyDescent="0.35">
      <c r="A211" s="40" t="s">
        <v>1073</v>
      </c>
      <c r="B211" s="51" t="s">
        <v>740</v>
      </c>
      <c r="C211" s="41" t="s">
        <v>741</v>
      </c>
      <c r="D211" s="23" t="s">
        <v>1057</v>
      </c>
      <c r="E211" s="48" t="s">
        <v>1074</v>
      </c>
      <c r="F211" s="725"/>
      <c r="G211" s="228">
        <v>2024</v>
      </c>
      <c r="H211" s="182" t="s">
        <v>3479</v>
      </c>
    </row>
    <row r="212" spans="1:8" x14ac:dyDescent="0.35">
      <c r="A212" s="711" t="s">
        <v>1075</v>
      </c>
      <c r="B212" s="51" t="s">
        <v>740</v>
      </c>
      <c r="C212" s="23" t="s">
        <v>741</v>
      </c>
      <c r="D212" s="23" t="s">
        <v>745</v>
      </c>
      <c r="E212" s="41" t="s">
        <v>1076</v>
      </c>
      <c r="F212" s="725"/>
      <c r="G212" s="228">
        <v>2017</v>
      </c>
      <c r="H212" s="35" t="s">
        <v>3483</v>
      </c>
    </row>
    <row r="213" spans="1:8" x14ac:dyDescent="0.35">
      <c r="A213" s="711"/>
      <c r="B213" s="51" t="s">
        <v>740</v>
      </c>
      <c r="C213" s="23" t="s">
        <v>741</v>
      </c>
      <c r="D213" s="43" t="s">
        <v>745</v>
      </c>
      <c r="E213" s="39" t="s">
        <v>1077</v>
      </c>
      <c r="F213" s="725"/>
      <c r="G213" s="228">
        <v>2016</v>
      </c>
      <c r="H213" s="35" t="s">
        <v>3479</v>
      </c>
    </row>
    <row r="214" spans="1:8" x14ac:dyDescent="0.35">
      <c r="A214" s="711" t="s">
        <v>1078</v>
      </c>
      <c r="B214" s="97" t="s">
        <v>740</v>
      </c>
      <c r="C214" s="41" t="s">
        <v>741</v>
      </c>
      <c r="D214" s="42" t="s">
        <v>959</v>
      </c>
      <c r="E214" s="45" t="s">
        <v>1079</v>
      </c>
      <c r="F214" s="725"/>
      <c r="G214" s="228">
        <v>2016</v>
      </c>
      <c r="H214" s="35" t="s">
        <v>3479</v>
      </c>
    </row>
    <row r="215" spans="1:8" x14ac:dyDescent="0.35">
      <c r="A215" s="711"/>
      <c r="B215" s="97" t="s">
        <v>740</v>
      </c>
      <c r="C215" s="41" t="s">
        <v>741</v>
      </c>
      <c r="D215" s="42" t="s">
        <v>917</v>
      </c>
      <c r="E215" s="45" t="s">
        <v>1080</v>
      </c>
      <c r="F215" s="725"/>
      <c r="G215" s="228">
        <v>2015</v>
      </c>
      <c r="H215" t="s">
        <v>3483</v>
      </c>
    </row>
    <row r="216" spans="1:8" x14ac:dyDescent="0.35">
      <c r="A216" s="714" t="s">
        <v>1081</v>
      </c>
      <c r="B216" s="97" t="s">
        <v>740</v>
      </c>
      <c r="C216" s="41" t="s">
        <v>741</v>
      </c>
      <c r="D216" s="49" t="s">
        <v>745</v>
      </c>
      <c r="E216" s="45" t="s">
        <v>1082</v>
      </c>
      <c r="F216" s="725"/>
      <c r="G216" s="228">
        <v>2018</v>
      </c>
      <c r="H216" t="s">
        <v>3483</v>
      </c>
    </row>
    <row r="217" spans="1:8" x14ac:dyDescent="0.35">
      <c r="A217" s="714"/>
      <c r="B217" s="51" t="s">
        <v>740</v>
      </c>
      <c r="C217" s="45" t="s">
        <v>741</v>
      </c>
      <c r="D217" s="49" t="s">
        <v>917</v>
      </c>
      <c r="E217" s="23" t="s">
        <v>1083</v>
      </c>
      <c r="F217" s="725"/>
      <c r="G217" s="228">
        <v>2015</v>
      </c>
      <c r="H217" t="s">
        <v>3483</v>
      </c>
    </row>
    <row r="218" spans="1:8" x14ac:dyDescent="0.35">
      <c r="A218" s="711" t="s">
        <v>1084</v>
      </c>
      <c r="B218" s="51" t="s">
        <v>740</v>
      </c>
      <c r="C218" s="74" t="s">
        <v>741</v>
      </c>
      <c r="D218" s="23" t="s">
        <v>1085</v>
      </c>
      <c r="E218" s="23" t="s">
        <v>1086</v>
      </c>
      <c r="F218" s="725"/>
      <c r="G218" s="228">
        <v>2016</v>
      </c>
      <c r="H218" s="35" t="s">
        <v>3483</v>
      </c>
    </row>
    <row r="219" spans="1:8" x14ac:dyDescent="0.35">
      <c r="A219" s="711"/>
      <c r="B219" s="98" t="s">
        <v>740</v>
      </c>
      <c r="C219" s="74" t="s">
        <v>741</v>
      </c>
      <c r="D219" s="41" t="s">
        <v>748</v>
      </c>
      <c r="E219" s="49" t="s">
        <v>1087</v>
      </c>
      <c r="F219" s="715"/>
      <c r="G219" s="228">
        <v>2023</v>
      </c>
      <c r="H219" t="s">
        <v>3483</v>
      </c>
    </row>
    <row r="220" spans="1:8" x14ac:dyDescent="0.35">
      <c r="A220" s="711" t="s">
        <v>6202</v>
      </c>
      <c r="B220" s="51" t="s">
        <v>740</v>
      </c>
      <c r="C220" s="23" t="s">
        <v>741</v>
      </c>
      <c r="D220" s="41" t="s">
        <v>745</v>
      </c>
      <c r="E220" s="286" t="s">
        <v>1088</v>
      </c>
      <c r="F220" s="720" t="s">
        <v>1089</v>
      </c>
      <c r="G220" s="228">
        <v>2019</v>
      </c>
      <c r="H220" t="s">
        <v>3483</v>
      </c>
    </row>
    <row r="221" spans="1:8" x14ac:dyDescent="0.35">
      <c r="A221" s="715"/>
      <c r="B221" s="51" t="s">
        <v>740</v>
      </c>
      <c r="C221" s="23" t="s">
        <v>741</v>
      </c>
      <c r="D221" s="41" t="s">
        <v>745</v>
      </c>
      <c r="E221" s="287" t="s">
        <v>1090</v>
      </c>
      <c r="F221" s="720"/>
      <c r="G221" s="228">
        <v>2019</v>
      </c>
      <c r="H221" t="s">
        <v>3483</v>
      </c>
    </row>
    <row r="222" spans="1:8" x14ac:dyDescent="0.35">
      <c r="A222" s="711" t="s">
        <v>1091</v>
      </c>
      <c r="B222" s="51" t="s">
        <v>740</v>
      </c>
      <c r="C222" s="23" t="s">
        <v>741</v>
      </c>
      <c r="D222" s="23" t="s">
        <v>758</v>
      </c>
      <c r="E222" s="50" t="s">
        <v>1092</v>
      </c>
      <c r="F222" s="720"/>
      <c r="G222" s="228">
        <v>2016</v>
      </c>
      <c r="H222" s="35" t="s">
        <v>3483</v>
      </c>
    </row>
    <row r="223" spans="1:8" x14ac:dyDescent="0.35">
      <c r="A223" s="711"/>
      <c r="B223" s="51" t="s">
        <v>740</v>
      </c>
      <c r="C223" s="23" t="s">
        <v>741</v>
      </c>
      <c r="D223" s="23" t="s">
        <v>745</v>
      </c>
      <c r="E223" s="23" t="s">
        <v>1093</v>
      </c>
      <c r="F223" s="720"/>
      <c r="G223" s="228">
        <v>2018</v>
      </c>
      <c r="H223" s="78" t="s">
        <v>3483</v>
      </c>
    </row>
    <row r="224" spans="1:8" x14ac:dyDescent="0.35">
      <c r="A224" s="711" t="s">
        <v>1094</v>
      </c>
      <c r="B224" s="51" t="s">
        <v>740</v>
      </c>
      <c r="C224" s="23" t="s">
        <v>741</v>
      </c>
      <c r="D224" s="23" t="s">
        <v>753</v>
      </c>
      <c r="E224" s="23" t="s">
        <v>1095</v>
      </c>
      <c r="F224" s="720"/>
      <c r="G224" s="228">
        <v>2015</v>
      </c>
      <c r="H224" s="78" t="s">
        <v>3483</v>
      </c>
    </row>
    <row r="225" spans="1:8" x14ac:dyDescent="0.35">
      <c r="A225" s="711"/>
      <c r="B225" s="51" t="s">
        <v>740</v>
      </c>
      <c r="C225" s="23" t="s">
        <v>741</v>
      </c>
      <c r="D225" s="23" t="s">
        <v>753</v>
      </c>
      <c r="E225" s="23" t="s">
        <v>1096</v>
      </c>
      <c r="F225" s="720"/>
      <c r="G225" s="228">
        <v>2017</v>
      </c>
      <c r="H225" s="78" t="s">
        <v>3483</v>
      </c>
    </row>
    <row r="226" spans="1:8" x14ac:dyDescent="0.35">
      <c r="A226" s="711" t="s">
        <v>355</v>
      </c>
      <c r="B226" s="51" t="s">
        <v>740</v>
      </c>
      <c r="C226" s="23" t="s">
        <v>741</v>
      </c>
      <c r="D226" s="23" t="s">
        <v>758</v>
      </c>
      <c r="E226" s="23" t="s">
        <v>1097</v>
      </c>
      <c r="F226" s="720"/>
      <c r="G226" s="228">
        <v>2019</v>
      </c>
      <c r="H226" s="35" t="s">
        <v>3483</v>
      </c>
    </row>
    <row r="227" spans="1:8" x14ac:dyDescent="0.35">
      <c r="A227" s="711"/>
      <c r="B227" s="51" t="s">
        <v>740</v>
      </c>
      <c r="C227" s="23" t="s">
        <v>741</v>
      </c>
      <c r="D227" s="23" t="s">
        <v>758</v>
      </c>
      <c r="E227" s="23" t="s">
        <v>1098</v>
      </c>
      <c r="F227" s="720"/>
      <c r="G227" s="228">
        <v>2018</v>
      </c>
      <c r="H227" s="35" t="s">
        <v>3483</v>
      </c>
    </row>
    <row r="228" spans="1:8" x14ac:dyDescent="0.35">
      <c r="A228" s="711" t="s">
        <v>79</v>
      </c>
      <c r="B228" s="51" t="s">
        <v>740</v>
      </c>
      <c r="C228" s="23" t="s">
        <v>741</v>
      </c>
      <c r="D228" s="23" t="s">
        <v>798</v>
      </c>
      <c r="E228" s="23" t="s">
        <v>1099</v>
      </c>
      <c r="F228" s="720"/>
      <c r="G228" s="228">
        <v>2018</v>
      </c>
      <c r="H228" s="35" t="s">
        <v>3483</v>
      </c>
    </row>
    <row r="229" spans="1:8" x14ac:dyDescent="0.35">
      <c r="A229" s="711"/>
      <c r="B229" s="51" t="s">
        <v>740</v>
      </c>
      <c r="C229" s="23" t="s">
        <v>741</v>
      </c>
      <c r="D229" s="23" t="s">
        <v>758</v>
      </c>
      <c r="E229" t="s">
        <v>1100</v>
      </c>
      <c r="F229" s="720"/>
      <c r="G229" s="228">
        <v>2016</v>
      </c>
      <c r="H229" t="s">
        <v>3483</v>
      </c>
    </row>
    <row r="230" spans="1:8" x14ac:dyDescent="0.35">
      <c r="A230" s="714" t="s">
        <v>404</v>
      </c>
      <c r="B230" s="51" t="s">
        <v>740</v>
      </c>
      <c r="C230" s="23" t="s">
        <v>741</v>
      </c>
      <c r="D230" s="23" t="s">
        <v>745</v>
      </c>
      <c r="E230" s="23" t="s">
        <v>1101</v>
      </c>
      <c r="F230" s="720"/>
      <c r="G230" s="228">
        <v>2020</v>
      </c>
      <c r="H230" s="35" t="s">
        <v>3483</v>
      </c>
    </row>
    <row r="231" spans="1:8" x14ac:dyDescent="0.35">
      <c r="A231" s="714"/>
      <c r="B231" s="51" t="s">
        <v>740</v>
      </c>
      <c r="C231" s="23" t="s">
        <v>741</v>
      </c>
      <c r="D231" s="23" t="s">
        <v>745</v>
      </c>
      <c r="E231" s="23" t="s">
        <v>1102</v>
      </c>
      <c r="F231" s="720"/>
      <c r="G231" s="228">
        <v>2020</v>
      </c>
      <c r="H231" s="35" t="s">
        <v>3483</v>
      </c>
    </row>
    <row r="232" spans="1:8" x14ac:dyDescent="0.35">
      <c r="A232" s="711" t="s">
        <v>1103</v>
      </c>
      <c r="B232" s="95" t="s">
        <v>740</v>
      </c>
      <c r="C232" s="39" t="s">
        <v>741</v>
      </c>
      <c r="D232" s="23" t="s">
        <v>745</v>
      </c>
      <c r="E232" t="s">
        <v>1104</v>
      </c>
      <c r="F232" s="720"/>
      <c r="G232" s="228">
        <v>2019</v>
      </c>
      <c r="H232" t="s">
        <v>3483</v>
      </c>
    </row>
    <row r="233" spans="1:8" x14ac:dyDescent="0.35">
      <c r="A233" s="715"/>
      <c r="B233" s="95" t="s">
        <v>740</v>
      </c>
      <c r="C233" s="39" t="s">
        <v>741</v>
      </c>
      <c r="D233" s="41" t="s">
        <v>1085</v>
      </c>
      <c r="E233" s="41" t="s">
        <v>1105</v>
      </c>
      <c r="F233" s="720"/>
      <c r="G233" s="228">
        <v>2016</v>
      </c>
      <c r="H233" s="35" t="s">
        <v>3483</v>
      </c>
    </row>
    <row r="234" spans="1:8" x14ac:dyDescent="0.35">
      <c r="A234" s="752" t="s">
        <v>1106</v>
      </c>
      <c r="B234" s="95" t="s">
        <v>740</v>
      </c>
      <c r="C234" s="39" t="s">
        <v>741</v>
      </c>
      <c r="D234" s="41" t="s">
        <v>748</v>
      </c>
      <c r="E234" s="72" t="s">
        <v>1107</v>
      </c>
      <c r="F234" s="720"/>
      <c r="G234" s="228">
        <v>2024</v>
      </c>
      <c r="H234" t="s">
        <v>3479</v>
      </c>
    </row>
    <row r="235" spans="1:8" x14ac:dyDescent="0.35">
      <c r="A235" s="753"/>
      <c r="B235" s="51" t="s">
        <v>740</v>
      </c>
      <c r="C235" s="23" t="s">
        <v>741</v>
      </c>
      <c r="D235" s="127" t="s">
        <v>748</v>
      </c>
      <c r="E235" s="72" t="s">
        <v>1108</v>
      </c>
      <c r="F235" s="720"/>
      <c r="G235" s="228">
        <v>2024</v>
      </c>
      <c r="H235" t="s">
        <v>3479</v>
      </c>
    </row>
    <row r="236" spans="1:8" x14ac:dyDescent="0.35">
      <c r="A236" s="737" t="s">
        <v>630</v>
      </c>
      <c r="B236" s="51" t="s">
        <v>740</v>
      </c>
      <c r="C236" s="41" t="s">
        <v>741</v>
      </c>
      <c r="D236" s="42" t="s">
        <v>753</v>
      </c>
      <c r="E236" s="55" t="s">
        <v>1109</v>
      </c>
      <c r="F236" s="720" t="s">
        <v>1110</v>
      </c>
      <c r="G236" s="228">
        <v>2017</v>
      </c>
      <c r="H236" t="s">
        <v>3483</v>
      </c>
    </row>
    <row r="237" spans="1:8" x14ac:dyDescent="0.35">
      <c r="A237" s="714"/>
      <c r="B237" s="105" t="s">
        <v>740</v>
      </c>
      <c r="C237" s="78" t="s">
        <v>741</v>
      </c>
      <c r="D237" s="64" t="s">
        <v>753</v>
      </c>
      <c r="E237" s="43" t="s">
        <v>1111</v>
      </c>
      <c r="F237" s="720"/>
      <c r="G237" s="228">
        <v>2017</v>
      </c>
      <c r="H237" t="s">
        <v>3479</v>
      </c>
    </row>
    <row r="238" spans="1:8" x14ac:dyDescent="0.35">
      <c r="A238" s="711" t="s">
        <v>569</v>
      </c>
      <c r="B238" s="51" t="s">
        <v>740</v>
      </c>
      <c r="C238" s="23" t="s">
        <v>741</v>
      </c>
      <c r="D238" s="23" t="s">
        <v>758</v>
      </c>
      <c r="E238" s="23" t="s">
        <v>1112</v>
      </c>
      <c r="F238" s="720"/>
      <c r="G238" s="228">
        <v>2018</v>
      </c>
      <c r="H238" s="78" t="s">
        <v>3479</v>
      </c>
    </row>
    <row r="239" spans="1:8" x14ac:dyDescent="0.35">
      <c r="A239" s="711"/>
      <c r="B239" s="51" t="s">
        <v>740</v>
      </c>
      <c r="C239" s="23" t="s">
        <v>741</v>
      </c>
      <c r="D239" s="23" t="s">
        <v>758</v>
      </c>
      <c r="E239" s="23" t="s">
        <v>1113</v>
      </c>
      <c r="F239" s="720"/>
      <c r="G239" s="228">
        <v>2019</v>
      </c>
      <c r="H239" s="35" t="s">
        <v>3479</v>
      </c>
    </row>
    <row r="240" spans="1:8" x14ac:dyDescent="0.35">
      <c r="A240" s="715" t="s">
        <v>353</v>
      </c>
      <c r="B240" s="98" t="s">
        <v>740</v>
      </c>
      <c r="C240" s="50" t="s">
        <v>741</v>
      </c>
      <c r="D240" s="50" t="s">
        <v>758</v>
      </c>
      <c r="E240" s="50" t="s">
        <v>1114</v>
      </c>
      <c r="F240" s="720"/>
      <c r="G240" s="228">
        <v>2018</v>
      </c>
      <c r="H240" s="78" t="s">
        <v>3479</v>
      </c>
    </row>
    <row r="241" spans="1:8" x14ac:dyDescent="0.35">
      <c r="A241" s="715"/>
      <c r="B241" s="51" t="s">
        <v>740</v>
      </c>
      <c r="C241" s="23" t="s">
        <v>741</v>
      </c>
      <c r="D241" s="23" t="s">
        <v>753</v>
      </c>
      <c r="E241" s="23" t="s">
        <v>1115</v>
      </c>
      <c r="F241" s="720"/>
      <c r="G241" s="228">
        <v>2017</v>
      </c>
      <c r="H241" s="78" t="s">
        <v>3479</v>
      </c>
    </row>
    <row r="242" spans="1:8" x14ac:dyDescent="0.35">
      <c r="A242" s="714" t="s">
        <v>503</v>
      </c>
      <c r="B242" s="51" t="s">
        <v>740</v>
      </c>
      <c r="C242" s="23" t="s">
        <v>741</v>
      </c>
      <c r="D242" s="23" t="s">
        <v>758</v>
      </c>
      <c r="E242" s="23" t="s">
        <v>1116</v>
      </c>
      <c r="F242" s="720"/>
      <c r="G242" s="228">
        <v>2020</v>
      </c>
      <c r="H242" s="35" t="s">
        <v>3479</v>
      </c>
    </row>
    <row r="243" spans="1:8" x14ac:dyDescent="0.35">
      <c r="A243" s="714"/>
      <c r="B243" s="51" t="s">
        <v>740</v>
      </c>
      <c r="C243" s="23" t="s">
        <v>741</v>
      </c>
      <c r="D243" s="23" t="s">
        <v>758</v>
      </c>
      <c r="E243" s="23" t="s">
        <v>1117</v>
      </c>
      <c r="F243" s="720"/>
      <c r="G243" s="228">
        <v>2018</v>
      </c>
      <c r="H243" s="78" t="s">
        <v>3479</v>
      </c>
    </row>
    <row r="244" spans="1:8" x14ac:dyDescent="0.35">
      <c r="A244" s="711" t="s">
        <v>1118</v>
      </c>
      <c r="B244" s="98" t="s">
        <v>740</v>
      </c>
      <c r="C244" s="50" t="s">
        <v>741</v>
      </c>
      <c r="D244" s="23" t="s">
        <v>753</v>
      </c>
      <c r="E244" s="50" t="s">
        <v>1119</v>
      </c>
      <c r="F244" s="720"/>
      <c r="G244" s="228">
        <v>2017</v>
      </c>
      <c r="H244" s="78" t="s">
        <v>3479</v>
      </c>
    </row>
    <row r="245" spans="1:8" x14ac:dyDescent="0.35">
      <c r="A245" s="711"/>
      <c r="B245" s="96" t="s">
        <v>740</v>
      </c>
      <c r="C245" s="43" t="s">
        <v>741</v>
      </c>
      <c r="D245" s="64" t="s">
        <v>1057</v>
      </c>
      <c r="E245" s="43" t="s">
        <v>1120</v>
      </c>
      <c r="F245" s="720"/>
      <c r="G245" s="228">
        <v>2024</v>
      </c>
      <c r="H245" t="s">
        <v>3479</v>
      </c>
    </row>
    <row r="246" spans="1:8" x14ac:dyDescent="0.35">
      <c r="A246" s="746" t="s">
        <v>1121</v>
      </c>
      <c r="B246" s="96" t="s">
        <v>740</v>
      </c>
      <c r="C246" s="43" t="s">
        <v>741</v>
      </c>
      <c r="D246" s="23" t="s">
        <v>753</v>
      </c>
      <c r="E246" s="43" t="s">
        <v>1122</v>
      </c>
      <c r="F246" s="720"/>
      <c r="G246" s="228">
        <v>2017</v>
      </c>
      <c r="H246" s="78" t="s">
        <v>3479</v>
      </c>
    </row>
    <row r="247" spans="1:8" x14ac:dyDescent="0.35">
      <c r="A247" s="712"/>
      <c r="B247" s="51" t="s">
        <v>740</v>
      </c>
      <c r="C247" s="23" t="s">
        <v>741</v>
      </c>
      <c r="D247" s="49" t="s">
        <v>1057</v>
      </c>
      <c r="E247" s="73" t="s">
        <v>1123</v>
      </c>
      <c r="F247" s="720"/>
      <c r="G247" s="228">
        <v>2024</v>
      </c>
      <c r="H247" t="s">
        <v>3479</v>
      </c>
    </row>
    <row r="248" spans="1:8" x14ac:dyDescent="0.35">
      <c r="A248" s="714" t="s">
        <v>1124</v>
      </c>
      <c r="B248" s="51" t="s">
        <v>740</v>
      </c>
      <c r="C248" s="23" t="s">
        <v>741</v>
      </c>
      <c r="D248" s="42" t="s">
        <v>753</v>
      </c>
      <c r="E248" s="23" t="s">
        <v>1125</v>
      </c>
      <c r="F248" s="720"/>
      <c r="G248" s="228">
        <v>2016</v>
      </c>
      <c r="H248" t="s">
        <v>3479</v>
      </c>
    </row>
    <row r="249" spans="1:8" x14ac:dyDescent="0.35">
      <c r="A249" s="714"/>
      <c r="B249" s="51" t="s">
        <v>740</v>
      </c>
      <c r="C249" s="23" t="s">
        <v>741</v>
      </c>
      <c r="D249" s="66" t="s">
        <v>1126</v>
      </c>
      <c r="E249" s="43" t="s">
        <v>1127</v>
      </c>
      <c r="F249" s="720"/>
      <c r="G249" s="228">
        <v>2015</v>
      </c>
      <c r="H249" t="s">
        <v>3479</v>
      </c>
    </row>
    <row r="250" spans="1:8" x14ac:dyDescent="0.35">
      <c r="A250" s="711" t="s">
        <v>542</v>
      </c>
      <c r="B250" s="51" t="s">
        <v>740</v>
      </c>
      <c r="C250" s="23" t="s">
        <v>741</v>
      </c>
      <c r="D250" s="23" t="s">
        <v>1057</v>
      </c>
      <c r="E250" s="23" t="s">
        <v>1128</v>
      </c>
      <c r="F250" s="720"/>
      <c r="G250" s="228">
        <v>2024</v>
      </c>
      <c r="H250" s="78" t="s">
        <v>3479</v>
      </c>
    </row>
    <row r="251" spans="1:8" x14ac:dyDescent="0.35">
      <c r="A251" s="711"/>
      <c r="B251" s="51" t="s">
        <v>740</v>
      </c>
      <c r="C251" s="23" t="s">
        <v>741</v>
      </c>
      <c r="D251" s="23" t="s">
        <v>1057</v>
      </c>
      <c r="E251" s="23" t="s">
        <v>1129</v>
      </c>
      <c r="F251" s="720"/>
      <c r="G251" s="228">
        <v>2024</v>
      </c>
      <c r="H251" s="78" t="s">
        <v>3479</v>
      </c>
    </row>
    <row r="252" spans="1:8" x14ac:dyDescent="0.35">
      <c r="A252" s="711" t="s">
        <v>733</v>
      </c>
      <c r="B252" s="97" t="s">
        <v>740</v>
      </c>
      <c r="C252" s="41" t="s">
        <v>741</v>
      </c>
      <c r="D252" s="23" t="s">
        <v>745</v>
      </c>
      <c r="E252" s="23" t="s">
        <v>1130</v>
      </c>
      <c r="F252" s="716" t="s">
        <v>1131</v>
      </c>
      <c r="G252" s="228">
        <v>2018</v>
      </c>
      <c r="H252" s="35" t="s">
        <v>3479</v>
      </c>
    </row>
    <row r="253" spans="1:8" x14ac:dyDescent="0.35">
      <c r="A253" s="715"/>
      <c r="B253" s="97" t="s">
        <v>740</v>
      </c>
      <c r="C253" s="41" t="s">
        <v>741</v>
      </c>
      <c r="D253" s="23" t="s">
        <v>1132</v>
      </c>
      <c r="E253" s="23" t="s">
        <v>1133</v>
      </c>
      <c r="F253" s="717"/>
      <c r="G253" s="228">
        <v>2018</v>
      </c>
      <c r="H253" s="35" t="s">
        <v>3479</v>
      </c>
    </row>
    <row r="254" spans="1:8" x14ac:dyDescent="0.35">
      <c r="A254" s="711" t="s">
        <v>548</v>
      </c>
      <c r="B254" s="51" t="s">
        <v>740</v>
      </c>
      <c r="C254" s="23" t="s">
        <v>741</v>
      </c>
      <c r="D254" s="50" t="s">
        <v>753</v>
      </c>
      <c r="E254" s="75" t="s">
        <v>1134</v>
      </c>
      <c r="F254" s="720" t="s">
        <v>1131</v>
      </c>
      <c r="G254" s="228">
        <v>2017</v>
      </c>
      <c r="H254" t="s">
        <v>3479</v>
      </c>
    </row>
    <row r="255" spans="1:8" x14ac:dyDescent="0.35">
      <c r="A255" s="711"/>
      <c r="B255" s="51" t="s">
        <v>740</v>
      </c>
      <c r="C255" s="23" t="s">
        <v>741</v>
      </c>
      <c r="D255" s="53" t="s">
        <v>1135</v>
      </c>
      <c r="E255" s="71" t="s">
        <v>1136</v>
      </c>
      <c r="F255" s="721"/>
      <c r="G255" s="228">
        <v>2023</v>
      </c>
      <c r="H255" s="35" t="s">
        <v>3479</v>
      </c>
    </row>
    <row r="256" spans="1:8" x14ac:dyDescent="0.35">
      <c r="A256" s="711" t="s">
        <v>1137</v>
      </c>
      <c r="B256" s="51" t="s">
        <v>740</v>
      </c>
      <c r="C256" s="23" t="s">
        <v>741</v>
      </c>
      <c r="D256" s="23" t="s">
        <v>1135</v>
      </c>
      <c r="E256" s="23" t="s">
        <v>1138</v>
      </c>
      <c r="F256" s="721"/>
      <c r="G256" s="228">
        <v>2023</v>
      </c>
      <c r="H256" s="35" t="s">
        <v>3479</v>
      </c>
    </row>
    <row r="257" spans="1:8" x14ac:dyDescent="0.35">
      <c r="A257" s="711"/>
      <c r="B257" s="51" t="s">
        <v>740</v>
      </c>
      <c r="C257" s="23" t="s">
        <v>741</v>
      </c>
      <c r="D257" s="49" t="s">
        <v>745</v>
      </c>
      <c r="E257" s="62" t="s">
        <v>1139</v>
      </c>
      <c r="F257" s="721"/>
      <c r="G257" s="228">
        <v>2020</v>
      </c>
      <c r="H257" t="s">
        <v>3479</v>
      </c>
    </row>
    <row r="258" spans="1:8" x14ac:dyDescent="0.35">
      <c r="A258" s="711" t="s">
        <v>1140</v>
      </c>
      <c r="B258" s="51" t="s">
        <v>740</v>
      </c>
      <c r="C258" s="23" t="s">
        <v>741</v>
      </c>
      <c r="D258" s="23" t="s">
        <v>753</v>
      </c>
      <c r="E258" s="23" t="s">
        <v>1141</v>
      </c>
      <c r="F258" s="721"/>
      <c r="G258" s="228">
        <v>2016</v>
      </c>
      <c r="H258" s="78" t="s">
        <v>3479</v>
      </c>
    </row>
    <row r="259" spans="1:8" x14ac:dyDescent="0.35">
      <c r="A259" s="715"/>
      <c r="B259" s="51" t="s">
        <v>740</v>
      </c>
      <c r="C259" s="23" t="s">
        <v>741</v>
      </c>
      <c r="D259" s="23" t="s">
        <v>753</v>
      </c>
      <c r="E259" s="23" t="s">
        <v>1142</v>
      </c>
      <c r="F259" s="721"/>
      <c r="G259" s="228">
        <v>2017</v>
      </c>
      <c r="H259" s="78" t="s">
        <v>3479</v>
      </c>
    </row>
    <row r="260" spans="1:8" x14ac:dyDescent="0.35">
      <c r="A260" s="720" t="s">
        <v>6282</v>
      </c>
      <c r="B260" s="51" t="s">
        <v>740</v>
      </c>
      <c r="C260" s="55" t="s">
        <v>741</v>
      </c>
      <c r="D260" s="842" t="s">
        <v>984</v>
      </c>
      <c r="E260" s="36" t="s">
        <v>985</v>
      </c>
      <c r="F260" s="721"/>
      <c r="G260" s="228">
        <v>2022</v>
      </c>
    </row>
    <row r="261" spans="1:8" x14ac:dyDescent="0.35">
      <c r="A261" s="722"/>
      <c r="B261" s="51" t="s">
        <v>740</v>
      </c>
      <c r="C261" s="55" t="s">
        <v>741</v>
      </c>
      <c r="D261" s="23" t="s">
        <v>753</v>
      </c>
      <c r="E261" s="36"/>
      <c r="F261" s="721"/>
    </row>
    <row r="262" spans="1:8" x14ac:dyDescent="0.35">
      <c r="A262" s="711" t="s">
        <v>484</v>
      </c>
      <c r="B262" s="99" t="s">
        <v>740</v>
      </c>
      <c r="C262" s="23" t="s">
        <v>741</v>
      </c>
      <c r="D262" s="23" t="s">
        <v>758</v>
      </c>
      <c r="E262" s="23" t="s">
        <v>1143</v>
      </c>
      <c r="F262" s="721"/>
      <c r="G262" s="228">
        <v>2019</v>
      </c>
      <c r="H262" s="78" t="s">
        <v>3479</v>
      </c>
    </row>
    <row r="263" spans="1:8" x14ac:dyDescent="0.35">
      <c r="A263" s="715"/>
      <c r="B263" s="99" t="s">
        <v>740</v>
      </c>
      <c r="C263" s="23" t="s">
        <v>741</v>
      </c>
      <c r="D263" s="23" t="s">
        <v>758</v>
      </c>
      <c r="E263" s="23" t="s">
        <v>1144</v>
      </c>
      <c r="F263" s="721"/>
      <c r="G263" s="228">
        <v>2019</v>
      </c>
      <c r="H263" s="78" t="s">
        <v>3479</v>
      </c>
    </row>
    <row r="264" spans="1:8" x14ac:dyDescent="0.35">
      <c r="A264" s="711" t="s">
        <v>1145</v>
      </c>
      <c r="B264" s="51" t="s">
        <v>740</v>
      </c>
      <c r="C264" s="23" t="s">
        <v>741</v>
      </c>
      <c r="D264" s="23" t="s">
        <v>798</v>
      </c>
      <c r="E264" s="43" t="s">
        <v>1146</v>
      </c>
      <c r="F264" s="721"/>
      <c r="G264" s="228">
        <v>2022</v>
      </c>
      <c r="H264" s="35" t="s">
        <v>3483</v>
      </c>
    </row>
    <row r="265" spans="1:8" x14ac:dyDescent="0.35">
      <c r="A265" s="711"/>
      <c r="B265" s="96" t="s">
        <v>740</v>
      </c>
      <c r="C265" s="43" t="s">
        <v>741</v>
      </c>
      <c r="D265" s="35" t="s">
        <v>1057</v>
      </c>
      <c r="E265" s="23" t="s">
        <v>1147</v>
      </c>
      <c r="F265" s="721"/>
      <c r="G265" s="228">
        <v>2024</v>
      </c>
      <c r="H265" s="78" t="s">
        <v>3479</v>
      </c>
    </row>
    <row r="266" spans="1:8" x14ac:dyDescent="0.35">
      <c r="A266" s="724" t="s">
        <v>1148</v>
      </c>
      <c r="B266" s="95" t="s">
        <v>740</v>
      </c>
      <c r="C266" s="39" t="s">
        <v>741</v>
      </c>
      <c r="D266" s="152" t="s">
        <v>848</v>
      </c>
      <c r="E266" s="37" t="s">
        <v>1149</v>
      </c>
      <c r="F266" s="721"/>
      <c r="G266" s="228">
        <v>2015</v>
      </c>
      <c r="H266" t="s">
        <v>3483</v>
      </c>
    </row>
    <row r="267" spans="1:8" x14ac:dyDescent="0.35">
      <c r="A267" s="712"/>
      <c r="B267" s="97" t="s">
        <v>740</v>
      </c>
      <c r="C267" s="39" t="s">
        <v>741</v>
      </c>
      <c r="D267" s="152" t="s">
        <v>848</v>
      </c>
      <c r="E267" s="153" t="s">
        <v>1150</v>
      </c>
      <c r="F267" s="721"/>
      <c r="G267" s="228">
        <v>2015</v>
      </c>
      <c r="H267" t="s">
        <v>3483</v>
      </c>
    </row>
    <row r="268" spans="1:8" x14ac:dyDescent="0.35">
      <c r="A268" s="44" t="s">
        <v>1151</v>
      </c>
      <c r="B268" s="97" t="s">
        <v>740</v>
      </c>
      <c r="C268" s="41" t="s">
        <v>741</v>
      </c>
      <c r="D268" s="23" t="s">
        <v>917</v>
      </c>
      <c r="E268" s="45" t="s">
        <v>1152</v>
      </c>
      <c r="F268" s="721"/>
      <c r="G268" s="228">
        <v>2015</v>
      </c>
      <c r="H268" t="s">
        <v>3483</v>
      </c>
    </row>
    <row r="269" spans="1:8" x14ac:dyDescent="0.35">
      <c r="A269" s="711" t="s">
        <v>1153</v>
      </c>
      <c r="B269" s="97" t="s">
        <v>740</v>
      </c>
      <c r="C269" s="41" t="s">
        <v>741</v>
      </c>
      <c r="D269" s="23" t="s">
        <v>748</v>
      </c>
      <c r="E269" s="48" t="s">
        <v>1154</v>
      </c>
      <c r="F269" s="721"/>
      <c r="G269" s="228">
        <v>2024</v>
      </c>
      <c r="H269" s="182" t="s">
        <v>3479</v>
      </c>
    </row>
    <row r="270" spans="1:8" x14ac:dyDescent="0.35">
      <c r="A270" s="715"/>
      <c r="B270" s="97" t="s">
        <v>740</v>
      </c>
      <c r="C270" s="41" t="s">
        <v>741</v>
      </c>
      <c r="D270" s="23" t="s">
        <v>745</v>
      </c>
      <c r="E270" s="48" t="s">
        <v>1155</v>
      </c>
      <c r="F270" s="722"/>
      <c r="G270" s="228">
        <v>2018</v>
      </c>
      <c r="H270" s="182" t="s">
        <v>3483</v>
      </c>
    </row>
    <row r="271" spans="1:8" x14ac:dyDescent="0.35">
      <c r="A271" s="714" t="s">
        <v>427</v>
      </c>
      <c r="B271" s="51" t="s">
        <v>740</v>
      </c>
      <c r="C271" s="23" t="s">
        <v>741</v>
      </c>
      <c r="D271" s="43" t="s">
        <v>758</v>
      </c>
      <c r="E271" s="23" t="s">
        <v>1156</v>
      </c>
      <c r="F271" s="720" t="s">
        <v>1157</v>
      </c>
      <c r="G271" s="228">
        <v>2016</v>
      </c>
      <c r="H271" s="35" t="s">
        <v>3483</v>
      </c>
    </row>
    <row r="272" spans="1:8" x14ac:dyDescent="0.35">
      <c r="A272" s="714"/>
      <c r="B272" s="51" t="s">
        <v>740</v>
      </c>
      <c r="C272" s="41" t="s">
        <v>741</v>
      </c>
      <c r="D272" s="23" t="s">
        <v>745</v>
      </c>
      <c r="E272" s="48" t="s">
        <v>1158</v>
      </c>
      <c r="F272" s="720"/>
      <c r="G272" s="228">
        <v>2017</v>
      </c>
      <c r="H272" s="35" t="s">
        <v>3483</v>
      </c>
    </row>
    <row r="273" spans="1:8" x14ac:dyDescent="0.35">
      <c r="A273" s="19" t="s">
        <v>1159</v>
      </c>
      <c r="B273" s="96" t="s">
        <v>740</v>
      </c>
      <c r="C273" s="39" t="s">
        <v>741</v>
      </c>
      <c r="D273" s="66" t="s">
        <v>753</v>
      </c>
      <c r="E273" s="38" t="s">
        <v>1160</v>
      </c>
      <c r="F273" s="720"/>
      <c r="G273" s="228">
        <v>2017</v>
      </c>
      <c r="H273" s="35" t="s">
        <v>3483</v>
      </c>
    </row>
    <row r="274" spans="1:8" hidden="1" x14ac:dyDescent="0.35">
      <c r="A274" s="720" t="s">
        <v>1161</v>
      </c>
      <c r="B274" s="51" t="s">
        <v>809</v>
      </c>
      <c r="C274" s="23" t="s">
        <v>741</v>
      </c>
      <c r="D274" s="23" t="s">
        <v>900</v>
      </c>
      <c r="E274" s="23" t="s">
        <v>1162</v>
      </c>
      <c r="F274" s="754"/>
    </row>
    <row r="275" spans="1:8" x14ac:dyDescent="0.35">
      <c r="A275" s="721"/>
      <c r="B275" s="51" t="s">
        <v>809</v>
      </c>
      <c r="C275" s="23" t="s">
        <v>741</v>
      </c>
      <c r="D275" s="23" t="s">
        <v>900</v>
      </c>
      <c r="E275" s="23" t="s">
        <v>1162</v>
      </c>
      <c r="F275" s="754"/>
    </row>
    <row r="276" spans="1:8" x14ac:dyDescent="0.35">
      <c r="A276" s="722"/>
      <c r="B276" s="51" t="s">
        <v>740</v>
      </c>
      <c r="C276" s="23" t="s">
        <v>741</v>
      </c>
      <c r="D276" s="23" t="s">
        <v>753</v>
      </c>
      <c r="E276" s="23" t="s">
        <v>1163</v>
      </c>
      <c r="F276" s="754"/>
      <c r="G276" s="228">
        <v>2016</v>
      </c>
      <c r="H276" s="35" t="s">
        <v>3483</v>
      </c>
    </row>
    <row r="277" spans="1:8" x14ac:dyDescent="0.35">
      <c r="A277" s="711" t="s">
        <v>1164</v>
      </c>
      <c r="B277" s="102" t="s">
        <v>740</v>
      </c>
      <c r="C277" s="36" t="s">
        <v>741</v>
      </c>
      <c r="D277" s="50" t="s">
        <v>753</v>
      </c>
      <c r="E277" s="55" t="s">
        <v>1165</v>
      </c>
      <c r="F277" s="720" t="s">
        <v>1166</v>
      </c>
      <c r="G277" s="228">
        <v>2017</v>
      </c>
      <c r="H277" s="35" t="s">
        <v>3483</v>
      </c>
    </row>
    <row r="278" spans="1:8" x14ac:dyDescent="0.35">
      <c r="A278" s="715"/>
      <c r="B278" s="102" t="s">
        <v>740</v>
      </c>
      <c r="C278" s="36" t="s">
        <v>741</v>
      </c>
      <c r="D278" s="50" t="s">
        <v>753</v>
      </c>
      <c r="E278" s="74" t="s">
        <v>1167</v>
      </c>
      <c r="F278" s="720"/>
      <c r="G278" s="228">
        <v>2017</v>
      </c>
      <c r="H278" s="35" t="s">
        <v>3483</v>
      </c>
    </row>
    <row r="279" spans="1:8" x14ac:dyDescent="0.35">
      <c r="A279" s="711" t="s">
        <v>1168</v>
      </c>
      <c r="B279" s="51" t="s">
        <v>740</v>
      </c>
      <c r="C279" s="23" t="s">
        <v>741</v>
      </c>
      <c r="D279" s="23" t="s">
        <v>848</v>
      </c>
      <c r="E279" s="76" t="s">
        <v>1169</v>
      </c>
      <c r="F279" s="720"/>
      <c r="G279" s="228">
        <v>2015</v>
      </c>
      <c r="H279" t="s">
        <v>3479</v>
      </c>
    </row>
    <row r="280" spans="1:8" x14ac:dyDescent="0.35">
      <c r="A280" s="711"/>
      <c r="B280" s="51" t="s">
        <v>740</v>
      </c>
      <c r="C280" s="23" t="s">
        <v>741</v>
      </c>
      <c r="D280" s="53" t="s">
        <v>917</v>
      </c>
      <c r="E280" s="149" t="s">
        <v>1170</v>
      </c>
      <c r="F280" s="720"/>
      <c r="G280" s="228">
        <v>2015</v>
      </c>
      <c r="H280" t="s">
        <v>3479</v>
      </c>
    </row>
    <row r="281" spans="1:8" x14ac:dyDescent="0.35">
      <c r="A281" s="711" t="s">
        <v>1171</v>
      </c>
      <c r="B281" s="51" t="s">
        <v>740</v>
      </c>
      <c r="C281" s="23" t="s">
        <v>741</v>
      </c>
      <c r="D281" s="23" t="s">
        <v>813</v>
      </c>
      <c r="E281" s="23" t="s">
        <v>1172</v>
      </c>
      <c r="F281" s="720"/>
      <c r="G281" s="228">
        <v>2015</v>
      </c>
      <c r="H281" s="78" t="s">
        <v>3479</v>
      </c>
    </row>
    <row r="282" spans="1:8" x14ac:dyDescent="0.35">
      <c r="A282" s="711"/>
      <c r="B282" s="102" t="s">
        <v>740</v>
      </c>
      <c r="C282" t="s">
        <v>741</v>
      </c>
      <c r="D282" t="s">
        <v>753</v>
      </c>
      <c r="E282" t="s">
        <v>1173</v>
      </c>
      <c r="F282" s="720"/>
      <c r="H282" s="35" t="s">
        <v>3483</v>
      </c>
    </row>
    <row r="283" spans="1:8" x14ac:dyDescent="0.35">
      <c r="A283" s="714" t="s">
        <v>1174</v>
      </c>
      <c r="B283" s="51" t="s">
        <v>740</v>
      </c>
      <c r="C283" s="23" t="s">
        <v>741</v>
      </c>
      <c r="D283" s="23" t="s">
        <v>798</v>
      </c>
      <c r="E283" s="23" t="s">
        <v>1175</v>
      </c>
      <c r="F283" s="720"/>
      <c r="G283" s="228">
        <v>2022</v>
      </c>
      <c r="H283" s="78" t="s">
        <v>3483</v>
      </c>
    </row>
    <row r="284" spans="1:8" x14ac:dyDescent="0.35">
      <c r="A284" s="714"/>
      <c r="B284" s="51" t="s">
        <v>740</v>
      </c>
      <c r="C284" s="23" t="s">
        <v>741</v>
      </c>
      <c r="D284" s="23" t="s">
        <v>748</v>
      </c>
      <c r="E284" s="23" t="s">
        <v>1176</v>
      </c>
      <c r="F284" s="720"/>
      <c r="G284" s="228">
        <v>2023</v>
      </c>
      <c r="H284" s="35" t="s">
        <v>3483</v>
      </c>
    </row>
    <row r="285" spans="1:8" x14ac:dyDescent="0.35">
      <c r="A285" s="725" t="s">
        <v>1177</v>
      </c>
      <c r="B285" s="98" t="s">
        <v>740</v>
      </c>
      <c r="C285" s="50" t="s">
        <v>741</v>
      </c>
      <c r="D285" s="50" t="s">
        <v>798</v>
      </c>
      <c r="E285" s="50" t="s">
        <v>1178</v>
      </c>
      <c r="F285" s="720"/>
      <c r="G285" s="228">
        <v>2022</v>
      </c>
      <c r="H285" s="78" t="s">
        <v>3483</v>
      </c>
    </row>
    <row r="286" spans="1:8" x14ac:dyDescent="0.35">
      <c r="A286" s="725"/>
      <c r="B286" s="51" t="s">
        <v>740</v>
      </c>
      <c r="C286" s="23" t="s">
        <v>741</v>
      </c>
      <c r="D286" s="64" t="s">
        <v>753</v>
      </c>
      <c r="E286" s="23" t="s">
        <v>1179</v>
      </c>
      <c r="F286" s="720"/>
      <c r="G286" s="228">
        <v>2016</v>
      </c>
      <c r="H286" s="35" t="s">
        <v>3483</v>
      </c>
    </row>
    <row r="287" spans="1:8" x14ac:dyDescent="0.35">
      <c r="A287" s="714" t="s">
        <v>609</v>
      </c>
      <c r="B287" s="51" t="s">
        <v>740</v>
      </c>
      <c r="C287" s="23" t="s">
        <v>741</v>
      </c>
      <c r="D287" s="23" t="s">
        <v>798</v>
      </c>
      <c r="E287" s="23" t="s">
        <v>1180</v>
      </c>
      <c r="F287" s="720"/>
      <c r="G287" s="228">
        <v>2022</v>
      </c>
      <c r="H287" s="78" t="s">
        <v>3479</v>
      </c>
    </row>
    <row r="288" spans="1:8" x14ac:dyDescent="0.35">
      <c r="A288" s="714"/>
      <c r="B288" s="51" t="s">
        <v>740</v>
      </c>
      <c r="C288" s="23" t="s">
        <v>741</v>
      </c>
      <c r="D288" s="23" t="s">
        <v>758</v>
      </c>
      <c r="E288" s="23" t="s">
        <v>1181</v>
      </c>
      <c r="F288" s="720"/>
      <c r="G288" s="228">
        <v>2018</v>
      </c>
      <c r="H288" s="78" t="s">
        <v>3479</v>
      </c>
    </row>
    <row r="289" spans="1:8" x14ac:dyDescent="0.35">
      <c r="A289" s="711" t="s">
        <v>1182</v>
      </c>
      <c r="B289" s="51" t="s">
        <v>740</v>
      </c>
      <c r="C289" s="23" t="s">
        <v>741</v>
      </c>
      <c r="D289" s="43" t="s">
        <v>753</v>
      </c>
      <c r="E289" s="43" t="s">
        <v>1183</v>
      </c>
      <c r="F289" s="720"/>
      <c r="G289" s="228">
        <v>2017</v>
      </c>
      <c r="H289" s="35" t="s">
        <v>3483</v>
      </c>
    </row>
    <row r="290" spans="1:8" x14ac:dyDescent="0.35">
      <c r="A290" s="711"/>
      <c r="B290" s="98" t="s">
        <v>740</v>
      </c>
      <c r="C290" s="36" t="s">
        <v>741</v>
      </c>
      <c r="D290" s="23" t="s">
        <v>745</v>
      </c>
      <c r="E290" s="49" t="s">
        <v>1184</v>
      </c>
      <c r="F290" s="720"/>
      <c r="G290" s="228">
        <v>2019</v>
      </c>
      <c r="H290" t="s">
        <v>3479</v>
      </c>
    </row>
    <row r="291" spans="1:8" hidden="1" x14ac:dyDescent="0.35">
      <c r="A291" s="714" t="s">
        <v>1185</v>
      </c>
      <c r="B291" s="100" t="s">
        <v>809</v>
      </c>
      <c r="C291" s="36" t="s">
        <v>741</v>
      </c>
      <c r="D291" s="23" t="s">
        <v>900</v>
      </c>
      <c r="E291" s="23" t="s">
        <v>1186</v>
      </c>
      <c r="F291" s="720"/>
    </row>
    <row r="292" spans="1:8" x14ac:dyDescent="0.35">
      <c r="A292" s="714"/>
      <c r="B292" s="100" t="s">
        <v>809</v>
      </c>
      <c r="C292" s="36" t="s">
        <v>741</v>
      </c>
      <c r="D292" s="23" t="s">
        <v>900</v>
      </c>
      <c r="E292" s="23" t="s">
        <v>1186</v>
      </c>
      <c r="F292" s="720"/>
    </row>
    <row r="293" spans="1:8" x14ac:dyDescent="0.35">
      <c r="A293" s="714"/>
      <c r="B293" s="100" t="s">
        <v>740</v>
      </c>
      <c r="C293" s="36" t="s">
        <v>741</v>
      </c>
      <c r="D293" s="77" t="s">
        <v>959</v>
      </c>
      <c r="E293" s="53" t="s">
        <v>1187</v>
      </c>
      <c r="F293" s="720"/>
      <c r="G293" s="228">
        <v>2015</v>
      </c>
      <c r="H293" t="s">
        <v>3479</v>
      </c>
    </row>
    <row r="294" spans="1:8" x14ac:dyDescent="0.35">
      <c r="A294" s="715" t="s">
        <v>6285</v>
      </c>
      <c r="B294" s="98" t="s">
        <v>740</v>
      </c>
      <c r="C294" s="50" t="s">
        <v>741</v>
      </c>
      <c r="D294" s="50" t="s">
        <v>748</v>
      </c>
      <c r="E294" s="50" t="s">
        <v>1188</v>
      </c>
      <c r="F294" s="720"/>
      <c r="G294" s="228">
        <v>2024</v>
      </c>
      <c r="H294" s="78" t="s">
        <v>3479</v>
      </c>
    </row>
    <row r="295" spans="1:8" x14ac:dyDescent="0.35">
      <c r="A295" s="715"/>
      <c r="B295" s="51" t="s">
        <v>740</v>
      </c>
      <c r="C295" s="23" t="s">
        <v>741</v>
      </c>
      <c r="D295" s="23" t="s">
        <v>745</v>
      </c>
      <c r="E295" s="23" t="s">
        <v>1189</v>
      </c>
      <c r="F295" s="720"/>
      <c r="G295" s="228">
        <v>2020</v>
      </c>
      <c r="H295" s="35" t="s">
        <v>3479</v>
      </c>
    </row>
    <row r="296" spans="1:8" x14ac:dyDescent="0.35">
      <c r="A296" s="711" t="s">
        <v>1190</v>
      </c>
      <c r="B296" s="97" t="s">
        <v>740</v>
      </c>
      <c r="C296" s="23" t="s">
        <v>741</v>
      </c>
      <c r="D296" s="70" t="s">
        <v>829</v>
      </c>
      <c r="E296" s="41" t="s">
        <v>1191</v>
      </c>
      <c r="F296" s="720"/>
      <c r="G296" s="228">
        <v>2015</v>
      </c>
      <c r="H296" t="s">
        <v>3479</v>
      </c>
    </row>
    <row r="297" spans="1:8" x14ac:dyDescent="0.35">
      <c r="A297" s="711"/>
      <c r="B297" s="97" t="s">
        <v>740</v>
      </c>
      <c r="C297" s="39" t="s">
        <v>741</v>
      </c>
      <c r="D297" s="39" t="s">
        <v>848</v>
      </c>
      <c r="E297" s="43" t="s">
        <v>1192</v>
      </c>
      <c r="F297" s="720"/>
      <c r="G297" s="228">
        <v>2015</v>
      </c>
      <c r="H297" s="78" t="s">
        <v>3479</v>
      </c>
    </row>
    <row r="298" spans="1:8" x14ac:dyDescent="0.35">
      <c r="A298" s="714" t="s">
        <v>1193</v>
      </c>
      <c r="B298" s="99" t="s">
        <v>740</v>
      </c>
      <c r="C298" s="23" t="s">
        <v>741</v>
      </c>
      <c r="D298" s="23" t="s">
        <v>1194</v>
      </c>
      <c r="E298" s="23" t="s">
        <v>1195</v>
      </c>
      <c r="F298" s="720"/>
      <c r="G298" s="228">
        <v>2017</v>
      </c>
      <c r="H298" s="35" t="s">
        <v>3479</v>
      </c>
    </row>
    <row r="299" spans="1:8" x14ac:dyDescent="0.35">
      <c r="A299" s="714"/>
      <c r="B299" s="99" t="s">
        <v>740</v>
      </c>
      <c r="C299" s="23" t="s">
        <v>741</v>
      </c>
      <c r="D299" s="23" t="s">
        <v>813</v>
      </c>
      <c r="E299" s="23" t="s">
        <v>1196</v>
      </c>
      <c r="F299" s="720"/>
      <c r="H299" s="35" t="s">
        <v>3479</v>
      </c>
    </row>
    <row r="300" spans="1:8" x14ac:dyDescent="0.35">
      <c r="A300" s="714" t="s">
        <v>1197</v>
      </c>
      <c r="B300" s="100" t="s">
        <v>740</v>
      </c>
      <c r="C300" s="50" t="s">
        <v>741</v>
      </c>
      <c r="D300" s="50" t="s">
        <v>1135</v>
      </c>
      <c r="E300" s="50" t="s">
        <v>1198</v>
      </c>
      <c r="F300" s="720"/>
      <c r="G300" s="228">
        <v>2023</v>
      </c>
      <c r="H300" s="78" t="s">
        <v>3479</v>
      </c>
    </row>
    <row r="301" spans="1:8" x14ac:dyDescent="0.35">
      <c r="A301" s="714"/>
      <c r="B301" s="99" t="s">
        <v>740</v>
      </c>
      <c r="C301" s="23" t="s">
        <v>741</v>
      </c>
      <c r="D301" s="23" t="s">
        <v>1135</v>
      </c>
      <c r="E301" s="23" t="s">
        <v>1199</v>
      </c>
      <c r="F301" s="720"/>
      <c r="G301" s="228">
        <v>2023</v>
      </c>
      <c r="H301" s="35" t="s">
        <v>3479</v>
      </c>
    </row>
    <row r="302" spans="1:8" x14ac:dyDescent="0.35">
      <c r="A302" s="714" t="s">
        <v>698</v>
      </c>
      <c r="B302" s="51" t="s">
        <v>740</v>
      </c>
      <c r="C302" s="23" t="s">
        <v>741</v>
      </c>
      <c r="D302" s="23" t="s">
        <v>742</v>
      </c>
      <c r="E302" s="41" t="s">
        <v>1200</v>
      </c>
      <c r="F302" s="720" t="s">
        <v>1201</v>
      </c>
      <c r="G302" s="228">
        <v>2022</v>
      </c>
      <c r="H302" s="35" t="s">
        <v>3479</v>
      </c>
    </row>
    <row r="303" spans="1:8" x14ac:dyDescent="0.35">
      <c r="A303" s="714"/>
      <c r="B303" s="51" t="s">
        <v>740</v>
      </c>
      <c r="C303" s="23" t="s">
        <v>741</v>
      </c>
      <c r="D303" s="23" t="s">
        <v>742</v>
      </c>
      <c r="E303" s="41" t="s">
        <v>1202</v>
      </c>
      <c r="F303" s="721"/>
      <c r="G303" s="228">
        <v>2022</v>
      </c>
      <c r="H303" s="35" t="s">
        <v>3479</v>
      </c>
    </row>
    <row r="304" spans="1:8" x14ac:dyDescent="0.35">
      <c r="A304" s="714" t="s">
        <v>1203</v>
      </c>
      <c r="B304" s="51" t="s">
        <v>740</v>
      </c>
      <c r="C304" s="23" t="s">
        <v>741</v>
      </c>
      <c r="D304" s="43" t="s">
        <v>1135</v>
      </c>
      <c r="E304" s="41" t="s">
        <v>1204</v>
      </c>
      <c r="F304" s="721"/>
      <c r="G304" s="228">
        <v>2023</v>
      </c>
      <c r="H304" s="35" t="s">
        <v>3479</v>
      </c>
    </row>
    <row r="305" spans="1:8" x14ac:dyDescent="0.35">
      <c r="A305" s="714"/>
      <c r="B305" s="51" t="s">
        <v>740</v>
      </c>
      <c r="C305" s="23" t="s">
        <v>741</v>
      </c>
      <c r="D305" s="23" t="s">
        <v>1135</v>
      </c>
      <c r="E305" s="120" t="s">
        <v>1205</v>
      </c>
      <c r="F305" s="721"/>
      <c r="G305" s="228">
        <v>2023</v>
      </c>
      <c r="H305" s="35" t="s">
        <v>3479</v>
      </c>
    </row>
    <row r="306" spans="1:8" x14ac:dyDescent="0.35">
      <c r="A306" s="711" t="s">
        <v>1206</v>
      </c>
      <c r="B306" s="51" t="s">
        <v>740</v>
      </c>
      <c r="C306" s="23" t="s">
        <v>741</v>
      </c>
      <c r="D306" s="23" t="s">
        <v>1135</v>
      </c>
      <c r="E306" s="41" t="s">
        <v>1207</v>
      </c>
      <c r="F306" s="721"/>
      <c r="G306" s="228">
        <v>2023</v>
      </c>
      <c r="H306" s="35" t="s">
        <v>3479</v>
      </c>
    </row>
    <row r="307" spans="1:8" x14ac:dyDescent="0.35">
      <c r="A307" s="711"/>
      <c r="B307" s="51" t="s">
        <v>740</v>
      </c>
      <c r="C307" s="23" t="s">
        <v>741</v>
      </c>
      <c r="D307" s="23" t="s">
        <v>1135</v>
      </c>
      <c r="E307" s="41" t="s">
        <v>1208</v>
      </c>
      <c r="F307" s="721"/>
      <c r="G307" s="228">
        <v>2023</v>
      </c>
      <c r="H307" s="35" t="s">
        <v>3479</v>
      </c>
    </row>
    <row r="308" spans="1:8" x14ac:dyDescent="0.35">
      <c r="A308" s="19" t="s">
        <v>1209</v>
      </c>
      <c r="B308" s="97" t="s">
        <v>740</v>
      </c>
      <c r="C308" s="23" t="s">
        <v>741</v>
      </c>
      <c r="D308" s="69" t="s">
        <v>745</v>
      </c>
      <c r="E308" s="41" t="s">
        <v>1210</v>
      </c>
      <c r="F308" s="721"/>
      <c r="G308" s="228">
        <v>2018</v>
      </c>
      <c r="H308" t="s">
        <v>3479</v>
      </c>
    </row>
    <row r="309" spans="1:8" x14ac:dyDescent="0.35">
      <c r="A309" s="714" t="s">
        <v>467</v>
      </c>
      <c r="B309" s="99" t="s">
        <v>740</v>
      </c>
      <c r="C309" s="41" t="s">
        <v>741</v>
      </c>
      <c r="D309" s="23" t="s">
        <v>1135</v>
      </c>
      <c r="E309" s="41" t="s">
        <v>1211</v>
      </c>
      <c r="F309" s="721"/>
      <c r="G309" s="228">
        <v>2023</v>
      </c>
      <c r="H309" s="35" t="s">
        <v>3479</v>
      </c>
    </row>
    <row r="310" spans="1:8" x14ac:dyDescent="0.35">
      <c r="A310" s="714"/>
      <c r="B310" s="99" t="s">
        <v>740</v>
      </c>
      <c r="C310" s="41" t="s">
        <v>741</v>
      </c>
      <c r="D310" s="23" t="s">
        <v>1135</v>
      </c>
      <c r="E310" s="41" t="s">
        <v>1212</v>
      </c>
      <c r="F310" s="721"/>
      <c r="G310" s="228">
        <v>2023</v>
      </c>
      <c r="H310" s="35" t="s">
        <v>3479</v>
      </c>
    </row>
    <row r="311" spans="1:8" x14ac:dyDescent="0.35">
      <c r="A311" s="715" t="s">
        <v>1213</v>
      </c>
      <c r="B311" s="99" t="s">
        <v>740</v>
      </c>
      <c r="C311" s="23" t="s">
        <v>741</v>
      </c>
      <c r="D311" s="23" t="s">
        <v>1135</v>
      </c>
      <c r="E311" s="41" t="s">
        <v>1214</v>
      </c>
      <c r="F311" s="721"/>
      <c r="G311" s="228">
        <v>2023</v>
      </c>
      <c r="H311" s="35" t="s">
        <v>3479</v>
      </c>
    </row>
    <row r="312" spans="1:8" x14ac:dyDescent="0.35">
      <c r="A312" s="714"/>
      <c r="B312" s="99" t="s">
        <v>740</v>
      </c>
      <c r="C312" s="23" t="s">
        <v>741</v>
      </c>
      <c r="D312" s="23" t="s">
        <v>745</v>
      </c>
      <c r="E312" s="41" t="s">
        <v>1215</v>
      </c>
      <c r="F312" s="721"/>
      <c r="G312" s="228">
        <v>2018</v>
      </c>
      <c r="H312" s="35" t="s">
        <v>3479</v>
      </c>
    </row>
    <row r="313" spans="1:8" x14ac:dyDescent="0.35">
      <c r="A313" s="714" t="s">
        <v>557</v>
      </c>
      <c r="B313" s="156" t="s">
        <v>740</v>
      </c>
      <c r="C313" s="23" t="s">
        <v>741</v>
      </c>
      <c r="D313" s="23" t="s">
        <v>1135</v>
      </c>
      <c r="E313" s="41" t="s">
        <v>1216</v>
      </c>
      <c r="F313" s="721"/>
      <c r="G313" s="228">
        <v>2023</v>
      </c>
      <c r="H313" s="35" t="s">
        <v>3479</v>
      </c>
    </row>
    <row r="314" spans="1:8" x14ac:dyDescent="0.35">
      <c r="A314" s="714"/>
      <c r="B314" s="156" t="s">
        <v>740</v>
      </c>
      <c r="C314" s="23" t="s">
        <v>741</v>
      </c>
      <c r="D314" s="23" t="s">
        <v>1135</v>
      </c>
      <c r="E314" s="41" t="s">
        <v>1217</v>
      </c>
      <c r="F314" s="721"/>
      <c r="G314" s="228">
        <v>2023</v>
      </c>
      <c r="H314" s="35" t="s">
        <v>3479</v>
      </c>
    </row>
    <row r="315" spans="1:8" x14ac:dyDescent="0.35">
      <c r="A315" s="715" t="s">
        <v>469</v>
      </c>
      <c r="B315" s="51" t="s">
        <v>740</v>
      </c>
      <c r="C315" s="23" t="s">
        <v>741</v>
      </c>
      <c r="D315" s="23" t="s">
        <v>1135</v>
      </c>
      <c r="E315" s="41" t="s">
        <v>1218</v>
      </c>
      <c r="F315" s="721"/>
      <c r="G315" s="228">
        <v>2023</v>
      </c>
      <c r="H315" s="35" t="s">
        <v>3479</v>
      </c>
    </row>
    <row r="316" spans="1:8" x14ac:dyDescent="0.35">
      <c r="A316" s="714"/>
      <c r="B316" s="51" t="s">
        <v>740</v>
      </c>
      <c r="C316" s="23" t="s">
        <v>741</v>
      </c>
      <c r="D316" s="23" t="s">
        <v>1135</v>
      </c>
      <c r="E316" s="41" t="s">
        <v>1219</v>
      </c>
      <c r="F316" s="721"/>
      <c r="G316" s="228">
        <v>2023</v>
      </c>
      <c r="H316" s="35" t="s">
        <v>3483</v>
      </c>
    </row>
    <row r="317" spans="1:8" x14ac:dyDescent="0.35">
      <c r="A317" s="711" t="s">
        <v>1220</v>
      </c>
      <c r="B317" s="95" t="s">
        <v>740</v>
      </c>
      <c r="C317" s="43" t="s">
        <v>741</v>
      </c>
      <c r="D317" s="23" t="s">
        <v>1135</v>
      </c>
      <c r="E317" s="39" t="s">
        <v>1221</v>
      </c>
      <c r="F317" s="721"/>
      <c r="G317" s="228">
        <v>2023</v>
      </c>
      <c r="H317" s="35" t="s">
        <v>3479</v>
      </c>
    </row>
    <row r="318" spans="1:8" x14ac:dyDescent="0.35">
      <c r="A318" s="711"/>
      <c r="B318" s="97" t="s">
        <v>740</v>
      </c>
      <c r="C318" s="43" t="s">
        <v>741</v>
      </c>
      <c r="D318" s="23" t="s">
        <v>1135</v>
      </c>
      <c r="E318" s="39" t="s">
        <v>1222</v>
      </c>
      <c r="F318" s="721"/>
      <c r="G318" s="228">
        <v>2023</v>
      </c>
      <c r="H318" s="35" t="s">
        <v>3483</v>
      </c>
    </row>
    <row r="319" spans="1:8" x14ac:dyDescent="0.35">
      <c r="A319" s="711" t="s">
        <v>1223</v>
      </c>
      <c r="B319" s="51" t="s">
        <v>740</v>
      </c>
      <c r="C319" s="23" t="s">
        <v>741</v>
      </c>
      <c r="D319" s="23" t="s">
        <v>1032</v>
      </c>
      <c r="E319" s="41" t="s">
        <v>1224</v>
      </c>
      <c r="F319" s="721"/>
      <c r="G319" s="228">
        <v>2017</v>
      </c>
      <c r="H319" s="35" t="s">
        <v>3483</v>
      </c>
    </row>
    <row r="320" spans="1:8" x14ac:dyDescent="0.35">
      <c r="A320" s="711"/>
      <c r="B320" s="51" t="s">
        <v>740</v>
      </c>
      <c r="C320" s="23" t="s">
        <v>741</v>
      </c>
      <c r="D320" s="64" t="s">
        <v>1135</v>
      </c>
      <c r="E320" s="39" t="s">
        <v>1225</v>
      </c>
      <c r="F320" s="721"/>
      <c r="G320" s="228">
        <v>2023</v>
      </c>
      <c r="H320" s="35" t="s">
        <v>3483</v>
      </c>
    </row>
    <row r="321" spans="1:8" x14ac:dyDescent="0.35">
      <c r="A321" s="711" t="s">
        <v>1226</v>
      </c>
      <c r="B321" s="51" t="s">
        <v>740</v>
      </c>
      <c r="C321" s="23" t="s">
        <v>741</v>
      </c>
      <c r="D321" s="41" t="s">
        <v>1135</v>
      </c>
      <c r="E321" s="23" t="s">
        <v>1227</v>
      </c>
      <c r="F321" s="721"/>
      <c r="G321" s="228">
        <v>2023</v>
      </c>
      <c r="H321" s="35" t="s">
        <v>3479</v>
      </c>
    </row>
    <row r="322" spans="1:8" x14ac:dyDescent="0.35">
      <c r="A322" s="711"/>
      <c r="B322" s="51" t="s">
        <v>740</v>
      </c>
      <c r="C322" s="23" t="s">
        <v>741</v>
      </c>
      <c r="D322" s="41" t="s">
        <v>1135</v>
      </c>
      <c r="E322" s="23" t="s">
        <v>1228</v>
      </c>
      <c r="F322" s="721"/>
      <c r="G322" s="228">
        <v>2023</v>
      </c>
      <c r="H322" s="35" t="s">
        <v>3483</v>
      </c>
    </row>
    <row r="323" spans="1:8" x14ac:dyDescent="0.35">
      <c r="A323" s="711" t="s">
        <v>330</v>
      </c>
      <c r="B323" s="51" t="s">
        <v>740</v>
      </c>
      <c r="C323" s="23" t="s">
        <v>741</v>
      </c>
      <c r="D323" s="41" t="s">
        <v>1135</v>
      </c>
      <c r="E323" s="23" t="s">
        <v>1229</v>
      </c>
      <c r="F323" s="721"/>
      <c r="G323" s="228">
        <v>2023</v>
      </c>
      <c r="H323" s="35" t="s">
        <v>3479</v>
      </c>
    </row>
    <row r="324" spans="1:8" x14ac:dyDescent="0.35">
      <c r="A324" s="711"/>
      <c r="B324" s="51" t="s">
        <v>740</v>
      </c>
      <c r="C324" s="23" t="s">
        <v>741</v>
      </c>
      <c r="D324" s="41" t="s">
        <v>1135</v>
      </c>
      <c r="E324" s="50" t="s">
        <v>1230</v>
      </c>
      <c r="F324" s="721"/>
      <c r="G324" s="228">
        <v>2023</v>
      </c>
      <c r="H324" s="35" t="s">
        <v>3479</v>
      </c>
    </row>
    <row r="325" spans="1:8" x14ac:dyDescent="0.35">
      <c r="A325" s="40" t="s">
        <v>1231</v>
      </c>
      <c r="B325" s="51" t="s">
        <v>740</v>
      </c>
      <c r="C325" s="23" t="s">
        <v>741</v>
      </c>
      <c r="D325" s="23" t="s">
        <v>742</v>
      </c>
      <c r="E325" s="36" t="s">
        <v>1232</v>
      </c>
      <c r="F325" s="721"/>
      <c r="G325" s="228">
        <v>2022</v>
      </c>
      <c r="H325" s="35" t="s">
        <v>3479</v>
      </c>
    </row>
    <row r="326" spans="1:8" x14ac:dyDescent="0.35">
      <c r="A326" s="711" t="s">
        <v>1283</v>
      </c>
      <c r="B326" s="51" t="s">
        <v>740</v>
      </c>
      <c r="C326" s="23" t="s">
        <v>741</v>
      </c>
      <c r="D326" s="23" t="s">
        <v>1135</v>
      </c>
      <c r="E326" s="41" t="s">
        <v>1234</v>
      </c>
      <c r="F326" s="721"/>
      <c r="G326" s="228">
        <v>2022</v>
      </c>
      <c r="H326" s="35" t="s">
        <v>3479</v>
      </c>
    </row>
    <row r="327" spans="1:8" x14ac:dyDescent="0.35">
      <c r="A327" s="711"/>
      <c r="B327" s="105" t="s">
        <v>740</v>
      </c>
      <c r="C327" s="78" t="s">
        <v>741</v>
      </c>
      <c r="D327" s="43" t="s">
        <v>1135</v>
      </c>
      <c r="E327" s="35" t="s">
        <v>1235</v>
      </c>
      <c r="F327" s="721"/>
      <c r="G327" s="228">
        <v>2022</v>
      </c>
      <c r="H327" s="35" t="s">
        <v>3479</v>
      </c>
    </row>
    <row r="328" spans="1:8" x14ac:dyDescent="0.35">
      <c r="A328" s="713" t="s">
        <v>1236</v>
      </c>
      <c r="B328" s="145" t="s">
        <v>740</v>
      </c>
      <c r="C328" s="23" t="s">
        <v>741</v>
      </c>
      <c r="D328" s="49" t="s">
        <v>1237</v>
      </c>
      <c r="E328" s="41" t="s">
        <v>1238</v>
      </c>
      <c r="F328" s="721"/>
      <c r="G328" s="228">
        <v>2022</v>
      </c>
      <c r="H328" s="35" t="s">
        <v>3479</v>
      </c>
    </row>
    <row r="329" spans="1:8" x14ac:dyDescent="0.35">
      <c r="A329" s="713"/>
      <c r="B329" s="51" t="s">
        <v>740</v>
      </c>
      <c r="C329" s="48" t="s">
        <v>741</v>
      </c>
      <c r="D329" s="49" t="s">
        <v>1032</v>
      </c>
      <c r="E329" s="41" t="s">
        <v>1239</v>
      </c>
      <c r="F329" s="722"/>
      <c r="G329" s="228">
        <v>2017</v>
      </c>
      <c r="H329" s="35" t="s">
        <v>3483</v>
      </c>
    </row>
    <row r="330" spans="1:8" hidden="1" x14ac:dyDescent="0.35">
      <c r="A330" s="253" t="s">
        <v>700</v>
      </c>
      <c r="B330" s="254"/>
      <c r="C330" s="255"/>
      <c r="D330" s="256"/>
      <c r="E330" s="257"/>
      <c r="F330" s="258" t="s">
        <v>1240</v>
      </c>
      <c r="G330" s="259"/>
    </row>
    <row r="331" spans="1:8" s="89" customFormat="1" x14ac:dyDescent="0.35">
      <c r="A331" s="633" t="s">
        <v>700</v>
      </c>
      <c r="B331" s="102" t="s">
        <v>740</v>
      </c>
      <c r="C331" s="48" t="s">
        <v>741</v>
      </c>
      <c r="D331" s="324" t="s">
        <v>1032</v>
      </c>
      <c r="E331" s="41" t="s">
        <v>6286</v>
      </c>
      <c r="F331" s="851"/>
      <c r="G331" s="229"/>
    </row>
    <row r="332" spans="1:8" x14ac:dyDescent="0.35">
      <c r="A332" s="711" t="s">
        <v>731</v>
      </c>
      <c r="B332" s="97" t="s">
        <v>740</v>
      </c>
      <c r="C332" s="36" t="s">
        <v>741</v>
      </c>
      <c r="D332" s="79" t="s">
        <v>1057</v>
      </c>
      <c r="E332" s="36" t="s">
        <v>1241</v>
      </c>
      <c r="F332" s="748" t="s">
        <v>1242</v>
      </c>
      <c r="G332" s="228">
        <v>2024</v>
      </c>
      <c r="H332" t="s">
        <v>3479</v>
      </c>
    </row>
    <row r="333" spans="1:8" x14ac:dyDescent="0.35">
      <c r="A333" s="715"/>
      <c r="B333" s="97" t="s">
        <v>740</v>
      </c>
      <c r="C333" s="36" t="s">
        <v>741</v>
      </c>
      <c r="D333" s="79" t="s">
        <v>748</v>
      </c>
      <c r="E333" s="41" t="s">
        <v>1243</v>
      </c>
      <c r="F333" s="756"/>
      <c r="G333" s="228">
        <v>2024</v>
      </c>
      <c r="H333" t="s">
        <v>3479</v>
      </c>
    </row>
    <row r="334" spans="1:8" x14ac:dyDescent="0.35">
      <c r="A334" s="714" t="s">
        <v>1244</v>
      </c>
      <c r="B334" s="99" t="s">
        <v>740</v>
      </c>
      <c r="C334" s="23" t="s">
        <v>741</v>
      </c>
      <c r="D334" s="23" t="s">
        <v>758</v>
      </c>
      <c r="E334" s="41" t="s">
        <v>1245</v>
      </c>
      <c r="F334" s="756"/>
      <c r="G334" s="228">
        <v>2017</v>
      </c>
      <c r="H334" s="35" t="s">
        <v>3483</v>
      </c>
    </row>
    <row r="335" spans="1:8" x14ac:dyDescent="0.35">
      <c r="A335" s="714"/>
      <c r="B335" s="99" t="s">
        <v>740</v>
      </c>
      <c r="C335" s="23" t="s">
        <v>741</v>
      </c>
      <c r="D335" s="23" t="s">
        <v>742</v>
      </c>
      <c r="E335" s="41" t="s">
        <v>1246</v>
      </c>
      <c r="F335" s="756"/>
      <c r="G335" s="228">
        <v>2022</v>
      </c>
      <c r="H335" s="35" t="s">
        <v>3483</v>
      </c>
    </row>
    <row r="336" spans="1:8" x14ac:dyDescent="0.35">
      <c r="A336" s="714" t="s">
        <v>1247</v>
      </c>
      <c r="B336" s="97" t="s">
        <v>740</v>
      </c>
      <c r="C336" s="41" t="s">
        <v>741</v>
      </c>
      <c r="D336" s="23" t="s">
        <v>1248</v>
      </c>
      <c r="E336" s="74" t="s">
        <v>1249</v>
      </c>
      <c r="F336" s="756"/>
      <c r="G336" s="228">
        <v>2015</v>
      </c>
      <c r="H336" t="s">
        <v>3479</v>
      </c>
    </row>
    <row r="337" spans="1:8" x14ac:dyDescent="0.35">
      <c r="A337" s="714"/>
      <c r="B337" s="97" t="s">
        <v>740</v>
      </c>
      <c r="C337" s="41" t="s">
        <v>741</v>
      </c>
      <c r="D337" s="23" t="s">
        <v>1250</v>
      </c>
      <c r="E337" s="45" t="s">
        <v>1251</v>
      </c>
      <c r="F337" s="756"/>
      <c r="G337" s="228">
        <v>2016</v>
      </c>
      <c r="H337" t="s">
        <v>3483</v>
      </c>
    </row>
    <row r="338" spans="1:8" x14ac:dyDescent="0.35">
      <c r="A338" s="19" t="s">
        <v>1252</v>
      </c>
      <c r="B338" s="99" t="s">
        <v>740</v>
      </c>
      <c r="C338" s="48" t="s">
        <v>741</v>
      </c>
      <c r="D338" s="42" t="s">
        <v>838</v>
      </c>
      <c r="E338" s="41" t="s">
        <v>1253</v>
      </c>
      <c r="F338" s="756"/>
      <c r="G338" s="228">
        <v>2022</v>
      </c>
      <c r="H338" t="s">
        <v>3479</v>
      </c>
    </row>
    <row r="339" spans="1:8" x14ac:dyDescent="0.35">
      <c r="A339" s="56" t="s">
        <v>1254</v>
      </c>
      <c r="B339" s="98" t="s">
        <v>740</v>
      </c>
      <c r="C339" s="50" t="s">
        <v>741</v>
      </c>
      <c r="D339" s="61" t="s">
        <v>753</v>
      </c>
      <c r="E339" s="35" t="s">
        <v>1255</v>
      </c>
      <c r="F339" s="756"/>
      <c r="G339" s="228">
        <v>2017</v>
      </c>
      <c r="H339" t="s">
        <v>3479</v>
      </c>
    </row>
    <row r="340" spans="1:8" x14ac:dyDescent="0.35">
      <c r="A340" s="739" t="s">
        <v>1256</v>
      </c>
      <c r="B340" s="51" t="s">
        <v>740</v>
      </c>
      <c r="C340" s="41" t="s">
        <v>741</v>
      </c>
      <c r="D340" s="42" t="s">
        <v>758</v>
      </c>
      <c r="E340" s="121" t="s">
        <v>1257</v>
      </c>
      <c r="F340" s="756" t="s">
        <v>1258</v>
      </c>
      <c r="G340" s="228">
        <v>2019</v>
      </c>
      <c r="H340" t="s">
        <v>3479</v>
      </c>
    </row>
    <row r="341" spans="1:8" x14ac:dyDescent="0.35">
      <c r="A341" s="739"/>
      <c r="B341" s="96" t="s">
        <v>740</v>
      </c>
      <c r="C341" s="41" t="s">
        <v>741</v>
      </c>
      <c r="D341" s="42" t="s">
        <v>758</v>
      </c>
      <c r="E341" s="118" t="s">
        <v>1259</v>
      </c>
      <c r="F341" s="756"/>
      <c r="G341" s="228">
        <v>2020</v>
      </c>
      <c r="H341" t="s">
        <v>3479</v>
      </c>
    </row>
    <row r="342" spans="1:8" x14ac:dyDescent="0.35">
      <c r="A342" s="711" t="s">
        <v>672</v>
      </c>
      <c r="B342" s="51" t="s">
        <v>740</v>
      </c>
      <c r="C342" s="23" t="s">
        <v>741</v>
      </c>
      <c r="D342" s="23" t="s">
        <v>1260</v>
      </c>
      <c r="E342" s="41" t="s">
        <v>1261</v>
      </c>
      <c r="F342" s="756"/>
      <c r="G342" s="228">
        <v>2024</v>
      </c>
      <c r="H342" s="35" t="s">
        <v>3479</v>
      </c>
    </row>
    <row r="343" spans="1:8" x14ac:dyDescent="0.35">
      <c r="A343" s="711"/>
      <c r="B343" s="51" t="s">
        <v>740</v>
      </c>
      <c r="C343" s="23" t="s">
        <v>741</v>
      </c>
      <c r="D343" s="23" t="s">
        <v>753</v>
      </c>
      <c r="E343" s="41" t="s">
        <v>1262</v>
      </c>
      <c r="F343" s="756"/>
      <c r="G343" s="228">
        <v>2024</v>
      </c>
      <c r="H343" s="35" t="s">
        <v>3479</v>
      </c>
    </row>
    <row r="344" spans="1:8" x14ac:dyDescent="0.35">
      <c r="A344" s="711" t="s">
        <v>1263</v>
      </c>
      <c r="B344" s="51" t="s">
        <v>740</v>
      </c>
      <c r="C344" s="23" t="s">
        <v>741</v>
      </c>
      <c r="D344" s="23" t="s">
        <v>748</v>
      </c>
      <c r="E344" s="41" t="s">
        <v>1264</v>
      </c>
      <c r="F344" s="756"/>
      <c r="G344" s="228">
        <v>2023</v>
      </c>
      <c r="H344" s="35" t="s">
        <v>3479</v>
      </c>
    </row>
    <row r="345" spans="1:8" x14ac:dyDescent="0.35">
      <c r="A345" s="711"/>
      <c r="B345" s="51" t="s">
        <v>740</v>
      </c>
      <c r="C345" s="23" t="s">
        <v>741</v>
      </c>
      <c r="D345" s="23" t="s">
        <v>1135</v>
      </c>
      <c r="E345" s="41" t="s">
        <v>1265</v>
      </c>
      <c r="F345" s="756"/>
      <c r="G345" s="228">
        <v>2023</v>
      </c>
      <c r="H345" s="35" t="s">
        <v>3479</v>
      </c>
    </row>
    <row r="346" spans="1:8" x14ac:dyDescent="0.35">
      <c r="A346" s="711" t="s">
        <v>516</v>
      </c>
      <c r="B346" s="51" t="s">
        <v>740</v>
      </c>
      <c r="C346" s="23" t="s">
        <v>741</v>
      </c>
      <c r="D346" s="23" t="s">
        <v>1266</v>
      </c>
      <c r="E346" s="41" t="s">
        <v>1267</v>
      </c>
      <c r="F346" s="756"/>
      <c r="G346" s="228">
        <v>2023</v>
      </c>
      <c r="H346" s="35" t="s">
        <v>3479</v>
      </c>
    </row>
    <row r="347" spans="1:8" x14ac:dyDescent="0.35">
      <c r="A347" s="711"/>
      <c r="B347" s="51" t="s">
        <v>740</v>
      </c>
      <c r="C347" s="23" t="s">
        <v>741</v>
      </c>
      <c r="D347" s="23" t="s">
        <v>1135</v>
      </c>
      <c r="E347" s="41" t="s">
        <v>1268</v>
      </c>
      <c r="F347" s="756"/>
      <c r="G347" s="228">
        <v>2023</v>
      </c>
      <c r="H347" s="35" t="s">
        <v>3479</v>
      </c>
    </row>
    <row r="348" spans="1:8" x14ac:dyDescent="0.35">
      <c r="A348" s="40" t="s">
        <v>1269</v>
      </c>
      <c r="B348" s="51" t="s">
        <v>740</v>
      </c>
      <c r="C348" s="41" t="s">
        <v>741</v>
      </c>
      <c r="D348" s="23" t="s">
        <v>795</v>
      </c>
      <c r="E348" s="45" t="s">
        <v>1272</v>
      </c>
      <c r="F348" s="718" t="s">
        <v>1271</v>
      </c>
      <c r="G348" s="228">
        <v>2021</v>
      </c>
      <c r="H348" t="s">
        <v>3479</v>
      </c>
    </row>
    <row r="349" spans="1:8" x14ac:dyDescent="0.35">
      <c r="A349" s="739" t="s">
        <v>1273</v>
      </c>
      <c r="B349" s="51" t="s">
        <v>740</v>
      </c>
      <c r="C349" s="41" t="s">
        <v>741</v>
      </c>
      <c r="D349" s="23" t="s">
        <v>753</v>
      </c>
      <c r="E349" s="80" t="s">
        <v>1274</v>
      </c>
      <c r="F349" s="852"/>
      <c r="G349" s="228">
        <v>2017</v>
      </c>
      <c r="H349" t="s">
        <v>3479</v>
      </c>
    </row>
    <row r="350" spans="1:8" x14ac:dyDescent="0.35">
      <c r="A350" s="739"/>
      <c r="B350" s="96" t="s">
        <v>740</v>
      </c>
      <c r="C350" s="39" t="s">
        <v>741</v>
      </c>
      <c r="D350" s="23" t="s">
        <v>848</v>
      </c>
      <c r="E350" s="68" t="s">
        <v>1275</v>
      </c>
      <c r="F350" s="852"/>
      <c r="G350" s="228">
        <v>2015</v>
      </c>
      <c r="H350" t="s">
        <v>3479</v>
      </c>
    </row>
    <row r="351" spans="1:8" x14ac:dyDescent="0.35">
      <c r="A351" s="739" t="s">
        <v>1276</v>
      </c>
      <c r="B351" s="51" t="s">
        <v>740</v>
      </c>
      <c r="C351" s="41" t="s">
        <v>741</v>
      </c>
      <c r="D351" s="23" t="s">
        <v>753</v>
      </c>
      <c r="E351" s="80" t="s">
        <v>1277</v>
      </c>
      <c r="F351" s="852"/>
      <c r="G351" s="228">
        <v>2016</v>
      </c>
      <c r="H351" t="s">
        <v>3479</v>
      </c>
    </row>
    <row r="352" spans="1:8" x14ac:dyDescent="0.35">
      <c r="A352" s="739"/>
      <c r="B352" s="96" t="s">
        <v>740</v>
      </c>
      <c r="C352" s="39" t="s">
        <v>741</v>
      </c>
      <c r="D352" s="23" t="s">
        <v>753</v>
      </c>
      <c r="E352" s="68" t="s">
        <v>1278</v>
      </c>
      <c r="F352" s="852"/>
      <c r="G352" s="228">
        <v>2015</v>
      </c>
      <c r="H352" t="s">
        <v>3479</v>
      </c>
    </row>
    <row r="353" spans="1:8" x14ac:dyDescent="0.35">
      <c r="A353" s="111"/>
      <c r="B353" s="97" t="s">
        <v>740</v>
      </c>
      <c r="C353" s="41" t="s">
        <v>741</v>
      </c>
      <c r="D353" s="49" t="s">
        <v>748</v>
      </c>
      <c r="E353" s="48" t="s">
        <v>1280</v>
      </c>
      <c r="F353" s="853"/>
      <c r="G353" s="228">
        <v>2023</v>
      </c>
      <c r="H353" t="s">
        <v>3479</v>
      </c>
    </row>
    <row r="354" spans="1:8" x14ac:dyDescent="0.35">
      <c r="A354" s="714" t="s">
        <v>507</v>
      </c>
      <c r="B354" s="51" t="s">
        <v>740</v>
      </c>
      <c r="C354" s="41" t="s">
        <v>741</v>
      </c>
      <c r="D354" s="50" t="s">
        <v>742</v>
      </c>
      <c r="E354" s="23" t="s">
        <v>1281</v>
      </c>
      <c r="F354" s="236" t="s">
        <v>1282</v>
      </c>
      <c r="G354" s="228">
        <v>2022</v>
      </c>
      <c r="H354" s="78" t="s">
        <v>3479</v>
      </c>
    </row>
    <row r="355" spans="1:8" x14ac:dyDescent="0.35">
      <c r="A355" s="714"/>
      <c r="B355" s="264" t="s">
        <v>740</v>
      </c>
      <c r="C355" s="257" t="s">
        <v>741</v>
      </c>
      <c r="D355" s="263" t="s">
        <v>742</v>
      </c>
      <c r="E355" s="255"/>
      <c r="F355" s="236"/>
      <c r="H355" t="s">
        <v>3479</v>
      </c>
    </row>
    <row r="356" spans="1:8" x14ac:dyDescent="0.35">
      <c r="A356" s="711" t="s">
        <v>6339</v>
      </c>
      <c r="B356" s="51" t="s">
        <v>740</v>
      </c>
      <c r="C356" s="41" t="s">
        <v>741</v>
      </c>
      <c r="D356" s="23" t="s">
        <v>753</v>
      </c>
      <c r="E356" s="55" t="s">
        <v>6436</v>
      </c>
      <c r="F356" s="236"/>
    </row>
    <row r="357" spans="1:8" x14ac:dyDescent="0.35">
      <c r="A357" s="715"/>
      <c r="B357" s="99" t="s">
        <v>1294</v>
      </c>
      <c r="C357" s="41" t="s">
        <v>741</v>
      </c>
      <c r="D357" s="50" t="s">
        <v>6437</v>
      </c>
      <c r="E357" s="55" t="s">
        <v>6438</v>
      </c>
      <c r="F357" s="236"/>
    </row>
    <row r="358" spans="1:8" x14ac:dyDescent="0.35">
      <c r="A358" s="19" t="s">
        <v>1285</v>
      </c>
      <c r="B358" s="51" t="s">
        <v>740</v>
      </c>
      <c r="C358" s="41" t="s">
        <v>741</v>
      </c>
      <c r="D358" s="23" t="s">
        <v>1032</v>
      </c>
      <c r="E358" s="55" t="s">
        <v>1299</v>
      </c>
      <c r="F358" s="236"/>
      <c r="G358" s="228">
        <v>2024</v>
      </c>
      <c r="H358" s="182" t="s">
        <v>3479</v>
      </c>
    </row>
    <row r="359" spans="1:8" x14ac:dyDescent="0.35">
      <c r="A359" s="711" t="s">
        <v>1287</v>
      </c>
      <c r="B359" s="99" t="s">
        <v>809</v>
      </c>
      <c r="C359" s="23" t="s">
        <v>741</v>
      </c>
      <c r="D359" s="23" t="s">
        <v>1289</v>
      </c>
      <c r="E359" s="43" t="s">
        <v>1290</v>
      </c>
      <c r="F359" s="236"/>
      <c r="H359" s="182"/>
    </row>
    <row r="360" spans="1:8" x14ac:dyDescent="0.35">
      <c r="A360" s="725"/>
      <c r="B360" s="99" t="s">
        <v>740</v>
      </c>
      <c r="C360" s="23" t="s">
        <v>741</v>
      </c>
      <c r="D360" s="50" t="s">
        <v>1032</v>
      </c>
      <c r="E360" s="23" t="s">
        <v>1288</v>
      </c>
      <c r="F360" s="236"/>
      <c r="G360" s="228">
        <v>2017</v>
      </c>
      <c r="H360" s="78" t="s">
        <v>3479</v>
      </c>
    </row>
    <row r="361" spans="1:8" ht="14.5" hidden="1" customHeight="1" x14ac:dyDescent="0.35">
      <c r="A361" s="715"/>
      <c r="B361" s="99" t="s">
        <v>809</v>
      </c>
      <c r="C361" s="23" t="s">
        <v>741</v>
      </c>
      <c r="D361" s="23" t="s">
        <v>1289</v>
      </c>
      <c r="E361" s="43" t="s">
        <v>1290</v>
      </c>
      <c r="F361" s="233"/>
    </row>
    <row r="362" spans="1:8" ht="14.5" customHeight="1" x14ac:dyDescent="0.35">
      <c r="A362" s="711" t="s">
        <v>1293</v>
      </c>
      <c r="B362" s="51" t="s">
        <v>1294</v>
      </c>
      <c r="C362" s="23" t="s">
        <v>741</v>
      </c>
      <c r="D362" s="23" t="s">
        <v>1295</v>
      </c>
      <c r="E362" s="23" t="s">
        <v>1296</v>
      </c>
      <c r="F362" s="233"/>
    </row>
    <row r="363" spans="1:8" x14ac:dyDescent="0.35">
      <c r="A363" s="715"/>
      <c r="B363" s="51" t="s">
        <v>1294</v>
      </c>
      <c r="C363" s="23" t="s">
        <v>741</v>
      </c>
      <c r="D363" s="23" t="s">
        <v>1295</v>
      </c>
      <c r="E363" s="23" t="s">
        <v>6287</v>
      </c>
      <c r="F363" s="236"/>
      <c r="G363" s="228">
        <v>2018</v>
      </c>
      <c r="H363" s="78" t="s">
        <v>3479</v>
      </c>
    </row>
    <row r="364" spans="1:8" ht="14.5" hidden="1" customHeight="1" x14ac:dyDescent="0.35">
      <c r="A364" s="711" t="s">
        <v>1293</v>
      </c>
      <c r="B364" s="51" t="s">
        <v>1294</v>
      </c>
      <c r="C364" s="23" t="s">
        <v>741</v>
      </c>
      <c r="D364" s="23" t="s">
        <v>1295</v>
      </c>
      <c r="E364" s="23" t="s">
        <v>1296</v>
      </c>
      <c r="F364" s="233"/>
    </row>
    <row r="365" spans="1:8" ht="14.5" hidden="1" customHeight="1" x14ac:dyDescent="0.35">
      <c r="A365" s="711"/>
      <c r="B365" s="51" t="s">
        <v>1294</v>
      </c>
      <c r="C365" s="23" t="s">
        <v>741</v>
      </c>
      <c r="D365" s="23" t="s">
        <v>1295</v>
      </c>
      <c r="E365" s="23" t="s">
        <v>1297</v>
      </c>
      <c r="F365" s="233"/>
    </row>
    <row r="366" spans="1:8" x14ac:dyDescent="0.35">
      <c r="A366" s="82" t="s">
        <v>501</v>
      </c>
      <c r="B366" s="106" t="s">
        <v>740</v>
      </c>
      <c r="C366" s="41" t="s">
        <v>741</v>
      </c>
      <c r="D366" s="23" t="s">
        <v>745</v>
      </c>
      <c r="E366" s="83" t="s">
        <v>1300</v>
      </c>
      <c r="F366" s="747" t="s">
        <v>1301</v>
      </c>
      <c r="G366" s="228">
        <v>2018</v>
      </c>
      <c r="H366" t="s">
        <v>3479</v>
      </c>
    </row>
    <row r="367" spans="1:8" x14ac:dyDescent="0.35">
      <c r="A367" s="84" t="s">
        <v>1302</v>
      </c>
      <c r="B367" s="107" t="s">
        <v>740</v>
      </c>
      <c r="C367" s="41" t="s">
        <v>741</v>
      </c>
      <c r="D367" s="23" t="s">
        <v>745</v>
      </c>
      <c r="E367" s="83" t="s">
        <v>1303</v>
      </c>
      <c r="F367" s="747"/>
      <c r="G367" s="228">
        <v>2018</v>
      </c>
      <c r="H367" t="s">
        <v>3479</v>
      </c>
    </row>
    <row r="368" spans="1:8" x14ac:dyDescent="0.35">
      <c r="A368" s="67" t="s">
        <v>490</v>
      </c>
      <c r="B368" s="141" t="s">
        <v>740</v>
      </c>
      <c r="C368" s="36" t="s">
        <v>741</v>
      </c>
      <c r="D368" s="36" t="s">
        <v>745</v>
      </c>
      <c r="E368" s="119" t="s">
        <v>1304</v>
      </c>
      <c r="F368" s="747"/>
      <c r="G368" s="228">
        <v>2019</v>
      </c>
      <c r="H368" t="s">
        <v>3479</v>
      </c>
    </row>
    <row r="369" spans="1:8" x14ac:dyDescent="0.35">
      <c r="A369" s="714" t="s">
        <v>677</v>
      </c>
      <c r="B369" s="100" t="s">
        <v>740</v>
      </c>
      <c r="C369" s="50" t="s">
        <v>741</v>
      </c>
      <c r="D369" s="36" t="s">
        <v>1057</v>
      </c>
      <c r="E369" s="50" t="s">
        <v>1305</v>
      </c>
      <c r="F369" s="239" t="s">
        <v>1306</v>
      </c>
      <c r="G369" s="228">
        <v>2023</v>
      </c>
      <c r="H369" s="78" t="s">
        <v>3483</v>
      </c>
    </row>
    <row r="370" spans="1:8" x14ac:dyDescent="0.35">
      <c r="A370" s="714"/>
      <c r="B370" s="99" t="s">
        <v>740</v>
      </c>
      <c r="C370" s="23" t="s">
        <v>741</v>
      </c>
      <c r="D370" s="23" t="s">
        <v>745</v>
      </c>
      <c r="E370" s="50" t="s">
        <v>1307</v>
      </c>
      <c r="F370" s="236"/>
      <c r="G370" s="228">
        <v>2018</v>
      </c>
      <c r="H370" s="78" t="s">
        <v>3479</v>
      </c>
    </row>
    <row r="371" spans="1:8" x14ac:dyDescent="0.35">
      <c r="A371" s="144" t="s">
        <v>1308</v>
      </c>
      <c r="B371" s="92" t="s">
        <v>740</v>
      </c>
      <c r="C371" s="23" t="s">
        <v>741</v>
      </c>
      <c r="D371" s="23" t="s">
        <v>748</v>
      </c>
      <c r="E371" s="31" t="s">
        <v>1309</v>
      </c>
      <c r="F371" s="236"/>
      <c r="G371" s="228">
        <v>2023</v>
      </c>
      <c r="H371" s="35" t="s">
        <v>3483</v>
      </c>
    </row>
    <row r="372" spans="1:8" x14ac:dyDescent="0.35">
      <c r="A372" s="755" t="s">
        <v>1310</v>
      </c>
      <c r="B372" s="92" t="s">
        <v>740</v>
      </c>
      <c r="C372" s="45" t="s">
        <v>741</v>
      </c>
      <c r="D372" s="23" t="s">
        <v>753</v>
      </c>
      <c r="E372" s="83" t="s">
        <v>1311</v>
      </c>
      <c r="F372" s="236"/>
      <c r="G372" s="228">
        <v>2017</v>
      </c>
      <c r="H372" s="35" t="s">
        <v>3479</v>
      </c>
    </row>
    <row r="373" spans="1:8" x14ac:dyDescent="0.35">
      <c r="A373" s="744"/>
      <c r="B373" s="141" t="s">
        <v>740</v>
      </c>
      <c r="C373" s="127" t="s">
        <v>741</v>
      </c>
      <c r="D373" s="43" t="s">
        <v>1057</v>
      </c>
      <c r="E373" s="85" t="s">
        <v>1312</v>
      </c>
      <c r="F373" s="236"/>
      <c r="G373" s="228">
        <v>2024</v>
      </c>
      <c r="H373" t="s">
        <v>3479</v>
      </c>
    </row>
    <row r="374" spans="1:8" x14ac:dyDescent="0.35">
      <c r="A374" s="84" t="s">
        <v>1313</v>
      </c>
      <c r="B374" s="108" t="s">
        <v>740</v>
      </c>
      <c r="C374" s="39" t="s">
        <v>741</v>
      </c>
      <c r="D374" s="43" t="s">
        <v>745</v>
      </c>
      <c r="E374" s="85" t="s">
        <v>1314</v>
      </c>
      <c r="F374" s="236"/>
      <c r="G374" s="228">
        <v>2019</v>
      </c>
      <c r="H374" t="s">
        <v>3479</v>
      </c>
    </row>
    <row r="375" spans="1:8" x14ac:dyDescent="0.35">
      <c r="A375" s="91" t="s">
        <v>1315</v>
      </c>
      <c r="B375" s="97" t="s">
        <v>740</v>
      </c>
      <c r="C375" s="41" t="s">
        <v>741</v>
      </c>
      <c r="D375" s="23" t="s">
        <v>753</v>
      </c>
      <c r="E375" s="45" t="s">
        <v>1316</v>
      </c>
      <c r="F375" s="236"/>
      <c r="G375" s="228">
        <v>2016</v>
      </c>
      <c r="H375" s="35" t="s">
        <v>3479</v>
      </c>
    </row>
    <row r="376" spans="1:8" x14ac:dyDescent="0.35">
      <c r="A376" s="19" t="s">
        <v>6290</v>
      </c>
      <c r="B376" s="51" t="s">
        <v>740</v>
      </c>
      <c r="C376" s="23" t="s">
        <v>741</v>
      </c>
      <c r="D376" s="23" t="s">
        <v>1057</v>
      </c>
      <c r="E376" s="23" t="s">
        <v>1477</v>
      </c>
      <c r="F376" s="236"/>
      <c r="H376" s="815"/>
    </row>
    <row r="377" spans="1:8" x14ac:dyDescent="0.35">
      <c r="A377" s="19" t="s">
        <v>1319</v>
      </c>
      <c r="B377" s="51" t="s">
        <v>740</v>
      </c>
      <c r="C377" s="23" t="s">
        <v>741</v>
      </c>
      <c r="D377" s="23" t="s">
        <v>1057</v>
      </c>
      <c r="E377" s="23" t="s">
        <v>1320</v>
      </c>
      <c r="F377" s="236"/>
      <c r="G377" s="228">
        <v>2024</v>
      </c>
      <c r="H377" s="78" t="s">
        <v>3479</v>
      </c>
    </row>
    <row r="378" spans="1:8" x14ac:dyDescent="0.35">
      <c r="A378" s="711" t="s">
        <v>693</v>
      </c>
      <c r="B378" s="104" t="s">
        <v>740</v>
      </c>
      <c r="C378" s="796" t="s">
        <v>741</v>
      </c>
      <c r="D378" s="796" t="s">
        <v>748</v>
      </c>
      <c r="E378" s="796" t="s">
        <v>6291</v>
      </c>
      <c r="F378" s="236" t="s">
        <v>1321</v>
      </c>
      <c r="H378" s="815"/>
    </row>
    <row r="379" spans="1:8" x14ac:dyDescent="0.35">
      <c r="A379" s="715"/>
      <c r="B379" s="51" t="s">
        <v>740</v>
      </c>
      <c r="C379" s="23" t="s">
        <v>741</v>
      </c>
      <c r="D379" s="43" t="s">
        <v>748</v>
      </c>
      <c r="E379" s="23" t="s">
        <v>6292</v>
      </c>
      <c r="F379" s="236"/>
      <c r="H379" s="815"/>
    </row>
    <row r="380" spans="1:8" hidden="1" x14ac:dyDescent="0.35">
      <c r="A380" s="19"/>
      <c r="B380" s="260" t="s">
        <v>1294</v>
      </c>
      <c r="C380" s="255" t="s">
        <v>741</v>
      </c>
      <c r="D380" s="263" t="s">
        <v>1322</v>
      </c>
      <c r="E380" s="255"/>
      <c r="F380" s="632"/>
      <c r="G380" s="259"/>
    </row>
    <row r="381" spans="1:8" ht="16" x14ac:dyDescent="0.4">
      <c r="A381" s="19" t="s">
        <v>430</v>
      </c>
      <c r="B381" s="51" t="s">
        <v>740</v>
      </c>
      <c r="C381" s="41" t="s">
        <v>741</v>
      </c>
      <c r="D381" s="23" t="s">
        <v>795</v>
      </c>
      <c r="E381" s="235" t="s">
        <v>1323</v>
      </c>
      <c r="F381" s="233" t="s">
        <v>1324</v>
      </c>
      <c r="G381" s="228">
        <v>2024</v>
      </c>
      <c r="H381" t="s">
        <v>3479</v>
      </c>
    </row>
    <row r="382" spans="1:8" x14ac:dyDescent="0.35">
      <c r="A382" s="19" t="s">
        <v>1325</v>
      </c>
      <c r="B382" s="51" t="s">
        <v>740</v>
      </c>
      <c r="C382" s="23" t="s">
        <v>741</v>
      </c>
      <c r="D382" s="50" t="s">
        <v>1326</v>
      </c>
      <c r="E382" s="23" t="s">
        <v>1327</v>
      </c>
      <c r="F382" s="233"/>
      <c r="G382" s="228">
        <v>2018</v>
      </c>
      <c r="H382" s="78" t="s">
        <v>3479</v>
      </c>
    </row>
    <row r="383" spans="1:8" x14ac:dyDescent="0.35">
      <c r="A383" s="19" t="s">
        <v>1328</v>
      </c>
      <c r="B383" s="51" t="s">
        <v>740</v>
      </c>
      <c r="C383" s="23" t="s">
        <v>741</v>
      </c>
      <c r="D383" s="23" t="s">
        <v>1326</v>
      </c>
      <c r="E383" s="23" t="s">
        <v>1329</v>
      </c>
      <c r="F383" s="233"/>
      <c r="G383" s="228">
        <v>2017</v>
      </c>
      <c r="H383" s="78" t="s">
        <v>3479</v>
      </c>
    </row>
    <row r="384" spans="1:8" s="89" customFormat="1" x14ac:dyDescent="0.35">
      <c r="A384" s="243" t="s">
        <v>1330</v>
      </c>
      <c r="B384" s="104" t="s">
        <v>740</v>
      </c>
      <c r="C384" s="796" t="s">
        <v>741</v>
      </c>
      <c r="D384" s="796" t="s">
        <v>753</v>
      </c>
      <c r="E384" s="796" t="s">
        <v>6296</v>
      </c>
      <c r="F384" s="860"/>
      <c r="G384" s="229"/>
    </row>
    <row r="385" spans="1:8" ht="15.5" x14ac:dyDescent="0.35">
      <c r="A385" s="711" t="s">
        <v>1331</v>
      </c>
      <c r="B385" s="51" t="s">
        <v>740</v>
      </c>
      <c r="C385" s="23" t="s">
        <v>741</v>
      </c>
      <c r="D385" s="23" t="s">
        <v>758</v>
      </c>
      <c r="E385" s="86" t="s">
        <v>1332</v>
      </c>
      <c r="F385" s="233"/>
      <c r="G385" s="228">
        <v>2024</v>
      </c>
      <c r="H385" t="s">
        <v>3479</v>
      </c>
    </row>
    <row r="386" spans="1:8" x14ac:dyDescent="0.35">
      <c r="A386" s="715"/>
      <c r="B386" s="51" t="s">
        <v>740</v>
      </c>
      <c r="C386" s="23" t="s">
        <v>741</v>
      </c>
      <c r="D386" s="64" t="s">
        <v>1057</v>
      </c>
      <c r="E386" s="23" t="s">
        <v>1333</v>
      </c>
      <c r="F386" s="233"/>
      <c r="G386" s="228">
        <v>2018</v>
      </c>
      <c r="H386" t="s">
        <v>3479</v>
      </c>
    </row>
    <row r="387" spans="1:8" x14ac:dyDescent="0.35">
      <c r="A387" s="711" t="s">
        <v>1334</v>
      </c>
      <c r="B387" s="51" t="s">
        <v>740</v>
      </c>
      <c r="C387" s="23" t="s">
        <v>741</v>
      </c>
      <c r="D387" s="23" t="s">
        <v>1326</v>
      </c>
      <c r="E387" s="23" t="s">
        <v>1335</v>
      </c>
      <c r="F387" s="233"/>
      <c r="G387" s="228">
        <v>2018</v>
      </c>
      <c r="H387" s="78" t="s">
        <v>3479</v>
      </c>
    </row>
    <row r="388" spans="1:8" x14ac:dyDescent="0.35">
      <c r="A388" s="715"/>
      <c r="B388" s="51" t="s">
        <v>740</v>
      </c>
      <c r="C388" s="23" t="s">
        <v>741</v>
      </c>
      <c r="D388" s="49" t="s">
        <v>917</v>
      </c>
      <c r="E388" s="62" t="s">
        <v>1336</v>
      </c>
      <c r="F388" s="233"/>
      <c r="G388" s="228">
        <v>2015</v>
      </c>
      <c r="H388" t="s">
        <v>3483</v>
      </c>
    </row>
    <row r="389" spans="1:8" x14ac:dyDescent="0.35">
      <c r="A389" s="711" t="s">
        <v>495</v>
      </c>
      <c r="B389" s="51" t="s">
        <v>740</v>
      </c>
      <c r="C389" s="23" t="s">
        <v>741</v>
      </c>
      <c r="D389" s="23" t="s">
        <v>745</v>
      </c>
      <c r="E389" s="23" t="s">
        <v>1337</v>
      </c>
      <c r="F389" s="233"/>
      <c r="G389" s="228">
        <v>2020</v>
      </c>
      <c r="H389" s="78" t="s">
        <v>3479</v>
      </c>
    </row>
    <row r="390" spans="1:8" x14ac:dyDescent="0.35">
      <c r="A390" s="715"/>
      <c r="B390" s="51" t="s">
        <v>740</v>
      </c>
      <c r="C390" s="23" t="s">
        <v>741</v>
      </c>
      <c r="D390" s="31" t="s">
        <v>753</v>
      </c>
      <c r="E390" s="80" t="s">
        <v>1338</v>
      </c>
      <c r="F390" s="233"/>
      <c r="G390" s="228">
        <v>2016</v>
      </c>
      <c r="H390" t="s">
        <v>3479</v>
      </c>
    </row>
    <row r="391" spans="1:8" x14ac:dyDescent="0.35">
      <c r="A391" s="754" t="s">
        <v>6216</v>
      </c>
      <c r="B391" s="51" t="s">
        <v>740</v>
      </c>
      <c r="C391" s="23" t="s">
        <v>741</v>
      </c>
      <c r="D391" s="510" t="s">
        <v>855</v>
      </c>
      <c r="E391" s="854" t="s">
        <v>1410</v>
      </c>
      <c r="F391" s="233"/>
    </row>
    <row r="392" spans="1:8" s="6" customFormat="1" x14ac:dyDescent="0.35">
      <c r="A392" s="733"/>
      <c r="B392" s="100" t="s">
        <v>740</v>
      </c>
      <c r="C392" s="50" t="s">
        <v>741</v>
      </c>
      <c r="D392" s="53" t="s">
        <v>745</v>
      </c>
      <c r="E392" s="54" t="s">
        <v>858</v>
      </c>
      <c r="F392" s="236"/>
      <c r="G392" s="228">
        <v>2020</v>
      </c>
      <c r="H392" s="6" t="s">
        <v>3479</v>
      </c>
    </row>
    <row r="393" spans="1:8" x14ac:dyDescent="0.35">
      <c r="A393" s="711" t="s">
        <v>611</v>
      </c>
      <c r="B393" s="99" t="s">
        <v>740</v>
      </c>
      <c r="C393" s="23" t="s">
        <v>741</v>
      </c>
      <c r="D393" s="23" t="s">
        <v>753</v>
      </c>
      <c r="E393" s="23" t="s">
        <v>1339</v>
      </c>
      <c r="F393" s="233"/>
      <c r="G393" s="228">
        <v>2017</v>
      </c>
      <c r="H393" s="78" t="s">
        <v>3479</v>
      </c>
    </row>
    <row r="394" spans="1:8" x14ac:dyDescent="0.35">
      <c r="A394" s="715"/>
      <c r="B394" s="95" t="s">
        <v>740</v>
      </c>
      <c r="C394" s="39" t="s">
        <v>741</v>
      </c>
      <c r="D394" s="41" t="s">
        <v>748</v>
      </c>
      <c r="E394" s="72" t="s">
        <v>1340</v>
      </c>
      <c r="F394" s="233"/>
      <c r="G394" s="228">
        <v>2024</v>
      </c>
      <c r="H394" t="s">
        <v>3479</v>
      </c>
    </row>
    <row r="395" spans="1:8" x14ac:dyDescent="0.35">
      <c r="A395" s="711" t="s">
        <v>1341</v>
      </c>
      <c r="B395" s="51" t="s">
        <v>740</v>
      </c>
      <c r="C395" s="23" t="s">
        <v>741</v>
      </c>
      <c r="D395" s="23" t="s">
        <v>745</v>
      </c>
      <c r="E395" s="23" t="s">
        <v>1342</v>
      </c>
      <c r="F395" s="720" t="s">
        <v>1343</v>
      </c>
      <c r="G395" s="228">
        <v>2018</v>
      </c>
      <c r="H395" s="78" t="s">
        <v>3479</v>
      </c>
    </row>
    <row r="396" spans="1:8" x14ac:dyDescent="0.35">
      <c r="A396" s="715"/>
      <c r="B396" s="99" t="s">
        <v>740</v>
      </c>
      <c r="C396" s="23" t="s">
        <v>741</v>
      </c>
      <c r="D396" s="31" t="s">
        <v>753</v>
      </c>
      <c r="E396" s="80" t="s">
        <v>1344</v>
      </c>
      <c r="F396" s="720"/>
      <c r="G396" s="228">
        <v>2016</v>
      </c>
      <c r="H396" s="35" t="s">
        <v>3479</v>
      </c>
    </row>
    <row r="397" spans="1:8" x14ac:dyDescent="0.35">
      <c r="A397" s="714" t="s">
        <v>1345</v>
      </c>
      <c r="B397" s="99" t="s">
        <v>740</v>
      </c>
      <c r="C397" s="23" t="s">
        <v>741</v>
      </c>
      <c r="D397" s="23" t="s">
        <v>745</v>
      </c>
      <c r="E397" s="23" t="s">
        <v>1346</v>
      </c>
      <c r="F397" s="720"/>
      <c r="G397" s="228">
        <v>2020</v>
      </c>
      <c r="H397" s="78" t="s">
        <v>3479</v>
      </c>
    </row>
    <row r="398" spans="1:8" x14ac:dyDescent="0.35">
      <c r="A398" s="714"/>
      <c r="B398" s="99" t="s">
        <v>740</v>
      </c>
      <c r="C398" s="23" t="s">
        <v>741</v>
      </c>
      <c r="D398" s="23" t="s">
        <v>753</v>
      </c>
      <c r="E398" s="23" t="s">
        <v>1347</v>
      </c>
      <c r="F398" s="720"/>
      <c r="G398" s="228">
        <v>2017</v>
      </c>
      <c r="H398" s="35" t="s">
        <v>3479</v>
      </c>
    </row>
    <row r="399" spans="1:8" x14ac:dyDescent="0.35">
      <c r="A399" s="714" t="s">
        <v>336</v>
      </c>
      <c r="B399" s="99" t="s">
        <v>740</v>
      </c>
      <c r="C399" s="23" t="s">
        <v>741</v>
      </c>
      <c r="D399" s="23" t="s">
        <v>758</v>
      </c>
      <c r="E399" s="23" t="s">
        <v>1348</v>
      </c>
      <c r="F399" s="754" t="s">
        <v>1349</v>
      </c>
      <c r="G399" s="228">
        <v>2018</v>
      </c>
      <c r="H399" s="78" t="s">
        <v>3479</v>
      </c>
    </row>
    <row r="400" spans="1:8" x14ac:dyDescent="0.35">
      <c r="A400" s="711"/>
      <c r="B400" s="99" t="s">
        <v>740</v>
      </c>
      <c r="C400" s="23" t="s">
        <v>741</v>
      </c>
      <c r="D400" s="23" t="s">
        <v>1057</v>
      </c>
      <c r="E400" s="23" t="s">
        <v>1350</v>
      </c>
      <c r="F400" s="754"/>
      <c r="G400" s="228">
        <v>2024</v>
      </c>
      <c r="H400" s="78" t="s">
        <v>3479</v>
      </c>
    </row>
    <row r="401" spans="1:8" x14ac:dyDescent="0.35">
      <c r="A401" s="749" t="s">
        <v>1351</v>
      </c>
      <c r="B401" s="157" t="s">
        <v>740</v>
      </c>
      <c r="C401" s="41" t="s">
        <v>741</v>
      </c>
      <c r="D401" s="23" t="s">
        <v>748</v>
      </c>
      <c r="E401" s="43" t="s">
        <v>1352</v>
      </c>
      <c r="F401" s="754"/>
      <c r="G401" s="228">
        <v>2024</v>
      </c>
      <c r="H401" s="78" t="s">
        <v>3479</v>
      </c>
    </row>
    <row r="402" spans="1:8" x14ac:dyDescent="0.35">
      <c r="A402" s="749"/>
      <c r="B402" s="157" t="s">
        <v>740</v>
      </c>
      <c r="C402" s="41" t="s">
        <v>741</v>
      </c>
      <c r="D402" s="41" t="s">
        <v>829</v>
      </c>
      <c r="E402" s="23" t="s">
        <v>1353</v>
      </c>
      <c r="F402" s="754"/>
      <c r="G402" s="228">
        <v>2017</v>
      </c>
      <c r="H402" s="35" t="s">
        <v>3479</v>
      </c>
    </row>
    <row r="403" spans="1:8" x14ac:dyDescent="0.35">
      <c r="A403" s="19" t="s">
        <v>1354</v>
      </c>
      <c r="B403" s="99" t="s">
        <v>740</v>
      </c>
      <c r="C403" s="23" t="s">
        <v>741</v>
      </c>
      <c r="D403" s="23" t="s">
        <v>1298</v>
      </c>
      <c r="E403" s="23" t="s">
        <v>1355</v>
      </c>
      <c r="F403" s="754"/>
      <c r="G403" s="228">
        <v>2015</v>
      </c>
      <c r="H403" s="35" t="s">
        <v>3479</v>
      </c>
    </row>
    <row r="404" spans="1:8" x14ac:dyDescent="0.35">
      <c r="A404" s="143" t="s">
        <v>67</v>
      </c>
      <c r="B404" s="92" t="s">
        <v>740</v>
      </c>
      <c r="C404" s="41" t="s">
        <v>741</v>
      </c>
      <c r="D404" s="23" t="s">
        <v>753</v>
      </c>
      <c r="E404" s="50" t="s">
        <v>1356</v>
      </c>
      <c r="F404" s="754"/>
      <c r="G404" s="228">
        <v>2017</v>
      </c>
      <c r="H404" s="35" t="s">
        <v>3479</v>
      </c>
    </row>
    <row r="405" spans="1:8" x14ac:dyDescent="0.35">
      <c r="A405" s="714" t="s">
        <v>402</v>
      </c>
      <c r="B405" s="99" t="s">
        <v>740</v>
      </c>
      <c r="C405" s="23" t="s">
        <v>741</v>
      </c>
      <c r="D405" s="43" t="s">
        <v>758</v>
      </c>
      <c r="E405" s="39" t="s">
        <v>1357</v>
      </c>
      <c r="F405" s="720" t="s">
        <v>1358</v>
      </c>
      <c r="G405" s="228">
        <v>2019</v>
      </c>
      <c r="H405" s="35" t="s">
        <v>3479</v>
      </c>
    </row>
    <row r="406" spans="1:8" x14ac:dyDescent="0.35">
      <c r="A406" s="714"/>
      <c r="B406" s="95" t="s">
        <v>740</v>
      </c>
      <c r="C406" s="39" t="s">
        <v>741</v>
      </c>
      <c r="D406" s="39" t="s">
        <v>848</v>
      </c>
      <c r="E406" s="41" t="s">
        <v>1359</v>
      </c>
      <c r="F406" s="720"/>
      <c r="G406" s="228">
        <v>2015</v>
      </c>
      <c r="H406" s="35" t="s">
        <v>3479</v>
      </c>
    </row>
    <row r="407" spans="1:8" x14ac:dyDescent="0.35">
      <c r="A407" s="19" t="s">
        <v>1360</v>
      </c>
      <c r="B407" s="97" t="s">
        <v>740</v>
      </c>
      <c r="C407" s="41" t="s">
        <v>741</v>
      </c>
      <c r="D407" s="23" t="s">
        <v>798</v>
      </c>
      <c r="E407" s="45" t="s">
        <v>1361</v>
      </c>
      <c r="F407" s="720"/>
      <c r="G407" s="228">
        <v>2022</v>
      </c>
      <c r="H407" t="s">
        <v>3479</v>
      </c>
    </row>
    <row r="408" spans="1:8" x14ac:dyDescent="0.35">
      <c r="A408" s="19" t="s">
        <v>1362</v>
      </c>
      <c r="B408" s="51" t="s">
        <v>740</v>
      </c>
      <c r="C408" s="23" t="s">
        <v>741</v>
      </c>
      <c r="D408" s="23" t="s">
        <v>848</v>
      </c>
      <c r="E408" s="45" t="s">
        <v>1363</v>
      </c>
      <c r="F408" s="236" t="s">
        <v>1364</v>
      </c>
      <c r="G408" s="228">
        <v>2015</v>
      </c>
      <c r="H408" s="35" t="s">
        <v>3479</v>
      </c>
    </row>
    <row r="409" spans="1:8" x14ac:dyDescent="0.35">
      <c r="A409" s="19" t="s">
        <v>1365</v>
      </c>
      <c r="B409" s="51" t="s">
        <v>740</v>
      </c>
      <c r="C409" s="23" t="s">
        <v>741</v>
      </c>
      <c r="D409" s="23" t="s">
        <v>758</v>
      </c>
      <c r="E409" s="23" t="s">
        <v>1366</v>
      </c>
      <c r="F409" s="236"/>
      <c r="G409" s="228">
        <v>2019</v>
      </c>
      <c r="H409" s="78" t="s">
        <v>3479</v>
      </c>
    </row>
    <row r="410" spans="1:8" x14ac:dyDescent="0.35">
      <c r="A410" s="44" t="s">
        <v>1367</v>
      </c>
      <c r="B410" s="98" t="s">
        <v>740</v>
      </c>
      <c r="C410" s="50" t="s">
        <v>741</v>
      </c>
      <c r="D410" s="50" t="s">
        <v>758</v>
      </c>
      <c r="E410" s="50" t="s">
        <v>1318</v>
      </c>
      <c r="F410" s="236"/>
      <c r="G410" s="228">
        <v>2019</v>
      </c>
      <c r="H410" s="78" t="s">
        <v>3479</v>
      </c>
    </row>
    <row r="411" spans="1:8" x14ac:dyDescent="0.35">
      <c r="A411" s="19" t="s">
        <v>1369</v>
      </c>
      <c r="B411" s="51" t="s">
        <v>740</v>
      </c>
      <c r="C411" s="23" t="s">
        <v>741</v>
      </c>
      <c r="D411" s="23" t="s">
        <v>758</v>
      </c>
      <c r="E411" s="23" t="s">
        <v>1370</v>
      </c>
      <c r="F411" s="177" t="s">
        <v>1369</v>
      </c>
      <c r="G411" s="228">
        <v>2019</v>
      </c>
      <c r="H411" s="78" t="s">
        <v>3479</v>
      </c>
    </row>
    <row r="412" spans="1:8" x14ac:dyDescent="0.35">
      <c r="A412" s="714" t="s">
        <v>1371</v>
      </c>
      <c r="B412" s="51" t="s">
        <v>740</v>
      </c>
      <c r="C412" s="23" t="s">
        <v>741</v>
      </c>
      <c r="D412" s="23" t="s">
        <v>745</v>
      </c>
      <c r="E412" s="23" t="s">
        <v>1372</v>
      </c>
      <c r="F412" s="236" t="s">
        <v>1373</v>
      </c>
      <c r="G412" s="228">
        <v>2018</v>
      </c>
      <c r="H412" s="78" t="s">
        <v>3479</v>
      </c>
    </row>
    <row r="413" spans="1:8" x14ac:dyDescent="0.35">
      <c r="A413" s="714"/>
      <c r="B413" s="51" t="s">
        <v>740</v>
      </c>
      <c r="C413" s="23" t="s">
        <v>741</v>
      </c>
      <c r="D413" s="43" t="s">
        <v>798</v>
      </c>
      <c r="E413" s="43" t="s">
        <v>1374</v>
      </c>
      <c r="F413" s="236"/>
      <c r="G413" s="228">
        <v>2022</v>
      </c>
      <c r="H413" s="35" t="s">
        <v>3479</v>
      </c>
    </row>
    <row r="414" spans="1:8" x14ac:dyDescent="0.35">
      <c r="A414" s="744" t="s">
        <v>1375</v>
      </c>
      <c r="B414" s="99" t="s">
        <v>740</v>
      </c>
      <c r="C414" s="41" t="s">
        <v>741</v>
      </c>
      <c r="D414" s="23"/>
      <c r="E414" s="80" t="s">
        <v>1376</v>
      </c>
      <c r="F414" s="236" t="s">
        <v>1377</v>
      </c>
      <c r="G414" s="228">
        <v>2018</v>
      </c>
      <c r="H414" t="s">
        <v>3479</v>
      </c>
    </row>
    <row r="415" spans="1:8" x14ac:dyDescent="0.35">
      <c r="A415" s="744"/>
      <c r="B415" s="99" t="s">
        <v>740</v>
      </c>
      <c r="C415" s="41" t="s">
        <v>741</v>
      </c>
      <c r="D415" s="23"/>
      <c r="E415" s="80" t="s">
        <v>1378</v>
      </c>
      <c r="F415" s="236"/>
      <c r="G415" s="228">
        <v>2018</v>
      </c>
      <c r="H415" t="s">
        <v>3479</v>
      </c>
    </row>
    <row r="416" spans="1:8" x14ac:dyDescent="0.35">
      <c r="A416" s="155" t="s">
        <v>1379</v>
      </c>
      <c r="B416" s="99" t="s">
        <v>740</v>
      </c>
      <c r="C416" s="41" t="s">
        <v>741</v>
      </c>
      <c r="D416" s="23"/>
      <c r="E416" s="55" t="s">
        <v>1380</v>
      </c>
      <c r="F416" s="236"/>
      <c r="G416" s="228">
        <v>2023</v>
      </c>
      <c r="H416" s="35" t="s">
        <v>3479</v>
      </c>
    </row>
    <row r="417" spans="1:8" x14ac:dyDescent="0.35">
      <c r="A417" s="155" t="s">
        <v>1381</v>
      </c>
      <c r="B417" s="96" t="s">
        <v>740</v>
      </c>
      <c r="C417" s="39" t="s">
        <v>741</v>
      </c>
      <c r="D417" s="23"/>
      <c r="E417" s="48" t="s">
        <v>1382</v>
      </c>
      <c r="F417" s="236"/>
      <c r="G417" s="228">
        <v>2021</v>
      </c>
      <c r="H417" t="s">
        <v>3479</v>
      </c>
    </row>
    <row r="418" spans="1:8" x14ac:dyDescent="0.35">
      <c r="A418" s="155" t="s">
        <v>1383</v>
      </c>
      <c r="B418" s="51" t="s">
        <v>740</v>
      </c>
      <c r="C418" s="41" t="s">
        <v>741</v>
      </c>
      <c r="D418" s="23"/>
      <c r="E418" s="48" t="s">
        <v>1384</v>
      </c>
      <c r="F418" s="236"/>
      <c r="G418" s="228">
        <v>2023</v>
      </c>
      <c r="H418" t="s">
        <v>3479</v>
      </c>
    </row>
    <row r="419" spans="1:8" x14ac:dyDescent="0.35">
      <c r="A419" s="40" t="s">
        <v>1385</v>
      </c>
      <c r="B419" s="51" t="s">
        <v>740</v>
      </c>
      <c r="C419" s="41" t="s">
        <v>741</v>
      </c>
      <c r="D419" s="23"/>
      <c r="E419" s="38" t="s">
        <v>1386</v>
      </c>
      <c r="F419" s="236"/>
      <c r="G419" s="228">
        <v>2024</v>
      </c>
      <c r="H419" t="s">
        <v>3479</v>
      </c>
    </row>
    <row r="420" spans="1:8" x14ac:dyDescent="0.35">
      <c r="A420" s="67" t="s">
        <v>1387</v>
      </c>
      <c r="B420" s="51" t="s">
        <v>740</v>
      </c>
      <c r="C420" s="41" t="s">
        <v>741</v>
      </c>
      <c r="D420" s="23"/>
      <c r="E420" s="80" t="s">
        <v>1388</v>
      </c>
      <c r="F420" s="236"/>
      <c r="G420" s="228">
        <v>2018</v>
      </c>
      <c r="H420" t="s">
        <v>3479</v>
      </c>
    </row>
    <row r="421" spans="1:8" x14ac:dyDescent="0.35">
      <c r="A421" s="67" t="s">
        <v>1389</v>
      </c>
      <c r="B421" s="51" t="s">
        <v>740</v>
      </c>
      <c r="C421" s="41" t="s">
        <v>741</v>
      </c>
      <c r="D421" s="23"/>
      <c r="E421" s="80" t="s">
        <v>1390</v>
      </c>
      <c r="F421" s="236"/>
      <c r="G421" s="228">
        <v>2018</v>
      </c>
      <c r="H421" t="s">
        <v>3479</v>
      </c>
    </row>
    <row r="422" spans="1:8" x14ac:dyDescent="0.35">
      <c r="A422" s="67" t="s">
        <v>1391</v>
      </c>
      <c r="B422" s="51" t="s">
        <v>740</v>
      </c>
      <c r="C422" s="41" t="s">
        <v>741</v>
      </c>
      <c r="D422" s="23"/>
      <c r="E422" s="80" t="s">
        <v>1392</v>
      </c>
      <c r="F422" s="236"/>
      <c r="G422" s="228">
        <v>2015</v>
      </c>
      <c r="H422" s="35" t="s">
        <v>3483</v>
      </c>
    </row>
    <row r="423" spans="1:8" x14ac:dyDescent="0.35">
      <c r="A423" s="67" t="s">
        <v>1391</v>
      </c>
      <c r="B423" s="51" t="s">
        <v>740</v>
      </c>
      <c r="C423" s="41" t="s">
        <v>741</v>
      </c>
      <c r="D423" s="23"/>
      <c r="E423" s="80" t="s">
        <v>1393</v>
      </c>
      <c r="F423" s="236"/>
      <c r="G423" s="228">
        <v>2018</v>
      </c>
      <c r="H423" t="s">
        <v>3479</v>
      </c>
    </row>
    <row r="424" spans="1:8" x14ac:dyDescent="0.35">
      <c r="A424" s="67" t="s">
        <v>1394</v>
      </c>
      <c r="B424" s="51" t="s">
        <v>740</v>
      </c>
      <c r="C424" s="41" t="s">
        <v>741</v>
      </c>
      <c r="D424" s="23"/>
      <c r="E424" s="80" t="s">
        <v>1395</v>
      </c>
      <c r="F424" s="236"/>
      <c r="G424" s="228">
        <v>2018</v>
      </c>
      <c r="H424" t="s">
        <v>3479</v>
      </c>
    </row>
    <row r="425" spans="1:8" x14ac:dyDescent="0.35">
      <c r="A425" s="67" t="s">
        <v>1394</v>
      </c>
      <c r="B425" s="51" t="s">
        <v>740</v>
      </c>
      <c r="C425" s="41" t="s">
        <v>741</v>
      </c>
      <c r="D425" s="23"/>
      <c r="E425" s="80" t="s">
        <v>1396</v>
      </c>
      <c r="F425" s="236"/>
      <c r="G425" s="228">
        <v>2018</v>
      </c>
      <c r="H425" t="s">
        <v>3479</v>
      </c>
    </row>
    <row r="426" spans="1:8" x14ac:dyDescent="0.35">
      <c r="A426" s="67" t="s">
        <v>1397</v>
      </c>
      <c r="B426" s="51" t="s">
        <v>740</v>
      </c>
      <c r="C426" s="41" t="s">
        <v>741</v>
      </c>
      <c r="D426" s="23"/>
      <c r="E426" s="80" t="s">
        <v>1398</v>
      </c>
      <c r="F426" s="236"/>
      <c r="G426" s="228">
        <v>2017</v>
      </c>
      <c r="H426" s="35" t="s">
        <v>3479</v>
      </c>
    </row>
    <row r="427" spans="1:8" x14ac:dyDescent="0.35">
      <c r="A427" s="739" t="s">
        <v>6289</v>
      </c>
      <c r="B427" s="51" t="s">
        <v>740</v>
      </c>
      <c r="C427" s="41" t="s">
        <v>741</v>
      </c>
      <c r="D427" s="23"/>
      <c r="E427" s="80" t="s">
        <v>1400</v>
      </c>
      <c r="F427" s="236"/>
      <c r="G427" s="228">
        <v>2018</v>
      </c>
      <c r="H427" t="s">
        <v>3479</v>
      </c>
    </row>
    <row r="428" spans="1:8" ht="14.25" customHeight="1" x14ac:dyDescent="0.35">
      <c r="A428" s="750"/>
      <c r="B428" s="51" t="s">
        <v>740</v>
      </c>
      <c r="C428" s="41" t="s">
        <v>741</v>
      </c>
      <c r="D428" s="23"/>
      <c r="E428" s="80" t="s">
        <v>1401</v>
      </c>
      <c r="F428" s="236"/>
      <c r="G428" s="228">
        <v>2019</v>
      </c>
      <c r="H428" t="s">
        <v>3479</v>
      </c>
    </row>
    <row r="429" spans="1:8" x14ac:dyDescent="0.35">
      <c r="A429" s="67" t="s">
        <v>1402</v>
      </c>
      <c r="B429" s="51" t="s">
        <v>740</v>
      </c>
      <c r="C429" s="41" t="s">
        <v>741</v>
      </c>
      <c r="D429" s="23"/>
      <c r="E429" s="80" t="s">
        <v>1403</v>
      </c>
      <c r="F429" s="236"/>
      <c r="H429" s="35" t="s">
        <v>3479</v>
      </c>
    </row>
    <row r="430" spans="1:8" x14ac:dyDescent="0.35">
      <c r="A430" s="19" t="s">
        <v>1404</v>
      </c>
      <c r="B430" s="51" t="s">
        <v>740</v>
      </c>
      <c r="C430" s="41" t="s">
        <v>741</v>
      </c>
      <c r="D430" s="23"/>
      <c r="E430" s="80" t="s">
        <v>1405</v>
      </c>
      <c r="F430" s="236"/>
      <c r="G430" s="228">
        <v>2019</v>
      </c>
      <c r="H430" t="s">
        <v>3479</v>
      </c>
    </row>
    <row r="431" spans="1:8" x14ac:dyDescent="0.35">
      <c r="A431" s="67" t="s">
        <v>1406</v>
      </c>
      <c r="B431" s="51" t="s">
        <v>740</v>
      </c>
      <c r="C431" s="41" t="s">
        <v>741</v>
      </c>
      <c r="D431" s="23"/>
      <c r="E431" s="80" t="s">
        <v>1407</v>
      </c>
      <c r="F431" s="236"/>
      <c r="G431" s="228">
        <v>2021</v>
      </c>
      <c r="H431" t="s">
        <v>3479</v>
      </c>
    </row>
    <row r="432" spans="1:8" x14ac:dyDescent="0.35">
      <c r="A432" s="67" t="s">
        <v>1406</v>
      </c>
      <c r="B432" s="51" t="s">
        <v>740</v>
      </c>
      <c r="C432" s="41" t="s">
        <v>741</v>
      </c>
      <c r="D432" s="23"/>
      <c r="E432" s="80" t="s">
        <v>1408</v>
      </c>
      <c r="F432" s="236"/>
      <c r="G432" s="228">
        <v>2018</v>
      </c>
      <c r="H432" t="s">
        <v>3479</v>
      </c>
    </row>
    <row r="433" spans="1:8" x14ac:dyDescent="0.35">
      <c r="A433" s="67" t="s">
        <v>1409</v>
      </c>
      <c r="B433" s="51" t="s">
        <v>740</v>
      </c>
      <c r="C433" s="23" t="s">
        <v>741</v>
      </c>
      <c r="D433" s="50"/>
      <c r="E433" s="31" t="s">
        <v>1410</v>
      </c>
      <c r="F433" s="236"/>
      <c r="G433" s="228">
        <v>2019</v>
      </c>
      <c r="H433" t="s">
        <v>3479</v>
      </c>
    </row>
    <row r="434" spans="1:8" x14ac:dyDescent="0.35">
      <c r="A434" s="67" t="s">
        <v>1411</v>
      </c>
      <c r="B434" s="51" t="s">
        <v>740</v>
      </c>
      <c r="C434" s="23" t="s">
        <v>741</v>
      </c>
      <c r="D434" s="23"/>
      <c r="E434" s="31" t="s">
        <v>1412</v>
      </c>
      <c r="F434" s="236"/>
      <c r="G434" s="228">
        <v>2018</v>
      </c>
      <c r="H434" t="s">
        <v>3479</v>
      </c>
    </row>
    <row r="435" spans="1:8" x14ac:dyDescent="0.35">
      <c r="A435" s="67" t="s">
        <v>1069</v>
      </c>
      <c r="B435" s="51" t="s">
        <v>740</v>
      </c>
      <c r="C435" s="23" t="s">
        <v>741</v>
      </c>
      <c r="D435" s="23"/>
      <c r="E435" s="31" t="s">
        <v>1413</v>
      </c>
      <c r="F435" s="236"/>
      <c r="H435" t="s">
        <v>3479</v>
      </c>
    </row>
    <row r="436" spans="1:8" x14ac:dyDescent="0.35">
      <c r="A436" s="67" t="s">
        <v>1414</v>
      </c>
      <c r="B436" s="51" t="s">
        <v>740</v>
      </c>
      <c r="C436" s="23" t="s">
        <v>741</v>
      </c>
      <c r="D436" s="23"/>
      <c r="E436" s="31" t="s">
        <v>1415</v>
      </c>
      <c r="F436" s="236"/>
      <c r="G436" s="228">
        <v>2015</v>
      </c>
      <c r="H436" t="s">
        <v>3479</v>
      </c>
    </row>
    <row r="437" spans="1:8" x14ac:dyDescent="0.35">
      <c r="A437" s="67" t="s">
        <v>1416</v>
      </c>
      <c r="B437" s="51" t="s">
        <v>740</v>
      </c>
      <c r="C437" s="23" t="s">
        <v>741</v>
      </c>
      <c r="D437" s="23"/>
      <c r="E437" s="31" t="s">
        <v>1417</v>
      </c>
      <c r="F437" s="236"/>
      <c r="G437" s="228">
        <v>2018</v>
      </c>
      <c r="H437" t="s">
        <v>3479</v>
      </c>
    </row>
    <row r="438" spans="1:8" x14ac:dyDescent="0.35">
      <c r="A438" s="67" t="s">
        <v>1416</v>
      </c>
      <c r="B438" s="51" t="s">
        <v>740</v>
      </c>
      <c r="C438" s="23" t="s">
        <v>741</v>
      </c>
      <c r="D438" s="23"/>
      <c r="E438" s="31" t="s">
        <v>1418</v>
      </c>
      <c r="F438" s="236"/>
      <c r="G438" s="228">
        <v>2018</v>
      </c>
      <c r="H438" t="s">
        <v>3479</v>
      </c>
    </row>
    <row r="439" spans="1:8" x14ac:dyDescent="0.35">
      <c r="A439" s="67" t="s">
        <v>1419</v>
      </c>
      <c r="B439" s="51" t="s">
        <v>740</v>
      </c>
      <c r="C439" s="23" t="s">
        <v>741</v>
      </c>
      <c r="D439" s="23"/>
      <c r="E439" s="31" t="s">
        <v>1420</v>
      </c>
      <c r="F439" s="236"/>
      <c r="H439" t="s">
        <v>3484</v>
      </c>
    </row>
    <row r="440" spans="1:8" x14ac:dyDescent="0.35">
      <c r="A440" s="67" t="s">
        <v>1421</v>
      </c>
      <c r="B440" s="51" t="s">
        <v>740</v>
      </c>
      <c r="C440" s="23" t="s">
        <v>741</v>
      </c>
      <c r="D440" s="23"/>
      <c r="E440" s="31" t="s">
        <v>1422</v>
      </c>
      <c r="F440" s="236"/>
      <c r="G440" s="228">
        <v>2018</v>
      </c>
      <c r="H440" t="s">
        <v>3479</v>
      </c>
    </row>
    <row r="441" spans="1:8" x14ac:dyDescent="0.35">
      <c r="A441" s="19" t="s">
        <v>1423</v>
      </c>
      <c r="B441" s="51" t="s">
        <v>740</v>
      </c>
      <c r="C441" s="23" t="s">
        <v>741</v>
      </c>
      <c r="D441" s="23"/>
      <c r="E441" s="31" t="s">
        <v>1424</v>
      </c>
      <c r="F441" s="236"/>
      <c r="G441" s="228">
        <v>2018</v>
      </c>
      <c r="H441" t="s">
        <v>3479</v>
      </c>
    </row>
    <row r="442" spans="1:8" x14ac:dyDescent="0.35">
      <c r="A442" s="67" t="s">
        <v>1423</v>
      </c>
      <c r="B442" s="51" t="s">
        <v>740</v>
      </c>
      <c r="C442" s="23" t="s">
        <v>741</v>
      </c>
      <c r="D442" s="23"/>
      <c r="E442" s="31" t="s">
        <v>1425</v>
      </c>
      <c r="F442" s="236"/>
      <c r="G442" s="228">
        <v>2022</v>
      </c>
      <c r="H442" t="s">
        <v>3479</v>
      </c>
    </row>
    <row r="443" spans="1:8" x14ac:dyDescent="0.35">
      <c r="A443" s="67" t="s">
        <v>1426</v>
      </c>
      <c r="B443" s="51" t="s">
        <v>740</v>
      </c>
      <c r="C443" s="23" t="s">
        <v>741</v>
      </c>
      <c r="D443" s="23"/>
      <c r="E443" s="31" t="s">
        <v>1427</v>
      </c>
      <c r="F443" s="236"/>
      <c r="G443" s="228">
        <v>2017</v>
      </c>
      <c r="H443" t="s">
        <v>3479</v>
      </c>
    </row>
    <row r="444" spans="1:8" x14ac:dyDescent="0.35">
      <c r="A444" s="67" t="s">
        <v>1428</v>
      </c>
      <c r="B444" s="51" t="s">
        <v>740</v>
      </c>
      <c r="C444" s="23" t="s">
        <v>741</v>
      </c>
      <c r="D444" s="23"/>
      <c r="E444" s="31" t="s">
        <v>1429</v>
      </c>
      <c r="F444" s="236"/>
      <c r="G444" s="228">
        <v>2018</v>
      </c>
      <c r="H444" t="s">
        <v>3479</v>
      </c>
    </row>
    <row r="445" spans="1:8" x14ac:dyDescent="0.35">
      <c r="A445" s="67" t="s">
        <v>1428</v>
      </c>
      <c r="B445" s="51" t="s">
        <v>740</v>
      </c>
      <c r="C445" s="23" t="s">
        <v>741</v>
      </c>
      <c r="D445" s="23"/>
      <c r="E445" s="31" t="s">
        <v>1430</v>
      </c>
      <c r="F445" s="236"/>
      <c r="G445" s="228">
        <v>2018</v>
      </c>
      <c r="H445" t="s">
        <v>3479</v>
      </c>
    </row>
    <row r="446" spans="1:8" x14ac:dyDescent="0.35">
      <c r="A446" s="67" t="s">
        <v>1431</v>
      </c>
      <c r="B446" s="51" t="s">
        <v>740</v>
      </c>
      <c r="C446" s="23" t="s">
        <v>741</v>
      </c>
      <c r="D446" s="23"/>
      <c r="E446" s="31" t="s">
        <v>1432</v>
      </c>
      <c r="F446" s="236"/>
      <c r="G446" s="228">
        <v>2018</v>
      </c>
      <c r="H446" t="s">
        <v>3479</v>
      </c>
    </row>
    <row r="447" spans="1:8" x14ac:dyDescent="0.35">
      <c r="A447" s="67" t="s">
        <v>1431</v>
      </c>
      <c r="B447" s="51" t="s">
        <v>740</v>
      </c>
      <c r="C447" s="23" t="s">
        <v>741</v>
      </c>
      <c r="D447" s="23"/>
      <c r="E447" s="31" t="s">
        <v>1433</v>
      </c>
      <c r="F447" s="236"/>
      <c r="G447" s="228">
        <v>2022</v>
      </c>
      <c r="H447" t="s">
        <v>3479</v>
      </c>
    </row>
    <row r="448" spans="1:8" x14ac:dyDescent="0.35">
      <c r="A448" s="67" t="s">
        <v>1431</v>
      </c>
      <c r="B448" s="51" t="s">
        <v>740</v>
      </c>
      <c r="C448" s="23" t="s">
        <v>741</v>
      </c>
      <c r="D448" s="23"/>
      <c r="E448" s="31" t="s">
        <v>1434</v>
      </c>
      <c r="F448" s="236"/>
      <c r="G448" s="228">
        <v>2018</v>
      </c>
      <c r="H448" t="s">
        <v>3479</v>
      </c>
    </row>
    <row r="449" spans="1:8" x14ac:dyDescent="0.35">
      <c r="A449" s="67" t="s">
        <v>1431</v>
      </c>
      <c r="B449" s="51" t="s">
        <v>740</v>
      </c>
      <c r="C449" s="23" t="s">
        <v>741</v>
      </c>
      <c r="D449" s="23"/>
      <c r="E449" s="31" t="s">
        <v>1435</v>
      </c>
      <c r="F449" s="236"/>
      <c r="G449" s="228">
        <v>2015</v>
      </c>
      <c r="H449" t="s">
        <v>3484</v>
      </c>
    </row>
    <row r="450" spans="1:8" x14ac:dyDescent="0.35">
      <c r="A450" s="19" t="s">
        <v>1436</v>
      </c>
      <c r="B450" s="51" t="s">
        <v>740</v>
      </c>
      <c r="C450" s="23" t="s">
        <v>741</v>
      </c>
      <c r="D450" s="23"/>
      <c r="E450" s="31" t="s">
        <v>1437</v>
      </c>
      <c r="F450" s="236"/>
      <c r="G450" s="228">
        <v>2022</v>
      </c>
      <c r="H450" t="s">
        <v>3479</v>
      </c>
    </row>
    <row r="451" spans="1:8" x14ac:dyDescent="0.35">
      <c r="A451" s="19" t="s">
        <v>590</v>
      </c>
      <c r="B451" s="51" t="s">
        <v>740</v>
      </c>
      <c r="C451" s="23" t="s">
        <v>741</v>
      </c>
      <c r="D451" s="23"/>
      <c r="E451" s="31" t="s">
        <v>1438</v>
      </c>
      <c r="F451" s="236"/>
      <c r="G451" s="228">
        <v>2022</v>
      </c>
      <c r="H451" t="s">
        <v>3479</v>
      </c>
    </row>
    <row r="452" spans="1:8" x14ac:dyDescent="0.35">
      <c r="A452" s="67" t="s">
        <v>1439</v>
      </c>
      <c r="B452" s="51" t="s">
        <v>740</v>
      </c>
      <c r="C452" s="23" t="s">
        <v>741</v>
      </c>
      <c r="D452" s="23"/>
      <c r="E452" s="31" t="s">
        <v>1440</v>
      </c>
      <c r="F452" s="236"/>
      <c r="G452" s="228">
        <v>2023</v>
      </c>
      <c r="H452" t="s">
        <v>3479</v>
      </c>
    </row>
    <row r="453" spans="1:8" x14ac:dyDescent="0.35">
      <c r="A453" s="67" t="s">
        <v>1441</v>
      </c>
      <c r="B453" s="51" t="s">
        <v>740</v>
      </c>
      <c r="C453" s="23" t="s">
        <v>741</v>
      </c>
      <c r="D453" s="23"/>
      <c r="E453" s="31" t="s">
        <v>1442</v>
      </c>
      <c r="F453" s="236"/>
      <c r="G453" s="228">
        <v>2020</v>
      </c>
      <c r="H453" t="s">
        <v>3479</v>
      </c>
    </row>
    <row r="454" spans="1:8" x14ac:dyDescent="0.35">
      <c r="A454" s="289" t="s">
        <v>1443</v>
      </c>
      <c r="B454" s="51" t="s">
        <v>740</v>
      </c>
      <c r="C454" s="23" t="s">
        <v>741</v>
      </c>
      <c r="D454" s="23"/>
      <c r="E454" s="31" t="s">
        <v>1444</v>
      </c>
      <c r="F454" s="236"/>
      <c r="G454" s="228">
        <v>2021</v>
      </c>
      <c r="H454" t="s">
        <v>3479</v>
      </c>
    </row>
    <row r="455" spans="1:8" x14ac:dyDescent="0.35">
      <c r="A455" s="67" t="s">
        <v>1445</v>
      </c>
      <c r="B455" s="51" t="s">
        <v>740</v>
      </c>
      <c r="C455" s="23" t="s">
        <v>741</v>
      </c>
      <c r="D455" s="23"/>
      <c r="E455" s="31" t="s">
        <v>1446</v>
      </c>
      <c r="F455" s="236"/>
      <c r="G455" s="228">
        <v>2016</v>
      </c>
      <c r="H455" t="s">
        <v>3479</v>
      </c>
    </row>
    <row r="456" spans="1:8" x14ac:dyDescent="0.35">
      <c r="A456" s="67" t="s">
        <v>1447</v>
      </c>
      <c r="B456" s="51" t="s">
        <v>740</v>
      </c>
      <c r="C456" s="23" t="s">
        <v>741</v>
      </c>
      <c r="D456" s="23"/>
      <c r="E456" s="31" t="s">
        <v>1448</v>
      </c>
      <c r="F456" s="236"/>
      <c r="G456" s="228">
        <v>2016</v>
      </c>
      <c r="H456" t="s">
        <v>3479</v>
      </c>
    </row>
    <row r="457" spans="1:8" x14ac:dyDescent="0.35">
      <c r="A457" s="67" t="s">
        <v>1449</v>
      </c>
      <c r="B457" s="51" t="s">
        <v>740</v>
      </c>
      <c r="C457" s="23" t="s">
        <v>741</v>
      </c>
      <c r="D457" s="23"/>
      <c r="E457" s="31" t="s">
        <v>1450</v>
      </c>
      <c r="F457" s="236"/>
      <c r="G457" s="228">
        <v>2023</v>
      </c>
      <c r="H457" t="s">
        <v>3479</v>
      </c>
    </row>
    <row r="458" spans="1:8" x14ac:dyDescent="0.35">
      <c r="A458" s="67" t="s">
        <v>1451</v>
      </c>
      <c r="B458" s="51" t="s">
        <v>740</v>
      </c>
      <c r="C458" s="23" t="s">
        <v>741</v>
      </c>
      <c r="D458" s="23"/>
      <c r="E458" s="31" t="s">
        <v>1452</v>
      </c>
      <c r="F458" s="236"/>
      <c r="G458" s="228">
        <v>2023</v>
      </c>
      <c r="H458" t="s">
        <v>3479</v>
      </c>
    </row>
    <row r="459" spans="1:8" x14ac:dyDescent="0.35">
      <c r="A459" s="67" t="s">
        <v>1453</v>
      </c>
      <c r="B459" s="51" t="s">
        <v>740</v>
      </c>
      <c r="C459" s="23" t="s">
        <v>741</v>
      </c>
      <c r="D459" s="23"/>
      <c r="E459" s="31" t="s">
        <v>1454</v>
      </c>
      <c r="F459" s="236"/>
      <c r="G459" s="228">
        <v>2018</v>
      </c>
      <c r="H459" t="s">
        <v>3479</v>
      </c>
    </row>
    <row r="460" spans="1:8" x14ac:dyDescent="0.35">
      <c r="A460" s="19" t="s">
        <v>1457</v>
      </c>
      <c r="B460" s="51" t="s">
        <v>740</v>
      </c>
      <c r="C460" s="23" t="s">
        <v>741</v>
      </c>
      <c r="D460" s="23"/>
      <c r="E460" s="31" t="s">
        <v>1458</v>
      </c>
      <c r="F460" s="236"/>
      <c r="G460" s="228">
        <v>2022</v>
      </c>
      <c r="H460" t="s">
        <v>3479</v>
      </c>
    </row>
    <row r="461" spans="1:8" x14ac:dyDescent="0.35">
      <c r="A461" s="19" t="s">
        <v>392</v>
      </c>
      <c r="B461" s="51" t="s">
        <v>740</v>
      </c>
      <c r="C461" s="23" t="s">
        <v>741</v>
      </c>
      <c r="D461" s="23"/>
      <c r="E461" s="31" t="s">
        <v>1459</v>
      </c>
      <c r="F461" s="236"/>
      <c r="G461" s="228">
        <v>2021</v>
      </c>
      <c r="H461" t="s">
        <v>3479</v>
      </c>
    </row>
    <row r="462" spans="1:8" x14ac:dyDescent="0.35">
      <c r="A462" s="19" t="s">
        <v>600</v>
      </c>
      <c r="B462" s="51" t="s">
        <v>740</v>
      </c>
      <c r="C462" s="23" t="s">
        <v>741</v>
      </c>
      <c r="D462" s="23"/>
      <c r="E462" s="31" t="s">
        <v>1460</v>
      </c>
      <c r="F462" s="236"/>
      <c r="G462" s="228">
        <v>2023</v>
      </c>
      <c r="H462" t="s">
        <v>3479</v>
      </c>
    </row>
    <row r="463" spans="1:8" x14ac:dyDescent="0.35">
      <c r="A463" s="67" t="s">
        <v>1461</v>
      </c>
      <c r="B463" s="51" t="s">
        <v>740</v>
      </c>
      <c r="C463" s="23" t="s">
        <v>741</v>
      </c>
      <c r="D463" s="23"/>
      <c r="E463" s="31" t="s">
        <v>1462</v>
      </c>
      <c r="F463" s="236"/>
      <c r="G463" s="228">
        <v>2023</v>
      </c>
      <c r="H463" t="s">
        <v>3479</v>
      </c>
    </row>
    <row r="464" spans="1:8" x14ac:dyDescent="0.35">
      <c r="A464" s="67" t="s">
        <v>1463</v>
      </c>
      <c r="B464" s="51" t="s">
        <v>740</v>
      </c>
      <c r="C464" s="23" t="s">
        <v>741</v>
      </c>
      <c r="D464" s="23"/>
      <c r="E464" s="31" t="s">
        <v>1464</v>
      </c>
      <c r="F464" s="236"/>
      <c r="H464" t="s">
        <v>3479</v>
      </c>
    </row>
    <row r="465" spans="1:8" x14ac:dyDescent="0.35">
      <c r="A465" s="67" t="s">
        <v>1465</v>
      </c>
      <c r="B465" s="51" t="s">
        <v>740</v>
      </c>
      <c r="C465" s="23" t="s">
        <v>741</v>
      </c>
      <c r="D465" s="23"/>
      <c r="E465" s="31" t="s">
        <v>1466</v>
      </c>
      <c r="F465" s="236"/>
    </row>
    <row r="466" spans="1:8" ht="16" x14ac:dyDescent="0.4">
      <c r="A466" s="19"/>
      <c r="B466" s="51" t="s">
        <v>740</v>
      </c>
      <c r="C466" s="23" t="s">
        <v>741</v>
      </c>
      <c r="D466" s="23" t="s">
        <v>1057</v>
      </c>
      <c r="E466" s="109" t="s">
        <v>1479</v>
      </c>
      <c r="F466" s="720" t="s">
        <v>6298</v>
      </c>
      <c r="G466" s="228">
        <v>2024</v>
      </c>
      <c r="H466" s="35" t="s">
        <v>3479</v>
      </c>
    </row>
    <row r="467" spans="1:8" x14ac:dyDescent="0.35">
      <c r="A467" s="19"/>
      <c r="B467" s="51" t="s">
        <v>740</v>
      </c>
      <c r="C467" s="23" t="s">
        <v>741</v>
      </c>
      <c r="D467" s="23" t="s">
        <v>1057</v>
      </c>
      <c r="E467" s="43" t="s">
        <v>1480</v>
      </c>
      <c r="F467" s="721"/>
      <c r="G467" s="228">
        <v>2024</v>
      </c>
      <c r="H467" s="35" t="s">
        <v>3479</v>
      </c>
    </row>
    <row r="468" spans="1:8" ht="16" x14ac:dyDescent="0.4">
      <c r="A468" s="142"/>
      <c r="B468" s="51" t="s">
        <v>740</v>
      </c>
      <c r="C468" s="23" t="s">
        <v>741</v>
      </c>
      <c r="D468" s="23" t="s">
        <v>1057</v>
      </c>
      <c r="E468" s="109" t="s">
        <v>1481</v>
      </c>
      <c r="F468" s="733"/>
      <c r="G468" s="230">
        <v>2024</v>
      </c>
      <c r="H468" s="35" t="s">
        <v>3479</v>
      </c>
    </row>
    <row r="469" spans="1:8" x14ac:dyDescent="0.35">
      <c r="A469" s="19"/>
      <c r="B469" s="51" t="s">
        <v>740</v>
      </c>
      <c r="C469" s="23" t="s">
        <v>741</v>
      </c>
      <c r="D469" s="23" t="s">
        <v>1057</v>
      </c>
      <c r="E469" s="23" t="s">
        <v>1475</v>
      </c>
      <c r="F469" s="56" t="s">
        <v>2675</v>
      </c>
      <c r="G469" s="228">
        <v>2024</v>
      </c>
      <c r="H469" s="35" t="s">
        <v>3479</v>
      </c>
    </row>
    <row r="470" spans="1:8" ht="15.5" x14ac:dyDescent="0.35">
      <c r="A470" s="19"/>
      <c r="B470" s="51" t="s">
        <v>740</v>
      </c>
      <c r="C470" s="23" t="s">
        <v>741</v>
      </c>
      <c r="D470" s="23" t="s">
        <v>748</v>
      </c>
      <c r="E470" s="87" t="s">
        <v>1468</v>
      </c>
      <c r="F470" s="711" t="s">
        <v>1620</v>
      </c>
      <c r="G470" s="228">
        <v>2024</v>
      </c>
      <c r="H470" t="s">
        <v>3479</v>
      </c>
    </row>
    <row r="471" spans="1:8" ht="15.5" x14ac:dyDescent="0.35">
      <c r="A471" s="19"/>
      <c r="B471" s="51" t="s">
        <v>740</v>
      </c>
      <c r="C471" s="23" t="s">
        <v>741</v>
      </c>
      <c r="D471" s="43" t="s">
        <v>748</v>
      </c>
      <c r="E471" s="87" t="s">
        <v>1469</v>
      </c>
      <c r="F471" s="725"/>
      <c r="G471" s="228">
        <v>2024</v>
      </c>
      <c r="H471" t="s">
        <v>3479</v>
      </c>
    </row>
    <row r="472" spans="1:8" x14ac:dyDescent="0.35">
      <c r="A472" s="19"/>
      <c r="B472" s="51" t="s">
        <v>740</v>
      </c>
      <c r="C472" s="23" t="s">
        <v>741</v>
      </c>
      <c r="D472" s="23" t="s">
        <v>1057</v>
      </c>
      <c r="E472" s="23" t="s">
        <v>1470</v>
      </c>
      <c r="F472" s="725"/>
      <c r="G472" s="228">
        <v>2024</v>
      </c>
      <c r="H472" s="78" t="s">
        <v>3479</v>
      </c>
    </row>
    <row r="473" spans="1:8" x14ac:dyDescent="0.35">
      <c r="A473" s="19"/>
      <c r="B473" s="51" t="s">
        <v>740</v>
      </c>
      <c r="C473" s="23" t="s">
        <v>741</v>
      </c>
      <c r="D473" s="23" t="s">
        <v>1057</v>
      </c>
      <c r="E473" s="23" t="s">
        <v>1473</v>
      </c>
      <c r="F473" s="725"/>
      <c r="G473" s="228">
        <v>2024</v>
      </c>
      <c r="H473" s="35" t="s">
        <v>3479</v>
      </c>
    </row>
    <row r="474" spans="1:8" x14ac:dyDescent="0.35">
      <c r="A474" s="19"/>
      <c r="B474" s="51" t="s">
        <v>740</v>
      </c>
      <c r="C474" s="23" t="s">
        <v>741</v>
      </c>
      <c r="D474" s="23" t="s">
        <v>1057</v>
      </c>
      <c r="E474" s="23" t="s">
        <v>1474</v>
      </c>
      <c r="F474" s="725"/>
      <c r="G474" s="228">
        <v>2024</v>
      </c>
      <c r="H474" s="35" t="s">
        <v>3479</v>
      </c>
    </row>
    <row r="475" spans="1:8" x14ac:dyDescent="0.35">
      <c r="A475" s="19"/>
      <c r="B475" s="51" t="s">
        <v>740</v>
      </c>
      <c r="C475" s="23" t="s">
        <v>741</v>
      </c>
      <c r="D475" s="23" t="s">
        <v>1057</v>
      </c>
      <c r="E475" s="41" t="s">
        <v>6299</v>
      </c>
      <c r="F475" s="740" t="s">
        <v>6300</v>
      </c>
      <c r="G475" s="862">
        <v>2024</v>
      </c>
      <c r="H475" s="35" t="s">
        <v>3479</v>
      </c>
    </row>
    <row r="476" spans="1:8" x14ac:dyDescent="0.35">
      <c r="A476" s="40"/>
      <c r="B476" s="96" t="s">
        <v>740</v>
      </c>
      <c r="C476" s="43" t="s">
        <v>741</v>
      </c>
      <c r="D476" s="43" t="s">
        <v>931</v>
      </c>
      <c r="E476" s="39" t="s">
        <v>1478</v>
      </c>
      <c r="F476" s="740"/>
      <c r="G476" s="862">
        <v>2017</v>
      </c>
    </row>
    <row r="477" spans="1:8" x14ac:dyDescent="0.35">
      <c r="A477" s="65"/>
      <c r="B477" s="191" t="s">
        <v>740</v>
      </c>
      <c r="C477" s="15" t="s">
        <v>741</v>
      </c>
      <c r="D477" s="15" t="s">
        <v>745</v>
      </c>
      <c r="E477" s="15" t="s">
        <v>890</v>
      </c>
      <c r="F477" s="732" t="s">
        <v>57</v>
      </c>
      <c r="G477" s="231"/>
    </row>
    <row r="478" spans="1:8" x14ac:dyDescent="0.35">
      <c r="A478" s="65"/>
      <c r="B478" s="191" t="s">
        <v>740</v>
      </c>
      <c r="C478" s="15" t="s">
        <v>741</v>
      </c>
      <c r="D478" s="137" t="s">
        <v>748</v>
      </c>
      <c r="E478" s="15" t="s">
        <v>1467</v>
      </c>
      <c r="F478" s="824"/>
      <c r="G478" s="231"/>
    </row>
    <row r="479" spans="1:8" x14ac:dyDescent="0.35">
      <c r="A479" s="65"/>
      <c r="B479" s="191" t="s">
        <v>740</v>
      </c>
      <c r="C479" s="15" t="s">
        <v>741</v>
      </c>
      <c r="D479" s="15" t="s">
        <v>745</v>
      </c>
      <c r="E479" s="15" t="s">
        <v>6301</v>
      </c>
      <c r="F479" s="824"/>
      <c r="G479" s="231"/>
    </row>
    <row r="480" spans="1:8" x14ac:dyDescent="0.35">
      <c r="A480" s="65"/>
      <c r="B480" s="191" t="s">
        <v>740</v>
      </c>
      <c r="C480" s="15" t="s">
        <v>741</v>
      </c>
      <c r="D480" s="15" t="s">
        <v>745</v>
      </c>
      <c r="E480" s="15" t="s">
        <v>6302</v>
      </c>
      <c r="F480" s="824"/>
      <c r="G480" s="231"/>
    </row>
    <row r="481" spans="1:7" x14ac:dyDescent="0.35">
      <c r="A481" s="65"/>
      <c r="B481" s="191" t="s">
        <v>740</v>
      </c>
      <c r="C481" s="15" t="s">
        <v>741</v>
      </c>
      <c r="D481" s="861" t="s">
        <v>1032</v>
      </c>
      <c r="E481" s="861" t="s">
        <v>6304</v>
      </c>
      <c r="F481" s="824"/>
      <c r="G481" s="231"/>
    </row>
    <row r="482" spans="1:7" x14ac:dyDescent="0.35">
      <c r="A482" s="65"/>
      <c r="B482" s="191" t="s">
        <v>740</v>
      </c>
      <c r="C482" s="15" t="s">
        <v>741</v>
      </c>
      <c r="D482" s="861" t="s">
        <v>1032</v>
      </c>
      <c r="E482" s="861" t="s">
        <v>6305</v>
      </c>
      <c r="F482" s="824"/>
      <c r="G482" s="231"/>
    </row>
    <row r="483" spans="1:7" x14ac:dyDescent="0.35">
      <c r="A483" s="65"/>
      <c r="B483" s="191" t="s">
        <v>740</v>
      </c>
      <c r="C483" s="15" t="s">
        <v>741</v>
      </c>
      <c r="D483" s="861" t="s">
        <v>758</v>
      </c>
      <c r="E483" s="861" t="s">
        <v>1368</v>
      </c>
      <c r="F483" s="824"/>
      <c r="G483" s="862"/>
    </row>
    <row r="484" spans="1:7" x14ac:dyDescent="0.35">
      <c r="A484" s="65"/>
      <c r="B484" s="191" t="s">
        <v>740</v>
      </c>
      <c r="C484" s="15" t="s">
        <v>741</v>
      </c>
      <c r="D484" s="861" t="s">
        <v>753</v>
      </c>
      <c r="E484" s="861" t="s">
        <v>6306</v>
      </c>
      <c r="F484" s="824"/>
      <c r="G484" s="862"/>
    </row>
    <row r="485" spans="1:7" x14ac:dyDescent="0.35">
      <c r="A485" s="65"/>
      <c r="B485" s="191" t="s">
        <v>740</v>
      </c>
      <c r="C485" s="15" t="s">
        <v>741</v>
      </c>
      <c r="D485" s="861" t="s">
        <v>6318</v>
      </c>
      <c r="E485" s="206" t="s">
        <v>6307</v>
      </c>
      <c r="F485" s="824"/>
      <c r="G485" s="862"/>
    </row>
    <row r="486" spans="1:7" x14ac:dyDescent="0.35">
      <c r="A486" s="65"/>
      <c r="B486" s="191" t="s">
        <v>740</v>
      </c>
      <c r="C486" s="15" t="s">
        <v>741</v>
      </c>
      <c r="D486" s="206" t="s">
        <v>6319</v>
      </c>
      <c r="E486" s="15" t="s">
        <v>890</v>
      </c>
      <c r="F486" s="824"/>
      <c r="G486" s="862"/>
    </row>
    <row r="487" spans="1:7" x14ac:dyDescent="0.35">
      <c r="A487" s="65"/>
      <c r="B487" s="191" t="s">
        <v>740</v>
      </c>
      <c r="C487" s="15" t="s">
        <v>741</v>
      </c>
      <c r="D487" s="15" t="s">
        <v>745</v>
      </c>
      <c r="E487" s="15" t="s">
        <v>1280</v>
      </c>
      <c r="F487" s="824"/>
      <c r="G487" s="862"/>
    </row>
    <row r="488" spans="1:7" x14ac:dyDescent="0.35">
      <c r="A488" s="65"/>
      <c r="B488" s="191" t="s">
        <v>740</v>
      </c>
      <c r="C488" s="15" t="s">
        <v>741</v>
      </c>
      <c r="D488" s="15" t="s">
        <v>6320</v>
      </c>
      <c r="E488" s="15" t="s">
        <v>6308</v>
      </c>
      <c r="F488" s="824"/>
      <c r="G488" s="862"/>
    </row>
    <row r="489" spans="1:7" x14ac:dyDescent="0.35">
      <c r="A489" s="65"/>
      <c r="B489" s="191" t="s">
        <v>740</v>
      </c>
      <c r="C489" s="15" t="s">
        <v>741</v>
      </c>
      <c r="D489" s="15" t="s">
        <v>6320</v>
      </c>
      <c r="E489" s="15" t="s">
        <v>6309</v>
      </c>
      <c r="F489" s="824"/>
      <c r="G489" s="862"/>
    </row>
    <row r="490" spans="1:7" x14ac:dyDescent="0.35">
      <c r="A490" s="65"/>
      <c r="B490" s="191" t="s">
        <v>809</v>
      </c>
      <c r="C490" s="15" t="s">
        <v>741</v>
      </c>
      <c r="D490" s="15" t="s">
        <v>809</v>
      </c>
      <c r="E490" s="15" t="s">
        <v>6310</v>
      </c>
      <c r="F490" s="824"/>
      <c r="G490" s="862"/>
    </row>
    <row r="491" spans="1:7" x14ac:dyDescent="0.35">
      <c r="A491" s="65"/>
      <c r="B491" s="191" t="s">
        <v>740</v>
      </c>
      <c r="C491" s="15" t="s">
        <v>741</v>
      </c>
      <c r="D491" s="15" t="s">
        <v>6320</v>
      </c>
      <c r="E491" s="15" t="s">
        <v>6311</v>
      </c>
      <c r="F491" s="824"/>
      <c r="G491" s="862"/>
    </row>
    <row r="492" spans="1:7" x14ac:dyDescent="0.35">
      <c r="A492" s="65"/>
      <c r="B492" s="191" t="s">
        <v>740</v>
      </c>
      <c r="C492" s="15" t="s">
        <v>741</v>
      </c>
      <c r="D492" s="15" t="s">
        <v>6320</v>
      </c>
      <c r="E492" s="15" t="s">
        <v>6312</v>
      </c>
      <c r="F492" s="824"/>
      <c r="G492" s="862"/>
    </row>
    <row r="493" spans="1:7" x14ac:dyDescent="0.35">
      <c r="A493" s="65"/>
      <c r="B493" s="191" t="s">
        <v>740</v>
      </c>
      <c r="C493" s="15" t="s">
        <v>741</v>
      </c>
      <c r="D493" s="15" t="s">
        <v>6320</v>
      </c>
      <c r="E493" s="15" t="s">
        <v>6313</v>
      </c>
      <c r="F493" s="824"/>
      <c r="G493" s="862"/>
    </row>
    <row r="494" spans="1:7" x14ac:dyDescent="0.35">
      <c r="A494" s="65"/>
      <c r="B494" s="15" t="s">
        <v>809</v>
      </c>
      <c r="C494" s="15" t="s">
        <v>741</v>
      </c>
      <c r="D494" s="15" t="s">
        <v>809</v>
      </c>
      <c r="E494" s="15" t="s">
        <v>6314</v>
      </c>
      <c r="F494" s="824"/>
      <c r="G494" s="862"/>
    </row>
    <row r="495" spans="1:7" x14ac:dyDescent="0.35">
      <c r="A495" s="65"/>
      <c r="B495" s="191" t="s">
        <v>740</v>
      </c>
      <c r="C495" s="15" t="s">
        <v>741</v>
      </c>
      <c r="D495" s="15" t="s">
        <v>6321</v>
      </c>
      <c r="E495" s="15" t="s">
        <v>1297</v>
      </c>
      <c r="F495" s="824"/>
      <c r="G495" s="862"/>
    </row>
    <row r="496" spans="1:7" x14ac:dyDescent="0.35">
      <c r="A496" s="65"/>
      <c r="B496" s="191" t="s">
        <v>740</v>
      </c>
      <c r="C496" s="15" t="s">
        <v>741</v>
      </c>
      <c r="D496" s="15" t="s">
        <v>6320</v>
      </c>
      <c r="E496" s="15" t="s">
        <v>6315</v>
      </c>
      <c r="F496" s="824"/>
      <c r="G496" s="862"/>
    </row>
    <row r="497" spans="1:7" x14ac:dyDescent="0.35">
      <c r="A497" s="65"/>
      <c r="B497" s="15" t="s">
        <v>809</v>
      </c>
      <c r="C497" s="15" t="s">
        <v>741</v>
      </c>
      <c r="D497" s="15" t="s">
        <v>809</v>
      </c>
      <c r="E497" s="15" t="s">
        <v>6316</v>
      </c>
      <c r="F497" s="824"/>
      <c r="G497" s="862"/>
    </row>
    <row r="498" spans="1:7" x14ac:dyDescent="0.35">
      <c r="A498" s="65"/>
      <c r="B498" s="191" t="s">
        <v>740</v>
      </c>
      <c r="C498" s="15" t="s">
        <v>741</v>
      </c>
      <c r="D498" s="15" t="s">
        <v>6320</v>
      </c>
      <c r="E498" s="15" t="s">
        <v>6317</v>
      </c>
      <c r="F498" s="824"/>
      <c r="G498" s="862"/>
    </row>
    <row r="499" spans="1:7" ht="15" thickBot="1" x14ac:dyDescent="0.4">
      <c r="A499" s="65"/>
      <c r="B499" s="191" t="s">
        <v>740</v>
      </c>
      <c r="C499" s="15" t="s">
        <v>741</v>
      </c>
      <c r="D499" s="826" t="s">
        <v>798</v>
      </c>
      <c r="E499" s="826" t="s">
        <v>839</v>
      </c>
      <c r="F499" s="824"/>
      <c r="G499" s="862"/>
    </row>
    <row r="500" spans="1:7" ht="15" thickBot="1" x14ac:dyDescent="0.4">
      <c r="B500" s="191" t="s">
        <v>740</v>
      </c>
      <c r="C500" s="15" t="s">
        <v>741</v>
      </c>
      <c r="D500" s="863" t="s">
        <v>6324</v>
      </c>
      <c r="E500" s="863" t="s">
        <v>6327</v>
      </c>
      <c r="F500" s="824"/>
    </row>
    <row r="501" spans="1:7" ht="15" thickBot="1" x14ac:dyDescent="0.4">
      <c r="B501" s="191" t="s">
        <v>740</v>
      </c>
      <c r="C501" s="15" t="s">
        <v>741</v>
      </c>
      <c r="D501" s="864" t="s">
        <v>6324</v>
      </c>
      <c r="E501" s="864" t="s">
        <v>6328</v>
      </c>
      <c r="F501" s="824"/>
    </row>
    <row r="502" spans="1:7" ht="15" thickBot="1" x14ac:dyDescent="0.4">
      <c r="B502" s="191" t="s">
        <v>740</v>
      </c>
      <c r="C502" s="15" t="s">
        <v>741</v>
      </c>
      <c r="D502" s="864" t="s">
        <v>6324</v>
      </c>
      <c r="E502" s="864" t="s">
        <v>6329</v>
      </c>
      <c r="F502" s="824"/>
    </row>
    <row r="503" spans="1:7" ht="15" thickBot="1" x14ac:dyDescent="0.4">
      <c r="B503" s="191" t="s">
        <v>740</v>
      </c>
      <c r="C503" s="15" t="s">
        <v>741</v>
      </c>
      <c r="D503" s="864" t="s">
        <v>6325</v>
      </c>
      <c r="E503" s="864" t="s">
        <v>6322</v>
      </c>
      <c r="F503" s="824"/>
    </row>
    <row r="504" spans="1:7" ht="15" thickBot="1" x14ac:dyDescent="0.4">
      <c r="B504" s="191" t="s">
        <v>740</v>
      </c>
      <c r="C504" s="15" t="s">
        <v>741</v>
      </c>
      <c r="D504" s="864" t="s">
        <v>6326</v>
      </c>
      <c r="E504" s="864" t="s">
        <v>6323</v>
      </c>
      <c r="F504" s="824"/>
    </row>
  </sheetData>
  <autoFilter ref="A1:H476" xr:uid="{6110A10A-3507-4604-B5BE-0726C9612E05}">
    <filterColumn colId="1">
      <filters>
        <filter val="Lenovo"/>
      </filters>
    </filterColumn>
  </autoFilter>
  <mergeCells count="197">
    <mergeCell ref="F477:F504"/>
    <mergeCell ref="A356:A357"/>
    <mergeCell ref="A427:A428"/>
    <mergeCell ref="A378:A379"/>
    <mergeCell ref="A391:A392"/>
    <mergeCell ref="A393:A394"/>
    <mergeCell ref="A389:A390"/>
    <mergeCell ref="A385:A386"/>
    <mergeCell ref="A387:A388"/>
    <mergeCell ref="A189:A190"/>
    <mergeCell ref="F475:F476"/>
    <mergeCell ref="F470:F474"/>
    <mergeCell ref="A21:A22"/>
    <mergeCell ref="A119:A120"/>
    <mergeCell ref="F179:F180"/>
    <mergeCell ref="A181:A182"/>
    <mergeCell ref="A193:A194"/>
    <mergeCell ref="A209:A210"/>
    <mergeCell ref="F201:F219"/>
    <mergeCell ref="A262:A263"/>
    <mergeCell ref="A332:A333"/>
    <mergeCell ref="A113:A114"/>
    <mergeCell ref="F220:F235"/>
    <mergeCell ref="F271:F276"/>
    <mergeCell ref="F277:F301"/>
    <mergeCell ref="A336:A337"/>
    <mergeCell ref="A342:A343"/>
    <mergeCell ref="A344:A345"/>
    <mergeCell ref="A351:A352"/>
    <mergeCell ref="A349:A350"/>
    <mergeCell ref="A340:A341"/>
    <mergeCell ref="A346:A347"/>
    <mergeCell ref="A334:A335"/>
    <mergeCell ref="F332:F339"/>
    <mergeCell ref="F340:F347"/>
    <mergeCell ref="A317:A318"/>
    <mergeCell ref="A300:A301"/>
    <mergeCell ref="A309:A310"/>
    <mergeCell ref="A364:A365"/>
    <mergeCell ref="A369:A370"/>
    <mergeCell ref="A354:A355"/>
    <mergeCell ref="A372:A373"/>
    <mergeCell ref="F348:F353"/>
    <mergeCell ref="A359:A361"/>
    <mergeCell ref="A362:A363"/>
    <mergeCell ref="A412:A413"/>
    <mergeCell ref="A399:A400"/>
    <mergeCell ref="A401:A402"/>
    <mergeCell ref="A397:A398"/>
    <mergeCell ref="A405:A406"/>
    <mergeCell ref="F395:F398"/>
    <mergeCell ref="F399:F404"/>
    <mergeCell ref="F405:F407"/>
    <mergeCell ref="A287:A288"/>
    <mergeCell ref="A289:A290"/>
    <mergeCell ref="A291:A293"/>
    <mergeCell ref="A302:A303"/>
    <mergeCell ref="A319:A320"/>
    <mergeCell ref="A326:A327"/>
    <mergeCell ref="A304:A305"/>
    <mergeCell ref="A315:A316"/>
    <mergeCell ref="A321:A322"/>
    <mergeCell ref="A323:A324"/>
    <mergeCell ref="A306:A307"/>
    <mergeCell ref="A294:A295"/>
    <mergeCell ref="A296:A297"/>
    <mergeCell ref="A298:A299"/>
    <mergeCell ref="A311:A312"/>
    <mergeCell ref="A191:A192"/>
    <mergeCell ref="A203:A204"/>
    <mergeCell ref="A285:A286"/>
    <mergeCell ref="A258:A259"/>
    <mergeCell ref="A271:A272"/>
    <mergeCell ref="A279:A280"/>
    <mergeCell ref="A260:A261"/>
    <mergeCell ref="A254:A255"/>
    <mergeCell ref="A256:A257"/>
    <mergeCell ref="A264:A265"/>
    <mergeCell ref="A238:A239"/>
    <mergeCell ref="A250:A251"/>
    <mergeCell ref="A277:A278"/>
    <mergeCell ref="A212:A213"/>
    <mergeCell ref="A214:A215"/>
    <mergeCell ref="A240:A241"/>
    <mergeCell ref="A242:A243"/>
    <mergeCell ref="A244:A245"/>
    <mergeCell ref="A281:A282"/>
    <mergeCell ref="A234:A235"/>
    <mergeCell ref="A9:A10"/>
    <mergeCell ref="A15:A16"/>
    <mergeCell ref="A17:A18"/>
    <mergeCell ref="A13:A14"/>
    <mergeCell ref="A70:A71"/>
    <mergeCell ref="A89:A90"/>
    <mergeCell ref="A85:A86"/>
    <mergeCell ref="A64:A65"/>
    <mergeCell ref="A76:A77"/>
    <mergeCell ref="A87:A88"/>
    <mergeCell ref="A26:A27"/>
    <mergeCell ref="A62:A63"/>
    <mergeCell ref="A33:A34"/>
    <mergeCell ref="A28:A29"/>
    <mergeCell ref="A37:A38"/>
    <mergeCell ref="A68:A69"/>
    <mergeCell ref="A66:A67"/>
    <mergeCell ref="A81:A82"/>
    <mergeCell ref="A19:A20"/>
    <mergeCell ref="A24:A25"/>
    <mergeCell ref="A35:A36"/>
    <mergeCell ref="A72:A73"/>
    <mergeCell ref="A78:A80"/>
    <mergeCell ref="F466:F468"/>
    <mergeCell ref="A414:A415"/>
    <mergeCell ref="F163:F168"/>
    <mergeCell ref="F170:F176"/>
    <mergeCell ref="A246:A247"/>
    <mergeCell ref="F366:F368"/>
    <mergeCell ref="A395:A396"/>
    <mergeCell ref="F302:F329"/>
    <mergeCell ref="A171:A172"/>
    <mergeCell ref="A173:A174"/>
    <mergeCell ref="A179:A180"/>
    <mergeCell ref="A183:A184"/>
    <mergeCell ref="A177:A178"/>
    <mergeCell ref="A169:A170"/>
    <mergeCell ref="A163:A164"/>
    <mergeCell ref="A185:A186"/>
    <mergeCell ref="A228:A229"/>
    <mergeCell ref="A230:A231"/>
    <mergeCell ref="A283:A284"/>
    <mergeCell ref="A236:A237"/>
    <mergeCell ref="A222:A223"/>
    <mergeCell ref="A224:A225"/>
    <mergeCell ref="A187:A188"/>
    <mergeCell ref="A248:A249"/>
    <mergeCell ref="A99:A100"/>
    <mergeCell ref="A97:A98"/>
    <mergeCell ref="F177:F178"/>
    <mergeCell ref="A133:A134"/>
    <mergeCell ref="A151:A152"/>
    <mergeCell ref="A155:A156"/>
    <mergeCell ref="A143:A144"/>
    <mergeCell ref="F157:F162"/>
    <mergeCell ref="A167:A168"/>
    <mergeCell ref="A175:A176"/>
    <mergeCell ref="A165:A166"/>
    <mergeCell ref="A157:A158"/>
    <mergeCell ref="A159:A160"/>
    <mergeCell ref="A161:A162"/>
    <mergeCell ref="F236:F251"/>
    <mergeCell ref="A226:A227"/>
    <mergeCell ref="A207:A208"/>
    <mergeCell ref="A205:A206"/>
    <mergeCell ref="A216:A217"/>
    <mergeCell ref="A218:A219"/>
    <mergeCell ref="A201:A202"/>
    <mergeCell ref="A123:A124"/>
    <mergeCell ref="A110:A111"/>
    <mergeCell ref="A121:A122"/>
    <mergeCell ref="A117:A118"/>
    <mergeCell ref="A127:A128"/>
    <mergeCell ref="A108:A109"/>
    <mergeCell ref="A153:A154"/>
    <mergeCell ref="A125:A126"/>
    <mergeCell ref="A135:A136"/>
    <mergeCell ref="A139:A140"/>
    <mergeCell ref="A149:A150"/>
    <mergeCell ref="A141:A142"/>
    <mergeCell ref="A129:A130"/>
    <mergeCell ref="A131:A132"/>
    <mergeCell ref="A115:A116"/>
    <mergeCell ref="A147:A148"/>
    <mergeCell ref="A137:A138"/>
    <mergeCell ref="A145:A146"/>
    <mergeCell ref="A91:A92"/>
    <mergeCell ref="A83:A84"/>
    <mergeCell ref="A5:A6"/>
    <mergeCell ref="A7:A8"/>
    <mergeCell ref="A11:A12"/>
    <mergeCell ref="A328:A329"/>
    <mergeCell ref="A313:A314"/>
    <mergeCell ref="A30:A31"/>
    <mergeCell ref="F252:F253"/>
    <mergeCell ref="A252:A253"/>
    <mergeCell ref="A232:A233"/>
    <mergeCell ref="A269:A270"/>
    <mergeCell ref="F254:F270"/>
    <mergeCell ref="A198:A199"/>
    <mergeCell ref="A220:A221"/>
    <mergeCell ref="A266:A267"/>
    <mergeCell ref="A74:A75"/>
    <mergeCell ref="A274:A276"/>
    <mergeCell ref="F191:F200"/>
    <mergeCell ref="A93:A94"/>
    <mergeCell ref="A105:A106"/>
    <mergeCell ref="A101:A102"/>
    <mergeCell ref="A103:A104"/>
  </mergeCells>
  <conditionalFormatting sqref="A332">
    <cfRule type="duplicateValues" dxfId="770" priority="594"/>
  </conditionalFormatting>
  <conditionalFormatting sqref="E6">
    <cfRule type="duplicateValues" dxfId="769" priority="565"/>
    <cfRule type="duplicateValues" dxfId="768" priority="566"/>
    <cfRule type="duplicateValues" dxfId="767" priority="567"/>
    <cfRule type="duplicateValues" dxfId="766" priority="568"/>
  </conditionalFormatting>
  <conditionalFormatting sqref="E7:E18">
    <cfRule type="duplicateValues" dxfId="765" priority="744"/>
  </conditionalFormatting>
  <conditionalFormatting sqref="E23">
    <cfRule type="duplicateValues" dxfId="764" priority="360"/>
    <cfRule type="duplicateValues" dxfId="763" priority="361"/>
    <cfRule type="duplicateValues" dxfId="762" priority="362"/>
    <cfRule type="duplicateValues" dxfId="761" priority="363"/>
    <cfRule type="duplicateValues" dxfId="760" priority="364"/>
    <cfRule type="duplicateValues" dxfId="759" priority="365"/>
    <cfRule type="duplicateValues" dxfId="758" priority="366"/>
    <cfRule type="duplicateValues" dxfId="757" priority="367"/>
    <cfRule type="duplicateValues" dxfId="756" priority="368"/>
  </conditionalFormatting>
  <conditionalFormatting sqref="E28">
    <cfRule type="duplicateValues" dxfId="755" priority="560"/>
    <cfRule type="duplicateValues" dxfId="754" priority="561"/>
    <cfRule type="duplicateValues" dxfId="753" priority="562"/>
    <cfRule type="duplicateValues" dxfId="752" priority="563"/>
    <cfRule type="duplicateValues" dxfId="751" priority="564"/>
  </conditionalFormatting>
  <conditionalFormatting sqref="E31">
    <cfRule type="duplicateValues" dxfId="750" priority="574"/>
  </conditionalFormatting>
  <conditionalFormatting sqref="E40">
    <cfRule type="duplicateValues" dxfId="749" priority="559"/>
  </conditionalFormatting>
  <conditionalFormatting sqref="E49">
    <cfRule type="duplicateValues" dxfId="748" priority="591"/>
  </conditionalFormatting>
  <conditionalFormatting sqref="E250">
    <cfRule type="duplicateValues" dxfId="747" priority="586"/>
  </conditionalFormatting>
  <conditionalFormatting sqref="E305">
    <cfRule type="duplicateValues" dxfId="746" priority="554"/>
    <cfRule type="duplicateValues" dxfId="745" priority="555"/>
    <cfRule type="duplicateValues" dxfId="744" priority="556"/>
    <cfRule type="duplicateValues" dxfId="743" priority="557"/>
  </conditionalFormatting>
  <conditionalFormatting sqref="E332">
    <cfRule type="duplicateValues" dxfId="742" priority="593"/>
  </conditionalFormatting>
  <conditionalFormatting sqref="E333">
    <cfRule type="duplicateValues" dxfId="741" priority="592"/>
  </conditionalFormatting>
  <conditionalFormatting sqref="E393:E395 E380 E256 E103 E334:E337 E283:E289 E47:E48 E50:E52 E1:E2 E29:E30 E64:E72 E101 E325:E329 E105:E106 E108:E113 E125:E133 E281 E253 E291 E294:E296 E397:E418 E389 E258:E259 E277:E279 E222:E228 E230:E231 E233:E247 E340:E355 E32:E38 E40:E45 E57:E62 E300:E320 E193:E200 E203:E218 E76:E79 E24:E27 E135:E174 E176:E178 E382:E383 E4:E22 E81:E94 E119:E122 E262:E274 E180:E191 E360:E361 E364:E375 E96:E99 E385:E387 E358">
    <cfRule type="duplicateValues" dxfId="740" priority="7826"/>
  </conditionalFormatting>
  <conditionalFormatting sqref="E393:E395 E380 E334:E337 E283:E289 E1:E2 E29:E30 E64:E72 E103 E101 E325:E329 E256 E105:E113 E281 E253:E254 E291 E294:E298 E397:E418 E389 E258:E259 E277:E279 E220:E228 E230:E231 E233:E247 E340:E355 E32:E38 E40:E48 E57:E62 E300:E320 E193:E200 E203:E218 E76:E79 E24:E27 E125:E174 E176:E178 E382:E383 E4:E22 E81:E94 E119:E123 E262:E274 E180:E191 E50:E53 E360:E361 E364:E375 E96:E99 E385:E387 E358">
    <cfRule type="duplicateValues" dxfId="739" priority="7122"/>
  </conditionalFormatting>
  <conditionalFormatting sqref="E393:E395 E380 E334:E337 E283:E289 E1:E2 E29:E30 E64:E72 E103 E101 E325:E329 E256 E105:E113 E281 E253:E254 E291 E294:E298 E397:E418 E389 E258:E259 E277:E279 E220:E228 E230:E231 E233:E247 E340:E355 E32:E38 E40:E48 E50:E52 E57:E62 E300:E320 E193:E200 E203:E218 E76:E79 E24:E27 E125:E174 E176:E178 E382:E383 E4:E22 E81:E94 E119:E123 E262:E274 E180:E191 E360:E361 E364:E375 E96:E99 E385:E387 E358">
    <cfRule type="duplicateValues" dxfId="738" priority="7090"/>
  </conditionalFormatting>
  <conditionalFormatting sqref="E381">
    <cfRule type="duplicateValues" dxfId="737" priority="336"/>
  </conditionalFormatting>
  <conditionalFormatting sqref="E393:E395 E1:E2 E29:E30 E64:E72 E103 E101 E256 E105:E113 E281:E289 E291 E397:E418 E389 E220:E228 E230:E231 E233:E249 E253:E254 E258:E259 E325:E330 E32:E38 E294:E320 E193:E200 E203:E218 E24:E27 E125:E174 E176:E178 E382:E383 E4:E22 E57:E62 E76:E79 E81:E94 E119:E123 E262:E274 E180:E191 E276:E279 E332:E355 E40:E54 E360:E361 E364:E375 E377 E380 E96:E99 E385:E387 E358">
    <cfRule type="duplicateValues" dxfId="736" priority="7018"/>
  </conditionalFormatting>
  <conditionalFormatting sqref="E393:E395 E64:E72 E1:E2 E29:E30 E103 E101 E256 E105:E113 E281:E289 E291 E397:E418 E389 E220:E228 E230:E231 E233:E249 E253:E254 E258:E259 E325:E330 E32:E38 E40:E48 E294:E320 E193:E200 E203:E218 E24:E27 E125:E174 E176:E178 E382:E383 E4:E22 E57:E62 E76:E79 E81:E94 E119:E123 E262:E274 E180:E191 E276:E279 E332:E355 E50:E54 E360:E361 E364:E375 E377 E380 E96:E99 E385:E387 E358">
    <cfRule type="duplicateValues" dxfId="735" priority="6995"/>
  </conditionalFormatting>
  <conditionalFormatting sqref="E400">
    <cfRule type="duplicateValues" dxfId="734" priority="595"/>
  </conditionalFormatting>
  <conditionalFormatting sqref="E408:E418 E271:E274 E386:E387 E103 E1:E2 E256 E395 E380 E340:E352 E334:E335 E354:E355 E283:E289 E300:E307 E325:E327 E205:E213 E236:E246 E218 E61:E62 E57 E19:E22 E29:E30 E64:E72 E101 E105:E106 E108:E113 E125:E127 E129:E133 E157:E166 E171:E174 E176:E178 E279 E281 E258:E259 E291 E294:E295 E393 E397:E406 E389 E222:E228 E230:E231 E233 E32:E38 E40:E42 E309:E320 E193:E200 E203 E76:E79 E24:E27 E137:E152 E382:E383 E4 E81:E94 E119:E122 E262:E265 E180:E191 E360:E361 E364:E374 E96:E99 E358">
    <cfRule type="duplicateValues" dxfId="733" priority="7042"/>
  </conditionalFormatting>
  <conditionalFormatting sqref="E420">
    <cfRule type="duplicateValues" dxfId="732" priority="545"/>
  </conditionalFormatting>
  <conditionalFormatting sqref="E478">
    <cfRule type="duplicateValues" dxfId="731" priority="544"/>
  </conditionalFormatting>
  <conditionalFormatting sqref="E470">
    <cfRule type="duplicateValues" dxfId="730" priority="589"/>
  </conditionalFormatting>
  <conditionalFormatting sqref="E471">
    <cfRule type="duplicateValues" dxfId="729" priority="588"/>
  </conditionalFormatting>
  <conditionalFormatting sqref="E472">
    <cfRule type="duplicateValues" dxfId="728" priority="585"/>
  </conditionalFormatting>
  <conditionalFormatting sqref="E474">
    <cfRule type="duplicateValues" dxfId="727" priority="582"/>
  </conditionalFormatting>
  <conditionalFormatting sqref="E469">
    <cfRule type="duplicateValues" dxfId="726" priority="581"/>
  </conditionalFormatting>
  <conditionalFormatting sqref="E466:E468 E419">
    <cfRule type="duplicateValues" dxfId="725" priority="7680"/>
  </conditionalFormatting>
  <conditionalFormatting sqref="E603:E1048576 E1:E2 E325:E330 E420:E465 E29:E38 E230:E231 E233:E259 E203:E228 E24:E27 E176:E178 E4:E22 E382:E383 E57:E79 E81:E94 E119:E174 E262:E274 E180:E200 E469:E474 E276:E291 E293:E320 E332:E355 E40:E54 E360:E361 E364:E375 E377 E380 E392:E418 E96:E113 E385:E390 E476:E480 E358">
    <cfRule type="duplicateValues" dxfId="724" priority="4060"/>
  </conditionalFormatting>
  <conditionalFormatting sqref="E3">
    <cfRule type="duplicateValues" dxfId="723" priority="332"/>
  </conditionalFormatting>
  <conditionalFormatting sqref="E3">
    <cfRule type="duplicateValues" dxfId="722" priority="333"/>
  </conditionalFormatting>
  <conditionalFormatting sqref="E3">
    <cfRule type="duplicateValues" dxfId="721" priority="334"/>
  </conditionalFormatting>
  <conditionalFormatting sqref="E3">
    <cfRule type="duplicateValues" dxfId="720" priority="327"/>
  </conditionalFormatting>
  <conditionalFormatting sqref="E3">
    <cfRule type="duplicateValues" dxfId="719" priority="322"/>
  </conditionalFormatting>
  <conditionalFormatting sqref="E3">
    <cfRule type="duplicateValues" dxfId="718" priority="324"/>
  </conditionalFormatting>
  <conditionalFormatting sqref="E3">
    <cfRule type="duplicateValues" dxfId="717" priority="325"/>
  </conditionalFormatting>
  <conditionalFormatting sqref="E3">
    <cfRule type="duplicateValues" dxfId="716" priority="323"/>
  </conditionalFormatting>
  <conditionalFormatting sqref="E3">
    <cfRule type="duplicateValues" dxfId="715" priority="329"/>
  </conditionalFormatting>
  <conditionalFormatting sqref="E3">
    <cfRule type="duplicateValues" dxfId="714" priority="328"/>
  </conditionalFormatting>
  <conditionalFormatting sqref="E3">
    <cfRule type="duplicateValues" dxfId="713" priority="330"/>
  </conditionalFormatting>
  <conditionalFormatting sqref="E3">
    <cfRule type="duplicateValues" dxfId="712" priority="331"/>
  </conditionalFormatting>
  <conditionalFormatting sqref="E3">
    <cfRule type="duplicateValues" dxfId="711" priority="326"/>
  </conditionalFormatting>
  <conditionalFormatting sqref="E3">
    <cfRule type="duplicateValues" dxfId="710" priority="320"/>
    <cfRule type="duplicateValues" dxfId="709" priority="321"/>
  </conditionalFormatting>
  <conditionalFormatting sqref="E22">
    <cfRule type="duplicateValues" dxfId="708" priority="311"/>
    <cfRule type="duplicateValues" dxfId="707" priority="312"/>
    <cfRule type="duplicateValues" dxfId="706" priority="313"/>
    <cfRule type="duplicateValues" dxfId="705" priority="314"/>
    <cfRule type="duplicateValues" dxfId="704" priority="315"/>
    <cfRule type="duplicateValues" dxfId="703" priority="316"/>
    <cfRule type="duplicateValues" dxfId="702" priority="317"/>
    <cfRule type="duplicateValues" dxfId="701" priority="318"/>
    <cfRule type="duplicateValues" dxfId="700" priority="319"/>
  </conditionalFormatting>
  <conditionalFormatting sqref="A56">
    <cfRule type="duplicateValues" dxfId="699" priority="296"/>
  </conditionalFormatting>
  <conditionalFormatting sqref="A56">
    <cfRule type="duplicateValues" dxfId="698" priority="307"/>
  </conditionalFormatting>
  <conditionalFormatting sqref="E55:E56">
    <cfRule type="duplicateValues" dxfId="697" priority="308"/>
  </conditionalFormatting>
  <conditionalFormatting sqref="E55:E56">
    <cfRule type="duplicateValues" dxfId="696" priority="309"/>
  </conditionalFormatting>
  <conditionalFormatting sqref="E55:E56">
    <cfRule type="duplicateValues" dxfId="695" priority="310"/>
  </conditionalFormatting>
  <conditionalFormatting sqref="E55:E56">
    <cfRule type="duplicateValues" dxfId="694" priority="302"/>
  </conditionalFormatting>
  <conditionalFormatting sqref="E55:E56">
    <cfRule type="duplicateValues" dxfId="693" priority="297"/>
  </conditionalFormatting>
  <conditionalFormatting sqref="E55:E56">
    <cfRule type="duplicateValues" dxfId="692" priority="299"/>
  </conditionalFormatting>
  <conditionalFormatting sqref="E55:E56">
    <cfRule type="duplicateValues" dxfId="691" priority="300"/>
  </conditionalFormatting>
  <conditionalFormatting sqref="E55">
    <cfRule type="duplicateValues" dxfId="690" priority="298"/>
  </conditionalFormatting>
  <conditionalFormatting sqref="E55:E56">
    <cfRule type="duplicateValues" dxfId="689" priority="304"/>
  </conditionalFormatting>
  <conditionalFormatting sqref="E55:E56">
    <cfRule type="duplicateValues" dxfId="688" priority="303"/>
  </conditionalFormatting>
  <conditionalFormatting sqref="E55:E56">
    <cfRule type="duplicateValues" dxfId="687" priority="305"/>
  </conditionalFormatting>
  <conditionalFormatting sqref="E55:E56">
    <cfRule type="duplicateValues" dxfId="686" priority="306"/>
  </conditionalFormatting>
  <conditionalFormatting sqref="E55:E56">
    <cfRule type="duplicateValues" dxfId="685" priority="301"/>
  </conditionalFormatting>
  <conditionalFormatting sqref="E55:E56">
    <cfRule type="duplicateValues" dxfId="684" priority="294"/>
    <cfRule type="duplicateValues" dxfId="683" priority="295"/>
  </conditionalFormatting>
  <conditionalFormatting sqref="E80">
    <cfRule type="duplicateValues" dxfId="682" priority="291"/>
  </conditionalFormatting>
  <conditionalFormatting sqref="E80">
    <cfRule type="duplicateValues" dxfId="681" priority="292"/>
  </conditionalFormatting>
  <conditionalFormatting sqref="E80">
    <cfRule type="duplicateValues" dxfId="680" priority="293"/>
  </conditionalFormatting>
  <conditionalFormatting sqref="E80">
    <cfRule type="duplicateValues" dxfId="679" priority="286"/>
  </conditionalFormatting>
  <conditionalFormatting sqref="E80">
    <cfRule type="duplicateValues" dxfId="678" priority="281"/>
  </conditionalFormatting>
  <conditionalFormatting sqref="E80">
    <cfRule type="duplicateValues" dxfId="677" priority="283"/>
  </conditionalFormatting>
  <conditionalFormatting sqref="E80">
    <cfRule type="duplicateValues" dxfId="676" priority="284"/>
  </conditionalFormatting>
  <conditionalFormatting sqref="E80">
    <cfRule type="duplicateValues" dxfId="675" priority="282"/>
  </conditionalFormatting>
  <conditionalFormatting sqref="E80">
    <cfRule type="duplicateValues" dxfId="674" priority="288"/>
  </conditionalFormatting>
  <conditionalFormatting sqref="E80">
    <cfRule type="duplicateValues" dxfId="673" priority="287"/>
  </conditionalFormatting>
  <conditionalFormatting sqref="E80">
    <cfRule type="duplicateValues" dxfId="672" priority="289"/>
  </conditionalFormatting>
  <conditionalFormatting sqref="E80">
    <cfRule type="duplicateValues" dxfId="671" priority="290"/>
  </conditionalFormatting>
  <conditionalFormatting sqref="E80">
    <cfRule type="duplicateValues" dxfId="670" priority="285"/>
  </conditionalFormatting>
  <conditionalFormatting sqref="E80">
    <cfRule type="duplicateValues" dxfId="669" priority="279"/>
    <cfRule type="duplicateValues" dxfId="668" priority="280"/>
  </conditionalFormatting>
  <conditionalFormatting sqref="E477">
    <cfRule type="duplicateValues" dxfId="667" priority="275"/>
  </conditionalFormatting>
  <conditionalFormatting sqref="E477">
    <cfRule type="duplicateValues" dxfId="666" priority="274"/>
  </conditionalFormatting>
  <conditionalFormatting sqref="E477">
    <cfRule type="duplicateValues" dxfId="665" priority="273"/>
  </conditionalFormatting>
  <conditionalFormatting sqref="E477">
    <cfRule type="duplicateValues" dxfId="664" priority="276"/>
  </conditionalFormatting>
  <conditionalFormatting sqref="E477">
    <cfRule type="duplicateValues" dxfId="663" priority="277"/>
  </conditionalFormatting>
  <conditionalFormatting sqref="E477">
    <cfRule type="duplicateValues" dxfId="662" priority="271"/>
  </conditionalFormatting>
  <conditionalFormatting sqref="E477">
    <cfRule type="duplicateValues" dxfId="661" priority="270"/>
  </conditionalFormatting>
  <conditionalFormatting sqref="E477">
    <cfRule type="duplicateValues" dxfId="660" priority="278"/>
  </conditionalFormatting>
  <conditionalFormatting sqref="E477">
    <cfRule type="duplicateValues" dxfId="659" priority="272"/>
  </conditionalFormatting>
  <conditionalFormatting sqref="E115:E116">
    <cfRule type="duplicateValues" dxfId="658" priority="267"/>
  </conditionalFormatting>
  <conditionalFormatting sqref="E115:E116">
    <cfRule type="duplicateValues" dxfId="657" priority="268"/>
  </conditionalFormatting>
  <conditionalFormatting sqref="E115:E116">
    <cfRule type="duplicateValues" dxfId="656" priority="269"/>
  </conditionalFormatting>
  <conditionalFormatting sqref="E115:E116">
    <cfRule type="duplicateValues" dxfId="655" priority="262"/>
  </conditionalFormatting>
  <conditionalFormatting sqref="E115:E116">
    <cfRule type="duplicateValues" dxfId="654" priority="257"/>
  </conditionalFormatting>
  <conditionalFormatting sqref="E115:E116">
    <cfRule type="duplicateValues" dxfId="653" priority="259"/>
  </conditionalFormatting>
  <conditionalFormatting sqref="E115:E116">
    <cfRule type="duplicateValues" dxfId="652" priority="260"/>
  </conditionalFormatting>
  <conditionalFormatting sqref="E115:E116">
    <cfRule type="duplicateValues" dxfId="651" priority="258"/>
  </conditionalFormatting>
  <conditionalFormatting sqref="E115:E116">
    <cfRule type="duplicateValues" dxfId="650" priority="264"/>
  </conditionalFormatting>
  <conditionalFormatting sqref="E115:E116">
    <cfRule type="duplicateValues" dxfId="649" priority="263"/>
  </conditionalFormatting>
  <conditionalFormatting sqref="E115:E116">
    <cfRule type="duplicateValues" dxfId="648" priority="265"/>
  </conditionalFormatting>
  <conditionalFormatting sqref="E115:E116">
    <cfRule type="duplicateValues" dxfId="647" priority="266"/>
  </conditionalFormatting>
  <conditionalFormatting sqref="E115:E116">
    <cfRule type="duplicateValues" dxfId="646" priority="261"/>
  </conditionalFormatting>
  <conditionalFormatting sqref="E115:E116">
    <cfRule type="duplicateValues" dxfId="645" priority="255"/>
    <cfRule type="duplicateValues" dxfId="644" priority="256"/>
  </conditionalFormatting>
  <conditionalFormatting sqref="E114">
    <cfRule type="duplicateValues" dxfId="643" priority="252"/>
  </conditionalFormatting>
  <conditionalFormatting sqref="E114">
    <cfRule type="duplicateValues" dxfId="642" priority="253"/>
  </conditionalFormatting>
  <conditionalFormatting sqref="E114">
    <cfRule type="duplicateValues" dxfId="641" priority="254"/>
  </conditionalFormatting>
  <conditionalFormatting sqref="E114">
    <cfRule type="duplicateValues" dxfId="640" priority="247"/>
  </conditionalFormatting>
  <conditionalFormatting sqref="E114">
    <cfRule type="duplicateValues" dxfId="639" priority="242"/>
  </conditionalFormatting>
  <conditionalFormatting sqref="E114">
    <cfRule type="duplicateValues" dxfId="638" priority="244"/>
  </conditionalFormatting>
  <conditionalFormatting sqref="E114">
    <cfRule type="duplicateValues" dxfId="637" priority="245"/>
  </conditionalFormatting>
  <conditionalFormatting sqref="E114">
    <cfRule type="duplicateValues" dxfId="636" priority="243"/>
  </conditionalFormatting>
  <conditionalFormatting sqref="E114">
    <cfRule type="duplicateValues" dxfId="635" priority="249"/>
  </conditionalFormatting>
  <conditionalFormatting sqref="E114">
    <cfRule type="duplicateValues" dxfId="634" priority="248"/>
  </conditionalFormatting>
  <conditionalFormatting sqref="E114">
    <cfRule type="duplicateValues" dxfId="633" priority="250"/>
  </conditionalFormatting>
  <conditionalFormatting sqref="E114">
    <cfRule type="duplicateValues" dxfId="632" priority="251"/>
  </conditionalFormatting>
  <conditionalFormatting sqref="E114">
    <cfRule type="duplicateValues" dxfId="631" priority="246"/>
  </conditionalFormatting>
  <conditionalFormatting sqref="E114">
    <cfRule type="duplicateValues" dxfId="630" priority="240"/>
    <cfRule type="duplicateValues" dxfId="629" priority="241"/>
  </conditionalFormatting>
  <conditionalFormatting sqref="A117">
    <cfRule type="duplicateValues" dxfId="628" priority="235"/>
  </conditionalFormatting>
  <conditionalFormatting sqref="A117">
    <cfRule type="duplicateValues" dxfId="627" priority="236"/>
  </conditionalFormatting>
  <conditionalFormatting sqref="E117:E118">
    <cfRule type="duplicateValues" dxfId="626" priority="237"/>
  </conditionalFormatting>
  <conditionalFormatting sqref="E117:E118">
    <cfRule type="duplicateValues" dxfId="625" priority="238"/>
  </conditionalFormatting>
  <conditionalFormatting sqref="E117:E118">
    <cfRule type="duplicateValues" dxfId="624" priority="239"/>
  </conditionalFormatting>
  <conditionalFormatting sqref="E117:E118">
    <cfRule type="duplicateValues" dxfId="623" priority="230"/>
  </conditionalFormatting>
  <conditionalFormatting sqref="E117:E118">
    <cfRule type="duplicateValues" dxfId="622" priority="225"/>
  </conditionalFormatting>
  <conditionalFormatting sqref="E117:E118">
    <cfRule type="duplicateValues" dxfId="621" priority="227"/>
  </conditionalFormatting>
  <conditionalFormatting sqref="E117:E118">
    <cfRule type="duplicateValues" dxfId="620" priority="228"/>
  </conditionalFormatting>
  <conditionalFormatting sqref="E117:E118">
    <cfRule type="duplicateValues" dxfId="619" priority="226"/>
  </conditionalFormatting>
  <conditionalFormatting sqref="E117:E118">
    <cfRule type="duplicateValues" dxfId="618" priority="232"/>
  </conditionalFormatting>
  <conditionalFormatting sqref="E117:E118">
    <cfRule type="duplicateValues" dxfId="617" priority="231"/>
  </conditionalFormatting>
  <conditionalFormatting sqref="E117:E118">
    <cfRule type="duplicateValues" dxfId="616" priority="233"/>
  </conditionalFormatting>
  <conditionalFormatting sqref="E117:E118">
    <cfRule type="duplicateValues" dxfId="615" priority="234"/>
  </conditionalFormatting>
  <conditionalFormatting sqref="E117:E118">
    <cfRule type="duplicateValues" dxfId="614" priority="229"/>
  </conditionalFormatting>
  <conditionalFormatting sqref="E117:E118">
    <cfRule type="duplicateValues" dxfId="613" priority="223"/>
    <cfRule type="duplicateValues" dxfId="612" priority="224"/>
  </conditionalFormatting>
  <conditionalFormatting sqref="A260">
    <cfRule type="duplicateValues" dxfId="611" priority="218"/>
  </conditionalFormatting>
  <conditionalFormatting sqref="A260">
    <cfRule type="duplicateValues" dxfId="610" priority="219"/>
  </conditionalFormatting>
  <conditionalFormatting sqref="E260:E261">
    <cfRule type="duplicateValues" dxfId="609" priority="220"/>
  </conditionalFormatting>
  <conditionalFormatting sqref="E260:E261">
    <cfRule type="duplicateValues" dxfId="608" priority="221"/>
  </conditionalFormatting>
  <conditionalFormatting sqref="E260:E261">
    <cfRule type="duplicateValues" dxfId="607" priority="222"/>
  </conditionalFormatting>
  <conditionalFormatting sqref="E260:E261">
    <cfRule type="duplicateValues" dxfId="606" priority="213"/>
  </conditionalFormatting>
  <conditionalFormatting sqref="E260:E261">
    <cfRule type="duplicateValues" dxfId="605" priority="209"/>
  </conditionalFormatting>
  <conditionalFormatting sqref="E260:E261">
    <cfRule type="duplicateValues" dxfId="604" priority="210"/>
  </conditionalFormatting>
  <conditionalFormatting sqref="E260:E261">
    <cfRule type="duplicateValues" dxfId="603" priority="211"/>
  </conditionalFormatting>
  <conditionalFormatting sqref="E260:E261">
    <cfRule type="duplicateValues" dxfId="602" priority="215"/>
  </conditionalFormatting>
  <conditionalFormatting sqref="E260:E261">
    <cfRule type="duplicateValues" dxfId="601" priority="214"/>
  </conditionalFormatting>
  <conditionalFormatting sqref="E260:E261">
    <cfRule type="duplicateValues" dxfId="600" priority="216"/>
  </conditionalFormatting>
  <conditionalFormatting sqref="E260:E261">
    <cfRule type="duplicateValues" dxfId="599" priority="217"/>
  </conditionalFormatting>
  <conditionalFormatting sqref="E260:E261">
    <cfRule type="duplicateValues" dxfId="598" priority="212"/>
  </conditionalFormatting>
  <conditionalFormatting sqref="E260:E261">
    <cfRule type="duplicateValues" dxfId="597" priority="207"/>
    <cfRule type="duplicateValues" dxfId="596" priority="208"/>
  </conditionalFormatting>
  <conditionalFormatting sqref="E175">
    <cfRule type="duplicateValues" dxfId="595" priority="206"/>
  </conditionalFormatting>
  <conditionalFormatting sqref="E175">
    <cfRule type="duplicateValues" dxfId="594" priority="204"/>
    <cfRule type="duplicateValues" dxfId="593" priority="205"/>
  </conditionalFormatting>
  <conditionalFormatting sqref="E179">
    <cfRule type="duplicateValues" dxfId="592" priority="195"/>
  </conditionalFormatting>
  <conditionalFormatting sqref="E179">
    <cfRule type="duplicateValues" dxfId="591" priority="201"/>
  </conditionalFormatting>
  <conditionalFormatting sqref="E179">
    <cfRule type="duplicateValues" dxfId="590" priority="202"/>
  </conditionalFormatting>
  <conditionalFormatting sqref="E179">
    <cfRule type="duplicateValues" dxfId="589" priority="203"/>
  </conditionalFormatting>
  <conditionalFormatting sqref="E179">
    <cfRule type="duplicateValues" dxfId="588" priority="198"/>
  </conditionalFormatting>
  <conditionalFormatting sqref="E179">
    <cfRule type="duplicateValues" dxfId="587" priority="197"/>
  </conditionalFormatting>
  <conditionalFormatting sqref="E179">
    <cfRule type="duplicateValues" dxfId="586" priority="199"/>
  </conditionalFormatting>
  <conditionalFormatting sqref="E179">
    <cfRule type="duplicateValues" dxfId="585" priority="200"/>
  </conditionalFormatting>
  <conditionalFormatting sqref="E179">
    <cfRule type="duplicateValues" dxfId="584" priority="196"/>
  </conditionalFormatting>
  <conditionalFormatting sqref="E179">
    <cfRule type="duplicateValues" dxfId="583" priority="193"/>
    <cfRule type="duplicateValues" dxfId="582" priority="194"/>
  </conditionalFormatting>
  <conditionalFormatting sqref="E275">
    <cfRule type="duplicateValues" dxfId="581" priority="179"/>
  </conditionalFormatting>
  <conditionalFormatting sqref="E275">
    <cfRule type="duplicateValues" dxfId="580" priority="180"/>
  </conditionalFormatting>
  <conditionalFormatting sqref="E275">
    <cfRule type="duplicateValues" dxfId="579" priority="181"/>
  </conditionalFormatting>
  <conditionalFormatting sqref="E275">
    <cfRule type="duplicateValues" dxfId="578" priority="174"/>
  </conditionalFormatting>
  <conditionalFormatting sqref="E275">
    <cfRule type="duplicateValues" dxfId="577" priority="169"/>
  </conditionalFormatting>
  <conditionalFormatting sqref="E275">
    <cfRule type="duplicateValues" dxfId="576" priority="171"/>
  </conditionalFormatting>
  <conditionalFormatting sqref="E275">
    <cfRule type="duplicateValues" dxfId="575" priority="172"/>
  </conditionalFormatting>
  <conditionalFormatting sqref="E275">
    <cfRule type="duplicateValues" dxfId="574" priority="170"/>
  </conditionalFormatting>
  <conditionalFormatting sqref="E275">
    <cfRule type="duplicateValues" dxfId="573" priority="176"/>
  </conditionalFormatting>
  <conditionalFormatting sqref="E275">
    <cfRule type="duplicateValues" dxfId="572" priority="175"/>
  </conditionalFormatting>
  <conditionalFormatting sqref="E275">
    <cfRule type="duplicateValues" dxfId="571" priority="177"/>
  </conditionalFormatting>
  <conditionalFormatting sqref="E275">
    <cfRule type="duplicateValues" dxfId="570" priority="178"/>
  </conditionalFormatting>
  <conditionalFormatting sqref="E275">
    <cfRule type="duplicateValues" dxfId="569" priority="173"/>
  </conditionalFormatting>
  <conditionalFormatting sqref="E275">
    <cfRule type="duplicateValues" dxfId="568" priority="167"/>
    <cfRule type="duplicateValues" dxfId="567" priority="168"/>
  </conditionalFormatting>
  <conditionalFormatting sqref="E292">
    <cfRule type="duplicateValues" dxfId="566" priority="164"/>
  </conditionalFormatting>
  <conditionalFormatting sqref="E292">
    <cfRule type="duplicateValues" dxfId="565" priority="165"/>
  </conditionalFormatting>
  <conditionalFormatting sqref="E292">
    <cfRule type="duplicateValues" dxfId="564" priority="166"/>
  </conditionalFormatting>
  <conditionalFormatting sqref="E292">
    <cfRule type="duplicateValues" dxfId="563" priority="159"/>
  </conditionalFormatting>
  <conditionalFormatting sqref="E292">
    <cfRule type="duplicateValues" dxfId="562" priority="154"/>
  </conditionalFormatting>
  <conditionalFormatting sqref="E292">
    <cfRule type="duplicateValues" dxfId="561" priority="156"/>
  </conditionalFormatting>
  <conditionalFormatting sqref="E292">
    <cfRule type="duplicateValues" dxfId="560" priority="157"/>
  </conditionalFormatting>
  <conditionalFormatting sqref="E292">
    <cfRule type="duplicateValues" dxfId="559" priority="155"/>
  </conditionalFormatting>
  <conditionalFormatting sqref="E292">
    <cfRule type="duplicateValues" dxfId="558" priority="161"/>
  </conditionalFormatting>
  <conditionalFormatting sqref="E292">
    <cfRule type="duplicateValues" dxfId="557" priority="160"/>
  </conditionalFormatting>
  <conditionalFormatting sqref="E292">
    <cfRule type="duplicateValues" dxfId="556" priority="162"/>
  </conditionalFormatting>
  <conditionalFormatting sqref="E292">
    <cfRule type="duplicateValues" dxfId="555" priority="163"/>
  </conditionalFormatting>
  <conditionalFormatting sqref="E292">
    <cfRule type="duplicateValues" dxfId="554" priority="158"/>
  </conditionalFormatting>
  <conditionalFormatting sqref="E292">
    <cfRule type="duplicateValues" dxfId="553" priority="152"/>
    <cfRule type="duplicateValues" dxfId="552" priority="153"/>
  </conditionalFormatting>
  <conditionalFormatting sqref="E331">
    <cfRule type="duplicateValues" dxfId="551" priority="149"/>
  </conditionalFormatting>
  <conditionalFormatting sqref="E331">
    <cfRule type="duplicateValues" dxfId="550" priority="150"/>
  </conditionalFormatting>
  <conditionalFormatting sqref="E331">
    <cfRule type="duplicateValues" dxfId="549" priority="151"/>
  </conditionalFormatting>
  <conditionalFormatting sqref="E331">
    <cfRule type="duplicateValues" dxfId="548" priority="144"/>
  </conditionalFormatting>
  <conditionalFormatting sqref="E331">
    <cfRule type="duplicateValues" dxfId="547" priority="142"/>
  </conditionalFormatting>
  <conditionalFormatting sqref="E331">
    <cfRule type="duplicateValues" dxfId="546" priority="146"/>
  </conditionalFormatting>
  <conditionalFormatting sqref="E331">
    <cfRule type="duplicateValues" dxfId="545" priority="145"/>
  </conditionalFormatting>
  <conditionalFormatting sqref="E331">
    <cfRule type="duplicateValues" dxfId="544" priority="147"/>
  </conditionalFormatting>
  <conditionalFormatting sqref="E331">
    <cfRule type="duplicateValues" dxfId="543" priority="148"/>
  </conditionalFormatting>
  <conditionalFormatting sqref="E331">
    <cfRule type="duplicateValues" dxfId="542" priority="143"/>
  </conditionalFormatting>
  <conditionalFormatting sqref="E331">
    <cfRule type="duplicateValues" dxfId="541" priority="140"/>
    <cfRule type="duplicateValues" dxfId="540" priority="141"/>
  </conditionalFormatting>
  <conditionalFormatting sqref="E359">
    <cfRule type="duplicateValues" dxfId="539" priority="137"/>
  </conditionalFormatting>
  <conditionalFormatting sqref="E359">
    <cfRule type="duplicateValues" dxfId="538" priority="138"/>
  </conditionalFormatting>
  <conditionalFormatting sqref="E359">
    <cfRule type="duplicateValues" dxfId="537" priority="139"/>
  </conditionalFormatting>
  <conditionalFormatting sqref="E359">
    <cfRule type="duplicateValues" dxfId="536" priority="132"/>
  </conditionalFormatting>
  <conditionalFormatting sqref="E359">
    <cfRule type="duplicateValues" dxfId="535" priority="127"/>
  </conditionalFormatting>
  <conditionalFormatting sqref="E359">
    <cfRule type="duplicateValues" dxfId="534" priority="129"/>
  </conditionalFormatting>
  <conditionalFormatting sqref="E359">
    <cfRule type="duplicateValues" dxfId="533" priority="130"/>
  </conditionalFormatting>
  <conditionalFormatting sqref="E359">
    <cfRule type="duplicateValues" dxfId="532" priority="128"/>
  </conditionalFormatting>
  <conditionalFormatting sqref="E359">
    <cfRule type="duplicateValues" dxfId="531" priority="134"/>
  </conditionalFormatting>
  <conditionalFormatting sqref="E359">
    <cfRule type="duplicateValues" dxfId="530" priority="133"/>
  </conditionalFormatting>
  <conditionalFormatting sqref="E359">
    <cfRule type="duplicateValues" dxfId="529" priority="135"/>
  </conditionalFormatting>
  <conditionalFormatting sqref="E359">
    <cfRule type="duplicateValues" dxfId="528" priority="136"/>
  </conditionalFormatting>
  <conditionalFormatting sqref="E359">
    <cfRule type="duplicateValues" dxfId="527" priority="131"/>
  </conditionalFormatting>
  <conditionalFormatting sqref="E359">
    <cfRule type="duplicateValues" dxfId="526" priority="125"/>
    <cfRule type="duplicateValues" dxfId="525" priority="126"/>
  </conditionalFormatting>
  <conditionalFormatting sqref="A362">
    <cfRule type="duplicateValues" dxfId="524" priority="120"/>
  </conditionalFormatting>
  <conditionalFormatting sqref="A362">
    <cfRule type="duplicateValues" dxfId="523" priority="121"/>
  </conditionalFormatting>
  <conditionalFormatting sqref="E362:E363">
    <cfRule type="duplicateValues" dxfId="522" priority="122"/>
  </conditionalFormatting>
  <conditionalFormatting sqref="E362:E363">
    <cfRule type="duplicateValues" dxfId="521" priority="123"/>
  </conditionalFormatting>
  <conditionalFormatting sqref="E362:E363">
    <cfRule type="duplicateValues" dxfId="520" priority="124"/>
  </conditionalFormatting>
  <conditionalFormatting sqref="E362:E363">
    <cfRule type="duplicateValues" dxfId="519" priority="115"/>
  </conditionalFormatting>
  <conditionalFormatting sqref="E362:E363">
    <cfRule type="duplicateValues" dxfId="518" priority="110"/>
  </conditionalFormatting>
  <conditionalFormatting sqref="E362:E363">
    <cfRule type="duplicateValues" dxfId="517" priority="112"/>
  </conditionalFormatting>
  <conditionalFormatting sqref="E362:E363">
    <cfRule type="duplicateValues" dxfId="516" priority="113"/>
  </conditionalFormatting>
  <conditionalFormatting sqref="E362:E363">
    <cfRule type="duplicateValues" dxfId="515" priority="111"/>
  </conditionalFormatting>
  <conditionalFormatting sqref="E362:E363">
    <cfRule type="duplicateValues" dxfId="514" priority="117"/>
  </conditionalFormatting>
  <conditionalFormatting sqref="E362:E363">
    <cfRule type="duplicateValues" dxfId="513" priority="116"/>
  </conditionalFormatting>
  <conditionalFormatting sqref="E362:E363">
    <cfRule type="duplicateValues" dxfId="512" priority="118"/>
  </conditionalFormatting>
  <conditionalFormatting sqref="E362:E363">
    <cfRule type="duplicateValues" dxfId="511" priority="119"/>
  </conditionalFormatting>
  <conditionalFormatting sqref="E362:E363">
    <cfRule type="duplicateValues" dxfId="510" priority="114"/>
  </conditionalFormatting>
  <conditionalFormatting sqref="E362:E363">
    <cfRule type="duplicateValues" dxfId="509" priority="108"/>
    <cfRule type="duplicateValues" dxfId="508" priority="109"/>
  </conditionalFormatting>
  <conditionalFormatting sqref="E376">
    <cfRule type="duplicateValues" dxfId="507" priority="105"/>
  </conditionalFormatting>
  <conditionalFormatting sqref="E376">
    <cfRule type="duplicateValues" dxfId="506" priority="106"/>
  </conditionalFormatting>
  <conditionalFormatting sqref="E376">
    <cfRule type="duplicateValues" dxfId="505" priority="107"/>
  </conditionalFormatting>
  <conditionalFormatting sqref="E376">
    <cfRule type="duplicateValues" dxfId="504" priority="104"/>
  </conditionalFormatting>
  <conditionalFormatting sqref="E376">
    <cfRule type="duplicateValues" dxfId="503" priority="101"/>
  </conditionalFormatting>
  <conditionalFormatting sqref="E376">
    <cfRule type="duplicateValues" dxfId="502" priority="100"/>
  </conditionalFormatting>
  <conditionalFormatting sqref="E376">
    <cfRule type="duplicateValues" dxfId="501" priority="102"/>
  </conditionalFormatting>
  <conditionalFormatting sqref="E376">
    <cfRule type="duplicateValues" dxfId="500" priority="103"/>
  </conditionalFormatting>
  <conditionalFormatting sqref="E376">
    <cfRule type="duplicateValues" dxfId="499" priority="99"/>
  </conditionalFormatting>
  <conditionalFormatting sqref="E376">
    <cfRule type="duplicateValues" dxfId="498" priority="97"/>
    <cfRule type="duplicateValues" dxfId="497" priority="98"/>
  </conditionalFormatting>
  <conditionalFormatting sqref="E378:E379">
    <cfRule type="duplicateValues" dxfId="496" priority="94"/>
  </conditionalFormatting>
  <conditionalFormatting sqref="E378:E379">
    <cfRule type="duplicateValues" dxfId="495" priority="95"/>
  </conditionalFormatting>
  <conditionalFormatting sqref="E378:E379">
    <cfRule type="duplicateValues" dxfId="494" priority="96"/>
  </conditionalFormatting>
  <conditionalFormatting sqref="E378:E379">
    <cfRule type="duplicateValues" dxfId="493" priority="89"/>
  </conditionalFormatting>
  <conditionalFormatting sqref="E378:E379">
    <cfRule type="duplicateValues" dxfId="492" priority="84"/>
  </conditionalFormatting>
  <conditionalFormatting sqref="E378:E379">
    <cfRule type="duplicateValues" dxfId="491" priority="86"/>
  </conditionalFormatting>
  <conditionalFormatting sqref="E378:E379">
    <cfRule type="duplicateValues" dxfId="490" priority="87"/>
  </conditionalFormatting>
  <conditionalFormatting sqref="E378:E379">
    <cfRule type="duplicateValues" dxfId="489" priority="85"/>
  </conditionalFormatting>
  <conditionalFormatting sqref="E378:E379">
    <cfRule type="duplicateValues" dxfId="488" priority="91"/>
  </conditionalFormatting>
  <conditionalFormatting sqref="E378:E379">
    <cfRule type="duplicateValues" dxfId="487" priority="90"/>
  </conditionalFormatting>
  <conditionalFormatting sqref="E378:E379">
    <cfRule type="duplicateValues" dxfId="486" priority="92"/>
  </conditionalFormatting>
  <conditionalFormatting sqref="E378:E379">
    <cfRule type="duplicateValues" dxfId="485" priority="93"/>
  </conditionalFormatting>
  <conditionalFormatting sqref="E378:E379">
    <cfRule type="duplicateValues" dxfId="484" priority="88"/>
  </conditionalFormatting>
  <conditionalFormatting sqref="E378:E379">
    <cfRule type="duplicateValues" dxfId="483" priority="82"/>
    <cfRule type="duplicateValues" dxfId="482" priority="83"/>
  </conditionalFormatting>
  <conditionalFormatting sqref="A378">
    <cfRule type="duplicateValues" dxfId="481" priority="81"/>
  </conditionalFormatting>
  <conditionalFormatting sqref="A377:A378 A274:A275 A53:A54 A330:A332 A338:A339">
    <cfRule type="duplicateValues" dxfId="480" priority="9315"/>
  </conditionalFormatting>
  <conditionalFormatting sqref="E391">
    <cfRule type="duplicateValues" dxfId="479" priority="78"/>
  </conditionalFormatting>
  <conditionalFormatting sqref="E391">
    <cfRule type="duplicateValues" dxfId="478" priority="77"/>
  </conditionalFormatting>
  <conditionalFormatting sqref="E391">
    <cfRule type="duplicateValues" dxfId="477" priority="79"/>
  </conditionalFormatting>
  <conditionalFormatting sqref="E391">
    <cfRule type="duplicateValues" dxfId="476" priority="80"/>
  </conditionalFormatting>
  <conditionalFormatting sqref="E391">
    <cfRule type="duplicateValues" dxfId="475" priority="76"/>
  </conditionalFormatting>
  <conditionalFormatting sqref="E391">
    <cfRule type="duplicateValues" dxfId="474" priority="74"/>
    <cfRule type="duplicateValues" dxfId="473" priority="75"/>
  </conditionalFormatting>
  <conditionalFormatting sqref="E95">
    <cfRule type="duplicateValues" dxfId="472" priority="71"/>
  </conditionalFormatting>
  <conditionalFormatting sqref="E95">
    <cfRule type="duplicateValues" dxfId="471" priority="72"/>
  </conditionalFormatting>
  <conditionalFormatting sqref="E95">
    <cfRule type="duplicateValues" dxfId="470" priority="73"/>
  </conditionalFormatting>
  <conditionalFormatting sqref="E95">
    <cfRule type="duplicateValues" dxfId="469" priority="66"/>
  </conditionalFormatting>
  <conditionalFormatting sqref="E95">
    <cfRule type="duplicateValues" dxfId="468" priority="61"/>
  </conditionalFormatting>
  <conditionalFormatting sqref="E95">
    <cfRule type="duplicateValues" dxfId="467" priority="63"/>
  </conditionalFormatting>
  <conditionalFormatting sqref="E95">
    <cfRule type="duplicateValues" dxfId="466" priority="64"/>
  </conditionalFormatting>
  <conditionalFormatting sqref="E95">
    <cfRule type="duplicateValues" dxfId="465" priority="62"/>
  </conditionalFormatting>
  <conditionalFormatting sqref="E95">
    <cfRule type="duplicateValues" dxfId="464" priority="68"/>
  </conditionalFormatting>
  <conditionalFormatting sqref="E95">
    <cfRule type="duplicateValues" dxfId="463" priority="67"/>
  </conditionalFormatting>
  <conditionalFormatting sqref="E95">
    <cfRule type="duplicateValues" dxfId="462" priority="69"/>
  </conditionalFormatting>
  <conditionalFormatting sqref="E95">
    <cfRule type="duplicateValues" dxfId="461" priority="70"/>
  </conditionalFormatting>
  <conditionalFormatting sqref="E95">
    <cfRule type="duplicateValues" dxfId="460" priority="65"/>
  </conditionalFormatting>
  <conditionalFormatting sqref="E95">
    <cfRule type="duplicateValues" dxfId="459" priority="59"/>
    <cfRule type="duplicateValues" dxfId="458" priority="60"/>
  </conditionalFormatting>
  <conditionalFormatting sqref="E384">
    <cfRule type="duplicateValues" dxfId="457" priority="56"/>
  </conditionalFormatting>
  <conditionalFormatting sqref="E384">
    <cfRule type="duplicateValues" dxfId="456" priority="57"/>
  </conditionalFormatting>
  <conditionalFormatting sqref="E384">
    <cfRule type="duplicateValues" dxfId="455" priority="58"/>
  </conditionalFormatting>
  <conditionalFormatting sqref="E384">
    <cfRule type="duplicateValues" dxfId="454" priority="51"/>
  </conditionalFormatting>
  <conditionalFormatting sqref="E384">
    <cfRule type="duplicateValues" dxfId="453" priority="46"/>
  </conditionalFormatting>
  <conditionalFormatting sqref="E384">
    <cfRule type="duplicateValues" dxfId="452" priority="48"/>
  </conditionalFormatting>
  <conditionalFormatting sqref="E384">
    <cfRule type="duplicateValues" dxfId="451" priority="49"/>
  </conditionalFormatting>
  <conditionalFormatting sqref="E384">
    <cfRule type="duplicateValues" dxfId="450" priority="47"/>
  </conditionalFormatting>
  <conditionalFormatting sqref="E384">
    <cfRule type="duplicateValues" dxfId="449" priority="53"/>
  </conditionalFormatting>
  <conditionalFormatting sqref="E384">
    <cfRule type="duplicateValues" dxfId="448" priority="52"/>
  </conditionalFormatting>
  <conditionalFormatting sqref="E384">
    <cfRule type="duplicateValues" dxfId="447" priority="54"/>
  </conditionalFormatting>
  <conditionalFormatting sqref="E384">
    <cfRule type="duplicateValues" dxfId="446" priority="55"/>
  </conditionalFormatting>
  <conditionalFormatting sqref="E384">
    <cfRule type="duplicateValues" dxfId="445" priority="50"/>
  </conditionalFormatting>
  <conditionalFormatting sqref="E384">
    <cfRule type="duplicateValues" dxfId="444" priority="44"/>
    <cfRule type="duplicateValues" dxfId="443" priority="45"/>
  </conditionalFormatting>
  <conditionalFormatting sqref="E473 E251:E252">
    <cfRule type="duplicateValues" dxfId="442" priority="10127"/>
  </conditionalFormatting>
  <conditionalFormatting sqref="A469:A475 A395 A283:A289 A364:A372 A298 A32:A54 A1:A21 A300:A313 A319:A328 A403:A414 A64:A72 A76:A79 A105:A113 A125:A127 A103 A81:A93 A101 A256 A183 A157:A161 A153:A155 A147:A151 A281 A254 A252 A250 A258 A220 A291:A292 A294:A296 A393 A389 A416:A418 A374:A375 A330:A332 A315:A317 A193 A200:A209 A222:A232 A268:A269 A211:A218 A248 A234:A246 A334:A355 A277 A271:A275 A397:A401 A279 A145 A135:A143 A129:A133 A163:A169 A171:A175 A115 A23:A28 A57:A62 A95:A99 A119 A121:A123 A262 A177 A185 A195:A198 A264:A266 A377:A378 A380:A385 A387 A187 A189 A191 A358:A359">
    <cfRule type="duplicateValues" dxfId="441" priority="10242"/>
  </conditionalFormatting>
  <conditionalFormatting sqref="A469:A475 A395 A334:A337 A380:A385 A283:A289 A364:A372 A319:A327 A300:A313 A298 A32:A52 A57:A62 A1:A21 A403:A414 A64:A72 A76:A77 A81:A93 A105:A113 A125:A127 A103 A96:A99 A101 A256 A183 A157:A161 A153:A155 A147:A151 A281 A254 A252 A250 A258 A277 A220 A291:A292 A294:A296 A393 A389 A416:A418 A374:A375 A315:A317 A234:A246 A193 A271:A273 A200:A209 A222:A232 A268:A269 A211:A218 A340:A355 A397:A401 A279 A145 A135:A143 A129:A133 A163:A169 A171:A175 A115 A23:A28 A119 A121:A123 A262 A177 A185 A195:A198 A264:A266 A387 A187 A189 A191 A358:A359">
    <cfRule type="duplicateValues" dxfId="440" priority="10313"/>
  </conditionalFormatting>
  <conditionalFormatting sqref="E476">
    <cfRule type="duplicateValues" dxfId="439" priority="10356"/>
  </conditionalFormatting>
  <conditionalFormatting sqref="E476 E469:E474 E291 E1:E2 E389 E220:E228 E230:E231 E233:E259 E397:E418 E325:E330 E29:E38 E294:E320 E203:E218 E24:E27 E176:E178 E382:E383 E4:E22 E392:E395 E57:E79 E81:E94 E119:E174 E262:E274 E180:E200 E276:E289 E332:E355 E40:E54 E360:E361 E364:E375 E377 E380 E96:E113 E385:E387 E358">
    <cfRule type="duplicateValues" dxfId="438" priority="10461"/>
  </conditionalFormatting>
  <conditionalFormatting sqref="E476 E469:E474 E393:E395 E1:E2 E29:E30 E64:E72 E103 E101 E256 E105:E113 E281:E289 E291 E389 E220:E228 E230:E231 E233:E254 E258:E259 E397:E418 E325:E330 E32:E38 E294:E320 E193:E200 E203:E218 E24:E27 E125:E174 E176:E178 E382:E383 E4:E22 E57:E62 E76:E79 E81:E94 E119:E123 E262:E274 E180:E191 E276:E279 E332:E355 E40:E54 E360:E361 E364:E375 E377 E380 E96:E99 E385:E387 E358">
    <cfRule type="duplicateValues" dxfId="437" priority="10493"/>
  </conditionalFormatting>
  <conditionalFormatting sqref="E476 E469:E474 E393:E395 E256 E1:E2 E281:E289 E291 E389 E220:E228 E230:E231 E233:E254 E258:E259 E397:E418 E325:E330 E29:E38 E294:E320 E193:E200 E203:E218 E24:E27 E125:E174 E176:E178 E382:E383 E4:E22 E57:E62 E64:E79 E81:E94 E119:E123 E262:E274 E180:E191 E276:E279 E332:E355 E40:E54 E360:E361 E364:E375 E377 E380 E96:E113 E385:E387 E358">
    <cfRule type="duplicateValues" dxfId="436" priority="10536"/>
  </conditionalFormatting>
  <conditionalFormatting sqref="E475">
    <cfRule type="duplicateValues" dxfId="435" priority="41"/>
  </conditionalFormatting>
  <conditionalFormatting sqref="E475">
    <cfRule type="duplicateValues" dxfId="434" priority="42"/>
  </conditionalFormatting>
  <conditionalFormatting sqref="E475">
    <cfRule type="duplicateValues" dxfId="433" priority="43"/>
  </conditionalFormatting>
  <conditionalFormatting sqref="E475">
    <cfRule type="duplicateValues" dxfId="432" priority="40"/>
  </conditionalFormatting>
  <conditionalFormatting sqref="E475">
    <cfRule type="duplicateValues" dxfId="431" priority="37"/>
  </conditionalFormatting>
  <conditionalFormatting sqref="E475">
    <cfRule type="duplicateValues" dxfId="430" priority="36"/>
  </conditionalFormatting>
  <conditionalFormatting sqref="E475">
    <cfRule type="duplicateValues" dxfId="429" priority="38"/>
  </conditionalFormatting>
  <conditionalFormatting sqref="E475">
    <cfRule type="duplicateValues" dxfId="428" priority="39"/>
  </conditionalFormatting>
  <conditionalFormatting sqref="E475">
    <cfRule type="duplicateValues" dxfId="427" priority="35"/>
  </conditionalFormatting>
  <conditionalFormatting sqref="E475">
    <cfRule type="duplicateValues" dxfId="426" priority="33"/>
    <cfRule type="duplicateValues" dxfId="425" priority="34"/>
  </conditionalFormatting>
  <conditionalFormatting sqref="E499 E476:E480 E262:E274 E119:E174 E1:E2 E57:E79 E81:E94 E176:E178 E180:E259 E276:E291 E293:E330 E332:E355 E4:E54 E360:E361 E364:E375 E377 E380:E383 E392:E474 E96:E113 E385:E390 E505:E1048576 E358">
    <cfRule type="duplicateValues" dxfId="424" priority="10537"/>
  </conditionalFormatting>
  <conditionalFormatting sqref="E499 E476:E480 E382:E383 E176:E178 E1:E2 E4:E22 E57:E79 E81:E94 E119:E174 E262:E274 E180:E259 E276:E291 E293:E330 E332:E355 E24:E54 E360:E361 E364:E375 E377 E380 E392:E474 E96:E113 E385:E390 E505:E1048576 E358">
    <cfRule type="duplicateValues" dxfId="423" priority="10557"/>
  </conditionalFormatting>
  <conditionalFormatting sqref="E603:E1048576 E1:E2 E176:E178 E4:E22 E57:E79 E81:E94 E119:E174 E262:E274 E180:E259 E382:E383 E276:E291 E293:E330 E332:E355 E24:E54 E360:E361 E364:E375 E377 E380 E392:E474 E96:E113 E385:E390 E476:E480 E358">
    <cfRule type="duplicateValues" dxfId="422" priority="10581"/>
  </conditionalFormatting>
  <conditionalFormatting sqref="E603:E1048576 E325:E330 E1:E2 E29:E38 E230:E231 E233:E259 E203:E228 E24:E27 E176:E178 E4:E22 E57:E79 E81:E94 E119:E174 E262:E274 E180:E200 E382:E383 E276:E291 E293:E320 E332:E355 E40:E54 E360:E361 E364:E375 E377 E380 E392:E474 E96:E113 E385:E390 E476:E480 E358">
    <cfRule type="duplicateValues" dxfId="421" priority="10604"/>
  </conditionalFormatting>
  <conditionalFormatting sqref="E603:E1048576 E325:E330 E1:E2 E230:E231 E233:E259 E203:E228 E24:E38 E176:E178 E4:E22 E57:E79 E81:E94 E119:E174 E262:E274 E180:E200 E382:E383 E276:E291 E293:E320 E332:E355 E40:E54 E360:E361 E364:E375 E377 E380 E392:E474 E96:E113 E385:E390 E476:E480 E358">
    <cfRule type="duplicateValues" dxfId="420" priority="10633"/>
  </conditionalFormatting>
  <conditionalFormatting sqref="E486">
    <cfRule type="duplicateValues" dxfId="419" priority="18"/>
    <cfRule type="duplicateValues" dxfId="418" priority="19"/>
    <cfRule type="duplicateValues" dxfId="417" priority="20"/>
    <cfRule type="duplicateValues" dxfId="416" priority="21"/>
    <cfRule type="duplicateValues" dxfId="415" priority="22"/>
    <cfRule type="duplicateValues" dxfId="414" priority="23"/>
    <cfRule type="duplicateValues" dxfId="413" priority="24"/>
    <cfRule type="duplicateValues" dxfId="412" priority="25"/>
    <cfRule type="duplicateValues" dxfId="411" priority="26"/>
    <cfRule type="duplicateValues" dxfId="410" priority="27"/>
    <cfRule type="duplicateValues" dxfId="409" priority="28"/>
    <cfRule type="duplicateValues" dxfId="408" priority="29"/>
    <cfRule type="duplicateValues" dxfId="407" priority="30"/>
    <cfRule type="duplicateValues" dxfId="406" priority="31"/>
    <cfRule type="duplicateValues" dxfId="405" priority="32"/>
  </conditionalFormatting>
  <conditionalFormatting sqref="A356">
    <cfRule type="duplicateValues" dxfId="404" priority="13"/>
  </conditionalFormatting>
  <conditionalFormatting sqref="A356">
    <cfRule type="duplicateValues" dxfId="403" priority="14"/>
  </conditionalFormatting>
  <conditionalFormatting sqref="E356:E357">
    <cfRule type="duplicateValues" dxfId="402" priority="15"/>
  </conditionalFormatting>
  <conditionalFormatting sqref="E356:E357">
    <cfRule type="duplicateValues" dxfId="401" priority="16"/>
  </conditionalFormatting>
  <conditionalFormatting sqref="E356:E357">
    <cfRule type="duplicateValues" dxfId="400" priority="17"/>
  </conditionalFormatting>
  <conditionalFormatting sqref="E356:E357">
    <cfRule type="duplicateValues" dxfId="399" priority="8"/>
  </conditionalFormatting>
  <conditionalFormatting sqref="E356:E357">
    <cfRule type="duplicateValues" dxfId="398" priority="3"/>
  </conditionalFormatting>
  <conditionalFormatting sqref="E356:E357">
    <cfRule type="duplicateValues" dxfId="397" priority="5"/>
  </conditionalFormatting>
  <conditionalFormatting sqref="E356:E357">
    <cfRule type="duplicateValues" dxfId="396" priority="6"/>
  </conditionalFormatting>
  <conditionalFormatting sqref="E356:E357">
    <cfRule type="duplicateValues" dxfId="395" priority="4"/>
  </conditionalFormatting>
  <conditionalFormatting sqref="E356:E357">
    <cfRule type="duplicateValues" dxfId="394" priority="10"/>
  </conditionalFormatting>
  <conditionalFormatting sqref="E356:E357">
    <cfRule type="duplicateValues" dxfId="393" priority="9"/>
  </conditionalFormatting>
  <conditionalFormatting sqref="E356:E357">
    <cfRule type="duplicateValues" dxfId="392" priority="11"/>
  </conditionalFormatting>
  <conditionalFormatting sqref="E356:E357">
    <cfRule type="duplicateValues" dxfId="391" priority="12"/>
  </conditionalFormatting>
  <conditionalFormatting sqref="E356:E357">
    <cfRule type="duplicateValues" dxfId="390" priority="7"/>
  </conditionalFormatting>
  <conditionalFormatting sqref="E356:E357">
    <cfRule type="duplicateValues" dxfId="389" priority="1"/>
    <cfRule type="duplicateValues" dxfId="388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A1E18-5B0C-47D3-8C6E-9D2DCBB8F817}">
  <sheetPr>
    <tabColor rgb="FFFFFF00"/>
  </sheetPr>
  <dimension ref="B1:I132"/>
  <sheetViews>
    <sheetView topLeftCell="B1" workbookViewId="0">
      <pane ySplit="1" topLeftCell="A47" activePane="bottomLeft" state="frozen"/>
      <selection pane="bottomLeft" activeCell="B47" sqref="B47"/>
    </sheetView>
  </sheetViews>
  <sheetFormatPr defaultRowHeight="14.5" x14ac:dyDescent="0.35"/>
  <cols>
    <col min="1" max="1" width="21" customWidth="1"/>
    <col min="2" max="2" width="32.7265625" bestFit="1" customWidth="1"/>
    <col min="3" max="3" width="21.1796875" customWidth="1"/>
    <col min="4" max="4" width="20.81640625" customWidth="1"/>
    <col min="5" max="5" width="35.453125" customWidth="1"/>
    <col min="6" max="6" width="16" style="102" customWidth="1"/>
    <col min="7" max="7" width="30.7265625" bestFit="1" customWidth="1"/>
    <col min="8" max="8" width="14" style="6" customWidth="1"/>
  </cols>
  <sheetData>
    <row r="1" spans="2:9" s="140" customFormat="1" x14ac:dyDescent="0.35">
      <c r="B1" s="265" t="s">
        <v>1482</v>
      </c>
      <c r="C1" s="265" t="s">
        <v>735</v>
      </c>
      <c r="D1" s="265" t="s">
        <v>1483</v>
      </c>
      <c r="E1" s="265" t="s">
        <v>1484</v>
      </c>
      <c r="F1" s="266" t="s">
        <v>1</v>
      </c>
      <c r="G1" s="267" t="s">
        <v>1485</v>
      </c>
      <c r="H1" s="268" t="s">
        <v>2</v>
      </c>
      <c r="I1" s="140" t="s">
        <v>3478</v>
      </c>
    </row>
    <row r="2" spans="2:9" x14ac:dyDescent="0.35">
      <c r="B2" s="159" t="s">
        <v>828</v>
      </c>
      <c r="C2" s="159" t="s">
        <v>740</v>
      </c>
      <c r="D2" s="159" t="s">
        <v>1486</v>
      </c>
      <c r="E2" s="159" t="s">
        <v>1487</v>
      </c>
      <c r="F2" s="131" t="s">
        <v>1488</v>
      </c>
      <c r="G2" s="111" t="s">
        <v>1489</v>
      </c>
      <c r="H2" s="27">
        <v>2016</v>
      </c>
      <c r="I2" t="s">
        <v>3479</v>
      </c>
    </row>
    <row r="3" spans="2:9" x14ac:dyDescent="0.35">
      <c r="B3" s="15" t="s">
        <v>831</v>
      </c>
      <c r="C3" s="15" t="s">
        <v>740</v>
      </c>
      <c r="D3" s="15" t="s">
        <v>1486</v>
      </c>
      <c r="E3" s="15" t="s">
        <v>1487</v>
      </c>
      <c r="F3" s="128" t="s">
        <v>1490</v>
      </c>
      <c r="G3" s="111"/>
      <c r="H3" s="18">
        <v>2017</v>
      </c>
      <c r="I3" t="s">
        <v>3479</v>
      </c>
    </row>
    <row r="4" spans="2:9" x14ac:dyDescent="0.35">
      <c r="B4" s="15" t="s">
        <v>835</v>
      </c>
      <c r="C4" s="15" t="s">
        <v>740</v>
      </c>
      <c r="D4" s="15" t="s">
        <v>1486</v>
      </c>
      <c r="E4" s="15" t="s">
        <v>1491</v>
      </c>
      <c r="F4" s="128" t="s">
        <v>1492</v>
      </c>
      <c r="G4" s="111"/>
      <c r="H4" s="18">
        <v>2018</v>
      </c>
      <c r="I4" t="s">
        <v>3479</v>
      </c>
    </row>
    <row r="5" spans="2:9" x14ac:dyDescent="0.35">
      <c r="B5" s="15" t="s">
        <v>6247</v>
      </c>
      <c r="C5" s="15" t="s">
        <v>740</v>
      </c>
      <c r="D5" s="15" t="s">
        <v>1486</v>
      </c>
      <c r="E5" s="15" t="s">
        <v>1491</v>
      </c>
      <c r="F5" s="128" t="s">
        <v>1493</v>
      </c>
      <c r="G5" s="111"/>
      <c r="H5" s="18">
        <v>2018</v>
      </c>
      <c r="I5" t="s">
        <v>3479</v>
      </c>
    </row>
    <row r="6" spans="2:9" x14ac:dyDescent="0.35">
      <c r="B6" s="15" t="s">
        <v>850</v>
      </c>
      <c r="C6" s="15" t="s">
        <v>740</v>
      </c>
      <c r="D6" s="15" t="s">
        <v>1486</v>
      </c>
      <c r="E6" s="15" t="s">
        <v>1494</v>
      </c>
      <c r="F6" s="128" t="s">
        <v>1495</v>
      </c>
      <c r="G6" s="111"/>
      <c r="H6" s="18">
        <v>2018</v>
      </c>
      <c r="I6" t="s">
        <v>3479</v>
      </c>
    </row>
    <row r="7" spans="2:9" x14ac:dyDescent="0.35">
      <c r="B7" s="15" t="s">
        <v>1496</v>
      </c>
      <c r="C7" s="15" t="s">
        <v>740</v>
      </c>
      <c r="D7" s="15" t="s">
        <v>1497</v>
      </c>
      <c r="E7" s="15" t="s">
        <v>1498</v>
      </c>
      <c r="F7" s="128" t="s">
        <v>1499</v>
      </c>
      <c r="G7" s="111"/>
      <c r="H7" s="18">
        <v>2021</v>
      </c>
      <c r="I7" t="s">
        <v>3479</v>
      </c>
    </row>
    <row r="8" spans="2:9" x14ac:dyDescent="0.35">
      <c r="B8" s="15" t="s">
        <v>818</v>
      </c>
      <c r="C8" s="15" t="s">
        <v>740</v>
      </c>
      <c r="D8" s="15" t="s">
        <v>1497</v>
      </c>
      <c r="E8" s="15" t="s">
        <v>1500</v>
      </c>
      <c r="F8" s="129" t="s">
        <v>1501</v>
      </c>
      <c r="G8" s="111"/>
      <c r="H8" s="18">
        <v>2017</v>
      </c>
      <c r="I8" t="s">
        <v>3479</v>
      </c>
    </row>
    <row r="9" spans="2:9" x14ac:dyDescent="0.35">
      <c r="B9" s="15" t="s">
        <v>833</v>
      </c>
      <c r="C9" s="15" t="s">
        <v>740</v>
      </c>
      <c r="D9" s="15" t="s">
        <v>1497</v>
      </c>
      <c r="E9" s="15" t="s">
        <v>1502</v>
      </c>
      <c r="F9" s="128" t="s">
        <v>1503</v>
      </c>
      <c r="G9" s="111"/>
      <c r="H9" s="18">
        <v>2018</v>
      </c>
      <c r="I9" t="s">
        <v>3479</v>
      </c>
    </row>
    <row r="10" spans="2:9" x14ac:dyDescent="0.35">
      <c r="B10" s="15" t="s">
        <v>823</v>
      </c>
      <c r="C10" s="15" t="s">
        <v>740</v>
      </c>
      <c r="D10" s="15" t="s">
        <v>1497</v>
      </c>
      <c r="E10" s="15" t="s">
        <v>1504</v>
      </c>
      <c r="F10" s="128" t="s">
        <v>1505</v>
      </c>
      <c r="G10" s="111"/>
      <c r="H10" s="18">
        <v>2015</v>
      </c>
      <c r="I10" t="s">
        <v>3479</v>
      </c>
    </row>
    <row r="11" spans="2:9" x14ac:dyDescent="0.35">
      <c r="B11" s="15" t="s">
        <v>840</v>
      </c>
      <c r="C11" s="15" t="s">
        <v>740</v>
      </c>
      <c r="D11" s="15" t="s">
        <v>1497</v>
      </c>
      <c r="E11" s="15" t="s">
        <v>1506</v>
      </c>
      <c r="F11" s="128" t="s">
        <v>1507</v>
      </c>
      <c r="G11" s="111"/>
      <c r="H11" s="18">
        <v>2015</v>
      </c>
      <c r="I11" t="s">
        <v>3479</v>
      </c>
    </row>
    <row r="12" spans="2:9" x14ac:dyDescent="0.35">
      <c r="B12" s="15" t="s">
        <v>837</v>
      </c>
      <c r="C12" s="15" t="s">
        <v>740</v>
      </c>
      <c r="D12" s="15" t="s">
        <v>1497</v>
      </c>
      <c r="E12" s="15" t="s">
        <v>1508</v>
      </c>
      <c r="F12" s="128" t="s">
        <v>1509</v>
      </c>
      <c r="G12" s="111"/>
      <c r="H12" s="18">
        <v>2015</v>
      </c>
      <c r="I12" t="s">
        <v>3479</v>
      </c>
    </row>
    <row r="13" spans="2:9" x14ac:dyDescent="0.35">
      <c r="B13" s="15" t="s">
        <v>821</v>
      </c>
      <c r="C13" s="15" t="s">
        <v>740</v>
      </c>
      <c r="D13" s="15" t="s">
        <v>1497</v>
      </c>
      <c r="E13" s="15" t="s">
        <v>1494</v>
      </c>
      <c r="F13" s="128" t="s">
        <v>1510</v>
      </c>
      <c r="G13" s="111"/>
      <c r="H13" s="18">
        <v>2015</v>
      </c>
      <c r="I13" t="s">
        <v>3479</v>
      </c>
    </row>
    <row r="14" spans="2:9" x14ac:dyDescent="0.35">
      <c r="B14" s="15" t="s">
        <v>6250</v>
      </c>
      <c r="C14" s="15" t="s">
        <v>740</v>
      </c>
      <c r="D14" s="15" t="s">
        <v>1486</v>
      </c>
      <c r="E14" s="124" t="s">
        <v>1500</v>
      </c>
      <c r="F14" s="52" t="s">
        <v>1592</v>
      </c>
      <c r="H14" s="18">
        <v>2016</v>
      </c>
      <c r="I14" t="s">
        <v>3479</v>
      </c>
    </row>
    <row r="15" spans="2:9" x14ac:dyDescent="0.35">
      <c r="B15" s="15" t="s">
        <v>815</v>
      </c>
      <c r="C15" s="15" t="s">
        <v>740</v>
      </c>
      <c r="D15" s="15" t="s">
        <v>1497</v>
      </c>
      <c r="E15" s="15" t="s">
        <v>1491</v>
      </c>
      <c r="F15" s="128" t="s">
        <v>1511</v>
      </c>
      <c r="G15" s="111"/>
      <c r="H15" s="18">
        <v>2018</v>
      </c>
      <c r="I15" t="s">
        <v>3479</v>
      </c>
    </row>
    <row r="16" spans="2:9" x14ac:dyDescent="0.35">
      <c r="B16" s="15" t="s">
        <v>6248</v>
      </c>
      <c r="C16" s="15" t="s">
        <v>740</v>
      </c>
      <c r="D16" s="15" t="s">
        <v>1486</v>
      </c>
      <c r="E16" s="15" t="s">
        <v>1491</v>
      </c>
      <c r="F16" s="128" t="s">
        <v>1607</v>
      </c>
      <c r="G16" s="111"/>
      <c r="H16" s="18">
        <v>2018</v>
      </c>
      <c r="I16" t="s">
        <v>3479</v>
      </c>
    </row>
    <row r="17" spans="2:9" x14ac:dyDescent="0.35">
      <c r="B17" s="15" t="s">
        <v>844</v>
      </c>
      <c r="C17" s="15" t="s">
        <v>740</v>
      </c>
      <c r="D17" s="15" t="s">
        <v>1497</v>
      </c>
      <c r="E17" s="15" t="s">
        <v>1491</v>
      </c>
      <c r="F17" s="128" t="s">
        <v>1512</v>
      </c>
      <c r="G17" s="19" t="s">
        <v>1513</v>
      </c>
      <c r="H17" s="18">
        <v>2018</v>
      </c>
      <c r="I17" t="s">
        <v>3479</v>
      </c>
    </row>
    <row r="18" spans="2:9" x14ac:dyDescent="0.35">
      <c r="B18" s="15" t="s">
        <v>877</v>
      </c>
      <c r="C18" s="15" t="s">
        <v>740</v>
      </c>
      <c r="D18" s="15" t="s">
        <v>1497</v>
      </c>
      <c r="E18" s="15" t="s">
        <v>1494</v>
      </c>
      <c r="F18" s="128" t="s">
        <v>1514</v>
      </c>
      <c r="G18" s="19" t="s">
        <v>1515</v>
      </c>
      <c r="H18" s="18">
        <v>2018</v>
      </c>
      <c r="I18" t="s">
        <v>3479</v>
      </c>
    </row>
    <row r="19" spans="2:9" x14ac:dyDescent="0.35">
      <c r="B19" s="15" t="s">
        <v>925</v>
      </c>
      <c r="C19" s="15" t="s">
        <v>740</v>
      </c>
      <c r="D19" s="15" t="s">
        <v>1497</v>
      </c>
      <c r="E19" s="15" t="s">
        <v>1487</v>
      </c>
      <c r="F19" s="128" t="s">
        <v>1516</v>
      </c>
      <c r="G19" s="714" t="s">
        <v>1517</v>
      </c>
      <c r="H19" s="18">
        <v>2016</v>
      </c>
      <c r="I19" t="s">
        <v>3479</v>
      </c>
    </row>
    <row r="20" spans="2:9" x14ac:dyDescent="0.35">
      <c r="B20" s="15" t="s">
        <v>899</v>
      </c>
      <c r="C20" s="15" t="s">
        <v>740</v>
      </c>
      <c r="D20" s="15" t="s">
        <v>1497</v>
      </c>
      <c r="E20" s="15" t="s">
        <v>1487</v>
      </c>
      <c r="F20" s="128" t="s">
        <v>1518</v>
      </c>
      <c r="G20" s="714"/>
      <c r="H20" s="18">
        <v>2017</v>
      </c>
      <c r="I20" t="s">
        <v>3479</v>
      </c>
    </row>
    <row r="21" spans="2:9" x14ac:dyDescent="0.35">
      <c r="B21" s="15" t="s">
        <v>866</v>
      </c>
      <c r="C21" s="15" t="s">
        <v>740</v>
      </c>
      <c r="D21" s="15" t="s">
        <v>1497</v>
      </c>
      <c r="E21" s="15" t="s">
        <v>1494</v>
      </c>
      <c r="F21" s="128" t="s">
        <v>1519</v>
      </c>
      <c r="G21" s="243" t="s">
        <v>1520</v>
      </c>
      <c r="H21" s="18">
        <v>2018</v>
      </c>
      <c r="I21" t="s">
        <v>3479</v>
      </c>
    </row>
    <row r="22" spans="2:9" x14ac:dyDescent="0.35">
      <c r="B22" s="15" t="s">
        <v>916</v>
      </c>
      <c r="C22" s="15" t="s">
        <v>740</v>
      </c>
      <c r="D22" s="15" t="s">
        <v>1497</v>
      </c>
      <c r="E22" s="15" t="s">
        <v>1506</v>
      </c>
      <c r="F22" s="128" t="s">
        <v>1521</v>
      </c>
      <c r="G22" s="234" t="s">
        <v>1522</v>
      </c>
      <c r="H22" s="18">
        <v>2015</v>
      </c>
      <c r="I22" t="s">
        <v>3479</v>
      </c>
    </row>
    <row r="23" spans="2:9" x14ac:dyDescent="0.35">
      <c r="B23" s="15" t="s">
        <v>1000</v>
      </c>
      <c r="C23" s="15" t="s">
        <v>740</v>
      </c>
      <c r="D23" s="15" t="s">
        <v>1486</v>
      </c>
      <c r="E23" s="15" t="s">
        <v>1523</v>
      </c>
      <c r="F23" s="128" t="s">
        <v>1524</v>
      </c>
      <c r="G23" s="19" t="s">
        <v>1525</v>
      </c>
      <c r="H23" s="18">
        <v>2018</v>
      </c>
      <c r="I23" t="s">
        <v>3479</v>
      </c>
    </row>
    <row r="24" spans="2:9" x14ac:dyDescent="0.35">
      <c r="B24" s="15" t="s">
        <v>980</v>
      </c>
      <c r="C24" s="15" t="s">
        <v>740</v>
      </c>
      <c r="D24" s="15" t="s">
        <v>1486</v>
      </c>
      <c r="E24" s="15" t="s">
        <v>1500</v>
      </c>
      <c r="F24" s="128" t="s">
        <v>1526</v>
      </c>
      <c r="G24" s="757" t="s">
        <v>1527</v>
      </c>
      <c r="H24" s="18">
        <v>2017</v>
      </c>
      <c r="I24" t="s">
        <v>3479</v>
      </c>
    </row>
    <row r="25" spans="2:9" x14ac:dyDescent="0.35">
      <c r="B25" s="15" t="s">
        <v>987</v>
      </c>
      <c r="C25" s="15" t="s">
        <v>740</v>
      </c>
      <c r="D25" s="15" t="s">
        <v>1486</v>
      </c>
      <c r="E25" s="15" t="s">
        <v>1506</v>
      </c>
      <c r="F25" s="128" t="s">
        <v>1528</v>
      </c>
      <c r="G25" s="757"/>
      <c r="H25" s="18">
        <v>2014</v>
      </c>
      <c r="I25" t="s">
        <v>3479</v>
      </c>
    </row>
    <row r="26" spans="2:9" x14ac:dyDescent="0.35">
      <c r="B26" s="15" t="s">
        <v>1529</v>
      </c>
      <c r="C26" s="15" t="s">
        <v>740</v>
      </c>
      <c r="D26" s="15" t="s">
        <v>1486</v>
      </c>
      <c r="E26" s="15" t="s">
        <v>1487</v>
      </c>
      <c r="F26" s="128" t="s">
        <v>1530</v>
      </c>
      <c r="G26" s="757"/>
      <c r="H26" s="18">
        <v>2017</v>
      </c>
      <c r="I26" t="s">
        <v>3479</v>
      </c>
    </row>
    <row r="27" spans="2:9" x14ac:dyDescent="0.35">
      <c r="B27" s="15" t="s">
        <v>1531</v>
      </c>
      <c r="C27" s="15" t="s">
        <v>740</v>
      </c>
      <c r="D27" s="15" t="s">
        <v>1532</v>
      </c>
      <c r="E27" s="15" t="s">
        <v>1500</v>
      </c>
      <c r="F27" s="128" t="s">
        <v>1533</v>
      </c>
      <c r="G27" s="757"/>
      <c r="H27" s="18">
        <v>2017</v>
      </c>
      <c r="I27" t="s">
        <v>3479</v>
      </c>
    </row>
    <row r="28" spans="2:9" x14ac:dyDescent="0.35">
      <c r="B28" s="15" t="s">
        <v>953</v>
      </c>
      <c r="C28" s="15" t="s">
        <v>740</v>
      </c>
      <c r="D28" s="15" t="s">
        <v>1486</v>
      </c>
      <c r="E28" s="15" t="s">
        <v>1487</v>
      </c>
      <c r="F28" s="128" t="s">
        <v>1534</v>
      </c>
      <c r="G28" s="827" t="s">
        <v>1535</v>
      </c>
      <c r="H28" s="18">
        <v>2016</v>
      </c>
      <c r="I28" t="s">
        <v>3479</v>
      </c>
    </row>
    <row r="29" spans="2:9" x14ac:dyDescent="0.35">
      <c r="B29" s="15" t="s">
        <v>957</v>
      </c>
      <c r="C29" s="15" t="s">
        <v>740</v>
      </c>
      <c r="D29" s="15" t="s">
        <v>1486</v>
      </c>
      <c r="E29" s="15" t="s">
        <v>1494</v>
      </c>
      <c r="F29" s="128" t="s">
        <v>1537</v>
      </c>
      <c r="G29" s="828"/>
      <c r="H29" s="18">
        <v>2015</v>
      </c>
      <c r="I29" t="s">
        <v>3479</v>
      </c>
    </row>
    <row r="30" spans="2:9" x14ac:dyDescent="0.35">
      <c r="B30" s="15" t="s">
        <v>1009</v>
      </c>
      <c r="C30" s="15" t="s">
        <v>740</v>
      </c>
      <c r="D30" s="15" t="s">
        <v>1486</v>
      </c>
      <c r="E30" s="15" t="s">
        <v>1538</v>
      </c>
      <c r="F30" s="128" t="s">
        <v>1539</v>
      </c>
      <c r="G30" s="19" t="s">
        <v>1540</v>
      </c>
      <c r="H30" s="18">
        <v>2016</v>
      </c>
      <c r="I30" t="s">
        <v>3479</v>
      </c>
    </row>
    <row r="31" spans="2:9" x14ac:dyDescent="0.35">
      <c r="B31" s="15" t="s">
        <v>1031</v>
      </c>
      <c r="C31" s="15" t="s">
        <v>6266</v>
      </c>
      <c r="D31" s="15" t="s">
        <v>1582</v>
      </c>
      <c r="E31" s="15" t="s">
        <v>6265</v>
      </c>
      <c r="F31" t="s">
        <v>6268</v>
      </c>
      <c r="G31" s="111" t="s">
        <v>1542</v>
      </c>
      <c r="H31" s="18">
        <v>2015</v>
      </c>
      <c r="I31" t="s">
        <v>3479</v>
      </c>
    </row>
    <row r="32" spans="2:9" x14ac:dyDescent="0.35">
      <c r="B32" s="15" t="s">
        <v>1035</v>
      </c>
      <c r="C32" s="15" t="s">
        <v>740</v>
      </c>
      <c r="D32" s="15" t="s">
        <v>1486</v>
      </c>
      <c r="E32" s="15" t="s">
        <v>1543</v>
      </c>
      <c r="F32" s="128" t="s">
        <v>1544</v>
      </c>
      <c r="G32" s="111"/>
      <c r="H32" s="18">
        <v>2020</v>
      </c>
      <c r="I32" t="s">
        <v>3479</v>
      </c>
    </row>
    <row r="33" spans="2:9" x14ac:dyDescent="0.35">
      <c r="B33" s="15" t="s">
        <v>1038</v>
      </c>
      <c r="C33" s="15" t="s">
        <v>6266</v>
      </c>
      <c r="D33" s="15" t="s">
        <v>1582</v>
      </c>
      <c r="E33" s="15" t="s">
        <v>6265</v>
      </c>
      <c r="F33" t="s">
        <v>6267</v>
      </c>
      <c r="G33" s="111"/>
      <c r="H33" s="18">
        <v>2017</v>
      </c>
      <c r="I33" t="s">
        <v>3479</v>
      </c>
    </row>
    <row r="34" spans="2:9" x14ac:dyDescent="0.35">
      <c r="B34" s="15" t="s">
        <v>1052</v>
      </c>
      <c r="C34" s="15" t="s">
        <v>740</v>
      </c>
      <c r="D34" s="15" t="s">
        <v>1486</v>
      </c>
      <c r="E34" s="15" t="s">
        <v>1547</v>
      </c>
      <c r="F34" s="128" t="s">
        <v>1548</v>
      </c>
      <c r="G34" s="714" t="s">
        <v>1549</v>
      </c>
      <c r="H34" s="18">
        <v>2013</v>
      </c>
      <c r="I34" t="s">
        <v>3479</v>
      </c>
    </row>
    <row r="35" spans="2:9" x14ac:dyDescent="0.35">
      <c r="B35" s="15" t="s">
        <v>1550</v>
      </c>
      <c r="C35" s="15" t="s">
        <v>740</v>
      </c>
      <c r="D35" s="15" t="s">
        <v>1497</v>
      </c>
      <c r="E35" s="15" t="s">
        <v>1491</v>
      </c>
      <c r="F35" s="128" t="s">
        <v>1551</v>
      </c>
      <c r="G35" s="714"/>
      <c r="H35" s="18">
        <v>2018</v>
      </c>
      <c r="I35" t="s">
        <v>3479</v>
      </c>
    </row>
    <row r="36" spans="2:9" x14ac:dyDescent="0.35">
      <c r="B36" s="15" t="s">
        <v>1552</v>
      </c>
      <c r="C36" s="15" t="s">
        <v>740</v>
      </c>
      <c r="D36" s="15" t="s">
        <v>1486</v>
      </c>
      <c r="E36" s="15" t="s">
        <v>1545</v>
      </c>
      <c r="F36" s="128" t="s">
        <v>1553</v>
      </c>
      <c r="G36" s="714" t="s">
        <v>1554</v>
      </c>
      <c r="H36" s="18">
        <v>2017</v>
      </c>
      <c r="I36" t="s">
        <v>3479</v>
      </c>
    </row>
    <row r="37" spans="2:9" x14ac:dyDescent="0.35">
      <c r="B37" s="15" t="s">
        <v>1078</v>
      </c>
      <c r="C37" s="15" t="s">
        <v>740</v>
      </c>
      <c r="D37" s="15" t="s">
        <v>1486</v>
      </c>
      <c r="E37" s="15" t="s">
        <v>1487</v>
      </c>
      <c r="F37" s="128" t="s">
        <v>1555</v>
      </c>
      <c r="G37" s="714"/>
      <c r="H37" s="18">
        <v>2016</v>
      </c>
      <c r="I37" t="s">
        <v>3479</v>
      </c>
    </row>
    <row r="38" spans="2:9" x14ac:dyDescent="0.35">
      <c r="B38" s="15" t="s">
        <v>1081</v>
      </c>
      <c r="C38" s="15" t="s">
        <v>740</v>
      </c>
      <c r="D38" s="15" t="s">
        <v>1486</v>
      </c>
      <c r="E38" s="15" t="s">
        <v>1494</v>
      </c>
      <c r="F38" s="128" t="s">
        <v>1556</v>
      </c>
      <c r="G38" s="714"/>
      <c r="H38" s="18">
        <v>2015</v>
      </c>
      <c r="I38" t="s">
        <v>3479</v>
      </c>
    </row>
    <row r="39" spans="2:9" x14ac:dyDescent="0.35">
      <c r="B39" s="31" t="s">
        <v>1557</v>
      </c>
      <c r="C39" s="23" t="s">
        <v>740</v>
      </c>
      <c r="D39" s="23" t="s">
        <v>1497</v>
      </c>
      <c r="E39" s="23" t="s">
        <v>1500</v>
      </c>
      <c r="F39" s="226" t="s">
        <v>1558</v>
      </c>
      <c r="G39" s="714" t="s">
        <v>1559</v>
      </c>
      <c r="H39" s="18">
        <v>2024</v>
      </c>
      <c r="I39" t="s">
        <v>3479</v>
      </c>
    </row>
    <row r="40" spans="2:9" x14ac:dyDescent="0.35">
      <c r="B40" s="15" t="s">
        <v>1148</v>
      </c>
      <c r="C40" s="15" t="s">
        <v>740</v>
      </c>
      <c r="D40" s="15" t="s">
        <v>1532</v>
      </c>
      <c r="E40" s="15" t="s">
        <v>1491</v>
      </c>
      <c r="F40" s="128" t="s">
        <v>1560</v>
      </c>
      <c r="G40" s="714"/>
      <c r="H40" s="18">
        <v>2018</v>
      </c>
      <c r="I40" t="s">
        <v>3479</v>
      </c>
    </row>
    <row r="41" spans="2:9" x14ac:dyDescent="0.35">
      <c r="B41" s="15" t="s">
        <v>1159</v>
      </c>
      <c r="C41" s="15" t="s">
        <v>740</v>
      </c>
      <c r="D41" s="15" t="s">
        <v>1486</v>
      </c>
      <c r="E41" s="15" t="s">
        <v>1487</v>
      </c>
      <c r="F41" s="128" t="s">
        <v>1561</v>
      </c>
      <c r="G41" s="714"/>
      <c r="H41" s="18">
        <v>2017</v>
      </c>
      <c r="I41" t="s">
        <v>3479</v>
      </c>
    </row>
    <row r="42" spans="2:9" x14ac:dyDescent="0.35">
      <c r="B42" s="15" t="s">
        <v>1151</v>
      </c>
      <c r="C42" s="15" t="s">
        <v>740</v>
      </c>
      <c r="D42" s="15" t="s">
        <v>1497</v>
      </c>
      <c r="E42" s="15" t="s">
        <v>1523</v>
      </c>
      <c r="F42" s="128" t="s">
        <v>1562</v>
      </c>
      <c r="G42" s="714"/>
      <c r="H42" s="18">
        <v>2014</v>
      </c>
      <c r="I42" t="s">
        <v>3479</v>
      </c>
    </row>
    <row r="43" spans="2:9" x14ac:dyDescent="0.35">
      <c r="B43" s="15" t="s">
        <v>1161</v>
      </c>
      <c r="C43" s="15" t="s">
        <v>740</v>
      </c>
      <c r="D43" s="15" t="s">
        <v>1497</v>
      </c>
      <c r="E43" s="15" t="s">
        <v>1563</v>
      </c>
      <c r="F43" s="128" t="s">
        <v>1564</v>
      </c>
      <c r="G43" s="714"/>
      <c r="H43" s="18">
        <v>2016</v>
      </c>
      <c r="I43" t="s">
        <v>3479</v>
      </c>
    </row>
    <row r="44" spans="2:9" x14ac:dyDescent="0.35">
      <c r="B44" s="15" t="s">
        <v>1565</v>
      </c>
      <c r="C44" s="15" t="s">
        <v>740</v>
      </c>
      <c r="D44" s="15" t="s">
        <v>1486</v>
      </c>
      <c r="E44" s="15" t="s">
        <v>1566</v>
      </c>
      <c r="F44" s="128" t="s">
        <v>1567</v>
      </c>
      <c r="G44" s="714" t="s">
        <v>1166</v>
      </c>
      <c r="H44" s="18">
        <v>2015</v>
      </c>
      <c r="I44" t="s">
        <v>3479</v>
      </c>
    </row>
    <row r="45" spans="2:9" x14ac:dyDescent="0.35">
      <c r="B45" s="15" t="s">
        <v>1190</v>
      </c>
      <c r="C45" s="15" t="s">
        <v>740</v>
      </c>
      <c r="D45" s="15" t="s">
        <v>1486</v>
      </c>
      <c r="E45" s="15" t="s">
        <v>1494</v>
      </c>
      <c r="F45" s="128" t="s">
        <v>1568</v>
      </c>
      <c r="G45" s="714"/>
      <c r="H45" s="18">
        <v>2015</v>
      </c>
      <c r="I45" t="s">
        <v>3479</v>
      </c>
    </row>
    <row r="46" spans="2:9" x14ac:dyDescent="0.35">
      <c r="B46" s="15" t="s">
        <v>1171</v>
      </c>
      <c r="C46" s="15" t="s">
        <v>740</v>
      </c>
      <c r="D46" s="15" t="s">
        <v>1497</v>
      </c>
      <c r="E46" s="15" t="s">
        <v>1569</v>
      </c>
      <c r="F46" s="128" t="s">
        <v>1570</v>
      </c>
      <c r="G46" s="714"/>
      <c r="H46" s="18">
        <v>2018</v>
      </c>
      <c r="I46" t="s">
        <v>3479</v>
      </c>
    </row>
    <row r="47" spans="2:9" x14ac:dyDescent="0.35">
      <c r="B47" s="15" t="s">
        <v>1193</v>
      </c>
      <c r="C47" s="15" t="s">
        <v>740</v>
      </c>
      <c r="D47" s="15" t="s">
        <v>1497</v>
      </c>
      <c r="E47" s="15" t="s">
        <v>1563</v>
      </c>
      <c r="F47" s="128" t="s">
        <v>1571</v>
      </c>
      <c r="G47" s="714"/>
      <c r="H47" s="18">
        <v>2016</v>
      </c>
      <c r="I47" t="s">
        <v>3479</v>
      </c>
    </row>
    <row r="48" spans="2:9" x14ac:dyDescent="0.35">
      <c r="B48" s="31" t="s">
        <v>1121</v>
      </c>
      <c r="C48" s="23" t="s">
        <v>740</v>
      </c>
      <c r="D48" s="23" t="s">
        <v>1497</v>
      </c>
      <c r="E48" s="23" t="s">
        <v>1498</v>
      </c>
      <c r="F48" s="226" t="s">
        <v>1572</v>
      </c>
      <c r="G48" s="714" t="s">
        <v>1110</v>
      </c>
      <c r="H48" s="18">
        <v>2024</v>
      </c>
      <c r="I48" t="s">
        <v>3479</v>
      </c>
    </row>
    <row r="49" spans="2:9" x14ac:dyDescent="0.35">
      <c r="B49" s="15" t="s">
        <v>1573</v>
      </c>
      <c r="C49" s="15" t="s">
        <v>740</v>
      </c>
      <c r="D49" s="15" t="s">
        <v>1497</v>
      </c>
      <c r="E49" s="15" t="s">
        <v>1500</v>
      </c>
      <c r="F49" s="128" t="s">
        <v>1574</v>
      </c>
      <c r="G49" s="714"/>
      <c r="H49" s="18">
        <v>2016</v>
      </c>
      <c r="I49" t="s">
        <v>3479</v>
      </c>
    </row>
    <row r="50" spans="2:9" x14ac:dyDescent="0.35">
      <c r="B50" s="15" t="s">
        <v>467</v>
      </c>
      <c r="C50" s="15" t="s">
        <v>740</v>
      </c>
      <c r="D50" s="15" t="s">
        <v>1486</v>
      </c>
      <c r="E50" s="15" t="s">
        <v>1502</v>
      </c>
      <c r="F50" s="128" t="s">
        <v>1575</v>
      </c>
      <c r="G50" s="814" t="s">
        <v>1201</v>
      </c>
      <c r="H50" s="18">
        <v>2015</v>
      </c>
      <c r="I50" t="s">
        <v>3479</v>
      </c>
    </row>
    <row r="51" spans="2:9" x14ac:dyDescent="0.35">
      <c r="B51" s="15" t="s">
        <v>1576</v>
      </c>
      <c r="C51" s="15" t="s">
        <v>740</v>
      </c>
      <c r="D51" s="15" t="s">
        <v>1486</v>
      </c>
      <c r="E51" s="15" t="s">
        <v>1543</v>
      </c>
      <c r="F51" s="128" t="s">
        <v>1577</v>
      </c>
      <c r="G51" s="814"/>
      <c r="H51" s="18">
        <v>2024</v>
      </c>
      <c r="I51" t="s">
        <v>3479</v>
      </c>
    </row>
    <row r="52" spans="2:9" x14ac:dyDescent="0.35">
      <c r="B52" s="15" t="s">
        <v>1226</v>
      </c>
      <c r="C52" s="15" t="s">
        <v>740</v>
      </c>
      <c r="D52" s="15" t="s">
        <v>1486</v>
      </c>
      <c r="E52" s="15" t="s">
        <v>1545</v>
      </c>
      <c r="F52" s="128" t="s">
        <v>1578</v>
      </c>
      <c r="G52" s="814"/>
      <c r="H52" s="18">
        <v>2020</v>
      </c>
      <c r="I52" t="s">
        <v>3479</v>
      </c>
    </row>
    <row r="53" spans="2:9" x14ac:dyDescent="0.35">
      <c r="B53" s="15" t="s">
        <v>330</v>
      </c>
      <c r="C53" s="15" t="s">
        <v>740</v>
      </c>
      <c r="D53" s="15" t="s">
        <v>1486</v>
      </c>
      <c r="E53" s="15" t="s">
        <v>1545</v>
      </c>
      <c r="F53" s="128" t="s">
        <v>1579</v>
      </c>
      <c r="G53" s="814"/>
      <c r="H53" s="18">
        <v>2017</v>
      </c>
      <c r="I53" t="s">
        <v>3479</v>
      </c>
    </row>
    <row r="54" spans="2:9" x14ac:dyDescent="0.35">
      <c r="B54" s="15" t="s">
        <v>1206</v>
      </c>
      <c r="C54" s="15" t="s">
        <v>740</v>
      </c>
      <c r="D54" s="15" t="s">
        <v>1486</v>
      </c>
      <c r="E54" s="15" t="s">
        <v>1545</v>
      </c>
      <c r="F54" s="128" t="s">
        <v>1580</v>
      </c>
      <c r="G54" s="814"/>
      <c r="H54" s="18">
        <v>2017</v>
      </c>
      <c r="I54" t="s">
        <v>3479</v>
      </c>
    </row>
    <row r="55" spans="2:9" x14ac:dyDescent="0.35">
      <c r="B55" s="15" t="s">
        <v>1581</v>
      </c>
      <c r="C55" s="15" t="s">
        <v>740</v>
      </c>
      <c r="D55" s="15" t="s">
        <v>1582</v>
      </c>
      <c r="E55" s="15" t="s">
        <v>1583</v>
      </c>
      <c r="F55" s="128" t="s">
        <v>1584</v>
      </c>
      <c r="G55" s="814"/>
      <c r="H55" s="18">
        <v>2015</v>
      </c>
      <c r="I55" t="s">
        <v>3479</v>
      </c>
    </row>
    <row r="56" spans="2:9" x14ac:dyDescent="0.35">
      <c r="B56" s="15" t="s">
        <v>1209</v>
      </c>
      <c r="C56" s="15" t="s">
        <v>740</v>
      </c>
      <c r="D56" s="15" t="s">
        <v>1486</v>
      </c>
      <c r="E56" s="15" t="s">
        <v>1583</v>
      </c>
      <c r="F56" s="128" t="s">
        <v>1585</v>
      </c>
      <c r="G56" s="814"/>
      <c r="H56" s="18">
        <v>2024</v>
      </c>
      <c r="I56" t="s">
        <v>3479</v>
      </c>
    </row>
    <row r="57" spans="2:9" x14ac:dyDescent="0.35">
      <c r="B57" s="15" t="s">
        <v>1236</v>
      </c>
      <c r="C57" s="15" t="s">
        <v>740</v>
      </c>
      <c r="D57" s="15" t="s">
        <v>1497</v>
      </c>
      <c r="E57" s="15" t="s">
        <v>1543</v>
      </c>
      <c r="F57" s="130" t="s">
        <v>1588</v>
      </c>
      <c r="G57" s="814"/>
      <c r="H57" s="18">
        <v>2024</v>
      </c>
      <c r="I57" t="s">
        <v>3479</v>
      </c>
    </row>
    <row r="58" spans="2:9" x14ac:dyDescent="0.35">
      <c r="B58" s="15" t="s">
        <v>1589</v>
      </c>
      <c r="C58" s="15" t="s">
        <v>740</v>
      </c>
      <c r="D58" s="15" t="s">
        <v>1532</v>
      </c>
      <c r="E58" s="15" t="s">
        <v>1543</v>
      </c>
      <c r="F58" s="102" t="s">
        <v>1590</v>
      </c>
      <c r="G58" s="814"/>
      <c r="H58" s="18">
        <v>2023</v>
      </c>
      <c r="I58" t="s">
        <v>3479</v>
      </c>
    </row>
    <row r="59" spans="2:9" x14ac:dyDescent="0.35">
      <c r="B59" s="15" t="s">
        <v>557</v>
      </c>
      <c r="C59" s="15" t="s">
        <v>740</v>
      </c>
      <c r="D59" s="15" t="s">
        <v>1582</v>
      </c>
      <c r="E59" s="124" t="s">
        <v>1545</v>
      </c>
      <c r="F59" s="102" t="s">
        <v>1591</v>
      </c>
      <c r="G59" s="814"/>
      <c r="H59" s="18">
        <v>2017</v>
      </c>
      <c r="I59" t="s">
        <v>3479</v>
      </c>
    </row>
    <row r="60" spans="2:9" x14ac:dyDescent="0.35">
      <c r="B60" s="31" t="s">
        <v>1595</v>
      </c>
      <c r="C60" s="23" t="s">
        <v>740</v>
      </c>
      <c r="D60" s="23" t="s">
        <v>1497</v>
      </c>
      <c r="E60" s="41" t="s">
        <v>1498</v>
      </c>
      <c r="F60" s="126" t="s">
        <v>1596</v>
      </c>
      <c r="G60" s="754" t="s">
        <v>1593</v>
      </c>
      <c r="H60" s="18">
        <v>2024</v>
      </c>
      <c r="I60" t="s">
        <v>3479</v>
      </c>
    </row>
    <row r="61" spans="2:9" x14ac:dyDescent="0.35">
      <c r="B61" s="31" t="s">
        <v>1597</v>
      </c>
      <c r="C61" s="23" t="s">
        <v>740</v>
      </c>
      <c r="D61" s="23" t="s">
        <v>1497</v>
      </c>
      <c r="E61" s="41" t="s">
        <v>1498</v>
      </c>
      <c r="F61" s="126" t="s">
        <v>1598</v>
      </c>
      <c r="G61" s="824"/>
      <c r="H61" s="18">
        <v>2024</v>
      </c>
      <c r="I61" t="s">
        <v>3479</v>
      </c>
    </row>
    <row r="62" spans="2:9" x14ac:dyDescent="0.35">
      <c r="B62" s="31" t="s">
        <v>1287</v>
      </c>
      <c r="C62" s="23" t="s">
        <v>740</v>
      </c>
      <c r="D62" s="23" t="s">
        <v>1497</v>
      </c>
      <c r="E62" s="41" t="s">
        <v>1498</v>
      </c>
      <c r="F62" s="126" t="s">
        <v>1599</v>
      </c>
      <c r="G62" s="824"/>
      <c r="H62" s="18">
        <v>2024</v>
      </c>
      <c r="I62" t="s">
        <v>3479</v>
      </c>
    </row>
    <row r="63" spans="2:9" x14ac:dyDescent="0.35">
      <c r="B63" s="15" t="s">
        <v>1293</v>
      </c>
      <c r="C63" s="23" t="s">
        <v>740</v>
      </c>
      <c r="D63" s="23" t="s">
        <v>1497</v>
      </c>
      <c r="E63" s="23" t="s">
        <v>1508</v>
      </c>
      <c r="F63" s="52" t="s">
        <v>1672</v>
      </c>
      <c r="G63" s="824"/>
      <c r="H63" s="822">
        <v>2021</v>
      </c>
      <c r="I63" t="s">
        <v>3479</v>
      </c>
    </row>
    <row r="64" spans="2:9" x14ac:dyDescent="0.35">
      <c r="B64" s="237" t="s">
        <v>6242</v>
      </c>
      <c r="C64" s="23" t="s">
        <v>740</v>
      </c>
      <c r="D64" s="23" t="s">
        <v>1497</v>
      </c>
      <c r="E64" s="23" t="s">
        <v>1498</v>
      </c>
      <c r="F64" s="126" t="s">
        <v>1676</v>
      </c>
      <c r="G64" s="733"/>
      <c r="H64" s="18">
        <v>2024</v>
      </c>
      <c r="I64" t="s">
        <v>3479</v>
      </c>
    </row>
    <row r="65" spans="2:9" x14ac:dyDescent="0.35">
      <c r="B65" s="15" t="s">
        <v>1354</v>
      </c>
      <c r="C65" s="15" t="s">
        <v>740</v>
      </c>
      <c r="D65" s="15" t="s">
        <v>1486</v>
      </c>
      <c r="E65" s="15" t="s">
        <v>1523</v>
      </c>
      <c r="F65" s="131" t="s">
        <v>1600</v>
      </c>
      <c r="G65" s="19" t="s">
        <v>1349</v>
      </c>
      <c r="H65" s="18">
        <v>2018</v>
      </c>
      <c r="I65" t="s">
        <v>3479</v>
      </c>
    </row>
    <row r="66" spans="2:9" x14ac:dyDescent="0.35">
      <c r="B66" s="15" t="s">
        <v>1328</v>
      </c>
      <c r="C66" s="15" t="s">
        <v>740</v>
      </c>
      <c r="D66" s="15" t="s">
        <v>1497</v>
      </c>
      <c r="E66" s="15" t="s">
        <v>1506</v>
      </c>
      <c r="F66" s="128" t="s">
        <v>1601</v>
      </c>
      <c r="G66" s="714" t="s">
        <v>1602</v>
      </c>
      <c r="H66" s="18">
        <v>2018</v>
      </c>
      <c r="I66" t="s">
        <v>3479</v>
      </c>
    </row>
    <row r="67" spans="2:9" x14ac:dyDescent="0.35">
      <c r="B67" s="15" t="s">
        <v>1330</v>
      </c>
      <c r="C67" s="15" t="s">
        <v>740</v>
      </c>
      <c r="D67" s="15" t="s">
        <v>1486</v>
      </c>
      <c r="E67" s="15" t="s">
        <v>1523</v>
      </c>
      <c r="F67" s="128" t="s">
        <v>1603</v>
      </c>
      <c r="G67" s="714"/>
      <c r="H67" s="18">
        <v>2018</v>
      </c>
      <c r="I67" t="s">
        <v>3479</v>
      </c>
    </row>
    <row r="68" spans="2:9" x14ac:dyDescent="0.35">
      <c r="B68" s="15" t="s">
        <v>1319</v>
      </c>
      <c r="C68" s="15" t="s">
        <v>740</v>
      </c>
      <c r="D68" s="15" t="s">
        <v>1497</v>
      </c>
      <c r="E68" s="15" t="s">
        <v>1491</v>
      </c>
      <c r="F68" s="128" t="s">
        <v>1605</v>
      </c>
      <c r="G68" s="111" t="s">
        <v>1606</v>
      </c>
      <c r="H68" s="18">
        <v>2015</v>
      </c>
      <c r="I68" t="s">
        <v>3479</v>
      </c>
    </row>
    <row r="69" spans="2:9" x14ac:dyDescent="0.35">
      <c r="B69" s="15" t="s">
        <v>6263</v>
      </c>
      <c r="C69" s="15" t="s">
        <v>740</v>
      </c>
      <c r="D69" s="15" t="s">
        <v>1486</v>
      </c>
      <c r="E69" s="15" t="s">
        <v>1494</v>
      </c>
      <c r="F69" s="128" t="s">
        <v>1608</v>
      </c>
      <c r="G69" s="111"/>
      <c r="H69" s="18">
        <v>2015</v>
      </c>
      <c r="I69" t="s">
        <v>3479</v>
      </c>
    </row>
    <row r="70" spans="2:9" x14ac:dyDescent="0.35">
      <c r="B70" s="15" t="s">
        <v>1247</v>
      </c>
      <c r="C70" s="15" t="s">
        <v>740</v>
      </c>
      <c r="D70" s="15" t="s">
        <v>1486</v>
      </c>
      <c r="E70" s="15" t="s">
        <v>1494</v>
      </c>
      <c r="F70" s="128" t="s">
        <v>1609</v>
      </c>
      <c r="G70" s="714" t="s">
        <v>1242</v>
      </c>
      <c r="H70" s="18">
        <v>2015</v>
      </c>
      <c r="I70" t="s">
        <v>3479</v>
      </c>
    </row>
    <row r="71" spans="2:9" x14ac:dyDescent="0.35">
      <c r="B71" s="123" t="s">
        <v>1252</v>
      </c>
      <c r="C71" s="123" t="s">
        <v>740</v>
      </c>
      <c r="D71" s="123" t="s">
        <v>1497</v>
      </c>
      <c r="E71" s="123" t="s">
        <v>1506</v>
      </c>
      <c r="F71" s="130" t="s">
        <v>1610</v>
      </c>
      <c r="G71" s="714"/>
      <c r="H71" s="18">
        <v>2015</v>
      </c>
      <c r="I71" t="s">
        <v>3479</v>
      </c>
    </row>
    <row r="72" spans="2:9" x14ac:dyDescent="0.35">
      <c r="B72" s="15" t="s">
        <v>1254</v>
      </c>
      <c r="C72" s="15" t="s">
        <v>740</v>
      </c>
      <c r="D72" s="15" t="s">
        <v>1497</v>
      </c>
      <c r="E72" s="15" t="s">
        <v>1504</v>
      </c>
      <c r="F72" s="128" t="s">
        <v>1611</v>
      </c>
      <c r="G72" s="714"/>
      <c r="H72" s="18">
        <v>2014</v>
      </c>
      <c r="I72" t="s">
        <v>3479</v>
      </c>
    </row>
    <row r="73" spans="2:9" x14ac:dyDescent="0.35">
      <c r="B73" s="15" t="s">
        <v>1371</v>
      </c>
      <c r="C73" s="15" t="s">
        <v>740</v>
      </c>
      <c r="D73" s="15" t="s">
        <v>1486</v>
      </c>
      <c r="E73" s="15" t="s">
        <v>1613</v>
      </c>
      <c r="F73" s="128" t="s">
        <v>1614</v>
      </c>
      <c r="G73" s="18" t="s">
        <v>1373</v>
      </c>
      <c r="H73" s="18">
        <v>2021</v>
      </c>
      <c r="I73" t="s">
        <v>3479</v>
      </c>
    </row>
    <row r="74" spans="2:9" x14ac:dyDescent="0.35">
      <c r="B74" s="113" t="s">
        <v>1362</v>
      </c>
      <c r="C74" s="15" t="s">
        <v>740</v>
      </c>
      <c r="D74" s="15" t="s">
        <v>1486</v>
      </c>
      <c r="E74" s="15" t="s">
        <v>1491</v>
      </c>
      <c r="F74" s="128" t="s">
        <v>1615</v>
      </c>
      <c r="G74" s="714" t="s">
        <v>1364</v>
      </c>
      <c r="H74" s="18">
        <v>2018</v>
      </c>
      <c r="I74" t="s">
        <v>3479</v>
      </c>
    </row>
    <row r="75" spans="2:9" x14ac:dyDescent="0.35">
      <c r="B75" s="15" t="s">
        <v>1365</v>
      </c>
      <c r="C75" s="15" t="s">
        <v>740</v>
      </c>
      <c r="D75" s="15" t="s">
        <v>1486</v>
      </c>
      <c r="E75" s="15" t="s">
        <v>1506</v>
      </c>
      <c r="F75" s="128" t="s">
        <v>1616</v>
      </c>
      <c r="G75" s="714"/>
      <c r="H75" s="18">
        <v>2014</v>
      </c>
      <c r="I75" t="s">
        <v>3479</v>
      </c>
    </row>
    <row r="76" spans="2:9" x14ac:dyDescent="0.35">
      <c r="B76" s="15" t="s">
        <v>1367</v>
      </c>
      <c r="C76" s="15" t="s">
        <v>740</v>
      </c>
      <c r="D76" s="15" t="s">
        <v>1486</v>
      </c>
      <c r="E76" s="15" t="s">
        <v>1500</v>
      </c>
      <c r="F76" s="128" t="s">
        <v>1617</v>
      </c>
      <c r="G76" s="714"/>
      <c r="H76" s="18">
        <v>2016</v>
      </c>
      <c r="I76" t="s">
        <v>3479</v>
      </c>
    </row>
    <row r="77" spans="2:9" x14ac:dyDescent="0.35">
      <c r="B77" s="15" t="s">
        <v>1369</v>
      </c>
      <c r="C77" s="15" t="s">
        <v>740</v>
      </c>
      <c r="D77" s="15" t="s">
        <v>1486</v>
      </c>
      <c r="E77" s="15" t="s">
        <v>1502</v>
      </c>
      <c r="F77" s="128" t="s">
        <v>1618</v>
      </c>
      <c r="G77" s="714"/>
      <c r="H77" s="18">
        <v>2015</v>
      </c>
      <c r="I77" t="s">
        <v>3479</v>
      </c>
    </row>
    <row r="78" spans="2:9" x14ac:dyDescent="0.35">
      <c r="B78" s="23" t="s">
        <v>1628</v>
      </c>
      <c r="C78" s="23" t="s">
        <v>740</v>
      </c>
      <c r="D78" s="23" t="s">
        <v>1497</v>
      </c>
      <c r="E78" s="23" t="s">
        <v>1498</v>
      </c>
      <c r="F78" s="126" t="s">
        <v>1629</v>
      </c>
      <c r="G78" s="739" t="s">
        <v>1377</v>
      </c>
      <c r="H78" s="18">
        <v>2024</v>
      </c>
      <c r="I78" t="s">
        <v>3479</v>
      </c>
    </row>
    <row r="79" spans="2:9" x14ac:dyDescent="0.35">
      <c r="B79" s="23" t="s">
        <v>1623</v>
      </c>
      <c r="C79" s="23" t="s">
        <v>740</v>
      </c>
      <c r="D79" s="23" t="s">
        <v>1497</v>
      </c>
      <c r="E79" s="23" t="s">
        <v>1498</v>
      </c>
      <c r="F79" s="102" t="s">
        <v>1625</v>
      </c>
      <c r="G79" s="817"/>
      <c r="H79" s="18">
        <v>2024</v>
      </c>
      <c r="I79" t="s">
        <v>3479</v>
      </c>
    </row>
    <row r="80" spans="2:9" x14ac:dyDescent="0.35">
      <c r="B80" s="23" t="s">
        <v>6256</v>
      </c>
      <c r="C80" s="23" t="s">
        <v>740</v>
      </c>
      <c r="D80" s="23" t="s">
        <v>1497</v>
      </c>
      <c r="E80" s="23" t="s">
        <v>1498</v>
      </c>
      <c r="F80" s="126" t="s">
        <v>1631</v>
      </c>
      <c r="G80" s="750"/>
      <c r="H80" s="18"/>
    </row>
    <row r="81" spans="2:9" x14ac:dyDescent="0.35">
      <c r="B81" s="23"/>
      <c r="C81" s="23" t="s">
        <v>740</v>
      </c>
      <c r="D81" s="23" t="s">
        <v>1497</v>
      </c>
      <c r="E81" s="23" t="s">
        <v>1498</v>
      </c>
      <c r="F81" s="126" t="s">
        <v>1619</v>
      </c>
      <c r="G81" s="739" t="s">
        <v>1620</v>
      </c>
      <c r="H81" s="18">
        <v>2024</v>
      </c>
      <c r="I81" t="s">
        <v>3479</v>
      </c>
    </row>
    <row r="82" spans="2:9" x14ac:dyDescent="0.35">
      <c r="B82" s="23"/>
      <c r="C82" s="23" t="s">
        <v>740</v>
      </c>
      <c r="D82" s="23" t="s">
        <v>1497</v>
      </c>
      <c r="E82" s="23" t="s">
        <v>1498</v>
      </c>
      <c r="F82" s="126" t="s">
        <v>1622</v>
      </c>
      <c r="G82" s="817"/>
      <c r="H82" s="18">
        <v>2024</v>
      </c>
      <c r="I82" t="s">
        <v>3479</v>
      </c>
    </row>
    <row r="83" spans="2:9" x14ac:dyDescent="0.35">
      <c r="B83" s="23"/>
      <c r="C83" s="23" t="s">
        <v>740</v>
      </c>
      <c r="D83" s="23" t="s">
        <v>1497</v>
      </c>
      <c r="E83" s="23" t="s">
        <v>1498</v>
      </c>
      <c r="F83" s="126" t="s">
        <v>5148</v>
      </c>
      <c r="G83" s="817"/>
      <c r="H83" s="18">
        <v>2024</v>
      </c>
      <c r="I83" t="s">
        <v>3479</v>
      </c>
    </row>
    <row r="84" spans="2:9" x14ac:dyDescent="0.35">
      <c r="B84" s="23"/>
      <c r="C84" s="23" t="s">
        <v>740</v>
      </c>
      <c r="D84" s="23" t="s">
        <v>1497</v>
      </c>
      <c r="E84" s="23" t="s">
        <v>1498</v>
      </c>
      <c r="F84" s="126" t="s">
        <v>1536</v>
      </c>
      <c r="G84" s="817"/>
      <c r="H84" s="18">
        <v>2024</v>
      </c>
      <c r="I84" t="s">
        <v>3479</v>
      </c>
    </row>
    <row r="85" spans="2:9" x14ac:dyDescent="0.35">
      <c r="B85" s="23"/>
      <c r="C85" s="23" t="s">
        <v>740</v>
      </c>
      <c r="D85" s="23" t="s">
        <v>1497</v>
      </c>
      <c r="E85" s="23" t="s">
        <v>1498</v>
      </c>
      <c r="F85" s="126" t="s">
        <v>1627</v>
      </c>
      <c r="G85" s="750"/>
      <c r="H85" s="18">
        <v>2024</v>
      </c>
      <c r="I85" t="s">
        <v>3479</v>
      </c>
    </row>
    <row r="86" spans="2:9" x14ac:dyDescent="0.35">
      <c r="B86" s="23"/>
      <c r="C86" s="23" t="s">
        <v>740</v>
      </c>
      <c r="D86" s="23" t="s">
        <v>1497</v>
      </c>
      <c r="E86" s="23" t="s">
        <v>1498</v>
      </c>
      <c r="F86" s="126" t="s">
        <v>1624</v>
      </c>
      <c r="G86" s="739" t="s">
        <v>2675</v>
      </c>
      <c r="H86" s="18">
        <v>2024</v>
      </c>
      <c r="I86" t="s">
        <v>3479</v>
      </c>
    </row>
    <row r="87" spans="2:9" x14ac:dyDescent="0.35">
      <c r="B87" s="23"/>
      <c r="C87" s="23" t="s">
        <v>740</v>
      </c>
      <c r="D87" s="23" t="s">
        <v>1497</v>
      </c>
      <c r="E87" s="23" t="s">
        <v>1498</v>
      </c>
      <c r="F87" s="126" t="s">
        <v>1630</v>
      </c>
      <c r="G87" s="817"/>
      <c r="H87" s="18">
        <v>2024</v>
      </c>
      <c r="I87" t="s">
        <v>3479</v>
      </c>
    </row>
    <row r="88" spans="2:9" x14ac:dyDescent="0.35">
      <c r="B88" s="23"/>
      <c r="C88" s="23" t="s">
        <v>740</v>
      </c>
      <c r="D88" s="23" t="s">
        <v>1497</v>
      </c>
      <c r="E88" s="23" t="s">
        <v>1498</v>
      </c>
      <c r="F88" s="126" t="s">
        <v>1621</v>
      </c>
      <c r="G88" s="817"/>
      <c r="H88" s="18">
        <v>2024</v>
      </c>
      <c r="I88" t="s">
        <v>3479</v>
      </c>
    </row>
    <row r="89" spans="2:9" x14ac:dyDescent="0.35">
      <c r="B89" s="23"/>
      <c r="C89" s="23" t="s">
        <v>740</v>
      </c>
      <c r="D89" s="23" t="s">
        <v>1497</v>
      </c>
      <c r="E89" s="23" t="s">
        <v>1498</v>
      </c>
      <c r="F89" s="126" t="s">
        <v>1626</v>
      </c>
      <c r="G89" s="817"/>
      <c r="H89" s="18">
        <v>2024</v>
      </c>
      <c r="I89" t="s">
        <v>3479</v>
      </c>
    </row>
    <row r="90" spans="2:9" x14ac:dyDescent="0.35">
      <c r="B90" s="23"/>
      <c r="C90" s="23" t="s">
        <v>740</v>
      </c>
      <c r="D90" s="23" t="s">
        <v>1497</v>
      </c>
      <c r="E90" s="23" t="s">
        <v>1498</v>
      </c>
      <c r="F90" s="126" t="s">
        <v>6253</v>
      </c>
      <c r="G90" s="825" t="s">
        <v>6254</v>
      </c>
      <c r="H90" s="822">
        <v>2024</v>
      </c>
      <c r="I90" t="s">
        <v>3479</v>
      </c>
    </row>
    <row r="91" spans="2:9" x14ac:dyDescent="0.35">
      <c r="C91" s="15" t="s">
        <v>740</v>
      </c>
      <c r="D91" s="15" t="s">
        <v>1486</v>
      </c>
      <c r="E91" s="124" t="s">
        <v>1506</v>
      </c>
      <c r="F91" s="52" t="s">
        <v>1594</v>
      </c>
      <c r="G91" s="826" t="s">
        <v>6252</v>
      </c>
      <c r="H91" s="822">
        <v>2015</v>
      </c>
      <c r="I91" t="s">
        <v>3479</v>
      </c>
    </row>
    <row r="92" spans="2:9" x14ac:dyDescent="0.35">
      <c r="B92" s="15" t="s">
        <v>6249</v>
      </c>
      <c r="C92" s="15" t="s">
        <v>740</v>
      </c>
      <c r="D92" s="15" t="s">
        <v>1486</v>
      </c>
      <c r="E92" s="15" t="s">
        <v>1506</v>
      </c>
      <c r="F92" s="128" t="s">
        <v>1604</v>
      </c>
      <c r="G92" s="826" t="s">
        <v>6252</v>
      </c>
      <c r="H92" s="822">
        <v>2015</v>
      </c>
      <c r="I92" t="s">
        <v>3479</v>
      </c>
    </row>
    <row r="93" spans="2:9" x14ac:dyDescent="0.35">
      <c r="B93" s="15" t="s">
        <v>6249</v>
      </c>
      <c r="C93" s="15" t="s">
        <v>740</v>
      </c>
      <c r="D93" s="15" t="s">
        <v>1486</v>
      </c>
      <c r="E93" s="15" t="s">
        <v>1487</v>
      </c>
      <c r="F93" s="128" t="s">
        <v>1612</v>
      </c>
      <c r="G93" s="826" t="s">
        <v>6252</v>
      </c>
      <c r="H93" s="822">
        <v>2016</v>
      </c>
      <c r="I93" t="s">
        <v>3479</v>
      </c>
    </row>
    <row r="94" spans="2:9" x14ac:dyDescent="0.35">
      <c r="B94" s="23" t="s">
        <v>1632</v>
      </c>
      <c r="C94" s="23" t="s">
        <v>740</v>
      </c>
      <c r="D94" s="23" t="s">
        <v>1497</v>
      </c>
      <c r="E94" s="23"/>
      <c r="F94" s="244" t="s">
        <v>1633</v>
      </c>
      <c r="G94" s="875" t="s">
        <v>1377</v>
      </c>
      <c r="H94" s="18">
        <v>2024</v>
      </c>
      <c r="I94" t="s">
        <v>3479</v>
      </c>
    </row>
    <row r="95" spans="2:9" x14ac:dyDescent="0.35">
      <c r="B95" s="22" t="s">
        <v>1634</v>
      </c>
      <c r="C95" s="23" t="s">
        <v>740</v>
      </c>
      <c r="D95" s="23" t="s">
        <v>1497</v>
      </c>
      <c r="E95" s="23"/>
      <c r="F95" s="244" t="s">
        <v>1635</v>
      </c>
      <c r="G95" s="725"/>
      <c r="H95" s="18">
        <v>2024</v>
      </c>
      <c r="I95" t="s">
        <v>3479</v>
      </c>
    </row>
    <row r="96" spans="2:9" x14ac:dyDescent="0.35">
      <c r="B96" s="22" t="s">
        <v>1636</v>
      </c>
      <c r="C96" s="23" t="s">
        <v>740</v>
      </c>
      <c r="D96" s="23" t="s">
        <v>1497</v>
      </c>
      <c r="E96" s="23"/>
      <c r="F96" s="244" t="s">
        <v>1637</v>
      </c>
      <c r="G96" s="725"/>
      <c r="H96" s="18">
        <v>2018</v>
      </c>
      <c r="I96" t="s">
        <v>3479</v>
      </c>
    </row>
    <row r="97" spans="2:9" x14ac:dyDescent="0.35">
      <c r="B97" s="22" t="s">
        <v>1387</v>
      </c>
      <c r="C97" s="23" t="s">
        <v>740</v>
      </c>
      <c r="D97" s="23" t="s">
        <v>1497</v>
      </c>
      <c r="E97" s="23"/>
      <c r="F97" s="244" t="s">
        <v>1638</v>
      </c>
      <c r="G97" s="725"/>
      <c r="H97" s="18">
        <v>2024</v>
      </c>
      <c r="I97" t="s">
        <v>3479</v>
      </c>
    </row>
    <row r="98" spans="2:9" x14ac:dyDescent="0.35">
      <c r="B98" s="22" t="s">
        <v>1639</v>
      </c>
      <c r="C98" s="23" t="s">
        <v>740</v>
      </c>
      <c r="D98" s="23" t="s">
        <v>1497</v>
      </c>
      <c r="E98" s="23"/>
      <c r="F98" s="244" t="s">
        <v>1640</v>
      </c>
      <c r="G98" s="725"/>
      <c r="H98" s="18">
        <v>2018</v>
      </c>
      <c r="I98" t="s">
        <v>3479</v>
      </c>
    </row>
    <row r="99" spans="2:9" x14ac:dyDescent="0.35">
      <c r="B99" s="292" t="s">
        <v>1641</v>
      </c>
      <c r="C99" s="293" t="s">
        <v>740</v>
      </c>
      <c r="D99" s="293" t="s">
        <v>1497</v>
      </c>
      <c r="E99" s="293"/>
      <c r="F99" s="294" t="s">
        <v>1642</v>
      </c>
      <c r="G99" s="725"/>
      <c r="H99" s="295">
        <v>2016</v>
      </c>
      <c r="I99" t="s">
        <v>3479</v>
      </c>
    </row>
    <row r="100" spans="2:9" x14ac:dyDescent="0.35">
      <c r="B100" s="22" t="s">
        <v>1643</v>
      </c>
      <c r="C100" s="23" t="s">
        <v>809</v>
      </c>
      <c r="D100" s="23"/>
      <c r="E100" s="23"/>
      <c r="F100" s="244" t="s">
        <v>1644</v>
      </c>
      <c r="G100" s="725"/>
      <c r="H100" s="18"/>
      <c r="I100" t="s">
        <v>3479</v>
      </c>
    </row>
    <row r="101" spans="2:9" x14ac:dyDescent="0.35">
      <c r="B101" s="22" t="s">
        <v>1391</v>
      </c>
      <c r="C101" s="23" t="s">
        <v>740</v>
      </c>
      <c r="D101" s="23" t="s">
        <v>1497</v>
      </c>
      <c r="E101" s="23"/>
      <c r="F101" s="244" t="s">
        <v>1645</v>
      </c>
      <c r="G101" s="725"/>
      <c r="H101" s="18">
        <v>2024</v>
      </c>
      <c r="I101" t="s">
        <v>3479</v>
      </c>
    </row>
    <row r="102" spans="2:9" x14ac:dyDescent="0.35">
      <c r="B102" s="22" t="s">
        <v>1394</v>
      </c>
      <c r="C102" s="23" t="s">
        <v>740</v>
      </c>
      <c r="D102" s="23" t="s">
        <v>1497</v>
      </c>
      <c r="E102" s="23"/>
      <c r="F102" s="244" t="s">
        <v>1646</v>
      </c>
      <c r="G102" s="725"/>
      <c r="H102" s="18">
        <v>2024</v>
      </c>
      <c r="I102" t="s">
        <v>3479</v>
      </c>
    </row>
    <row r="103" spans="2:9" x14ac:dyDescent="0.35">
      <c r="B103" s="22" t="s">
        <v>1414</v>
      </c>
      <c r="C103" s="23" t="s">
        <v>740</v>
      </c>
      <c r="D103" s="23" t="s">
        <v>1497</v>
      </c>
      <c r="E103" s="23"/>
      <c r="F103" s="244" t="s">
        <v>1647</v>
      </c>
      <c r="G103" s="725"/>
      <c r="H103" s="18">
        <v>2017</v>
      </c>
      <c r="I103" t="s">
        <v>3479</v>
      </c>
    </row>
    <row r="104" spans="2:9" x14ac:dyDescent="0.35">
      <c r="B104" s="22" t="s">
        <v>1648</v>
      </c>
      <c r="C104" s="23" t="s">
        <v>740</v>
      </c>
      <c r="D104" s="23" t="s">
        <v>1497</v>
      </c>
      <c r="E104" s="23"/>
      <c r="F104" s="244" t="s">
        <v>1649</v>
      </c>
      <c r="G104" s="725"/>
      <c r="H104" s="18">
        <v>2021</v>
      </c>
      <c r="I104" t="s">
        <v>3479</v>
      </c>
    </row>
    <row r="105" spans="2:9" x14ac:dyDescent="0.35">
      <c r="B105" s="22" t="s">
        <v>1650</v>
      </c>
      <c r="C105" s="23" t="s">
        <v>740</v>
      </c>
      <c r="D105" s="23" t="s">
        <v>1497</v>
      </c>
      <c r="E105" s="23"/>
      <c r="F105" s="244" t="s">
        <v>1651</v>
      </c>
      <c r="G105" s="725"/>
      <c r="H105" s="18">
        <v>2018</v>
      </c>
      <c r="I105" t="s">
        <v>3479</v>
      </c>
    </row>
    <row r="106" spans="2:9" x14ac:dyDescent="0.35">
      <c r="B106" s="23"/>
      <c r="C106" s="23" t="s">
        <v>740</v>
      </c>
      <c r="D106" s="23" t="s">
        <v>1497</v>
      </c>
      <c r="E106" s="23"/>
      <c r="F106" s="244" t="s">
        <v>1652</v>
      </c>
      <c r="G106" s="725"/>
      <c r="H106" s="18">
        <v>2018</v>
      </c>
      <c r="I106" t="s">
        <v>3479</v>
      </c>
    </row>
    <row r="107" spans="2:9" x14ac:dyDescent="0.35">
      <c r="B107" s="22" t="s">
        <v>1653</v>
      </c>
      <c r="C107" s="23" t="s">
        <v>740</v>
      </c>
      <c r="D107" s="23" t="s">
        <v>1497</v>
      </c>
      <c r="E107" s="23"/>
      <c r="F107" s="244" t="s">
        <v>1654</v>
      </c>
      <c r="G107" s="725"/>
      <c r="H107" s="18">
        <v>2018</v>
      </c>
      <c r="I107" t="s">
        <v>3479</v>
      </c>
    </row>
    <row r="108" spans="2:9" x14ac:dyDescent="0.35">
      <c r="B108" s="22" t="s">
        <v>1445</v>
      </c>
      <c r="C108" s="23" t="s">
        <v>740</v>
      </c>
      <c r="D108" s="23" t="s">
        <v>1497</v>
      </c>
      <c r="E108" s="23"/>
      <c r="F108" s="244" t="s">
        <v>1655</v>
      </c>
      <c r="G108" s="725"/>
      <c r="H108" s="18">
        <v>2020</v>
      </c>
      <c r="I108" t="s">
        <v>3479</v>
      </c>
    </row>
    <row r="109" spans="2:9" x14ac:dyDescent="0.35">
      <c r="B109" s="22" t="s">
        <v>1447</v>
      </c>
      <c r="C109" s="23" t="s">
        <v>740</v>
      </c>
      <c r="D109" s="23" t="s">
        <v>1497</v>
      </c>
      <c r="E109" s="23"/>
      <c r="F109" s="244" t="s">
        <v>1656</v>
      </c>
      <c r="G109" s="725"/>
      <c r="H109" s="18">
        <v>2017</v>
      </c>
      <c r="I109" t="s">
        <v>3479</v>
      </c>
    </row>
    <row r="110" spans="2:9" x14ac:dyDescent="0.35">
      <c r="B110" s="22" t="s">
        <v>1453</v>
      </c>
      <c r="C110" s="23" t="s">
        <v>740</v>
      </c>
      <c r="D110" s="23" t="s">
        <v>1497</v>
      </c>
      <c r="E110" s="23"/>
      <c r="F110" s="244" t="s">
        <v>1657</v>
      </c>
      <c r="G110" s="725"/>
      <c r="H110" s="18">
        <v>2018</v>
      </c>
      <c r="I110" t="s">
        <v>3479</v>
      </c>
    </row>
    <row r="111" spans="2:9" x14ac:dyDescent="0.35">
      <c r="B111" s="22" t="s">
        <v>1449</v>
      </c>
      <c r="C111" s="23" t="s">
        <v>740</v>
      </c>
      <c r="D111" s="23" t="s">
        <v>1497</v>
      </c>
      <c r="E111" s="23"/>
      <c r="F111" s="244" t="s">
        <v>1658</v>
      </c>
      <c r="G111" s="725"/>
      <c r="H111" s="18">
        <v>2021</v>
      </c>
      <c r="I111" t="s">
        <v>3479</v>
      </c>
    </row>
    <row r="112" spans="2:9" x14ac:dyDescent="0.35">
      <c r="B112" s="23" t="s">
        <v>1659</v>
      </c>
      <c r="C112" s="23" t="s">
        <v>740</v>
      </c>
      <c r="D112" s="23" t="s">
        <v>1497</v>
      </c>
      <c r="E112" s="23"/>
      <c r="F112" s="244" t="s">
        <v>1660</v>
      </c>
      <c r="G112" s="725"/>
      <c r="H112" s="18">
        <v>2018</v>
      </c>
      <c r="I112" t="s">
        <v>3479</v>
      </c>
    </row>
    <row r="113" spans="2:9" x14ac:dyDescent="0.35">
      <c r="B113" s="43"/>
      <c r="C113" s="43" t="s">
        <v>740</v>
      </c>
      <c r="D113" s="43" t="s">
        <v>1497</v>
      </c>
      <c r="E113" s="43"/>
      <c r="F113" s="245" t="s">
        <v>1661</v>
      </c>
      <c r="G113" s="876"/>
      <c r="H113" s="18">
        <v>2017</v>
      </c>
      <c r="I113" t="s">
        <v>3479</v>
      </c>
    </row>
    <row r="114" spans="2:9" x14ac:dyDescent="0.35">
      <c r="B114" s="23"/>
      <c r="C114" s="23" t="s">
        <v>740</v>
      </c>
      <c r="D114" s="23" t="s">
        <v>1497</v>
      </c>
      <c r="E114" s="23" t="s">
        <v>1662</v>
      </c>
      <c r="F114" s="52" t="s">
        <v>1663</v>
      </c>
      <c r="G114" s="732" t="s">
        <v>1664</v>
      </c>
      <c r="H114" s="822">
        <v>2018</v>
      </c>
      <c r="I114" t="s">
        <v>3479</v>
      </c>
    </row>
    <row r="115" spans="2:9" x14ac:dyDescent="0.35">
      <c r="B115" s="23"/>
      <c r="C115" s="23" t="s">
        <v>740</v>
      </c>
      <c r="D115" s="23" t="s">
        <v>1497</v>
      </c>
      <c r="E115" s="23" t="s">
        <v>1662</v>
      </c>
      <c r="F115" s="52" t="s">
        <v>1665</v>
      </c>
      <c r="G115" s="824"/>
      <c r="H115" s="822">
        <v>2018</v>
      </c>
      <c r="I115" t="s">
        <v>3479</v>
      </c>
    </row>
    <row r="116" spans="2:9" x14ac:dyDescent="0.35">
      <c r="B116" s="23"/>
      <c r="C116" s="23" t="s">
        <v>740</v>
      </c>
      <c r="D116" s="23" t="s">
        <v>1497</v>
      </c>
      <c r="E116" s="23" t="s">
        <v>1666</v>
      </c>
      <c r="F116" s="52" t="s">
        <v>1667</v>
      </c>
      <c r="G116" s="824"/>
      <c r="H116" s="822">
        <v>2017</v>
      </c>
      <c r="I116" t="s">
        <v>3479</v>
      </c>
    </row>
    <row r="117" spans="2:9" x14ac:dyDescent="0.35">
      <c r="B117" s="23"/>
      <c r="C117" s="23" t="s">
        <v>740</v>
      </c>
      <c r="D117" s="23" t="s">
        <v>1497</v>
      </c>
      <c r="E117" s="23" t="s">
        <v>1668</v>
      </c>
      <c r="F117" s="52" t="s">
        <v>1669</v>
      </c>
      <c r="G117" s="824"/>
      <c r="H117" s="822"/>
      <c r="I117" t="s">
        <v>3479</v>
      </c>
    </row>
    <row r="118" spans="2:9" x14ac:dyDescent="0.35">
      <c r="B118" s="23"/>
      <c r="C118" s="23" t="s">
        <v>740</v>
      </c>
      <c r="D118" s="23" t="s">
        <v>1497</v>
      </c>
      <c r="E118" s="23" t="s">
        <v>1666</v>
      </c>
      <c r="F118" s="52" t="s">
        <v>1670</v>
      </c>
      <c r="G118" s="824"/>
      <c r="H118" s="822">
        <v>2016</v>
      </c>
      <c r="I118" t="s">
        <v>3479</v>
      </c>
    </row>
    <row r="119" spans="2:9" x14ac:dyDescent="0.35">
      <c r="B119" s="122"/>
      <c r="C119" s="122" t="s">
        <v>740</v>
      </c>
      <c r="D119" s="122" t="s">
        <v>1497</v>
      </c>
      <c r="E119" s="122" t="s">
        <v>1506</v>
      </c>
      <c r="F119" s="290" t="s">
        <v>1671</v>
      </c>
      <c r="G119" s="824"/>
      <c r="H119" s="823">
        <v>2015</v>
      </c>
      <c r="I119" t="s">
        <v>3479</v>
      </c>
    </row>
    <row r="120" spans="2:9" x14ac:dyDescent="0.35">
      <c r="B120" s="23"/>
      <c r="C120" s="23" t="s">
        <v>740</v>
      </c>
      <c r="D120" s="23" t="s">
        <v>1497</v>
      </c>
      <c r="E120" s="23" t="s">
        <v>1500</v>
      </c>
      <c r="F120" s="52" t="s">
        <v>1673</v>
      </c>
      <c r="G120" s="824"/>
      <c r="H120" s="822">
        <v>2017</v>
      </c>
      <c r="I120" t="s">
        <v>3479</v>
      </c>
    </row>
    <row r="121" spans="2:9" x14ac:dyDescent="0.35">
      <c r="B121" s="122"/>
      <c r="C121" s="122" t="s">
        <v>740</v>
      </c>
      <c r="D121" s="122" t="s">
        <v>1497</v>
      </c>
      <c r="E121" s="122" t="s">
        <v>1506</v>
      </c>
      <c r="F121" s="290" t="s">
        <v>1674</v>
      </c>
      <c r="G121" s="824"/>
      <c r="H121" s="823">
        <v>2015</v>
      </c>
      <c r="I121" t="s">
        <v>3479</v>
      </c>
    </row>
    <row r="122" spans="2:9" x14ac:dyDescent="0.35">
      <c r="B122" s="122"/>
      <c r="C122" s="122" t="s">
        <v>740</v>
      </c>
      <c r="D122" s="122" t="s">
        <v>1497</v>
      </c>
      <c r="E122" s="122" t="s">
        <v>1506</v>
      </c>
      <c r="F122" s="290" t="s">
        <v>1675</v>
      </c>
      <c r="G122" s="824"/>
      <c r="H122" s="823">
        <v>2015</v>
      </c>
      <c r="I122" t="s">
        <v>3479</v>
      </c>
    </row>
    <row r="123" spans="2:9" x14ac:dyDescent="0.35">
      <c r="B123" s="15"/>
      <c r="C123" s="15" t="s">
        <v>740</v>
      </c>
      <c r="D123" s="15" t="s">
        <v>1486</v>
      </c>
      <c r="E123" s="15" t="s">
        <v>1502</v>
      </c>
      <c r="F123" s="130" t="s">
        <v>1587</v>
      </c>
      <c r="G123" s="824"/>
      <c r="H123" s="822">
        <v>2024</v>
      </c>
      <c r="I123" t="s">
        <v>3479</v>
      </c>
    </row>
    <row r="124" spans="2:9" x14ac:dyDescent="0.35">
      <c r="C124" s="15" t="s">
        <v>740</v>
      </c>
      <c r="D124" s="15" t="s">
        <v>1486</v>
      </c>
      <c r="E124" s="820" t="s">
        <v>1543</v>
      </c>
      <c r="F124" s="818" t="s">
        <v>6243</v>
      </c>
      <c r="G124" s="824"/>
    </row>
    <row r="125" spans="2:9" x14ac:dyDescent="0.35">
      <c r="C125" s="15" t="s">
        <v>740</v>
      </c>
      <c r="D125" s="15" t="s">
        <v>1486</v>
      </c>
      <c r="E125" t="s">
        <v>1543</v>
      </c>
      <c r="F125" s="818" t="s">
        <v>6244</v>
      </c>
      <c r="G125" s="824"/>
    </row>
    <row r="126" spans="2:9" x14ac:dyDescent="0.35">
      <c r="C126" s="15" t="s">
        <v>740</v>
      </c>
      <c r="D126" s="15" t="s">
        <v>1486</v>
      </c>
      <c r="E126" t="s">
        <v>1545</v>
      </c>
      <c r="F126" s="818" t="s">
        <v>6245</v>
      </c>
      <c r="G126" s="824"/>
    </row>
    <row r="127" spans="2:9" x14ac:dyDescent="0.35">
      <c r="B127" s="15"/>
      <c r="C127" s="15" t="s">
        <v>740</v>
      </c>
      <c r="D127" s="15" t="s">
        <v>1486</v>
      </c>
      <c r="E127" s="15" t="s">
        <v>1545</v>
      </c>
      <c r="F127" s="128" t="s">
        <v>1546</v>
      </c>
      <c r="G127" s="824"/>
      <c r="H127" s="18">
        <v>2017</v>
      </c>
      <c r="I127" t="s">
        <v>3479</v>
      </c>
    </row>
    <row r="128" spans="2:9" x14ac:dyDescent="0.35">
      <c r="B128" s="15"/>
      <c r="C128" s="15" t="s">
        <v>740</v>
      </c>
      <c r="D128" s="15" t="s">
        <v>1486</v>
      </c>
      <c r="E128" s="15" t="s">
        <v>1502</v>
      </c>
      <c r="F128" s="128" t="s">
        <v>1541</v>
      </c>
      <c r="G128" s="824"/>
      <c r="H128" s="18">
        <v>2015</v>
      </c>
      <c r="I128" t="s">
        <v>3479</v>
      </c>
    </row>
    <row r="129" spans="2:9" x14ac:dyDescent="0.35">
      <c r="B129" s="15" t="s">
        <v>1201</v>
      </c>
      <c r="C129" s="15" t="s">
        <v>6266</v>
      </c>
      <c r="D129" s="15" t="s">
        <v>1582</v>
      </c>
      <c r="E129" s="15" t="s">
        <v>6265</v>
      </c>
      <c r="F129" t="s">
        <v>6269</v>
      </c>
      <c r="G129" s="824"/>
      <c r="H129" s="18"/>
      <c r="I129" t="s">
        <v>3479</v>
      </c>
    </row>
    <row r="130" spans="2:9" ht="15" thickBot="1" x14ac:dyDescent="0.4">
      <c r="B130" s="15" t="s">
        <v>1201</v>
      </c>
      <c r="C130" s="15" t="s">
        <v>6266</v>
      </c>
      <c r="D130" s="15" t="s">
        <v>1582</v>
      </c>
      <c r="E130" s="15" t="s">
        <v>6265</v>
      </c>
      <c r="F130" t="s">
        <v>6270</v>
      </c>
      <c r="G130" s="824"/>
      <c r="H130" s="18"/>
      <c r="I130" t="s">
        <v>3479</v>
      </c>
    </row>
    <row r="131" spans="2:9" ht="15" thickBot="1" x14ac:dyDescent="0.4">
      <c r="B131" t="s">
        <v>1377</v>
      </c>
      <c r="C131" s="15" t="s">
        <v>740</v>
      </c>
      <c r="D131" s="23" t="s">
        <v>1497</v>
      </c>
      <c r="E131" s="863" t="s">
        <v>1506</v>
      </c>
      <c r="F131" s="863" t="s">
        <v>6330</v>
      </c>
      <c r="G131" s="824"/>
    </row>
    <row r="132" spans="2:9" ht="15" thickBot="1" x14ac:dyDescent="0.4">
      <c r="C132" s="15" t="s">
        <v>740</v>
      </c>
      <c r="D132" s="23" t="s">
        <v>1497</v>
      </c>
      <c r="E132" s="864" t="s">
        <v>6332</v>
      </c>
      <c r="F132" s="864" t="s">
        <v>6331</v>
      </c>
      <c r="G132" s="824"/>
    </row>
  </sheetData>
  <autoFilter ref="B1:I122" xr:uid="{A17A1E18-5B0C-47D3-8C6E-9D2DCBB8F817}"/>
  <mergeCells count="17">
    <mergeCell ref="G60:G64"/>
    <mergeCell ref="G81:G85"/>
    <mergeCell ref="G86:G89"/>
    <mergeCell ref="G78:G80"/>
    <mergeCell ref="G114:G132"/>
    <mergeCell ref="G94:G113"/>
    <mergeCell ref="G70:G72"/>
    <mergeCell ref="G74:G77"/>
    <mergeCell ref="G34:G35"/>
    <mergeCell ref="G36:G38"/>
    <mergeCell ref="G39:G43"/>
    <mergeCell ref="G44:G47"/>
    <mergeCell ref="G28:G29"/>
    <mergeCell ref="G66:G67"/>
    <mergeCell ref="G48:G49"/>
    <mergeCell ref="G19:G20"/>
    <mergeCell ref="G24:G27"/>
  </mergeCells>
  <conditionalFormatting sqref="B74">
    <cfRule type="duplicateValues" dxfId="387" priority="47"/>
    <cfRule type="duplicateValues" dxfId="386" priority="48"/>
  </conditionalFormatting>
  <conditionalFormatting sqref="F133:F1048576 F1:F30 F34:F77 F91:F128 F32">
    <cfRule type="duplicateValues" dxfId="385" priority="49"/>
  </conditionalFormatting>
  <conditionalFormatting sqref="F40">
    <cfRule type="duplicateValues" dxfId="384" priority="64"/>
  </conditionalFormatting>
  <conditionalFormatting sqref="F122">
    <cfRule type="duplicateValues" dxfId="383" priority="56"/>
    <cfRule type="duplicateValues" dxfId="382" priority="57"/>
    <cfRule type="duplicateValues" dxfId="381" priority="58"/>
  </conditionalFormatting>
  <conditionalFormatting sqref="F64 F48 F39 F1 F60:F62 F94:F113 F124:F126 F133:F1048576">
    <cfRule type="duplicateValues" dxfId="380" priority="7073"/>
  </conditionalFormatting>
  <conditionalFormatting sqref="F94:F113 F124:F126 F133:F1048576">
    <cfRule type="duplicateValues" dxfId="379" priority="65"/>
  </conditionalFormatting>
  <conditionalFormatting sqref="F1:F30 F34:F77 F91:F128 F32 F133:F1048576">
    <cfRule type="duplicateValues" dxfId="378" priority="55"/>
  </conditionalFormatting>
  <conditionalFormatting sqref="F64:F77 F1:F30 F91:F113 F34:F62 F123:F128 F32 F133:F1048576">
    <cfRule type="duplicateValues" dxfId="377" priority="8592"/>
  </conditionalFormatting>
  <conditionalFormatting sqref="F1:F30 F34:F77 F91:F128 F32 F133:F135">
    <cfRule type="duplicateValues" dxfId="376" priority="8668"/>
  </conditionalFormatting>
  <conditionalFormatting sqref="F64 F48 F39 F60:F62">
    <cfRule type="duplicateValues" dxfId="375" priority="8677"/>
    <cfRule type="duplicateValues" dxfId="374" priority="8678"/>
    <cfRule type="duplicateValues" dxfId="373" priority="8679"/>
  </conditionalFormatting>
  <conditionalFormatting sqref="F123 F65:F77 F91:F93 F40:F47 F49:F59 F2:F30 F34:F38 F32">
    <cfRule type="duplicateValues" dxfId="372" priority="8682"/>
  </conditionalFormatting>
  <conditionalFormatting sqref="F81:F85">
    <cfRule type="duplicateValues" dxfId="371" priority="46"/>
  </conditionalFormatting>
  <conditionalFormatting sqref="F81:F85">
    <cfRule type="duplicateValues" dxfId="370" priority="41"/>
    <cfRule type="duplicateValues" dxfId="369" priority="42"/>
    <cfRule type="duplicateValues" dxfId="368" priority="43"/>
  </conditionalFormatting>
  <conditionalFormatting sqref="F81:F85">
    <cfRule type="duplicateValues" dxfId="367" priority="40"/>
  </conditionalFormatting>
  <conditionalFormatting sqref="F81:F85">
    <cfRule type="duplicateValues" dxfId="366" priority="44"/>
  </conditionalFormatting>
  <conditionalFormatting sqref="F81:F85">
    <cfRule type="duplicateValues" dxfId="365" priority="45"/>
  </conditionalFormatting>
  <conditionalFormatting sqref="F86:F89">
    <cfRule type="duplicateValues" dxfId="364" priority="39"/>
  </conditionalFormatting>
  <conditionalFormatting sqref="F86:F89">
    <cfRule type="duplicateValues" dxfId="363" priority="34"/>
    <cfRule type="duplicateValues" dxfId="362" priority="35"/>
    <cfRule type="duplicateValues" dxfId="361" priority="36"/>
  </conditionalFormatting>
  <conditionalFormatting sqref="F86:F89">
    <cfRule type="duplicateValues" dxfId="360" priority="33"/>
  </conditionalFormatting>
  <conditionalFormatting sqref="F86:F89">
    <cfRule type="duplicateValues" dxfId="359" priority="37"/>
  </conditionalFormatting>
  <conditionalFormatting sqref="F86:F89">
    <cfRule type="duplicateValues" dxfId="358" priority="38"/>
  </conditionalFormatting>
  <conditionalFormatting sqref="F90">
    <cfRule type="duplicateValues" dxfId="357" priority="32"/>
  </conditionalFormatting>
  <conditionalFormatting sqref="F90">
    <cfRule type="duplicateValues" dxfId="356" priority="27"/>
    <cfRule type="duplicateValues" dxfId="355" priority="28"/>
    <cfRule type="duplicateValues" dxfId="354" priority="29"/>
  </conditionalFormatting>
  <conditionalFormatting sqref="F78">
    <cfRule type="duplicateValues" dxfId="353" priority="25"/>
  </conditionalFormatting>
  <conditionalFormatting sqref="F78">
    <cfRule type="duplicateValues" dxfId="352" priority="20"/>
    <cfRule type="duplicateValues" dxfId="351" priority="21"/>
    <cfRule type="duplicateValues" dxfId="350" priority="22"/>
  </conditionalFormatting>
  <conditionalFormatting sqref="F78">
    <cfRule type="duplicateValues" dxfId="349" priority="19"/>
  </conditionalFormatting>
  <conditionalFormatting sqref="F78">
    <cfRule type="duplicateValues" dxfId="348" priority="23"/>
  </conditionalFormatting>
  <conditionalFormatting sqref="F78">
    <cfRule type="duplicateValues" dxfId="347" priority="24"/>
  </conditionalFormatting>
  <conditionalFormatting sqref="F80">
    <cfRule type="duplicateValues" dxfId="346" priority="11"/>
  </conditionalFormatting>
  <conditionalFormatting sqref="F80">
    <cfRule type="duplicateValues" dxfId="345" priority="6"/>
    <cfRule type="duplicateValues" dxfId="344" priority="7"/>
    <cfRule type="duplicateValues" dxfId="343" priority="8"/>
  </conditionalFormatting>
  <conditionalFormatting sqref="F80">
    <cfRule type="duplicateValues" dxfId="342" priority="5"/>
  </conditionalFormatting>
  <conditionalFormatting sqref="F80">
    <cfRule type="duplicateValues" dxfId="341" priority="9"/>
  </conditionalFormatting>
  <conditionalFormatting sqref="F80">
    <cfRule type="duplicateValues" dxfId="340" priority="10"/>
  </conditionalFormatting>
  <conditionalFormatting sqref="F123 F73:F77 F2:F7 F67 F91:F93 F36:F38 F40:F41 F50:F56 F14 F65 F69:F70 F16 F44:F45 F23:F30 F20 F34 F32">
    <cfRule type="duplicateValues" dxfId="339" priority="8747"/>
  </conditionalFormatting>
  <conditionalFormatting sqref="F127">
    <cfRule type="duplicateValues" dxfId="338" priority="3"/>
  </conditionalFormatting>
  <conditionalFormatting sqref="F127">
    <cfRule type="duplicateValues" dxfId="337" priority="4"/>
  </conditionalFormatting>
  <conditionalFormatting sqref="F128">
    <cfRule type="duplicateValues" dxfId="336" priority="1"/>
  </conditionalFormatting>
  <conditionalFormatting sqref="F128">
    <cfRule type="duplicateValues" dxfId="335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8939F-82D6-4772-998F-D9E3794E54FA}">
  <sheetPr>
    <tabColor rgb="FFFFFF00"/>
  </sheetPr>
  <dimension ref="B1:V236"/>
  <sheetViews>
    <sheetView workbookViewId="0">
      <pane ySplit="1" topLeftCell="A172" activePane="bottomLeft" state="frozen"/>
      <selection pane="bottomLeft" activeCell="E181" sqref="E181"/>
    </sheetView>
  </sheetViews>
  <sheetFormatPr defaultRowHeight="14.5" x14ac:dyDescent="0.35"/>
  <cols>
    <col min="2" max="2" width="28" bestFit="1" customWidth="1"/>
    <col min="3" max="3" width="15.453125" style="46" customWidth="1"/>
    <col min="4" max="4" width="14.26953125" customWidth="1"/>
    <col min="5" max="5" width="25.26953125" customWidth="1"/>
    <col min="6" max="6" width="15.26953125" bestFit="1" customWidth="1"/>
  </cols>
  <sheetData>
    <row r="1" spans="2:22" x14ac:dyDescent="0.35">
      <c r="B1" s="14" t="s">
        <v>0</v>
      </c>
      <c r="C1" s="146" t="s">
        <v>1</v>
      </c>
      <c r="D1" s="14" t="s">
        <v>2</v>
      </c>
      <c r="F1" t="s">
        <v>3478</v>
      </c>
    </row>
    <row r="2" spans="2:22" x14ac:dyDescent="0.35">
      <c r="B2" s="133" t="s">
        <v>1686</v>
      </c>
      <c r="C2" s="147" t="s">
        <v>1687</v>
      </c>
      <c r="D2" s="110" t="s">
        <v>197</v>
      </c>
      <c r="E2" s="23" t="s">
        <v>1688</v>
      </c>
    </row>
    <row r="3" spans="2:22" x14ac:dyDescent="0.35">
      <c r="B3" s="133" t="s">
        <v>1686</v>
      </c>
      <c r="C3" s="147" t="s">
        <v>1689</v>
      </c>
      <c r="D3" s="110" t="s">
        <v>197</v>
      </c>
      <c r="E3" s="23" t="s">
        <v>1688</v>
      </c>
    </row>
    <row r="4" spans="2:22" x14ac:dyDescent="0.35">
      <c r="B4" s="133" t="s">
        <v>1686</v>
      </c>
      <c r="C4" s="147" t="s">
        <v>1690</v>
      </c>
      <c r="D4" s="110" t="s">
        <v>197</v>
      </c>
      <c r="E4" s="21" t="s">
        <v>1688</v>
      </c>
    </row>
    <row r="5" spans="2:22" x14ac:dyDescent="0.35">
      <c r="B5" s="133" t="s">
        <v>1686</v>
      </c>
      <c r="C5" s="147" t="s">
        <v>1691</v>
      </c>
      <c r="D5" s="110" t="s">
        <v>197</v>
      </c>
      <c r="E5" s="23" t="s">
        <v>1688</v>
      </c>
    </row>
    <row r="6" spans="2:22" x14ac:dyDescent="0.35">
      <c r="B6" s="133" t="s">
        <v>1686</v>
      </c>
      <c r="C6" s="147" t="s">
        <v>1692</v>
      </c>
      <c r="D6" s="110" t="s">
        <v>197</v>
      </c>
      <c r="E6" s="21" t="s">
        <v>1688</v>
      </c>
    </row>
    <row r="7" spans="2:22" x14ac:dyDescent="0.35">
      <c r="B7" s="133" t="s">
        <v>1686</v>
      </c>
      <c r="C7" s="147" t="s">
        <v>1693</v>
      </c>
      <c r="D7" s="110" t="s">
        <v>197</v>
      </c>
      <c r="E7" s="23" t="s">
        <v>1688</v>
      </c>
    </row>
    <row r="8" spans="2:22" x14ac:dyDescent="0.35">
      <c r="B8" s="133" t="s">
        <v>1686</v>
      </c>
      <c r="C8" s="147" t="s">
        <v>1694</v>
      </c>
      <c r="D8" s="110" t="s">
        <v>197</v>
      </c>
      <c r="E8" s="21" t="s">
        <v>1688</v>
      </c>
    </row>
    <row r="9" spans="2:22" x14ac:dyDescent="0.35">
      <c r="B9" s="133" t="s">
        <v>1686</v>
      </c>
      <c r="C9" s="147" t="s">
        <v>1695</v>
      </c>
      <c r="D9" s="110" t="s">
        <v>197</v>
      </c>
      <c r="E9" s="23" t="s">
        <v>1688</v>
      </c>
    </row>
    <row r="10" spans="2:22" x14ac:dyDescent="0.35">
      <c r="B10" s="133" t="s">
        <v>1686</v>
      </c>
      <c r="C10" s="147" t="s">
        <v>1696</v>
      </c>
      <c r="D10" s="110" t="s">
        <v>197</v>
      </c>
      <c r="E10" s="23" t="s">
        <v>1688</v>
      </c>
    </row>
    <row r="11" spans="2:22" x14ac:dyDescent="0.35">
      <c r="B11" s="133" t="s">
        <v>1686</v>
      </c>
      <c r="C11" s="147" t="s">
        <v>1696</v>
      </c>
      <c r="D11" s="110" t="s">
        <v>197</v>
      </c>
      <c r="E11" s="23" t="s">
        <v>1688</v>
      </c>
    </row>
    <row r="12" spans="2:22" x14ac:dyDescent="0.35">
      <c r="B12" s="133" t="s">
        <v>1686</v>
      </c>
      <c r="C12" s="147" t="s">
        <v>1697</v>
      </c>
      <c r="D12" s="110" t="s">
        <v>197</v>
      </c>
      <c r="E12" s="23" t="s">
        <v>1688</v>
      </c>
    </row>
    <row r="13" spans="2:22" x14ac:dyDescent="0.35">
      <c r="B13" s="133" t="s">
        <v>1686</v>
      </c>
      <c r="C13" s="147" t="s">
        <v>1698</v>
      </c>
      <c r="D13" s="110" t="s">
        <v>197</v>
      </c>
      <c r="E13" s="23" t="s">
        <v>1688</v>
      </c>
      <c r="V13" t="s">
        <v>1699</v>
      </c>
    </row>
    <row r="14" spans="2:22" x14ac:dyDescent="0.35">
      <c r="B14" s="133" t="s">
        <v>1686</v>
      </c>
      <c r="C14" s="147" t="s">
        <v>1700</v>
      </c>
      <c r="D14" s="110" t="s">
        <v>197</v>
      </c>
      <c r="E14" s="23" t="s">
        <v>1688</v>
      </c>
    </row>
    <row r="15" spans="2:22" x14ac:dyDescent="0.35">
      <c r="B15" s="133" t="s">
        <v>1686</v>
      </c>
      <c r="C15" s="147" t="s">
        <v>1701</v>
      </c>
      <c r="D15" s="110" t="s">
        <v>197</v>
      </c>
      <c r="E15" s="23" t="s">
        <v>1688</v>
      </c>
    </row>
    <row r="16" spans="2:22" x14ac:dyDescent="0.35">
      <c r="B16" s="133" t="s">
        <v>1686</v>
      </c>
      <c r="C16" s="147" t="s">
        <v>1702</v>
      </c>
      <c r="D16" s="110" t="s">
        <v>197</v>
      </c>
      <c r="E16" s="23" t="s">
        <v>1688</v>
      </c>
    </row>
    <row r="17" spans="2:5" x14ac:dyDescent="0.35">
      <c r="B17" s="133" t="s">
        <v>1686</v>
      </c>
      <c r="C17" s="147" t="s">
        <v>1703</v>
      </c>
      <c r="D17" s="110" t="s">
        <v>197</v>
      </c>
      <c r="E17" s="23" t="s">
        <v>1688</v>
      </c>
    </row>
    <row r="18" spans="2:5" x14ac:dyDescent="0.35">
      <c r="B18" s="133" t="s">
        <v>1686</v>
      </c>
      <c r="C18" s="147" t="s">
        <v>1704</v>
      </c>
      <c r="D18" s="110" t="s">
        <v>197</v>
      </c>
      <c r="E18" s="21" t="s">
        <v>1688</v>
      </c>
    </row>
    <row r="19" spans="2:5" x14ac:dyDescent="0.35">
      <c r="B19" s="133" t="s">
        <v>1686</v>
      </c>
      <c r="C19" s="147" t="s">
        <v>1705</v>
      </c>
      <c r="D19" s="110" t="s">
        <v>197</v>
      </c>
      <c r="E19" s="22" t="s">
        <v>1688</v>
      </c>
    </row>
    <row r="20" spans="2:5" x14ac:dyDescent="0.35">
      <c r="B20" s="133" t="s">
        <v>1686</v>
      </c>
      <c r="C20" s="147" t="s">
        <v>1706</v>
      </c>
      <c r="D20" s="110" t="s">
        <v>197</v>
      </c>
      <c r="E20" s="23" t="s">
        <v>1688</v>
      </c>
    </row>
    <row r="21" spans="2:5" x14ac:dyDescent="0.35">
      <c r="B21" s="133" t="s">
        <v>1686</v>
      </c>
      <c r="C21" s="147" t="s">
        <v>1707</v>
      </c>
      <c r="D21" s="110" t="s">
        <v>197</v>
      </c>
      <c r="E21" s="23" t="s">
        <v>1688</v>
      </c>
    </row>
    <row r="22" spans="2:5" x14ac:dyDescent="0.35">
      <c r="B22" s="133" t="s">
        <v>1686</v>
      </c>
      <c r="C22" s="147" t="s">
        <v>1704</v>
      </c>
      <c r="D22" s="110" t="s">
        <v>197</v>
      </c>
      <c r="E22" s="21" t="s">
        <v>1688</v>
      </c>
    </row>
    <row r="23" spans="2:5" x14ac:dyDescent="0.35">
      <c r="B23" s="133" t="s">
        <v>1686</v>
      </c>
      <c r="C23" s="147" t="s">
        <v>1708</v>
      </c>
      <c r="D23" s="110" t="s">
        <v>197</v>
      </c>
      <c r="E23" s="23" t="s">
        <v>1688</v>
      </c>
    </row>
    <row r="24" spans="2:5" x14ac:dyDescent="0.35">
      <c r="B24" s="133" t="s">
        <v>1686</v>
      </c>
      <c r="C24" s="147" t="s">
        <v>1709</v>
      </c>
      <c r="D24" s="110" t="s">
        <v>197</v>
      </c>
      <c r="E24" s="23" t="s">
        <v>1688</v>
      </c>
    </row>
    <row r="25" spans="2:5" x14ac:dyDescent="0.35">
      <c r="B25" s="133" t="s">
        <v>1686</v>
      </c>
      <c r="C25" s="147" t="s">
        <v>1710</v>
      </c>
      <c r="D25" s="110" t="s">
        <v>197</v>
      </c>
      <c r="E25" s="23" t="s">
        <v>1688</v>
      </c>
    </row>
    <row r="26" spans="2:5" x14ac:dyDescent="0.35">
      <c r="B26" s="133" t="s">
        <v>1686</v>
      </c>
      <c r="C26" s="147" t="s">
        <v>1711</v>
      </c>
      <c r="D26" s="110" t="s">
        <v>197</v>
      </c>
      <c r="E26" s="23" t="s">
        <v>1688</v>
      </c>
    </row>
    <row r="27" spans="2:5" x14ac:dyDescent="0.35">
      <c r="B27" s="133" t="s">
        <v>1686</v>
      </c>
      <c r="C27" s="147" t="s">
        <v>1712</v>
      </c>
      <c r="D27" s="110" t="s">
        <v>197</v>
      </c>
      <c r="E27" s="23" t="s">
        <v>1688</v>
      </c>
    </row>
    <row r="28" spans="2:5" x14ac:dyDescent="0.35">
      <c r="B28" s="133" t="s">
        <v>1686</v>
      </c>
      <c r="C28" s="147" t="s">
        <v>1713</v>
      </c>
      <c r="D28" s="110" t="s">
        <v>197</v>
      </c>
      <c r="E28" s="23" t="s">
        <v>1688</v>
      </c>
    </row>
    <row r="29" spans="2:5" x14ac:dyDescent="0.35">
      <c r="B29" s="133" t="s">
        <v>1686</v>
      </c>
      <c r="C29" s="147" t="s">
        <v>1714</v>
      </c>
      <c r="D29" s="110" t="s">
        <v>197</v>
      </c>
      <c r="E29" s="23" t="s">
        <v>1688</v>
      </c>
    </row>
    <row r="30" spans="2:5" x14ac:dyDescent="0.35">
      <c r="B30" s="133" t="s">
        <v>1686</v>
      </c>
      <c r="C30" s="147" t="s">
        <v>1715</v>
      </c>
      <c r="D30" s="110" t="s">
        <v>197</v>
      </c>
      <c r="E30" s="23" t="s">
        <v>1688</v>
      </c>
    </row>
    <row r="31" spans="2:5" x14ac:dyDescent="0.35">
      <c r="B31" s="133" t="s">
        <v>1686</v>
      </c>
      <c r="C31" s="147" t="s">
        <v>1716</v>
      </c>
      <c r="D31" s="110" t="s">
        <v>197</v>
      </c>
      <c r="E31" s="23" t="s">
        <v>1688</v>
      </c>
    </row>
    <row r="32" spans="2:5" x14ac:dyDescent="0.35">
      <c r="B32" s="133" t="s">
        <v>1686</v>
      </c>
      <c r="C32" s="147" t="s">
        <v>1717</v>
      </c>
      <c r="D32" s="110" t="s">
        <v>197</v>
      </c>
      <c r="E32" s="23" t="s">
        <v>1688</v>
      </c>
    </row>
    <row r="33" spans="2:5" x14ac:dyDescent="0.35">
      <c r="B33" s="133" t="s">
        <v>1686</v>
      </c>
      <c r="C33" s="147" t="s">
        <v>1718</v>
      </c>
      <c r="D33" s="110" t="s">
        <v>197</v>
      </c>
      <c r="E33" s="23" t="s">
        <v>1688</v>
      </c>
    </row>
    <row r="34" spans="2:5" x14ac:dyDescent="0.35">
      <c r="B34" s="133" t="s">
        <v>1686</v>
      </c>
      <c r="C34" s="147" t="s">
        <v>1719</v>
      </c>
      <c r="D34" s="110" t="s">
        <v>197</v>
      </c>
      <c r="E34" s="23" t="s">
        <v>1688</v>
      </c>
    </row>
    <row r="35" spans="2:5" x14ac:dyDescent="0.35">
      <c r="B35" s="133" t="s">
        <v>1686</v>
      </c>
      <c r="C35" s="147" t="s">
        <v>1720</v>
      </c>
      <c r="D35" s="110" t="s">
        <v>197</v>
      </c>
      <c r="E35" s="23" t="s">
        <v>1688</v>
      </c>
    </row>
    <row r="36" spans="2:5" x14ac:dyDescent="0.35">
      <c r="B36" s="133" t="s">
        <v>1686</v>
      </c>
      <c r="C36" s="147" t="s">
        <v>1721</v>
      </c>
      <c r="D36" s="110" t="s">
        <v>197</v>
      </c>
      <c r="E36" s="23" t="s">
        <v>1688</v>
      </c>
    </row>
    <row r="37" spans="2:5" x14ac:dyDescent="0.35">
      <c r="B37" s="133" t="s">
        <v>1686</v>
      </c>
      <c r="C37" s="147" t="s">
        <v>1722</v>
      </c>
      <c r="D37" s="110" t="s">
        <v>197</v>
      </c>
      <c r="E37" s="23" t="s">
        <v>1688</v>
      </c>
    </row>
    <row r="38" spans="2:5" x14ac:dyDescent="0.35">
      <c r="B38" s="133" t="s">
        <v>1686</v>
      </c>
      <c r="C38" s="147" t="s">
        <v>1723</v>
      </c>
      <c r="D38" s="110" t="s">
        <v>197</v>
      </c>
      <c r="E38" s="23" t="s">
        <v>1688</v>
      </c>
    </row>
    <row r="39" spans="2:5" x14ac:dyDescent="0.35">
      <c r="B39" s="133" t="s">
        <v>1686</v>
      </c>
      <c r="C39" s="147" t="s">
        <v>1724</v>
      </c>
      <c r="D39" s="110" t="s">
        <v>197</v>
      </c>
      <c r="E39" s="23" t="s">
        <v>1688</v>
      </c>
    </row>
    <row r="40" spans="2:5" x14ac:dyDescent="0.35">
      <c r="B40" s="133" t="s">
        <v>1686</v>
      </c>
      <c r="C40" s="147" t="s">
        <v>1725</v>
      </c>
      <c r="D40" s="110" t="s">
        <v>197</v>
      </c>
      <c r="E40" s="22" t="s">
        <v>1688</v>
      </c>
    </row>
    <row r="41" spans="2:5" x14ac:dyDescent="0.35">
      <c r="B41" s="133" t="s">
        <v>1686</v>
      </c>
      <c r="C41" s="147" t="s">
        <v>1726</v>
      </c>
      <c r="D41" s="110" t="s">
        <v>197</v>
      </c>
      <c r="E41" s="22" t="s">
        <v>1688</v>
      </c>
    </row>
    <row r="42" spans="2:5" x14ac:dyDescent="0.35">
      <c r="B42" s="133" t="s">
        <v>1686</v>
      </c>
      <c r="C42" s="147" t="s">
        <v>1692</v>
      </c>
      <c r="D42" s="110" t="s">
        <v>197</v>
      </c>
      <c r="E42" s="21" t="s">
        <v>1688</v>
      </c>
    </row>
    <row r="43" spans="2:5" x14ac:dyDescent="0.35">
      <c r="B43" s="133" t="s">
        <v>1686</v>
      </c>
      <c r="C43" s="147" t="s">
        <v>1703</v>
      </c>
      <c r="D43" s="110" t="s">
        <v>197</v>
      </c>
      <c r="E43" s="23" t="s">
        <v>1688</v>
      </c>
    </row>
    <row r="44" spans="2:5" x14ac:dyDescent="0.35">
      <c r="B44" s="133" t="s">
        <v>1686</v>
      </c>
      <c r="C44" s="147" t="s">
        <v>1727</v>
      </c>
      <c r="D44" s="110" t="s">
        <v>197</v>
      </c>
      <c r="E44" s="22" t="s">
        <v>1688</v>
      </c>
    </row>
    <row r="45" spans="2:5" x14ac:dyDescent="0.35">
      <c r="B45" s="133" t="s">
        <v>1686</v>
      </c>
      <c r="C45" s="147" t="s">
        <v>1728</v>
      </c>
      <c r="D45" s="110" t="s">
        <v>197</v>
      </c>
      <c r="E45" s="23" t="s">
        <v>1688</v>
      </c>
    </row>
    <row r="46" spans="2:5" x14ac:dyDescent="0.35">
      <c r="B46" s="133" t="s">
        <v>1686</v>
      </c>
      <c r="C46" s="147" t="s">
        <v>1729</v>
      </c>
      <c r="D46" s="110" t="s">
        <v>197</v>
      </c>
      <c r="E46" s="23" t="s">
        <v>1688</v>
      </c>
    </row>
    <row r="47" spans="2:5" x14ac:dyDescent="0.35">
      <c r="B47" s="133" t="s">
        <v>1686</v>
      </c>
      <c r="C47" s="147" t="s">
        <v>1730</v>
      </c>
      <c r="D47" s="110" t="s">
        <v>197</v>
      </c>
      <c r="E47" s="23" t="s">
        <v>1688</v>
      </c>
    </row>
    <row r="48" spans="2:5" x14ac:dyDescent="0.35">
      <c r="B48" s="133" t="s">
        <v>1686</v>
      </c>
      <c r="C48" s="147" t="s">
        <v>1731</v>
      </c>
      <c r="D48" s="110" t="s">
        <v>197</v>
      </c>
      <c r="E48" s="23" t="s">
        <v>1688</v>
      </c>
    </row>
    <row r="49" spans="2:5" x14ac:dyDescent="0.35">
      <c r="B49" s="133" t="s">
        <v>1686</v>
      </c>
      <c r="C49" s="147" t="s">
        <v>1732</v>
      </c>
      <c r="D49" s="110" t="s">
        <v>197</v>
      </c>
      <c r="E49" s="23" t="s">
        <v>1688</v>
      </c>
    </row>
    <row r="50" spans="2:5" x14ac:dyDescent="0.35">
      <c r="B50" s="133" t="s">
        <v>1686</v>
      </c>
      <c r="C50" s="147" t="s">
        <v>1733</v>
      </c>
      <c r="D50" s="110" t="s">
        <v>197</v>
      </c>
      <c r="E50" s="23" t="s">
        <v>1688</v>
      </c>
    </row>
    <row r="51" spans="2:5" x14ac:dyDescent="0.35">
      <c r="B51" s="133" t="s">
        <v>1686</v>
      </c>
      <c r="C51" s="147" t="s">
        <v>1734</v>
      </c>
      <c r="D51" s="110" t="s">
        <v>197</v>
      </c>
      <c r="E51" s="23" t="s">
        <v>1688</v>
      </c>
    </row>
    <row r="52" spans="2:5" x14ac:dyDescent="0.35">
      <c r="B52" s="133" t="s">
        <v>1686</v>
      </c>
      <c r="C52" s="147" t="s">
        <v>1735</v>
      </c>
      <c r="D52" s="110" t="s">
        <v>197</v>
      </c>
      <c r="E52" s="23" t="s">
        <v>1688</v>
      </c>
    </row>
    <row r="53" spans="2:5" x14ac:dyDescent="0.35">
      <c r="B53" s="133" t="s">
        <v>1686</v>
      </c>
      <c r="C53" s="147" t="s">
        <v>1736</v>
      </c>
      <c r="D53" s="110" t="s">
        <v>197</v>
      </c>
      <c r="E53" s="22" t="s">
        <v>1688</v>
      </c>
    </row>
    <row r="54" spans="2:5" x14ac:dyDescent="0.35">
      <c r="B54" s="133" t="s">
        <v>1686</v>
      </c>
      <c r="C54" s="147" t="s">
        <v>1737</v>
      </c>
      <c r="D54" s="110" t="s">
        <v>197</v>
      </c>
      <c r="E54" s="23" t="s">
        <v>1688</v>
      </c>
    </row>
    <row r="55" spans="2:5" x14ac:dyDescent="0.35">
      <c r="B55" s="133" t="s">
        <v>1686</v>
      </c>
      <c r="C55" s="147" t="s">
        <v>1738</v>
      </c>
      <c r="D55" s="110" t="s">
        <v>197</v>
      </c>
      <c r="E55" s="23" t="s">
        <v>1688</v>
      </c>
    </row>
    <row r="56" spans="2:5" x14ac:dyDescent="0.35">
      <c r="B56" s="133" t="s">
        <v>1686</v>
      </c>
      <c r="C56" s="147" t="s">
        <v>1739</v>
      </c>
      <c r="D56" s="110" t="s">
        <v>197</v>
      </c>
      <c r="E56" s="23" t="s">
        <v>1688</v>
      </c>
    </row>
    <row r="57" spans="2:5" x14ac:dyDescent="0.35">
      <c r="B57" s="133" t="s">
        <v>1686</v>
      </c>
      <c r="C57" s="147" t="s">
        <v>1740</v>
      </c>
      <c r="D57" s="110" t="s">
        <v>197</v>
      </c>
      <c r="E57" s="23" t="s">
        <v>1688</v>
      </c>
    </row>
    <row r="58" spans="2:5" x14ac:dyDescent="0.35">
      <c r="B58" s="133" t="s">
        <v>1686</v>
      </c>
      <c r="C58" s="147" t="s">
        <v>1741</v>
      </c>
      <c r="D58" s="110" t="s">
        <v>197</v>
      </c>
      <c r="E58" s="23" t="s">
        <v>1688</v>
      </c>
    </row>
    <row r="59" spans="2:5" x14ac:dyDescent="0.35">
      <c r="B59" s="133" t="s">
        <v>1686</v>
      </c>
      <c r="C59" s="147" t="s">
        <v>1742</v>
      </c>
      <c r="D59" s="110" t="s">
        <v>197</v>
      </c>
      <c r="E59" s="23" t="s">
        <v>1688</v>
      </c>
    </row>
    <row r="60" spans="2:5" x14ac:dyDescent="0.35">
      <c r="B60" s="133" t="s">
        <v>1686</v>
      </c>
      <c r="C60" s="147" t="s">
        <v>1743</v>
      </c>
      <c r="D60" s="110" t="s">
        <v>197</v>
      </c>
      <c r="E60" s="21" t="s">
        <v>1688</v>
      </c>
    </row>
    <row r="61" spans="2:5" x14ac:dyDescent="0.35">
      <c r="B61" s="133" t="s">
        <v>1686</v>
      </c>
      <c r="C61" s="147" t="s">
        <v>1744</v>
      </c>
      <c r="D61" s="110" t="s">
        <v>197</v>
      </c>
      <c r="E61" s="23" t="s">
        <v>1688</v>
      </c>
    </row>
    <row r="62" spans="2:5" x14ac:dyDescent="0.35">
      <c r="B62" s="133" t="s">
        <v>1686</v>
      </c>
      <c r="C62" s="147" t="s">
        <v>1745</v>
      </c>
      <c r="D62" s="110" t="s">
        <v>197</v>
      </c>
      <c r="E62" s="23" t="s">
        <v>1688</v>
      </c>
    </row>
    <row r="63" spans="2:5" x14ac:dyDescent="0.35">
      <c r="B63" s="133" t="s">
        <v>1686</v>
      </c>
      <c r="C63" s="147" t="s">
        <v>1746</v>
      </c>
      <c r="D63" s="110" t="s">
        <v>197</v>
      </c>
      <c r="E63" s="23" t="s">
        <v>1688</v>
      </c>
    </row>
    <row r="64" spans="2:5" x14ac:dyDescent="0.35">
      <c r="B64" s="133" t="s">
        <v>1686</v>
      </c>
      <c r="C64" s="147" t="s">
        <v>1747</v>
      </c>
      <c r="D64" s="110" t="s">
        <v>197</v>
      </c>
      <c r="E64" s="23" t="s">
        <v>1688</v>
      </c>
    </row>
    <row r="65" spans="2:6" x14ac:dyDescent="0.35">
      <c r="B65" s="133" t="s">
        <v>1686</v>
      </c>
      <c r="C65" s="147" t="s">
        <v>1748</v>
      </c>
      <c r="D65" s="110" t="s">
        <v>197</v>
      </c>
      <c r="E65" s="23" t="s">
        <v>1688</v>
      </c>
    </row>
    <row r="66" spans="2:6" x14ac:dyDescent="0.35">
      <c r="B66" s="133" t="s">
        <v>1686</v>
      </c>
      <c r="C66" s="147" t="s">
        <v>1749</v>
      </c>
      <c r="D66" s="110" t="s">
        <v>197</v>
      </c>
      <c r="E66" s="23" t="s">
        <v>1688</v>
      </c>
    </row>
    <row r="67" spans="2:6" x14ac:dyDescent="0.35">
      <c r="B67" s="133" t="s">
        <v>1686</v>
      </c>
      <c r="C67" s="147" t="s">
        <v>1750</v>
      </c>
      <c r="D67" s="110" t="s">
        <v>197</v>
      </c>
      <c r="E67" s="23" t="s">
        <v>1688</v>
      </c>
    </row>
    <row r="68" spans="2:6" x14ac:dyDescent="0.35">
      <c r="B68" s="133" t="s">
        <v>1686</v>
      </c>
      <c r="C68" s="147" t="s">
        <v>1751</v>
      </c>
      <c r="D68" s="110" t="s">
        <v>197</v>
      </c>
      <c r="E68" s="23" t="s">
        <v>1688</v>
      </c>
    </row>
    <row r="69" spans="2:6" x14ac:dyDescent="0.35">
      <c r="B69" s="133" t="s">
        <v>1686</v>
      </c>
      <c r="C69" s="147" t="s">
        <v>1752</v>
      </c>
      <c r="D69" s="110" t="s">
        <v>197</v>
      </c>
      <c r="E69" s="21" t="s">
        <v>1688</v>
      </c>
      <c r="F69" t="s">
        <v>3476</v>
      </c>
    </row>
    <row r="70" spans="2:6" x14ac:dyDescent="0.35">
      <c r="B70" s="133" t="s">
        <v>1686</v>
      </c>
      <c r="C70" s="147" t="s">
        <v>1753</v>
      </c>
      <c r="D70" s="110" t="s">
        <v>197</v>
      </c>
      <c r="E70" s="21" t="s">
        <v>1688</v>
      </c>
      <c r="F70" t="s">
        <v>3476</v>
      </c>
    </row>
    <row r="71" spans="2:6" x14ac:dyDescent="0.35">
      <c r="B71" s="133" t="s">
        <v>1686</v>
      </c>
      <c r="C71" s="147" t="s">
        <v>1754</v>
      </c>
      <c r="D71" s="110" t="s">
        <v>197</v>
      </c>
      <c r="E71" s="23" t="s">
        <v>1688</v>
      </c>
      <c r="F71" t="s">
        <v>3476</v>
      </c>
    </row>
    <row r="72" spans="2:6" x14ac:dyDescent="0.35">
      <c r="B72" s="133" t="s">
        <v>1686</v>
      </c>
      <c r="C72" s="147" t="s">
        <v>1752</v>
      </c>
      <c r="D72" s="110" t="s">
        <v>197</v>
      </c>
      <c r="E72" s="21" t="s">
        <v>1688</v>
      </c>
      <c r="F72" t="s">
        <v>3476</v>
      </c>
    </row>
    <row r="73" spans="2:6" x14ac:dyDescent="0.35">
      <c r="B73" s="133" t="s">
        <v>1686</v>
      </c>
      <c r="C73" s="147" t="s">
        <v>1753</v>
      </c>
      <c r="D73" s="110" t="s">
        <v>197</v>
      </c>
      <c r="E73" s="21" t="s">
        <v>1688</v>
      </c>
      <c r="F73" t="s">
        <v>3476</v>
      </c>
    </row>
    <row r="74" spans="2:6" x14ac:dyDescent="0.35">
      <c r="B74" s="133" t="s">
        <v>1686</v>
      </c>
      <c r="C74" s="147" t="s">
        <v>1754</v>
      </c>
      <c r="D74" s="110" t="s">
        <v>197</v>
      </c>
      <c r="E74" s="23" t="s">
        <v>1688</v>
      </c>
      <c r="F74" t="s">
        <v>3476</v>
      </c>
    </row>
    <row r="75" spans="2:6" x14ac:dyDescent="0.35">
      <c r="B75" s="133" t="s">
        <v>1686</v>
      </c>
      <c r="C75" s="147" t="s">
        <v>1755</v>
      </c>
      <c r="D75" s="110" t="s">
        <v>197</v>
      </c>
      <c r="E75" s="23" t="s">
        <v>1688</v>
      </c>
    </row>
    <row r="76" spans="2:6" x14ac:dyDescent="0.35">
      <c r="B76" s="133" t="s">
        <v>1686</v>
      </c>
      <c r="C76" s="147" t="s">
        <v>1756</v>
      </c>
      <c r="D76" s="110" t="s">
        <v>197</v>
      </c>
      <c r="E76" s="22" t="s">
        <v>1688</v>
      </c>
    </row>
    <row r="77" spans="2:6" x14ac:dyDescent="0.35">
      <c r="B77" s="133" t="s">
        <v>1686</v>
      </c>
      <c r="C77" s="147" t="s">
        <v>1757</v>
      </c>
      <c r="D77" s="110" t="s">
        <v>197</v>
      </c>
      <c r="E77" s="23" t="s">
        <v>1688</v>
      </c>
    </row>
    <row r="78" spans="2:6" x14ac:dyDescent="0.35">
      <c r="B78" s="133" t="s">
        <v>1686</v>
      </c>
      <c r="C78" s="147" t="s">
        <v>1758</v>
      </c>
      <c r="D78" s="110" t="s">
        <v>197</v>
      </c>
      <c r="E78" s="23" t="s">
        <v>1688</v>
      </c>
    </row>
    <row r="79" spans="2:6" x14ac:dyDescent="0.35">
      <c r="B79" s="133" t="s">
        <v>1686</v>
      </c>
      <c r="C79" s="147" t="s">
        <v>1759</v>
      </c>
      <c r="D79" s="110" t="s">
        <v>197</v>
      </c>
      <c r="E79" s="23" t="s">
        <v>1688</v>
      </c>
    </row>
    <row r="80" spans="2:6" x14ac:dyDescent="0.35">
      <c r="B80" s="133" t="s">
        <v>1686</v>
      </c>
      <c r="C80" s="147" t="s">
        <v>1760</v>
      </c>
      <c r="D80" s="110" t="s">
        <v>197</v>
      </c>
      <c r="E80" s="23" t="s">
        <v>1688</v>
      </c>
    </row>
    <row r="81" spans="2:5" x14ac:dyDescent="0.35">
      <c r="B81" s="133" t="s">
        <v>1686</v>
      </c>
      <c r="C81" s="147" t="s">
        <v>1761</v>
      </c>
      <c r="D81" s="110" t="s">
        <v>197</v>
      </c>
      <c r="E81" s="23" t="s">
        <v>1762</v>
      </c>
    </row>
    <row r="82" spans="2:5" x14ac:dyDescent="0.35">
      <c r="B82" s="133" t="s">
        <v>1686</v>
      </c>
      <c r="C82" s="147" t="s">
        <v>1763</v>
      </c>
      <c r="D82" s="110" t="s">
        <v>197</v>
      </c>
      <c r="E82" s="23" t="s">
        <v>1762</v>
      </c>
    </row>
    <row r="83" spans="2:5" x14ac:dyDescent="0.35">
      <c r="B83" s="133" t="s">
        <v>1686</v>
      </c>
      <c r="C83" s="147" t="s">
        <v>1764</v>
      </c>
      <c r="D83" s="110" t="s">
        <v>197</v>
      </c>
      <c r="E83" s="23" t="s">
        <v>1762</v>
      </c>
    </row>
    <row r="84" spans="2:5" x14ac:dyDescent="0.35">
      <c r="B84" s="133" t="s">
        <v>1686</v>
      </c>
      <c r="C84" s="147" t="s">
        <v>1765</v>
      </c>
      <c r="D84" s="110" t="s">
        <v>197</v>
      </c>
      <c r="E84" s="23" t="s">
        <v>1762</v>
      </c>
    </row>
    <row r="85" spans="2:5" x14ac:dyDescent="0.35">
      <c r="B85" s="133" t="s">
        <v>1686</v>
      </c>
      <c r="C85" s="147" t="s">
        <v>1766</v>
      </c>
      <c r="D85" s="110" t="s">
        <v>197</v>
      </c>
      <c r="E85" s="23" t="s">
        <v>1762</v>
      </c>
    </row>
    <row r="86" spans="2:5" x14ac:dyDescent="0.35">
      <c r="B86" s="133" t="s">
        <v>1686</v>
      </c>
      <c r="C86" s="147" t="s">
        <v>1767</v>
      </c>
      <c r="D86" s="110" t="s">
        <v>197</v>
      </c>
      <c r="E86" s="21" t="s">
        <v>1688</v>
      </c>
    </row>
    <row r="87" spans="2:5" x14ac:dyDescent="0.35">
      <c r="B87" s="133" t="s">
        <v>1686</v>
      </c>
      <c r="C87" s="147" t="s">
        <v>1768</v>
      </c>
      <c r="D87" s="110" t="s">
        <v>197</v>
      </c>
      <c r="E87" s="23" t="s">
        <v>1762</v>
      </c>
    </row>
    <row r="88" spans="2:5" x14ac:dyDescent="0.35">
      <c r="B88" s="133" t="s">
        <v>1686</v>
      </c>
      <c r="C88" s="147" t="s">
        <v>1769</v>
      </c>
      <c r="D88" s="110" t="s">
        <v>197</v>
      </c>
      <c r="E88" s="22" t="s">
        <v>1688</v>
      </c>
    </row>
    <row r="89" spans="2:5" x14ac:dyDescent="0.35">
      <c r="B89" s="133" t="s">
        <v>1686</v>
      </c>
      <c r="C89" s="147" t="s">
        <v>1770</v>
      </c>
      <c r="D89" s="110" t="s">
        <v>197</v>
      </c>
      <c r="E89" s="21" t="s">
        <v>1688</v>
      </c>
    </row>
    <row r="90" spans="2:5" x14ac:dyDescent="0.35">
      <c r="B90" s="133" t="s">
        <v>1686</v>
      </c>
      <c r="C90" s="147" t="s">
        <v>1771</v>
      </c>
      <c r="D90" s="110" t="s">
        <v>197</v>
      </c>
      <c r="E90" s="23" t="s">
        <v>1762</v>
      </c>
    </row>
    <row r="91" spans="2:5" x14ac:dyDescent="0.35">
      <c r="B91" s="133" t="s">
        <v>1686</v>
      </c>
      <c r="C91" s="147" t="s">
        <v>1772</v>
      </c>
      <c r="D91" s="110" t="s">
        <v>197</v>
      </c>
      <c r="E91" s="23" t="s">
        <v>1688</v>
      </c>
    </row>
    <row r="92" spans="2:5" x14ac:dyDescent="0.35">
      <c r="B92" s="133" t="s">
        <v>1686</v>
      </c>
      <c r="C92" s="147" t="s">
        <v>1773</v>
      </c>
      <c r="D92" s="110" t="s">
        <v>197</v>
      </c>
      <c r="E92" s="22" t="s">
        <v>1688</v>
      </c>
    </row>
    <row r="93" spans="2:5" x14ac:dyDescent="0.35">
      <c r="B93" s="133" t="s">
        <v>1686</v>
      </c>
      <c r="C93" s="147" t="s">
        <v>1774</v>
      </c>
      <c r="D93" s="110" t="s">
        <v>197</v>
      </c>
      <c r="E93" s="22" t="s">
        <v>1688</v>
      </c>
    </row>
    <row r="94" spans="2:5" x14ac:dyDescent="0.35">
      <c r="B94" s="133" t="s">
        <v>1686</v>
      </c>
      <c r="C94" s="147" t="s">
        <v>1775</v>
      </c>
      <c r="D94" s="110" t="s">
        <v>197</v>
      </c>
      <c r="E94" s="23" t="s">
        <v>1762</v>
      </c>
    </row>
    <row r="95" spans="2:5" x14ac:dyDescent="0.35">
      <c r="B95" s="133" t="s">
        <v>1686</v>
      </c>
      <c r="C95" s="147" t="s">
        <v>1776</v>
      </c>
      <c r="D95" s="110" t="s">
        <v>197</v>
      </c>
      <c r="E95" s="23" t="s">
        <v>1762</v>
      </c>
    </row>
    <row r="96" spans="2:5" x14ac:dyDescent="0.35">
      <c r="B96" s="133" t="s">
        <v>1686</v>
      </c>
      <c r="C96" s="147" t="s">
        <v>1777</v>
      </c>
      <c r="D96" s="110" t="s">
        <v>197</v>
      </c>
      <c r="E96" s="23" t="s">
        <v>1762</v>
      </c>
    </row>
    <row r="97" spans="2:6" x14ac:dyDescent="0.35">
      <c r="B97" s="133" t="s">
        <v>1686</v>
      </c>
      <c r="C97" s="147" t="s">
        <v>1778</v>
      </c>
      <c r="D97" s="110" t="s">
        <v>197</v>
      </c>
      <c r="E97" s="23" t="s">
        <v>1762</v>
      </c>
    </row>
    <row r="98" spans="2:6" x14ac:dyDescent="0.35">
      <c r="B98" s="134" t="s">
        <v>1779</v>
      </c>
      <c r="C98" s="148" t="s">
        <v>1780</v>
      </c>
      <c r="D98" s="125" t="s">
        <v>595</v>
      </c>
      <c r="E98" s="22" t="s">
        <v>542</v>
      </c>
      <c r="F98" t="s">
        <v>3479</v>
      </c>
    </row>
    <row r="99" spans="2:6" x14ac:dyDescent="0.35">
      <c r="B99" s="134" t="s">
        <v>1779</v>
      </c>
      <c r="C99" s="148" t="s">
        <v>1781</v>
      </c>
      <c r="D99" s="125" t="s">
        <v>595</v>
      </c>
      <c r="E99" s="23" t="s">
        <v>1094</v>
      </c>
      <c r="F99" t="s">
        <v>3479</v>
      </c>
    </row>
    <row r="100" spans="2:6" x14ac:dyDescent="0.35">
      <c r="B100" s="134" t="s">
        <v>1779</v>
      </c>
      <c r="C100" s="148" t="s">
        <v>1782</v>
      </c>
      <c r="D100" s="125" t="s">
        <v>595</v>
      </c>
      <c r="E100" s="22" t="s">
        <v>648</v>
      </c>
      <c r="F100" t="s">
        <v>3479</v>
      </c>
    </row>
    <row r="101" spans="2:6" x14ac:dyDescent="0.35">
      <c r="B101" s="134" t="s">
        <v>1779</v>
      </c>
      <c r="C101" s="148" t="s">
        <v>1783</v>
      </c>
      <c r="D101" s="125" t="s">
        <v>595</v>
      </c>
      <c r="E101" s="22" t="s">
        <v>691</v>
      </c>
      <c r="F101" t="s">
        <v>3479</v>
      </c>
    </row>
    <row r="102" spans="2:6" x14ac:dyDescent="0.35">
      <c r="B102" s="134" t="s">
        <v>1779</v>
      </c>
      <c r="C102" s="148" t="s">
        <v>1784</v>
      </c>
      <c r="D102" s="125" t="s">
        <v>595</v>
      </c>
      <c r="E102" s="135" t="s">
        <v>768</v>
      </c>
      <c r="F102" t="s">
        <v>3479</v>
      </c>
    </row>
    <row r="103" spans="2:6" x14ac:dyDescent="0.35">
      <c r="B103" s="134" t="s">
        <v>1779</v>
      </c>
      <c r="C103" s="148" t="s">
        <v>1785</v>
      </c>
      <c r="D103" s="125" t="s">
        <v>595</v>
      </c>
      <c r="E103" s="22" t="s">
        <v>1786</v>
      </c>
      <c r="F103" t="s">
        <v>3479</v>
      </c>
    </row>
    <row r="104" spans="2:6" x14ac:dyDescent="0.35">
      <c r="B104" s="134" t="s">
        <v>1779</v>
      </c>
      <c r="C104" s="148" t="s">
        <v>1787</v>
      </c>
      <c r="D104" s="125" t="s">
        <v>595</v>
      </c>
      <c r="E104" s="22" t="s">
        <v>1788</v>
      </c>
      <c r="F104" t="s">
        <v>3479</v>
      </c>
    </row>
    <row r="105" spans="2:6" x14ac:dyDescent="0.35">
      <c r="B105" s="134" t="s">
        <v>1779</v>
      </c>
      <c r="C105" s="148" t="s">
        <v>1789</v>
      </c>
      <c r="D105" s="125" t="s">
        <v>595</v>
      </c>
      <c r="E105" s="22" t="s">
        <v>367</v>
      </c>
      <c r="F105" t="s">
        <v>3479</v>
      </c>
    </row>
    <row r="106" spans="2:6" x14ac:dyDescent="0.35">
      <c r="B106" s="134" t="s">
        <v>1779</v>
      </c>
      <c r="C106" s="148" t="s">
        <v>1790</v>
      </c>
      <c r="D106" s="125" t="s">
        <v>595</v>
      </c>
      <c r="E106" s="22" t="s">
        <v>1791</v>
      </c>
      <c r="F106" t="s">
        <v>3479</v>
      </c>
    </row>
    <row r="107" spans="2:6" x14ac:dyDescent="0.35">
      <c r="B107" s="134" t="s">
        <v>1779</v>
      </c>
      <c r="C107" s="148" t="s">
        <v>1792</v>
      </c>
      <c r="D107" s="125" t="s">
        <v>595</v>
      </c>
      <c r="E107" s="22" t="s">
        <v>731</v>
      </c>
      <c r="F107" t="s">
        <v>3479</v>
      </c>
    </row>
    <row r="108" spans="2:6" x14ac:dyDescent="0.35">
      <c r="B108" s="134" t="s">
        <v>1779</v>
      </c>
      <c r="C108" s="148" t="s">
        <v>1793</v>
      </c>
      <c r="D108" s="125" t="s">
        <v>595</v>
      </c>
      <c r="E108" s="22" t="s">
        <v>677</v>
      </c>
      <c r="F108" t="s">
        <v>3479</v>
      </c>
    </row>
    <row r="109" spans="2:6" x14ac:dyDescent="0.35">
      <c r="B109" s="134" t="s">
        <v>1779</v>
      </c>
      <c r="C109" s="148" t="s">
        <v>1794</v>
      </c>
      <c r="D109" s="125" t="s">
        <v>595</v>
      </c>
      <c r="E109" s="22" t="s">
        <v>1795</v>
      </c>
      <c r="F109" t="s">
        <v>3479</v>
      </c>
    </row>
    <row r="110" spans="2:6" x14ac:dyDescent="0.35">
      <c r="B110" s="134" t="s">
        <v>1779</v>
      </c>
      <c r="C110" s="148" t="s">
        <v>1796</v>
      </c>
      <c r="D110" s="125" t="s">
        <v>595</v>
      </c>
      <c r="E110" s="22" t="s">
        <v>1797</v>
      </c>
      <c r="F110" t="s">
        <v>3479</v>
      </c>
    </row>
    <row r="111" spans="2:6" x14ac:dyDescent="0.35">
      <c r="B111" s="134" t="s">
        <v>1779</v>
      </c>
      <c r="C111" s="148" t="s">
        <v>1798</v>
      </c>
      <c r="D111" s="125" t="s">
        <v>595</v>
      </c>
      <c r="E111" s="22" t="s">
        <v>613</v>
      </c>
      <c r="F111" t="s">
        <v>3479</v>
      </c>
    </row>
    <row r="112" spans="2:6" x14ac:dyDescent="0.35">
      <c r="B112" s="134" t="s">
        <v>1779</v>
      </c>
      <c r="C112" s="148" t="s">
        <v>1799</v>
      </c>
      <c r="D112" s="125" t="s">
        <v>595</v>
      </c>
      <c r="E112" s="22" t="s">
        <v>1800</v>
      </c>
      <c r="F112" t="s">
        <v>3479</v>
      </c>
    </row>
    <row r="113" spans="2:6" x14ac:dyDescent="0.35">
      <c r="B113" s="134" t="s">
        <v>1779</v>
      </c>
      <c r="C113" s="148" t="s">
        <v>1801</v>
      </c>
      <c r="D113" s="125" t="s">
        <v>595</v>
      </c>
      <c r="E113" s="22" t="s">
        <v>311</v>
      </c>
      <c r="F113" t="s">
        <v>3479</v>
      </c>
    </row>
    <row r="114" spans="2:6" x14ac:dyDescent="0.35">
      <c r="B114" s="134" t="s">
        <v>1779</v>
      </c>
      <c r="C114" s="148" t="s">
        <v>1802</v>
      </c>
      <c r="D114" s="125" t="s">
        <v>595</v>
      </c>
      <c r="E114" s="22" t="s">
        <v>477</v>
      </c>
      <c r="F114" t="s">
        <v>3479</v>
      </c>
    </row>
    <row r="115" spans="2:6" x14ac:dyDescent="0.35">
      <c r="B115" s="134" t="s">
        <v>1779</v>
      </c>
      <c r="C115" s="148" t="s">
        <v>1803</v>
      </c>
      <c r="D115" s="125" t="s">
        <v>595</v>
      </c>
      <c r="E115" s="22" t="s">
        <v>1804</v>
      </c>
      <c r="F115" t="s">
        <v>3479</v>
      </c>
    </row>
    <row r="116" spans="2:6" x14ac:dyDescent="0.35">
      <c r="B116" s="134" t="s">
        <v>1779</v>
      </c>
      <c r="C116" s="148" t="s">
        <v>1805</v>
      </c>
      <c r="D116" s="125" t="s">
        <v>595</v>
      </c>
      <c r="E116" s="22" t="s">
        <v>1168</v>
      </c>
      <c r="F116" t="s">
        <v>3479</v>
      </c>
    </row>
    <row r="117" spans="2:6" x14ac:dyDescent="0.35">
      <c r="B117" s="134" t="s">
        <v>1779</v>
      </c>
      <c r="C117" s="148" t="s">
        <v>1806</v>
      </c>
      <c r="D117" s="125" t="s">
        <v>595</v>
      </c>
      <c r="E117" s="136" t="s">
        <v>1807</v>
      </c>
      <c r="F117" t="s">
        <v>3479</v>
      </c>
    </row>
    <row r="118" spans="2:6" x14ac:dyDescent="0.35">
      <c r="B118" s="134" t="s">
        <v>1779</v>
      </c>
      <c r="C118" s="148" t="s">
        <v>1808</v>
      </c>
      <c r="D118" s="125" t="s">
        <v>595</v>
      </c>
      <c r="E118" s="22" t="s">
        <v>1073</v>
      </c>
      <c r="F118" t="s">
        <v>3479</v>
      </c>
    </row>
    <row r="119" spans="2:6" x14ac:dyDescent="0.35">
      <c r="B119" s="134" t="s">
        <v>1779</v>
      </c>
      <c r="C119" s="148" t="s">
        <v>1809</v>
      </c>
      <c r="D119" s="125" t="s">
        <v>595</v>
      </c>
      <c r="E119" s="22" t="s">
        <v>1177</v>
      </c>
      <c r="F119" t="s">
        <v>3479</v>
      </c>
    </row>
    <row r="120" spans="2:6" x14ac:dyDescent="0.35">
      <c r="B120" s="134" t="s">
        <v>1779</v>
      </c>
      <c r="C120" s="148" t="s">
        <v>1810</v>
      </c>
      <c r="D120" s="125" t="s">
        <v>595</v>
      </c>
      <c r="E120" s="22" t="s">
        <v>190</v>
      </c>
      <c r="F120" t="s">
        <v>3479</v>
      </c>
    </row>
    <row r="121" spans="2:6" x14ac:dyDescent="0.35">
      <c r="B121" s="134" t="s">
        <v>1779</v>
      </c>
      <c r="C121" s="148" t="s">
        <v>1811</v>
      </c>
      <c r="D121" s="125" t="s">
        <v>595</v>
      </c>
      <c r="E121" s="22" t="s">
        <v>503</v>
      </c>
      <c r="F121" t="s">
        <v>3479</v>
      </c>
    </row>
    <row r="122" spans="2:6" x14ac:dyDescent="0.35">
      <c r="B122" s="134" t="s">
        <v>1779</v>
      </c>
      <c r="C122" s="148" t="s">
        <v>1812</v>
      </c>
      <c r="D122" s="125" t="s">
        <v>595</v>
      </c>
      <c r="E122" s="22" t="s">
        <v>482</v>
      </c>
      <c r="F122" t="s">
        <v>3479</v>
      </c>
    </row>
    <row r="123" spans="2:6" x14ac:dyDescent="0.35">
      <c r="B123" s="134" t="s">
        <v>1779</v>
      </c>
      <c r="C123" s="148" t="s">
        <v>1813</v>
      </c>
      <c r="D123" s="125" t="s">
        <v>595</v>
      </c>
      <c r="E123" s="22" t="s">
        <v>666</v>
      </c>
      <c r="F123" t="s">
        <v>3479</v>
      </c>
    </row>
    <row r="124" spans="2:6" x14ac:dyDescent="0.35">
      <c r="B124" s="134" t="s">
        <v>1779</v>
      </c>
      <c r="C124" s="148" t="s">
        <v>1814</v>
      </c>
      <c r="D124" s="125" t="s">
        <v>595</v>
      </c>
      <c r="E124" s="136" t="s">
        <v>1035</v>
      </c>
      <c r="F124" t="s">
        <v>3479</v>
      </c>
    </row>
    <row r="125" spans="2:6" x14ac:dyDescent="0.35">
      <c r="B125" s="134" t="s">
        <v>1779</v>
      </c>
      <c r="C125" s="148" t="s">
        <v>1815</v>
      </c>
      <c r="D125" s="125" t="s">
        <v>595</v>
      </c>
      <c r="E125" s="22" t="s">
        <v>652</v>
      </c>
      <c r="F125" t="s">
        <v>3479</v>
      </c>
    </row>
    <row r="126" spans="2:6" x14ac:dyDescent="0.35">
      <c r="B126" s="134" t="s">
        <v>1779</v>
      </c>
      <c r="C126" s="148" t="s">
        <v>1816</v>
      </c>
      <c r="D126" s="125" t="s">
        <v>595</v>
      </c>
      <c r="E126" s="22" t="s">
        <v>654</v>
      </c>
      <c r="F126" t="s">
        <v>3479</v>
      </c>
    </row>
    <row r="127" spans="2:6" x14ac:dyDescent="0.35">
      <c r="B127" s="134" t="s">
        <v>1779</v>
      </c>
      <c r="C127" s="148" t="s">
        <v>1817</v>
      </c>
      <c r="D127" s="125" t="s">
        <v>595</v>
      </c>
      <c r="E127" s="22" t="s">
        <v>646</v>
      </c>
      <c r="F127" t="s">
        <v>3479</v>
      </c>
    </row>
    <row r="128" spans="2:6" x14ac:dyDescent="0.35">
      <c r="B128" s="134" t="s">
        <v>1779</v>
      </c>
      <c r="C128" s="148" t="s">
        <v>1818</v>
      </c>
      <c r="D128" s="125" t="s">
        <v>595</v>
      </c>
      <c r="E128" s="22" t="s">
        <v>636</v>
      </c>
      <c r="F128" t="s">
        <v>3479</v>
      </c>
    </row>
    <row r="129" spans="2:6" x14ac:dyDescent="0.35">
      <c r="B129" s="134" t="s">
        <v>1779</v>
      </c>
      <c r="C129" s="148" t="s">
        <v>1819</v>
      </c>
      <c r="D129" s="125" t="s">
        <v>595</v>
      </c>
      <c r="E129" s="22" t="s">
        <v>1045</v>
      </c>
      <c r="F129" t="s">
        <v>3479</v>
      </c>
    </row>
    <row r="130" spans="2:6" x14ac:dyDescent="0.35">
      <c r="B130" s="134" t="s">
        <v>1779</v>
      </c>
      <c r="C130" s="148" t="s">
        <v>1820</v>
      </c>
      <c r="D130" s="125" t="s">
        <v>595</v>
      </c>
      <c r="E130" s="22" t="s">
        <v>650</v>
      </c>
      <c r="F130" t="s">
        <v>3479</v>
      </c>
    </row>
    <row r="131" spans="2:6" x14ac:dyDescent="0.35">
      <c r="B131" s="134" t="s">
        <v>1779</v>
      </c>
      <c r="C131" s="148" t="s">
        <v>1821</v>
      </c>
      <c r="D131" s="125" t="s">
        <v>595</v>
      </c>
      <c r="E131" s="23" t="s">
        <v>609</v>
      </c>
      <c r="F131" t="s">
        <v>3479</v>
      </c>
    </row>
    <row r="132" spans="2:6" x14ac:dyDescent="0.35">
      <c r="B132" s="134" t="s">
        <v>1779</v>
      </c>
      <c r="C132" s="148" t="s">
        <v>1822</v>
      </c>
      <c r="D132" s="125" t="s">
        <v>595</v>
      </c>
      <c r="E132" s="22" t="s">
        <v>664</v>
      </c>
      <c r="F132" t="s">
        <v>3479</v>
      </c>
    </row>
    <row r="133" spans="2:6" x14ac:dyDescent="0.35">
      <c r="B133" s="134" t="s">
        <v>1779</v>
      </c>
      <c r="C133" s="148" t="s">
        <v>1823</v>
      </c>
      <c r="D133" s="125" t="s">
        <v>595</v>
      </c>
      <c r="E133" s="22" t="s">
        <v>640</v>
      </c>
      <c r="F133" t="s">
        <v>3479</v>
      </c>
    </row>
    <row r="134" spans="2:6" x14ac:dyDescent="0.35">
      <c r="B134" s="134" t="s">
        <v>1779</v>
      </c>
      <c r="C134" s="148" t="s">
        <v>1824</v>
      </c>
      <c r="D134" s="125" t="s">
        <v>595</v>
      </c>
      <c r="E134" s="22" t="s">
        <v>1825</v>
      </c>
      <c r="F134" t="s">
        <v>3479</v>
      </c>
    </row>
    <row r="135" spans="2:6" x14ac:dyDescent="0.35">
      <c r="B135" s="134" t="s">
        <v>1779</v>
      </c>
      <c r="C135" s="148" t="s">
        <v>1826</v>
      </c>
      <c r="D135" s="125" t="s">
        <v>595</v>
      </c>
      <c r="E135" s="22" t="s">
        <v>602</v>
      </c>
      <c r="F135" t="s">
        <v>3479</v>
      </c>
    </row>
    <row r="136" spans="2:6" x14ac:dyDescent="0.35">
      <c r="B136" s="134" t="s">
        <v>1779</v>
      </c>
      <c r="C136" s="148" t="s">
        <v>1827</v>
      </c>
      <c r="D136" s="125" t="s">
        <v>595</v>
      </c>
      <c r="E136" s="22" t="s">
        <v>417</v>
      </c>
      <c r="F136" t="s">
        <v>3479</v>
      </c>
    </row>
    <row r="137" spans="2:6" x14ac:dyDescent="0.35">
      <c r="B137" s="134" t="s">
        <v>1779</v>
      </c>
      <c r="C137" s="148" t="s">
        <v>1828</v>
      </c>
      <c r="D137" s="125" t="s">
        <v>595</v>
      </c>
      <c r="E137" s="22" t="s">
        <v>525</v>
      </c>
      <c r="F137" t="s">
        <v>3479</v>
      </c>
    </row>
    <row r="138" spans="2:6" x14ac:dyDescent="0.35">
      <c r="B138" s="134" t="s">
        <v>1779</v>
      </c>
      <c r="C138" s="148" t="s">
        <v>1829</v>
      </c>
      <c r="D138" s="125" t="s">
        <v>595</v>
      </c>
      <c r="E138" s="22" t="s">
        <v>1830</v>
      </c>
      <c r="F138" t="s">
        <v>3479</v>
      </c>
    </row>
    <row r="139" spans="2:6" x14ac:dyDescent="0.35">
      <c r="B139" s="134" t="s">
        <v>1779</v>
      </c>
      <c r="C139" s="148" t="s">
        <v>1831</v>
      </c>
      <c r="D139" s="125" t="s">
        <v>595</v>
      </c>
      <c r="E139" s="22" t="s">
        <v>1832</v>
      </c>
      <c r="F139" t="s">
        <v>3479</v>
      </c>
    </row>
    <row r="140" spans="2:6" x14ac:dyDescent="0.35">
      <c r="B140" s="134" t="s">
        <v>1779</v>
      </c>
      <c r="C140" s="148" t="s">
        <v>1833</v>
      </c>
      <c r="D140" s="125" t="s">
        <v>595</v>
      </c>
      <c r="E140" s="22" t="s">
        <v>1310</v>
      </c>
      <c r="F140" t="s">
        <v>3479</v>
      </c>
    </row>
    <row r="141" spans="2:6" x14ac:dyDescent="0.35">
      <c r="B141" s="134" t="s">
        <v>1779</v>
      </c>
      <c r="C141" s="148" t="s">
        <v>1834</v>
      </c>
      <c r="D141" s="125" t="s">
        <v>595</v>
      </c>
      <c r="E141" s="22" t="s">
        <v>1835</v>
      </c>
      <c r="F141" t="s">
        <v>3479</v>
      </c>
    </row>
    <row r="142" spans="2:6" x14ac:dyDescent="0.35">
      <c r="B142" s="134" t="s">
        <v>1779</v>
      </c>
      <c r="C142" s="148" t="s">
        <v>1836</v>
      </c>
      <c r="D142" s="125" t="s">
        <v>595</v>
      </c>
      <c r="E142" s="22" t="s">
        <v>1837</v>
      </c>
      <c r="F142" t="s">
        <v>3479</v>
      </c>
    </row>
    <row r="143" spans="2:6" x14ac:dyDescent="0.35">
      <c r="B143" s="134" t="s">
        <v>1779</v>
      </c>
      <c r="C143" s="148" t="s">
        <v>1838</v>
      </c>
      <c r="D143" s="125" t="s">
        <v>595</v>
      </c>
      <c r="E143" s="22" t="s">
        <v>1839</v>
      </c>
      <c r="F143" t="s">
        <v>3479</v>
      </c>
    </row>
    <row r="144" spans="2:6" x14ac:dyDescent="0.35">
      <c r="B144" s="134" t="s">
        <v>1779</v>
      </c>
      <c r="C144" s="148" t="s">
        <v>1840</v>
      </c>
      <c r="D144" s="125" t="s">
        <v>595</v>
      </c>
      <c r="E144" s="22" t="s">
        <v>1841</v>
      </c>
      <c r="F144" t="s">
        <v>3479</v>
      </c>
    </row>
    <row r="145" spans="2:6" x14ac:dyDescent="0.35">
      <c r="B145" s="134" t="s">
        <v>1779</v>
      </c>
      <c r="C145" s="148" t="s">
        <v>1842</v>
      </c>
      <c r="D145" s="125" t="s">
        <v>595</v>
      </c>
      <c r="E145" s="22" t="s">
        <v>432</v>
      </c>
      <c r="F145" t="s">
        <v>3479</v>
      </c>
    </row>
    <row r="146" spans="2:6" x14ac:dyDescent="0.35">
      <c r="B146" s="134" t="s">
        <v>1779</v>
      </c>
      <c r="C146" s="148" t="s">
        <v>1843</v>
      </c>
      <c r="D146" s="125" t="s">
        <v>595</v>
      </c>
      <c r="E146" s="22" t="s">
        <v>611</v>
      </c>
      <c r="F146" t="s">
        <v>3479</v>
      </c>
    </row>
    <row r="147" spans="2:6" x14ac:dyDescent="0.35">
      <c r="B147" s="134" t="s">
        <v>1779</v>
      </c>
      <c r="C147" s="148" t="s">
        <v>1844</v>
      </c>
      <c r="D147" s="125" t="s">
        <v>595</v>
      </c>
      <c r="E147" s="22" t="s">
        <v>625</v>
      </c>
      <c r="F147" t="s">
        <v>3479</v>
      </c>
    </row>
    <row r="148" spans="2:6" x14ac:dyDescent="0.35">
      <c r="B148" s="134" t="s">
        <v>1779</v>
      </c>
      <c r="C148" s="148" t="s">
        <v>1845</v>
      </c>
      <c r="D148" s="125" t="s">
        <v>595</v>
      </c>
      <c r="E148" s="22" t="s">
        <v>623</v>
      </c>
      <c r="F148" t="s">
        <v>3479</v>
      </c>
    </row>
    <row r="149" spans="2:6" x14ac:dyDescent="0.35">
      <c r="B149" s="134" t="s">
        <v>1779</v>
      </c>
      <c r="C149" s="148" t="s">
        <v>1846</v>
      </c>
      <c r="D149" s="125" t="s">
        <v>595</v>
      </c>
      <c r="E149" s="22" t="s">
        <v>1847</v>
      </c>
      <c r="F149" t="s">
        <v>3479</v>
      </c>
    </row>
    <row r="150" spans="2:6" x14ac:dyDescent="0.35">
      <c r="B150" s="134" t="s">
        <v>1779</v>
      </c>
      <c r="C150" s="148" t="s">
        <v>1848</v>
      </c>
      <c r="D150" s="125" t="s">
        <v>595</v>
      </c>
      <c r="E150" s="22" t="s">
        <v>480</v>
      </c>
      <c r="F150" t="s">
        <v>3479</v>
      </c>
    </row>
    <row r="151" spans="2:6" x14ac:dyDescent="0.35">
      <c r="B151" s="134" t="s">
        <v>1779</v>
      </c>
      <c r="C151" s="148" t="s">
        <v>1849</v>
      </c>
      <c r="D151" s="125" t="s">
        <v>595</v>
      </c>
      <c r="E151" s="22" t="s">
        <v>1850</v>
      </c>
      <c r="F151" t="s">
        <v>3479</v>
      </c>
    </row>
    <row r="152" spans="2:6" x14ac:dyDescent="0.35">
      <c r="B152" s="134" t="s">
        <v>1779</v>
      </c>
      <c r="C152" s="148" t="s">
        <v>1851</v>
      </c>
      <c r="D152" s="125" t="s">
        <v>595</v>
      </c>
      <c r="E152" s="22" t="s">
        <v>1341</v>
      </c>
      <c r="F152" t="s">
        <v>3479</v>
      </c>
    </row>
    <row r="153" spans="2:6" x14ac:dyDescent="0.35">
      <c r="B153" s="134" t="s">
        <v>1779</v>
      </c>
      <c r="C153" s="148" t="s">
        <v>1852</v>
      </c>
      <c r="D153" s="125" t="s">
        <v>595</v>
      </c>
      <c r="E153" s="22" t="s">
        <v>644</v>
      </c>
      <c r="F153" t="s">
        <v>3479</v>
      </c>
    </row>
    <row r="154" spans="2:6" x14ac:dyDescent="0.35">
      <c r="B154" s="134" t="s">
        <v>1779</v>
      </c>
      <c r="C154" s="148" t="s">
        <v>1853</v>
      </c>
      <c r="D154" s="125" t="s">
        <v>595</v>
      </c>
      <c r="E154" s="22" t="s">
        <v>693</v>
      </c>
      <c r="F154" t="s">
        <v>3479</v>
      </c>
    </row>
    <row r="155" spans="2:6" x14ac:dyDescent="0.35">
      <c r="B155" s="134" t="s">
        <v>1779</v>
      </c>
      <c r="C155" s="148" t="s">
        <v>1854</v>
      </c>
      <c r="D155" s="125" t="s">
        <v>595</v>
      </c>
      <c r="E155" s="23" t="s">
        <v>1855</v>
      </c>
      <c r="F155" t="s">
        <v>3479</v>
      </c>
    </row>
    <row r="156" spans="2:6" x14ac:dyDescent="0.35">
      <c r="B156" s="134" t="s">
        <v>1779</v>
      </c>
      <c r="C156" s="148" t="s">
        <v>1856</v>
      </c>
      <c r="D156" s="125" t="s">
        <v>595</v>
      </c>
      <c r="E156" s="22" t="s">
        <v>359</v>
      </c>
      <c r="F156" t="s">
        <v>3479</v>
      </c>
    </row>
    <row r="157" spans="2:6" x14ac:dyDescent="0.35">
      <c r="B157" s="134" t="s">
        <v>1686</v>
      </c>
      <c r="C157" s="271" t="s">
        <v>1877</v>
      </c>
      <c r="D157" s="177">
        <v>2023</v>
      </c>
      <c r="E157" s="23" t="s">
        <v>1878</v>
      </c>
      <c r="F157" t="s">
        <v>3479</v>
      </c>
    </row>
    <row r="158" spans="2:6" x14ac:dyDescent="0.35">
      <c r="B158" s="134" t="s">
        <v>1686</v>
      </c>
      <c r="C158" s="271" t="s">
        <v>1879</v>
      </c>
      <c r="D158" s="177">
        <v>2023</v>
      </c>
      <c r="E158" s="23" t="s">
        <v>1880</v>
      </c>
      <c r="F158" t="s">
        <v>3479</v>
      </c>
    </row>
    <row r="159" spans="2:6" x14ac:dyDescent="0.35">
      <c r="B159" s="134" t="s">
        <v>1686</v>
      </c>
      <c r="C159" s="271" t="s">
        <v>1881</v>
      </c>
      <c r="D159" s="177">
        <v>2023</v>
      </c>
      <c r="E159" s="23" t="s">
        <v>672</v>
      </c>
      <c r="F159" t="s">
        <v>3479</v>
      </c>
    </row>
    <row r="160" spans="2:6" x14ac:dyDescent="0.35">
      <c r="B160" s="134" t="s">
        <v>1686</v>
      </c>
      <c r="C160" s="271" t="s">
        <v>1882</v>
      </c>
      <c r="D160" s="177">
        <v>2023</v>
      </c>
      <c r="E160" s="23" t="s">
        <v>516</v>
      </c>
      <c r="F160" t="s">
        <v>3479</v>
      </c>
    </row>
    <row r="161" spans="2:6" x14ac:dyDescent="0.35">
      <c r="B161" s="134" t="s">
        <v>1686</v>
      </c>
      <c r="C161" s="271" t="s">
        <v>1883</v>
      </c>
      <c r="D161" s="177">
        <v>2023</v>
      </c>
      <c r="E161" s="122" t="s">
        <v>787</v>
      </c>
      <c r="F161" t="s">
        <v>3479</v>
      </c>
    </row>
    <row r="162" spans="2:6" x14ac:dyDescent="0.35">
      <c r="B162" s="134" t="s">
        <v>1686</v>
      </c>
      <c r="C162" s="271" t="s">
        <v>1884</v>
      </c>
      <c r="D162" s="177">
        <v>2023</v>
      </c>
      <c r="E162" s="291" t="s">
        <v>797</v>
      </c>
      <c r="F162" t="s">
        <v>3479</v>
      </c>
    </row>
    <row r="163" spans="2:6" x14ac:dyDescent="0.35">
      <c r="B163" s="134" t="s">
        <v>1686</v>
      </c>
      <c r="C163" s="271" t="s">
        <v>1885</v>
      </c>
      <c r="D163" s="177">
        <v>2023</v>
      </c>
      <c r="E163" s="291" t="s">
        <v>514</v>
      </c>
      <c r="F163" t="s">
        <v>3479</v>
      </c>
    </row>
    <row r="164" spans="2:6" x14ac:dyDescent="0.35">
      <c r="B164" s="134" t="s">
        <v>1686</v>
      </c>
      <c r="C164" s="272" t="s">
        <v>1886</v>
      </c>
      <c r="D164" s="177">
        <v>2023</v>
      </c>
      <c r="E164" s="291" t="s">
        <v>1203</v>
      </c>
      <c r="F164" t="s">
        <v>3479</v>
      </c>
    </row>
    <row r="165" spans="2:6" x14ac:dyDescent="0.35">
      <c r="B165" s="134" t="s">
        <v>1686</v>
      </c>
      <c r="C165" s="272" t="s">
        <v>1887</v>
      </c>
      <c r="D165" s="177">
        <v>2023</v>
      </c>
      <c r="E165" s="122" t="s">
        <v>1888</v>
      </c>
      <c r="F165" t="s">
        <v>3479</v>
      </c>
    </row>
    <row r="166" spans="2:6" ht="14.25" customHeight="1" x14ac:dyDescent="0.35">
      <c r="B166" s="134" t="s">
        <v>1686</v>
      </c>
      <c r="C166" s="271" t="s">
        <v>1889</v>
      </c>
      <c r="D166" s="177">
        <v>2023</v>
      </c>
      <c r="E166" s="122" t="s">
        <v>801</v>
      </c>
      <c r="F166" t="s">
        <v>3479</v>
      </c>
    </row>
    <row r="167" spans="2:6" ht="15" customHeight="1" x14ac:dyDescent="0.35">
      <c r="B167" s="134" t="s">
        <v>1686</v>
      </c>
      <c r="C167" s="272" t="s">
        <v>1890</v>
      </c>
      <c r="D167" s="177">
        <v>2023</v>
      </c>
      <c r="E167" s="296" t="s">
        <v>469</v>
      </c>
      <c r="F167" t="s">
        <v>3479</v>
      </c>
    </row>
    <row r="168" spans="2:6" x14ac:dyDescent="0.35">
      <c r="B168" s="134" t="s">
        <v>1686</v>
      </c>
      <c r="C168" s="272" t="s">
        <v>1891</v>
      </c>
      <c r="D168" s="177">
        <v>2023</v>
      </c>
      <c r="E168" s="122" t="s">
        <v>733</v>
      </c>
      <c r="F168" t="s">
        <v>3479</v>
      </c>
    </row>
    <row r="169" spans="2:6" x14ac:dyDescent="0.35">
      <c r="B169" s="134" t="s">
        <v>1686</v>
      </c>
      <c r="C169" s="272" t="s">
        <v>1892</v>
      </c>
      <c r="D169" s="177">
        <v>2023</v>
      </c>
      <c r="E169" s="122" t="s">
        <v>1893</v>
      </c>
      <c r="F169" t="s">
        <v>3479</v>
      </c>
    </row>
    <row r="170" spans="2:6" x14ac:dyDescent="0.35">
      <c r="B170" s="134" t="s">
        <v>1686</v>
      </c>
      <c r="C170" s="272" t="s">
        <v>1894</v>
      </c>
      <c r="D170" s="177">
        <v>2023</v>
      </c>
      <c r="E170" s="122" t="s">
        <v>1895</v>
      </c>
      <c r="F170" t="s">
        <v>3479</v>
      </c>
    </row>
    <row r="171" spans="2:6" x14ac:dyDescent="0.35">
      <c r="B171" s="134" t="s">
        <v>1686</v>
      </c>
      <c r="C171" s="272" t="s">
        <v>1896</v>
      </c>
      <c r="D171" s="177">
        <v>2023</v>
      </c>
      <c r="E171" s="122" t="s">
        <v>355</v>
      </c>
      <c r="F171" t="s">
        <v>3479</v>
      </c>
    </row>
    <row r="172" spans="2:6" x14ac:dyDescent="0.35">
      <c r="B172" s="134" t="s">
        <v>1686</v>
      </c>
      <c r="C172" s="272" t="s">
        <v>1897</v>
      </c>
      <c r="D172" s="177">
        <v>2023</v>
      </c>
      <c r="E172" s="122" t="s">
        <v>6285</v>
      </c>
      <c r="F172" t="s">
        <v>3479</v>
      </c>
    </row>
    <row r="173" spans="2:6" x14ac:dyDescent="0.35">
      <c r="B173" s="134" t="s">
        <v>1686</v>
      </c>
      <c r="C173" s="272" t="s">
        <v>1899</v>
      </c>
      <c r="D173" s="177">
        <v>2023</v>
      </c>
      <c r="E173" s="122" t="s">
        <v>427</v>
      </c>
      <c r="F173" t="s">
        <v>3479</v>
      </c>
    </row>
    <row r="174" spans="2:6" x14ac:dyDescent="0.35">
      <c r="B174" s="134" t="s">
        <v>1686</v>
      </c>
      <c r="C174" s="272" t="s">
        <v>1900</v>
      </c>
      <c r="D174" s="177">
        <v>2023</v>
      </c>
      <c r="E174" s="122" t="s">
        <v>532</v>
      </c>
      <c r="F174" t="s">
        <v>3479</v>
      </c>
    </row>
    <row r="175" spans="2:6" x14ac:dyDescent="0.35">
      <c r="B175" s="134" t="s">
        <v>1686</v>
      </c>
      <c r="C175" s="272" t="s">
        <v>1901</v>
      </c>
      <c r="D175" s="177">
        <v>2023</v>
      </c>
      <c r="E175" s="122" t="s">
        <v>1902</v>
      </c>
      <c r="F175" t="s">
        <v>3479</v>
      </c>
    </row>
    <row r="176" spans="2:6" x14ac:dyDescent="0.35">
      <c r="B176" s="134" t="s">
        <v>1686</v>
      </c>
      <c r="C176" s="272" t="s">
        <v>1903</v>
      </c>
      <c r="D176" s="177">
        <v>2023</v>
      </c>
      <c r="E176" s="122" t="s">
        <v>1904</v>
      </c>
      <c r="F176" t="s">
        <v>3479</v>
      </c>
    </row>
    <row r="177" spans="2:6" x14ac:dyDescent="0.35">
      <c r="B177" s="134" t="s">
        <v>1686</v>
      </c>
      <c r="C177" s="272" t="s">
        <v>1905</v>
      </c>
      <c r="D177" s="177">
        <v>2023</v>
      </c>
      <c r="E177" s="122" t="s">
        <v>1906</v>
      </c>
      <c r="F177" t="s">
        <v>3479</v>
      </c>
    </row>
    <row r="178" spans="2:6" x14ac:dyDescent="0.35">
      <c r="B178" s="134" t="s">
        <v>1686</v>
      </c>
      <c r="C178" s="272" t="s">
        <v>1907</v>
      </c>
      <c r="D178" s="177">
        <v>2023</v>
      </c>
      <c r="E178" s="122" t="s">
        <v>1182</v>
      </c>
      <c r="F178" t="s">
        <v>3479</v>
      </c>
    </row>
    <row r="179" spans="2:6" x14ac:dyDescent="0.35">
      <c r="B179" s="134" t="s">
        <v>1686</v>
      </c>
      <c r="C179" s="272" t="s">
        <v>1908</v>
      </c>
      <c r="D179" s="177">
        <v>2023</v>
      </c>
      <c r="E179" s="122" t="s">
        <v>1050</v>
      </c>
      <c r="F179" t="s">
        <v>3479</v>
      </c>
    </row>
    <row r="180" spans="2:6" x14ac:dyDescent="0.35">
      <c r="B180" s="134" t="s">
        <v>1686</v>
      </c>
      <c r="C180" s="272" t="s">
        <v>1909</v>
      </c>
      <c r="D180" s="177">
        <v>2023</v>
      </c>
      <c r="E180" s="122" t="s">
        <v>1041</v>
      </c>
      <c r="F180" t="s">
        <v>3479</v>
      </c>
    </row>
    <row r="181" spans="2:6" x14ac:dyDescent="0.35">
      <c r="B181" s="134" t="s">
        <v>1686</v>
      </c>
      <c r="C181" s="272" t="s">
        <v>1910</v>
      </c>
      <c r="D181" s="177">
        <v>2023</v>
      </c>
      <c r="E181" s="122" t="s">
        <v>6202</v>
      </c>
      <c r="F181" t="s">
        <v>3479</v>
      </c>
    </row>
    <row r="182" spans="2:6" x14ac:dyDescent="0.35">
      <c r="B182" s="134" t="s">
        <v>1686</v>
      </c>
      <c r="C182" s="272" t="s">
        <v>1911</v>
      </c>
      <c r="D182" s="177">
        <v>2023</v>
      </c>
      <c r="E182" s="286" t="s">
        <v>1059</v>
      </c>
      <c r="F182" t="s">
        <v>3479</v>
      </c>
    </row>
    <row r="183" spans="2:6" x14ac:dyDescent="0.35">
      <c r="B183" s="134" t="s">
        <v>1686</v>
      </c>
      <c r="C183" s="272" t="s">
        <v>1912</v>
      </c>
      <c r="D183" s="177">
        <v>2023</v>
      </c>
      <c r="E183" s="297" t="s">
        <v>404</v>
      </c>
      <c r="F183" t="s">
        <v>3479</v>
      </c>
    </row>
    <row r="184" spans="2:6" x14ac:dyDescent="0.35">
      <c r="B184" s="151" t="s">
        <v>1686</v>
      </c>
      <c r="C184" s="273" t="s">
        <v>1913</v>
      </c>
      <c r="D184" s="177">
        <v>2023</v>
      </c>
      <c r="E184" s="122" t="s">
        <v>400</v>
      </c>
      <c r="F184" t="s">
        <v>3479</v>
      </c>
    </row>
    <row r="185" spans="2:6" x14ac:dyDescent="0.35">
      <c r="B185" s="134" t="s">
        <v>1779</v>
      </c>
      <c r="C185" s="272" t="s">
        <v>1914</v>
      </c>
      <c r="D185" s="177">
        <v>2023</v>
      </c>
      <c r="E185" s="122" t="s">
        <v>1174</v>
      </c>
      <c r="F185" t="s">
        <v>3479</v>
      </c>
    </row>
    <row r="186" spans="2:6" x14ac:dyDescent="0.35">
      <c r="B186" s="134" t="s">
        <v>1779</v>
      </c>
      <c r="C186" s="272" t="s">
        <v>1915</v>
      </c>
      <c r="D186" s="177">
        <v>2023</v>
      </c>
      <c r="E186" s="122" t="s">
        <v>1916</v>
      </c>
      <c r="F186" t="s">
        <v>3479</v>
      </c>
    </row>
    <row r="187" spans="2:6" x14ac:dyDescent="0.35">
      <c r="B187" s="134" t="s">
        <v>1779</v>
      </c>
      <c r="C187" s="272" t="s">
        <v>1917</v>
      </c>
      <c r="D187" s="177">
        <v>2023</v>
      </c>
      <c r="E187" s="122" t="s">
        <v>1918</v>
      </c>
      <c r="F187" t="s">
        <v>3479</v>
      </c>
    </row>
    <row r="188" spans="2:6" x14ac:dyDescent="0.35">
      <c r="B188" s="134" t="s">
        <v>1779</v>
      </c>
      <c r="C188" s="272" t="s">
        <v>1919</v>
      </c>
      <c r="D188" s="177">
        <v>2023</v>
      </c>
      <c r="E188" s="122" t="s">
        <v>259</v>
      </c>
      <c r="F188" t="s">
        <v>3479</v>
      </c>
    </row>
    <row r="189" spans="2:6" x14ac:dyDescent="0.35">
      <c r="B189" s="134" t="s">
        <v>1779</v>
      </c>
      <c r="C189" s="272" t="s">
        <v>1920</v>
      </c>
      <c r="D189" s="177">
        <v>2023</v>
      </c>
      <c r="E189" s="122" t="s">
        <v>569</v>
      </c>
      <c r="F189" t="s">
        <v>3479</v>
      </c>
    </row>
    <row r="190" spans="2:6" x14ac:dyDescent="0.35">
      <c r="B190" s="134" t="s">
        <v>1779</v>
      </c>
      <c r="C190" s="272" t="s">
        <v>1921</v>
      </c>
      <c r="D190" s="177">
        <v>2023</v>
      </c>
      <c r="E190" s="122" t="s">
        <v>1922</v>
      </c>
      <c r="F190" t="s">
        <v>3479</v>
      </c>
    </row>
    <row r="191" spans="2:6" x14ac:dyDescent="0.35">
      <c r="B191" s="134" t="s">
        <v>1779</v>
      </c>
      <c r="C191" s="272" t="s">
        <v>1923</v>
      </c>
      <c r="D191" s="177">
        <v>2023</v>
      </c>
      <c r="E191" s="122" t="s">
        <v>1924</v>
      </c>
      <c r="F191" t="s">
        <v>3479</v>
      </c>
    </row>
    <row r="192" spans="2:6" x14ac:dyDescent="0.35">
      <c r="B192" s="134" t="s">
        <v>1779</v>
      </c>
      <c r="C192" s="272" t="s">
        <v>1925</v>
      </c>
      <c r="D192" s="177">
        <v>2023</v>
      </c>
      <c r="E192" s="122" t="s">
        <v>353</v>
      </c>
      <c r="F192" t="s">
        <v>3479</v>
      </c>
    </row>
    <row r="193" spans="2:6" x14ac:dyDescent="0.35">
      <c r="B193" s="134" t="s">
        <v>1779</v>
      </c>
      <c r="C193" s="272" t="s">
        <v>1926</v>
      </c>
      <c r="D193" s="177">
        <v>2023</v>
      </c>
      <c r="E193" s="122" t="s">
        <v>1118</v>
      </c>
      <c r="F193" t="s">
        <v>3479</v>
      </c>
    </row>
    <row r="194" spans="2:6" x14ac:dyDescent="0.35">
      <c r="B194" s="134" t="s">
        <v>1779</v>
      </c>
      <c r="C194" s="272" t="s">
        <v>1927</v>
      </c>
      <c r="D194" s="177">
        <v>2023</v>
      </c>
      <c r="E194" s="122" t="s">
        <v>586</v>
      </c>
      <c r="F194" t="s">
        <v>3479</v>
      </c>
    </row>
    <row r="195" spans="2:6" x14ac:dyDescent="0.35">
      <c r="B195" s="134" t="s">
        <v>1779</v>
      </c>
      <c r="C195" s="273" t="s">
        <v>1928</v>
      </c>
      <c r="D195" s="177">
        <v>2023</v>
      </c>
      <c r="E195" s="122" t="s">
        <v>581</v>
      </c>
      <c r="F195" t="s">
        <v>3479</v>
      </c>
    </row>
    <row r="196" spans="2:6" x14ac:dyDescent="0.35">
      <c r="B196" s="154" t="s">
        <v>1779</v>
      </c>
      <c r="C196" s="272" t="s">
        <v>1929</v>
      </c>
      <c r="D196" s="177">
        <v>2023</v>
      </c>
      <c r="E196" s="122" t="s">
        <v>670</v>
      </c>
      <c r="F196" t="s">
        <v>3479</v>
      </c>
    </row>
    <row r="197" spans="2:6" x14ac:dyDescent="0.35">
      <c r="B197" s="154" t="s">
        <v>1779</v>
      </c>
      <c r="C197" s="19" t="s">
        <v>1930</v>
      </c>
      <c r="D197" s="177">
        <v>2023</v>
      </c>
      <c r="E197" s="23" t="s">
        <v>1931</v>
      </c>
      <c r="F197" t="s">
        <v>3479</v>
      </c>
    </row>
    <row r="198" spans="2:6" x14ac:dyDescent="0.35">
      <c r="B198" s="158" t="s">
        <v>1779</v>
      </c>
      <c r="C198" s="40" t="s">
        <v>1932</v>
      </c>
      <c r="D198" s="177">
        <v>2023</v>
      </c>
      <c r="E198" s="43" t="s">
        <v>1933</v>
      </c>
      <c r="F198" t="s">
        <v>3479</v>
      </c>
    </row>
    <row r="199" spans="2:6" x14ac:dyDescent="0.35">
      <c r="B199" s="158" t="s">
        <v>1779</v>
      </c>
      <c r="C199" s="147" t="s">
        <v>1934</v>
      </c>
      <c r="D199" s="177">
        <v>2023</v>
      </c>
      <c r="E199" s="23" t="s">
        <v>1935</v>
      </c>
      <c r="F199" t="s">
        <v>3479</v>
      </c>
    </row>
    <row r="200" spans="2:6" x14ac:dyDescent="0.35">
      <c r="B200" s="158" t="s">
        <v>1779</v>
      </c>
      <c r="C200" s="147" t="s">
        <v>1936</v>
      </c>
      <c r="D200" s="177">
        <v>2023</v>
      </c>
      <c r="E200" s="21" t="s">
        <v>67</v>
      </c>
      <c r="F200" t="s">
        <v>3479</v>
      </c>
    </row>
    <row r="201" spans="2:6" x14ac:dyDescent="0.35">
      <c r="B201" s="158" t="s">
        <v>1779</v>
      </c>
      <c r="C201" s="164" t="s">
        <v>1937</v>
      </c>
      <c r="D201" s="177">
        <v>2023</v>
      </c>
      <c r="E201" s="165" t="s">
        <v>1308</v>
      </c>
      <c r="F201" t="s">
        <v>3479</v>
      </c>
    </row>
    <row r="202" spans="2:6" x14ac:dyDescent="0.35">
      <c r="B202" s="134" t="s">
        <v>1779</v>
      </c>
      <c r="C202" s="40" t="s">
        <v>1938</v>
      </c>
      <c r="D202" s="177">
        <v>2023</v>
      </c>
      <c r="E202" s="43" t="s">
        <v>1939</v>
      </c>
      <c r="F202" t="s">
        <v>3479</v>
      </c>
    </row>
    <row r="203" spans="2:6" x14ac:dyDescent="0.35">
      <c r="B203" s="154" t="s">
        <v>1779</v>
      </c>
      <c r="C203" s="18" t="s">
        <v>1940</v>
      </c>
      <c r="D203" s="178">
        <v>2023</v>
      </c>
      <c r="E203" s="23" t="s">
        <v>1941</v>
      </c>
      <c r="F203" t="s">
        <v>3479</v>
      </c>
    </row>
    <row r="204" spans="2:6" x14ac:dyDescent="0.35">
      <c r="B204" s="154" t="s">
        <v>1779</v>
      </c>
      <c r="C204" s="18" t="s">
        <v>1942</v>
      </c>
      <c r="D204" s="178">
        <v>2023</v>
      </c>
      <c r="E204" s="23" t="s">
        <v>1943</v>
      </c>
      <c r="F204" t="s">
        <v>3479</v>
      </c>
    </row>
    <row r="205" spans="2:6" x14ac:dyDescent="0.35">
      <c r="B205" s="154" t="s">
        <v>1779</v>
      </c>
      <c r="C205" s="18" t="s">
        <v>1944</v>
      </c>
      <c r="D205" s="178">
        <v>2023</v>
      </c>
      <c r="E205" s="23" t="s">
        <v>1945</v>
      </c>
      <c r="F205" t="s">
        <v>3479</v>
      </c>
    </row>
    <row r="206" spans="2:6" x14ac:dyDescent="0.35">
      <c r="B206" s="154" t="s">
        <v>1779</v>
      </c>
      <c r="C206" s="18" t="s">
        <v>1946</v>
      </c>
      <c r="D206" s="178">
        <v>2023</v>
      </c>
      <c r="E206" s="23" t="s">
        <v>1947</v>
      </c>
      <c r="F206" t="s">
        <v>3479</v>
      </c>
    </row>
    <row r="207" spans="2:6" x14ac:dyDescent="0.35">
      <c r="B207" s="134" t="s">
        <v>1779</v>
      </c>
      <c r="C207" s="18" t="s">
        <v>1948</v>
      </c>
      <c r="D207" s="18">
        <v>2023</v>
      </c>
      <c r="E207" s="23" t="s">
        <v>1949</v>
      </c>
      <c r="F207" t="s">
        <v>3479</v>
      </c>
    </row>
    <row r="208" spans="2:6" x14ac:dyDescent="0.35">
      <c r="B208" s="134" t="s">
        <v>1779</v>
      </c>
      <c r="C208" s="18" t="s">
        <v>1950</v>
      </c>
      <c r="D208" s="18">
        <v>2023</v>
      </c>
      <c r="E208" s="23" t="s">
        <v>630</v>
      </c>
      <c r="F208" t="s">
        <v>3479</v>
      </c>
    </row>
    <row r="209" spans="2:6" x14ac:dyDescent="0.35">
      <c r="B209" s="151" t="s">
        <v>1779</v>
      </c>
      <c r="C209" s="24" t="s">
        <v>1951</v>
      </c>
      <c r="D209" s="24">
        <v>2023</v>
      </c>
      <c r="E209" s="43" t="s">
        <v>421</v>
      </c>
      <c r="F209" t="s">
        <v>3479</v>
      </c>
    </row>
    <row r="210" spans="2:6" x14ac:dyDescent="0.35">
      <c r="B210" s="134" t="s">
        <v>1779</v>
      </c>
      <c r="C210" s="18" t="s">
        <v>1952</v>
      </c>
      <c r="D210" s="18">
        <v>2023</v>
      </c>
      <c r="E210" s="23" t="s">
        <v>1164</v>
      </c>
      <c r="F210" t="s">
        <v>3479</v>
      </c>
    </row>
    <row r="211" spans="2:6" x14ac:dyDescent="0.35">
      <c r="B211" s="134" t="s">
        <v>1779</v>
      </c>
      <c r="C211" s="18" t="s">
        <v>1953</v>
      </c>
      <c r="D211" s="18">
        <v>2023</v>
      </c>
      <c r="E211" s="23" t="s">
        <v>752</v>
      </c>
      <c r="F211" t="s">
        <v>3479</v>
      </c>
    </row>
    <row r="212" spans="2:6" x14ac:dyDescent="0.35">
      <c r="B212" s="134" t="s">
        <v>1779</v>
      </c>
      <c r="C212" s="18" t="s">
        <v>1954</v>
      </c>
      <c r="D212" s="18">
        <v>2023</v>
      </c>
      <c r="E212" s="23" t="s">
        <v>756</v>
      </c>
      <c r="F212" t="s">
        <v>3479</v>
      </c>
    </row>
    <row r="213" spans="2:6" x14ac:dyDescent="0.35">
      <c r="B213" s="134" t="s">
        <v>1779</v>
      </c>
      <c r="C213" s="18" t="s">
        <v>1955</v>
      </c>
      <c r="D213" s="18">
        <v>2023</v>
      </c>
      <c r="E213" s="23" t="s">
        <v>765</v>
      </c>
      <c r="F213" t="s">
        <v>3479</v>
      </c>
    </row>
    <row r="214" spans="2:6" x14ac:dyDescent="0.35">
      <c r="B214" s="134" t="s">
        <v>1779</v>
      </c>
      <c r="C214" s="18" t="s">
        <v>1956</v>
      </c>
      <c r="D214" s="18">
        <v>2023</v>
      </c>
      <c r="E214" s="23" t="s">
        <v>394</v>
      </c>
      <c r="F214" t="s">
        <v>3479</v>
      </c>
    </row>
    <row r="215" spans="2:6" x14ac:dyDescent="0.35">
      <c r="B215" s="134" t="s">
        <v>1779</v>
      </c>
      <c r="C215" s="18" t="s">
        <v>1957</v>
      </c>
      <c r="D215" s="18">
        <v>2023</v>
      </c>
      <c r="E215" s="23" t="s">
        <v>938</v>
      </c>
      <c r="F215" t="s">
        <v>3479</v>
      </c>
    </row>
    <row r="216" spans="2:6" x14ac:dyDescent="0.35">
      <c r="B216" s="134" t="s">
        <v>1779</v>
      </c>
      <c r="C216" s="18" t="s">
        <v>1958</v>
      </c>
      <c r="D216" s="18">
        <v>2023</v>
      </c>
      <c r="E216" s="23" t="s">
        <v>683</v>
      </c>
      <c r="F216" t="s">
        <v>3479</v>
      </c>
    </row>
    <row r="217" spans="2:6" x14ac:dyDescent="0.35">
      <c r="B217" s="134" t="s">
        <v>1779</v>
      </c>
      <c r="C217" s="18" t="s">
        <v>1959</v>
      </c>
      <c r="D217" s="18">
        <v>2023</v>
      </c>
      <c r="E217" s="23" t="s">
        <v>1960</v>
      </c>
      <c r="F217" t="s">
        <v>3479</v>
      </c>
    </row>
    <row r="218" spans="2:6" x14ac:dyDescent="0.35">
      <c r="B218" s="134" t="s">
        <v>1779</v>
      </c>
      <c r="C218" s="19" t="s">
        <v>1961</v>
      </c>
      <c r="D218" s="18">
        <v>2023</v>
      </c>
      <c r="E218" s="23" t="s">
        <v>927</v>
      </c>
      <c r="F218" t="s">
        <v>3479</v>
      </c>
    </row>
    <row r="219" spans="2:6" x14ac:dyDescent="0.35">
      <c r="B219" s="151" t="s">
        <v>1779</v>
      </c>
      <c r="C219" s="24" t="s">
        <v>1962</v>
      </c>
      <c r="D219" s="24">
        <v>2023</v>
      </c>
      <c r="E219" s="43" t="s">
        <v>712</v>
      </c>
      <c r="F219" t="s">
        <v>3479</v>
      </c>
    </row>
    <row r="220" spans="2:6" x14ac:dyDescent="0.35">
      <c r="B220" s="134" t="s">
        <v>1779</v>
      </c>
      <c r="C220" s="18" t="s">
        <v>1963</v>
      </c>
      <c r="D220" s="18">
        <v>2023</v>
      </c>
      <c r="E220" s="23" t="s">
        <v>6281</v>
      </c>
      <c r="F220" t="s">
        <v>3479</v>
      </c>
    </row>
    <row r="221" spans="2:6" x14ac:dyDescent="0.35">
      <c r="B221" s="134" t="s">
        <v>1779</v>
      </c>
      <c r="C221" s="18" t="s">
        <v>1964</v>
      </c>
      <c r="D221" s="18">
        <v>2023</v>
      </c>
      <c r="E221" s="23" t="s">
        <v>465</v>
      </c>
      <c r="F221" t="s">
        <v>3479</v>
      </c>
    </row>
    <row r="222" spans="2:6" x14ac:dyDescent="0.35">
      <c r="B222" s="269" t="s">
        <v>1779</v>
      </c>
      <c r="C222" s="270" t="s">
        <v>3477</v>
      </c>
      <c r="D222" s="270">
        <v>2023</v>
      </c>
      <c r="E222" s="255" t="s">
        <v>1965</v>
      </c>
      <c r="F222" t="s">
        <v>3479</v>
      </c>
    </row>
    <row r="223" spans="2:6" x14ac:dyDescent="0.35">
      <c r="B223" s="134" t="s">
        <v>1779</v>
      </c>
      <c r="C223" s="18" t="s">
        <v>1966</v>
      </c>
      <c r="D223" s="18">
        <v>2023</v>
      </c>
      <c r="E223" s="23" t="s">
        <v>1967</v>
      </c>
      <c r="F223" t="s">
        <v>3479</v>
      </c>
    </row>
    <row r="224" spans="2:6" x14ac:dyDescent="0.35">
      <c r="B224" s="134" t="s">
        <v>1779</v>
      </c>
      <c r="C224" s="18" t="s">
        <v>1968</v>
      </c>
      <c r="D224" s="18">
        <v>2023</v>
      </c>
      <c r="E224" s="23" t="s">
        <v>6282</v>
      </c>
      <c r="F224" t="s">
        <v>3479</v>
      </c>
    </row>
    <row r="225" spans="2:6" x14ac:dyDescent="0.35">
      <c r="B225" s="134" t="s">
        <v>1779</v>
      </c>
      <c r="C225" s="18" t="s">
        <v>1969</v>
      </c>
      <c r="D225" s="18">
        <v>2023</v>
      </c>
      <c r="E225" s="23" t="s">
        <v>509</v>
      </c>
      <c r="F225" t="s">
        <v>3479</v>
      </c>
    </row>
    <row r="226" spans="2:6" x14ac:dyDescent="0.35">
      <c r="B226" s="134" t="s">
        <v>1779</v>
      </c>
      <c r="C226" s="18" t="s">
        <v>1970</v>
      </c>
      <c r="D226" s="18">
        <v>2023</v>
      </c>
      <c r="E226" s="23" t="s">
        <v>509</v>
      </c>
      <c r="F226" t="s">
        <v>3479</v>
      </c>
    </row>
    <row r="227" spans="2:6" x14ac:dyDescent="0.35">
      <c r="B227" s="179"/>
      <c r="C227" s="6"/>
      <c r="D227" s="6"/>
    </row>
    <row r="228" spans="2:6" x14ac:dyDescent="0.35">
      <c r="B228" s="179"/>
      <c r="C228" s="6"/>
      <c r="D228" s="6"/>
    </row>
    <row r="229" spans="2:6" x14ac:dyDescent="0.35">
      <c r="B229" s="179"/>
      <c r="C229" s="6"/>
      <c r="D229" s="6"/>
    </row>
    <row r="230" spans="2:6" x14ac:dyDescent="0.35">
      <c r="B230" s="179"/>
      <c r="C230" s="6"/>
      <c r="D230" s="6"/>
    </row>
    <row r="232" spans="2:6" x14ac:dyDescent="0.35">
      <c r="B232" s="140" t="s">
        <v>57</v>
      </c>
    </row>
    <row r="233" spans="2:6" x14ac:dyDescent="0.35">
      <c r="B233" s="140"/>
    </row>
    <row r="235" spans="2:6" x14ac:dyDescent="0.35">
      <c r="B235" s="138" t="s">
        <v>1971</v>
      </c>
      <c r="C235" s="246" t="s">
        <v>1972</v>
      </c>
      <c r="D235" s="138">
        <v>53</v>
      </c>
    </row>
    <row r="236" spans="2:6" x14ac:dyDescent="0.35">
      <c r="B236" s="138" t="s">
        <v>1973</v>
      </c>
      <c r="C236" s="246" t="s">
        <v>1974</v>
      </c>
      <c r="D236" s="138">
        <v>4</v>
      </c>
    </row>
  </sheetData>
  <autoFilter ref="B1:E226" xr:uid="{0688939F-82D6-4772-998F-D9E3794E54FA}"/>
  <conditionalFormatting sqref="B232:B236">
    <cfRule type="duplicateValues" dxfId="334" priority="8056"/>
  </conditionalFormatting>
  <conditionalFormatting sqref="C1:C1048576">
    <cfRule type="duplicateValues" dxfId="333" priority="1"/>
  </conditionalFormatting>
  <conditionalFormatting sqref="C2:C97">
    <cfRule type="duplicateValues" dxfId="332" priority="8049"/>
    <cfRule type="duplicateValues" dxfId="331" priority="8050"/>
    <cfRule type="duplicateValues" dxfId="330" priority="8051"/>
    <cfRule type="duplicateValues" dxfId="329" priority="8052"/>
  </conditionalFormatting>
  <conditionalFormatting sqref="C98:C156">
    <cfRule type="duplicateValues" dxfId="328" priority="8425"/>
    <cfRule type="duplicateValues" dxfId="327" priority="8426"/>
    <cfRule type="duplicateValues" dxfId="326" priority="8427"/>
  </conditionalFormatting>
  <conditionalFormatting sqref="C199">
    <cfRule type="duplicateValues" dxfId="325" priority="14"/>
    <cfRule type="duplicateValues" dxfId="324" priority="15"/>
    <cfRule type="duplicateValues" dxfId="323" priority="16"/>
    <cfRule type="duplicateValues" dxfId="322" priority="17"/>
  </conditionalFormatting>
  <conditionalFormatting sqref="C200">
    <cfRule type="duplicateValues" dxfId="321" priority="10"/>
    <cfRule type="duplicateValues" dxfId="320" priority="11"/>
    <cfRule type="duplicateValues" dxfId="319" priority="12"/>
    <cfRule type="duplicateValues" dxfId="318" priority="13"/>
  </conditionalFormatting>
  <conditionalFormatting sqref="C201">
    <cfRule type="duplicateValues" dxfId="317" priority="4"/>
    <cfRule type="duplicateValues" dxfId="316" priority="5"/>
    <cfRule type="duplicateValues" dxfId="315" priority="6"/>
    <cfRule type="duplicateValues" dxfId="314" priority="7"/>
  </conditionalFormatting>
  <conditionalFormatting sqref="C313:C1048576 C1:C218 C231">
    <cfRule type="duplicateValues" dxfId="313" priority="24"/>
  </conditionalFormatting>
  <conditionalFormatting sqref="E4">
    <cfRule type="duplicateValues" dxfId="312" priority="132"/>
    <cfRule type="duplicateValues" dxfId="311" priority="133"/>
  </conditionalFormatting>
  <conditionalFormatting sqref="E6">
    <cfRule type="duplicateValues" dxfId="310" priority="130"/>
    <cfRule type="duplicateValues" dxfId="309" priority="131"/>
  </conditionalFormatting>
  <conditionalFormatting sqref="E8">
    <cfRule type="duplicateValues" dxfId="308" priority="128"/>
    <cfRule type="duplicateValues" dxfId="307" priority="129"/>
  </conditionalFormatting>
  <conditionalFormatting sqref="E18">
    <cfRule type="duplicateValues" dxfId="306" priority="126"/>
    <cfRule type="duplicateValues" dxfId="305" priority="127"/>
  </conditionalFormatting>
  <conditionalFormatting sqref="E19">
    <cfRule type="duplicateValues" dxfId="304" priority="124"/>
    <cfRule type="duplicateValues" dxfId="303" priority="125"/>
  </conditionalFormatting>
  <conditionalFormatting sqref="E22">
    <cfRule type="duplicateValues" dxfId="302" priority="122"/>
    <cfRule type="duplicateValues" dxfId="301" priority="123"/>
  </conditionalFormatting>
  <conditionalFormatting sqref="E40">
    <cfRule type="duplicateValues" dxfId="300" priority="120"/>
    <cfRule type="duplicateValues" dxfId="299" priority="121"/>
  </conditionalFormatting>
  <conditionalFormatting sqref="E41">
    <cfRule type="duplicateValues" dxfId="298" priority="118"/>
    <cfRule type="duplicateValues" dxfId="297" priority="119"/>
  </conditionalFormatting>
  <conditionalFormatting sqref="E42">
    <cfRule type="duplicateValues" dxfId="296" priority="116"/>
    <cfRule type="duplicateValues" dxfId="295" priority="117"/>
  </conditionalFormatting>
  <conditionalFormatting sqref="E44">
    <cfRule type="duplicateValues" dxfId="294" priority="114"/>
    <cfRule type="duplicateValues" dxfId="293" priority="115"/>
  </conditionalFormatting>
  <conditionalFormatting sqref="E53">
    <cfRule type="duplicateValues" dxfId="292" priority="112"/>
    <cfRule type="duplicateValues" dxfId="291" priority="113"/>
  </conditionalFormatting>
  <conditionalFormatting sqref="E60">
    <cfRule type="duplicateValues" dxfId="290" priority="108"/>
    <cfRule type="duplicateValues" dxfId="289" priority="109"/>
  </conditionalFormatting>
  <conditionalFormatting sqref="E69">
    <cfRule type="duplicateValues" dxfId="288" priority="106"/>
    <cfRule type="duplicateValues" dxfId="287" priority="107"/>
  </conditionalFormatting>
  <conditionalFormatting sqref="E70">
    <cfRule type="duplicateValues" dxfId="286" priority="104"/>
    <cfRule type="duplicateValues" dxfId="285" priority="105"/>
  </conditionalFormatting>
  <conditionalFormatting sqref="E72">
    <cfRule type="duplicateValues" dxfId="284" priority="102"/>
    <cfRule type="duplicateValues" dxfId="283" priority="103"/>
  </conditionalFormatting>
  <conditionalFormatting sqref="E73">
    <cfRule type="duplicateValues" dxfId="282" priority="100"/>
    <cfRule type="duplicateValues" dxfId="281" priority="101"/>
  </conditionalFormatting>
  <conditionalFormatting sqref="E76">
    <cfRule type="duplicateValues" dxfId="280" priority="98"/>
    <cfRule type="duplicateValues" dxfId="279" priority="99"/>
  </conditionalFormatting>
  <conditionalFormatting sqref="E86">
    <cfRule type="duplicateValues" dxfId="278" priority="92"/>
    <cfRule type="duplicateValues" dxfId="277" priority="93"/>
  </conditionalFormatting>
  <conditionalFormatting sqref="E88">
    <cfRule type="duplicateValues" dxfId="276" priority="90"/>
    <cfRule type="duplicateValues" dxfId="275" priority="91"/>
  </conditionalFormatting>
  <conditionalFormatting sqref="E89">
    <cfRule type="duplicateValues" dxfId="274" priority="88"/>
    <cfRule type="duplicateValues" dxfId="273" priority="89"/>
  </conditionalFormatting>
  <conditionalFormatting sqref="E92">
    <cfRule type="duplicateValues" dxfId="272" priority="86"/>
    <cfRule type="duplicateValues" dxfId="271" priority="87"/>
  </conditionalFormatting>
  <conditionalFormatting sqref="E93">
    <cfRule type="duplicateValues" dxfId="270" priority="84"/>
    <cfRule type="duplicateValues" dxfId="269" priority="85"/>
  </conditionalFormatting>
  <conditionalFormatting sqref="E98">
    <cfRule type="duplicateValues" dxfId="268" priority="83"/>
  </conditionalFormatting>
  <conditionalFormatting sqref="E99">
    <cfRule type="duplicateValues" dxfId="267" priority="81"/>
    <cfRule type="duplicateValues" dxfId="266" priority="82"/>
  </conditionalFormatting>
  <conditionalFormatting sqref="E100">
    <cfRule type="duplicateValues" dxfId="265" priority="80"/>
  </conditionalFormatting>
  <conditionalFormatting sqref="E101">
    <cfRule type="duplicateValues" dxfId="264" priority="79"/>
  </conditionalFormatting>
  <conditionalFormatting sqref="E102">
    <cfRule type="duplicateValues" dxfId="263" priority="78"/>
  </conditionalFormatting>
  <conditionalFormatting sqref="E103">
    <cfRule type="duplicateValues" dxfId="262" priority="77"/>
  </conditionalFormatting>
  <conditionalFormatting sqref="E104">
    <cfRule type="duplicateValues" dxfId="261" priority="76"/>
  </conditionalFormatting>
  <conditionalFormatting sqref="E105">
    <cfRule type="duplicateValues" dxfId="260" priority="75"/>
  </conditionalFormatting>
  <conditionalFormatting sqref="E106">
    <cfRule type="duplicateValues" dxfId="259" priority="74"/>
  </conditionalFormatting>
  <conditionalFormatting sqref="E107">
    <cfRule type="duplicateValues" dxfId="258" priority="73"/>
  </conditionalFormatting>
  <conditionalFormatting sqref="E108">
    <cfRule type="duplicateValues" dxfId="257" priority="72"/>
  </conditionalFormatting>
  <conditionalFormatting sqref="E109">
    <cfRule type="duplicateValues" dxfId="256" priority="71"/>
  </conditionalFormatting>
  <conditionalFormatting sqref="E110">
    <cfRule type="duplicateValues" dxfId="255" priority="70"/>
  </conditionalFormatting>
  <conditionalFormatting sqref="E111">
    <cfRule type="duplicateValues" dxfId="254" priority="69"/>
  </conditionalFormatting>
  <conditionalFormatting sqref="E112">
    <cfRule type="duplicateValues" dxfId="253" priority="68"/>
  </conditionalFormatting>
  <conditionalFormatting sqref="E113">
    <cfRule type="duplicateValues" dxfId="252" priority="67"/>
  </conditionalFormatting>
  <conditionalFormatting sqref="E114">
    <cfRule type="duplicateValues" dxfId="251" priority="66"/>
  </conditionalFormatting>
  <conditionalFormatting sqref="E115">
    <cfRule type="duplicateValues" dxfId="250" priority="65"/>
  </conditionalFormatting>
  <conditionalFormatting sqref="E116">
    <cfRule type="duplicateValues" dxfId="249" priority="64"/>
  </conditionalFormatting>
  <conditionalFormatting sqref="E117">
    <cfRule type="duplicateValues" dxfId="248" priority="63"/>
  </conditionalFormatting>
  <conditionalFormatting sqref="E118">
    <cfRule type="duplicateValues" dxfId="247" priority="59"/>
  </conditionalFormatting>
  <conditionalFormatting sqref="E119">
    <cfRule type="duplicateValues" dxfId="246" priority="58"/>
  </conditionalFormatting>
  <conditionalFormatting sqref="E120">
    <cfRule type="duplicateValues" dxfId="245" priority="57"/>
  </conditionalFormatting>
  <conditionalFormatting sqref="E121">
    <cfRule type="duplicateValues" dxfId="244" priority="56"/>
  </conditionalFormatting>
  <conditionalFormatting sqref="E122">
    <cfRule type="duplicateValues" dxfId="243" priority="55"/>
  </conditionalFormatting>
  <conditionalFormatting sqref="E123">
    <cfRule type="duplicateValues" dxfId="242" priority="54"/>
  </conditionalFormatting>
  <conditionalFormatting sqref="E124">
    <cfRule type="duplicateValues" dxfId="241" priority="53"/>
  </conditionalFormatting>
  <conditionalFormatting sqref="E125">
    <cfRule type="duplicateValues" dxfId="240" priority="52"/>
  </conditionalFormatting>
  <conditionalFormatting sqref="E126">
    <cfRule type="duplicateValues" dxfId="239" priority="51"/>
  </conditionalFormatting>
  <conditionalFormatting sqref="E127">
    <cfRule type="duplicateValues" dxfId="238" priority="50"/>
  </conditionalFormatting>
  <conditionalFormatting sqref="E128">
    <cfRule type="duplicateValues" dxfId="237" priority="49"/>
  </conditionalFormatting>
  <conditionalFormatting sqref="E129">
    <cfRule type="duplicateValues" dxfId="236" priority="48"/>
  </conditionalFormatting>
  <conditionalFormatting sqref="E130">
    <cfRule type="duplicateValues" dxfId="235" priority="47"/>
  </conditionalFormatting>
  <conditionalFormatting sqref="E132">
    <cfRule type="duplicateValues" dxfId="234" priority="46"/>
  </conditionalFormatting>
  <conditionalFormatting sqref="E133">
    <cfRule type="duplicateValues" dxfId="233" priority="45"/>
  </conditionalFormatting>
  <conditionalFormatting sqref="E134">
    <cfRule type="duplicateValues" dxfId="232" priority="44"/>
  </conditionalFormatting>
  <conditionalFormatting sqref="E135">
    <cfRule type="duplicateValues" dxfId="231" priority="43"/>
  </conditionalFormatting>
  <conditionalFormatting sqref="E136">
    <cfRule type="duplicateValues" dxfId="230" priority="42"/>
  </conditionalFormatting>
  <conditionalFormatting sqref="E137">
    <cfRule type="duplicateValues" dxfId="229" priority="41"/>
  </conditionalFormatting>
  <conditionalFormatting sqref="E138">
    <cfRule type="duplicateValues" dxfId="228" priority="40"/>
  </conditionalFormatting>
  <conditionalFormatting sqref="E139">
    <cfRule type="duplicateValues" dxfId="227" priority="39"/>
  </conditionalFormatting>
  <conditionalFormatting sqref="E141">
    <cfRule type="duplicateValues" dxfId="226" priority="38"/>
  </conditionalFormatting>
  <conditionalFormatting sqref="E142">
    <cfRule type="duplicateValues" dxfId="225" priority="37"/>
  </conditionalFormatting>
  <conditionalFormatting sqref="E143">
    <cfRule type="duplicateValues" dxfId="224" priority="36"/>
  </conditionalFormatting>
  <conditionalFormatting sqref="E144">
    <cfRule type="duplicateValues" dxfId="223" priority="35"/>
  </conditionalFormatting>
  <conditionalFormatting sqref="E145">
    <cfRule type="duplicateValues" dxfId="222" priority="34"/>
  </conditionalFormatting>
  <conditionalFormatting sqref="E146">
    <cfRule type="duplicateValues" dxfId="221" priority="33"/>
  </conditionalFormatting>
  <conditionalFormatting sqref="E147">
    <cfRule type="duplicateValues" dxfId="220" priority="32"/>
  </conditionalFormatting>
  <conditionalFormatting sqref="E148">
    <cfRule type="duplicateValues" dxfId="219" priority="31"/>
  </conditionalFormatting>
  <conditionalFormatting sqref="E149">
    <cfRule type="duplicateValues" dxfId="218" priority="30"/>
  </conditionalFormatting>
  <conditionalFormatting sqref="E150">
    <cfRule type="duplicateValues" dxfId="217" priority="29"/>
  </conditionalFormatting>
  <conditionalFormatting sqref="E151">
    <cfRule type="duplicateValues" dxfId="216" priority="28"/>
  </conditionalFormatting>
  <conditionalFormatting sqref="E152">
    <cfRule type="duplicateValues" dxfId="215" priority="27"/>
  </conditionalFormatting>
  <conditionalFormatting sqref="E153">
    <cfRule type="duplicateValues" dxfId="214" priority="26"/>
  </conditionalFormatting>
  <conditionalFormatting sqref="E154">
    <cfRule type="duplicateValues" dxfId="213" priority="25"/>
  </conditionalFormatting>
  <conditionalFormatting sqref="E162">
    <cfRule type="duplicateValues" dxfId="212" priority="21"/>
    <cfRule type="duplicateValues" dxfId="211" priority="22"/>
  </conditionalFormatting>
  <conditionalFormatting sqref="E163:E164">
    <cfRule type="duplicateValues" dxfId="210" priority="19"/>
    <cfRule type="duplicateValues" dxfId="209" priority="20"/>
  </conditionalFormatting>
  <conditionalFormatting sqref="E183">
    <cfRule type="duplicateValues" dxfId="208" priority="18"/>
  </conditionalFormatting>
  <conditionalFormatting sqref="E200">
    <cfRule type="duplicateValues" dxfId="207" priority="8"/>
    <cfRule type="duplicateValues" dxfId="206" priority="9"/>
  </conditionalFormatting>
  <conditionalFormatting sqref="E201">
    <cfRule type="duplicateValues" dxfId="205" priority="2"/>
    <cfRule type="duplicateValues" dxfId="204" priority="3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F045E-83E6-43DA-8CEB-1A89FF072051}">
  <sheetPr>
    <tabColor rgb="FFFFFF00"/>
  </sheetPr>
  <dimension ref="B1:M283"/>
  <sheetViews>
    <sheetView topLeftCell="B1" workbookViewId="0">
      <pane ySplit="1" topLeftCell="A234" activePane="bottomLeft" state="frozen"/>
      <selection pane="bottomLeft" activeCell="I246" sqref="I246"/>
    </sheetView>
  </sheetViews>
  <sheetFormatPr defaultRowHeight="14.5" x14ac:dyDescent="0.35"/>
  <cols>
    <col min="2" max="2" width="20.54296875" bestFit="1" customWidth="1"/>
    <col min="5" max="5" width="29.7265625" customWidth="1"/>
    <col min="7" max="7" width="10" bestFit="1" customWidth="1"/>
    <col min="8" max="8" width="15.26953125" customWidth="1"/>
    <col min="9" max="9" width="18" customWidth="1"/>
    <col min="10" max="10" width="19.7265625" customWidth="1"/>
    <col min="11" max="11" width="18" customWidth="1"/>
  </cols>
  <sheetData>
    <row r="1" spans="2:13" x14ac:dyDescent="0.35">
      <c r="B1" s="197" t="s">
        <v>0</v>
      </c>
      <c r="C1" s="197" t="s">
        <v>2</v>
      </c>
      <c r="E1" s="23" t="s">
        <v>1482</v>
      </c>
      <c r="F1" s="23" t="s">
        <v>735</v>
      </c>
      <c r="G1" s="23" t="s">
        <v>1483</v>
      </c>
      <c r="H1" s="23" t="s">
        <v>737</v>
      </c>
      <c r="I1" s="23" t="s">
        <v>1</v>
      </c>
      <c r="J1" s="23" t="s">
        <v>1975</v>
      </c>
      <c r="K1" s="23"/>
      <c r="L1" s="78" t="s">
        <v>3478</v>
      </c>
      <c r="M1" s="78" t="s">
        <v>3485</v>
      </c>
    </row>
    <row r="2" spans="2:13" x14ac:dyDescent="0.35">
      <c r="B2" s="1" t="s">
        <v>1976</v>
      </c>
      <c r="C2" s="3" t="s">
        <v>95</v>
      </c>
      <c r="E2" s="50" t="s">
        <v>752</v>
      </c>
      <c r="F2" s="50" t="s">
        <v>1977</v>
      </c>
      <c r="G2" s="50" t="s">
        <v>1978</v>
      </c>
      <c r="H2" s="36" t="s">
        <v>1979</v>
      </c>
      <c r="I2" s="50" t="s">
        <v>1980</v>
      </c>
      <c r="J2" s="50"/>
      <c r="K2" s="762" t="s">
        <v>750</v>
      </c>
      <c r="L2" t="s">
        <v>3479</v>
      </c>
    </row>
    <row r="3" spans="2:13" x14ac:dyDescent="0.35">
      <c r="B3" s="1" t="s">
        <v>1976</v>
      </c>
      <c r="C3" s="3" t="s">
        <v>95</v>
      </c>
      <c r="E3" s="23" t="s">
        <v>760</v>
      </c>
      <c r="F3" s="23" t="s">
        <v>1977</v>
      </c>
      <c r="G3" s="23" t="s">
        <v>1978</v>
      </c>
      <c r="H3" s="41" t="s">
        <v>1979</v>
      </c>
      <c r="I3" s="23" t="s">
        <v>1981</v>
      </c>
      <c r="J3" s="23"/>
      <c r="K3" s="761"/>
      <c r="L3" t="s">
        <v>3479</v>
      </c>
    </row>
    <row r="4" spans="2:13" x14ac:dyDescent="0.35">
      <c r="B4" s="1" t="s">
        <v>1976</v>
      </c>
      <c r="C4" s="3" t="s">
        <v>95</v>
      </c>
      <c r="E4" s="23" t="s">
        <v>756</v>
      </c>
      <c r="F4" s="23" t="s">
        <v>1977</v>
      </c>
      <c r="G4" s="23" t="s">
        <v>1978</v>
      </c>
      <c r="H4" s="41" t="s">
        <v>1979</v>
      </c>
      <c r="I4" s="23" t="s">
        <v>1982</v>
      </c>
      <c r="J4" s="23"/>
      <c r="K4" s="761"/>
      <c r="L4" t="s">
        <v>3479</v>
      </c>
    </row>
    <row r="5" spans="2:13" x14ac:dyDescent="0.35">
      <c r="B5" s="1" t="s">
        <v>1976</v>
      </c>
      <c r="C5" s="3" t="s">
        <v>95</v>
      </c>
      <c r="E5" s="23" t="s">
        <v>765</v>
      </c>
      <c r="F5" s="23" t="s">
        <v>1977</v>
      </c>
      <c r="G5" s="23" t="s">
        <v>1978</v>
      </c>
      <c r="H5" s="41" t="s">
        <v>1979</v>
      </c>
      <c r="I5" s="23" t="s">
        <v>1983</v>
      </c>
      <c r="J5" s="23"/>
      <c r="K5" s="761"/>
      <c r="L5" t="s">
        <v>3479</v>
      </c>
    </row>
    <row r="6" spans="2:13" x14ac:dyDescent="0.35">
      <c r="B6" s="1" t="s">
        <v>1976</v>
      </c>
      <c r="C6" s="3" t="s">
        <v>95</v>
      </c>
      <c r="E6" s="23" t="s">
        <v>768</v>
      </c>
      <c r="F6" s="23" t="s">
        <v>1977</v>
      </c>
      <c r="G6" s="23" t="s">
        <v>1978</v>
      </c>
      <c r="H6" s="41" t="s">
        <v>1979</v>
      </c>
      <c r="I6" s="23" t="s">
        <v>1984</v>
      </c>
      <c r="J6" s="23"/>
      <c r="K6" s="761"/>
      <c r="L6" t="s">
        <v>3479</v>
      </c>
    </row>
    <row r="7" spans="2:13" x14ac:dyDescent="0.35">
      <c r="B7" s="1" t="s">
        <v>1976</v>
      </c>
      <c r="C7" s="3" t="s">
        <v>95</v>
      </c>
      <c r="E7" s="23" t="s">
        <v>707</v>
      </c>
      <c r="F7" s="23" t="s">
        <v>1977</v>
      </c>
      <c r="G7" s="23" t="s">
        <v>1978</v>
      </c>
      <c r="H7" s="41" t="s">
        <v>1979</v>
      </c>
      <c r="I7" s="23" t="s">
        <v>1985</v>
      </c>
      <c r="J7" s="23"/>
      <c r="K7" s="761"/>
      <c r="L7" t="s">
        <v>3479</v>
      </c>
    </row>
    <row r="8" spans="2:13" x14ac:dyDescent="0.35">
      <c r="B8" s="1" t="s">
        <v>1976</v>
      </c>
      <c r="C8" s="3" t="s">
        <v>95</v>
      </c>
      <c r="E8" s="23" t="s">
        <v>1986</v>
      </c>
      <c r="F8" s="23" t="s">
        <v>1977</v>
      </c>
      <c r="G8" s="23" t="s">
        <v>1978</v>
      </c>
      <c r="H8" s="41" t="s">
        <v>1979</v>
      </c>
      <c r="I8" s="23" t="s">
        <v>1987</v>
      </c>
      <c r="J8" s="23"/>
      <c r="K8" s="761" t="s">
        <v>773</v>
      </c>
      <c r="L8" t="s">
        <v>3479</v>
      </c>
    </row>
    <row r="9" spans="2:13" x14ac:dyDescent="0.35">
      <c r="B9" s="1" t="s">
        <v>1976</v>
      </c>
      <c r="C9" s="3" t="s">
        <v>95</v>
      </c>
      <c r="E9" s="23" t="s">
        <v>775</v>
      </c>
      <c r="F9" s="23" t="s">
        <v>1977</v>
      </c>
      <c r="G9" s="23" t="s">
        <v>1978</v>
      </c>
      <c r="H9" s="41" t="s">
        <v>1979</v>
      </c>
      <c r="I9" s="23" t="s">
        <v>1988</v>
      </c>
      <c r="J9" s="23"/>
      <c r="K9" s="761"/>
      <c r="L9" t="s">
        <v>3479</v>
      </c>
    </row>
    <row r="10" spans="2:13" x14ac:dyDescent="0.35">
      <c r="B10" s="1" t="s">
        <v>1976</v>
      </c>
      <c r="C10" s="3" t="s">
        <v>95</v>
      </c>
      <c r="E10" s="23" t="s">
        <v>780</v>
      </c>
      <c r="F10" s="23" t="s">
        <v>1977</v>
      </c>
      <c r="G10" s="23" t="s">
        <v>1978</v>
      </c>
      <c r="H10" s="39" t="s">
        <v>1989</v>
      </c>
      <c r="I10" s="23" t="s">
        <v>1990</v>
      </c>
      <c r="J10" s="23"/>
      <c r="K10" s="298" t="s">
        <v>1991</v>
      </c>
      <c r="L10" s="35" t="s">
        <v>3479</v>
      </c>
    </row>
    <row r="11" spans="2:13" x14ac:dyDescent="0.35">
      <c r="B11" s="1" t="s">
        <v>1976</v>
      </c>
      <c r="C11" s="3" t="s">
        <v>95</v>
      </c>
      <c r="E11" s="23" t="s">
        <v>801</v>
      </c>
      <c r="F11" s="23" t="s">
        <v>1977</v>
      </c>
      <c r="G11" s="23" t="s">
        <v>1978</v>
      </c>
      <c r="H11" s="41" t="s">
        <v>1979</v>
      </c>
      <c r="I11" s="23" t="s">
        <v>1992</v>
      </c>
      <c r="J11" s="23" t="s">
        <v>1993</v>
      </c>
      <c r="K11" s="298"/>
      <c r="L11" t="s">
        <v>3479</v>
      </c>
    </row>
    <row r="12" spans="2:13" x14ac:dyDescent="0.35">
      <c r="B12" s="1" t="s">
        <v>1976</v>
      </c>
      <c r="C12" s="3" t="s">
        <v>95</v>
      </c>
      <c r="E12" s="23" t="s">
        <v>797</v>
      </c>
      <c r="F12" s="23" t="s">
        <v>1977</v>
      </c>
      <c r="G12" s="23" t="s">
        <v>1978</v>
      </c>
      <c r="H12" s="41" t="s">
        <v>1979</v>
      </c>
      <c r="I12" s="23" t="s">
        <v>1994</v>
      </c>
      <c r="J12" s="23" t="s">
        <v>1995</v>
      </c>
      <c r="K12" s="298"/>
      <c r="L12" t="s">
        <v>3479</v>
      </c>
    </row>
    <row r="13" spans="2:13" x14ac:dyDescent="0.35">
      <c r="B13" s="1" t="s">
        <v>1976</v>
      </c>
      <c r="C13" s="3" t="s">
        <v>95</v>
      </c>
      <c r="E13" s="23" t="s">
        <v>787</v>
      </c>
      <c r="F13" s="23" t="s">
        <v>1977</v>
      </c>
      <c r="G13" s="23" t="s">
        <v>1978</v>
      </c>
      <c r="H13" s="41" t="s">
        <v>1979</v>
      </c>
      <c r="I13" s="23" t="s">
        <v>1996</v>
      </c>
      <c r="J13" s="23" t="s">
        <v>1997</v>
      </c>
      <c r="K13" s="298"/>
      <c r="L13" t="s">
        <v>3479</v>
      </c>
    </row>
    <row r="14" spans="2:13" x14ac:dyDescent="0.35">
      <c r="B14" s="1" t="s">
        <v>1976</v>
      </c>
      <c r="C14" s="3" t="s">
        <v>95</v>
      </c>
      <c r="E14" s="23" t="s">
        <v>1998</v>
      </c>
      <c r="F14" s="23" t="s">
        <v>1977</v>
      </c>
      <c r="G14" s="23" t="s">
        <v>1978</v>
      </c>
      <c r="H14" s="41" t="s">
        <v>1979</v>
      </c>
      <c r="I14" s="23" t="s">
        <v>1999</v>
      </c>
      <c r="J14" s="23" t="s">
        <v>2000</v>
      </c>
      <c r="K14" s="298"/>
      <c r="L14" t="s">
        <v>3479</v>
      </c>
    </row>
    <row r="15" spans="2:13" x14ac:dyDescent="0.35">
      <c r="B15" s="1" t="s">
        <v>1976</v>
      </c>
      <c r="C15" s="3" t="s">
        <v>95</v>
      </c>
      <c r="E15" s="23" t="s">
        <v>2001</v>
      </c>
      <c r="F15" s="23" t="s">
        <v>1977</v>
      </c>
      <c r="G15" s="23" t="s">
        <v>1978</v>
      </c>
      <c r="H15" s="41" t="s">
        <v>1979</v>
      </c>
      <c r="I15" s="23" t="s">
        <v>2002</v>
      </c>
      <c r="J15" s="23" t="s">
        <v>2003</v>
      </c>
      <c r="K15" s="298"/>
      <c r="L15" t="s">
        <v>3479</v>
      </c>
    </row>
    <row r="16" spans="2:13" x14ac:dyDescent="0.35">
      <c r="B16" s="1" t="s">
        <v>1976</v>
      </c>
      <c r="C16" s="3" t="s">
        <v>95</v>
      </c>
      <c r="E16" s="23" t="s">
        <v>514</v>
      </c>
      <c r="F16" s="23" t="s">
        <v>1977</v>
      </c>
      <c r="G16" s="23" t="s">
        <v>1978</v>
      </c>
      <c r="H16" s="41" t="s">
        <v>1979</v>
      </c>
      <c r="I16" s="23" t="s">
        <v>2004</v>
      </c>
      <c r="J16" s="23" t="s">
        <v>2005</v>
      </c>
      <c r="K16" s="298"/>
      <c r="L16" t="s">
        <v>3479</v>
      </c>
    </row>
    <row r="17" spans="2:12" x14ac:dyDescent="0.35">
      <c r="B17" s="1" t="s">
        <v>1976</v>
      </c>
      <c r="C17" s="3" t="s">
        <v>95</v>
      </c>
      <c r="E17" s="23" t="s">
        <v>2006</v>
      </c>
      <c r="F17" s="23" t="s">
        <v>1977</v>
      </c>
      <c r="G17" s="23" t="s">
        <v>1978</v>
      </c>
      <c r="H17" s="41" t="s">
        <v>1979</v>
      </c>
      <c r="I17" s="23" t="s">
        <v>2007</v>
      </c>
      <c r="J17" s="23" t="s">
        <v>2008</v>
      </c>
      <c r="K17" s="298"/>
      <c r="L17" s="35" t="s">
        <v>3479</v>
      </c>
    </row>
    <row r="18" spans="2:12" x14ac:dyDescent="0.35">
      <c r="B18" s="1" t="s">
        <v>2009</v>
      </c>
      <c r="C18" s="3" t="s">
        <v>95</v>
      </c>
      <c r="E18" s="23" t="s">
        <v>2010</v>
      </c>
      <c r="F18" s="23" t="s">
        <v>1977</v>
      </c>
      <c r="G18" s="23" t="s">
        <v>1978</v>
      </c>
      <c r="H18" s="41" t="s">
        <v>2011</v>
      </c>
      <c r="I18" s="23" t="s">
        <v>2012</v>
      </c>
      <c r="J18" s="23" t="s">
        <v>2013</v>
      </c>
      <c r="K18" s="298"/>
      <c r="L18" s="35" t="s">
        <v>3479</v>
      </c>
    </row>
    <row r="19" spans="2:12" x14ac:dyDescent="0.35">
      <c r="B19" s="1" t="s">
        <v>1976</v>
      </c>
      <c r="C19" s="3" t="s">
        <v>95</v>
      </c>
      <c r="E19" s="23" t="s">
        <v>2014</v>
      </c>
      <c r="F19" s="23" t="s">
        <v>1977</v>
      </c>
      <c r="G19" s="23" t="s">
        <v>1978</v>
      </c>
      <c r="H19" s="41" t="s">
        <v>1979</v>
      </c>
      <c r="I19" s="122" t="s">
        <v>2015</v>
      </c>
      <c r="J19" s="23" t="s">
        <v>2016</v>
      </c>
      <c r="K19" s="298"/>
      <c r="L19" t="s">
        <v>3479</v>
      </c>
    </row>
    <row r="20" spans="2:12" x14ac:dyDescent="0.35">
      <c r="B20" s="1" t="s">
        <v>1976</v>
      </c>
      <c r="C20" s="3" t="s">
        <v>95</v>
      </c>
      <c r="E20" s="23" t="s">
        <v>784</v>
      </c>
      <c r="F20" s="23" t="s">
        <v>1977</v>
      </c>
      <c r="G20" s="23" t="s">
        <v>1978</v>
      </c>
      <c r="H20" s="41" t="s">
        <v>1979</v>
      </c>
      <c r="I20" s="122" t="s">
        <v>2017</v>
      </c>
      <c r="J20" s="23"/>
      <c r="K20" s="298"/>
      <c r="L20" t="s">
        <v>3479</v>
      </c>
    </row>
    <row r="21" spans="2:12" x14ac:dyDescent="0.35">
      <c r="B21" s="1" t="s">
        <v>1976</v>
      </c>
      <c r="C21" s="3" t="s">
        <v>95</v>
      </c>
      <c r="E21" s="43" t="s">
        <v>2018</v>
      </c>
      <c r="F21" s="23" t="s">
        <v>1977</v>
      </c>
      <c r="G21" s="23" t="s">
        <v>1978</v>
      </c>
      <c r="H21" s="41" t="s">
        <v>1979</v>
      </c>
      <c r="I21" s="122" t="s">
        <v>2019</v>
      </c>
      <c r="J21" s="23" t="s">
        <v>2020</v>
      </c>
      <c r="K21" s="298"/>
      <c r="L21" t="s">
        <v>3479</v>
      </c>
    </row>
    <row r="22" spans="2:12" x14ac:dyDescent="0.35">
      <c r="B22" s="1" t="s">
        <v>1976</v>
      </c>
      <c r="C22" s="3" t="s">
        <v>95</v>
      </c>
      <c r="E22" s="23" t="s">
        <v>2021</v>
      </c>
      <c r="F22" s="48" t="s">
        <v>1977</v>
      </c>
      <c r="G22" s="23" t="s">
        <v>1978</v>
      </c>
      <c r="H22" s="41" t="s">
        <v>1979</v>
      </c>
      <c r="I22" s="122" t="s">
        <v>2022</v>
      </c>
      <c r="J22" s="23" t="s">
        <v>2023</v>
      </c>
      <c r="K22" s="298"/>
      <c r="L22" t="s">
        <v>3479</v>
      </c>
    </row>
    <row r="23" spans="2:12" x14ac:dyDescent="0.35">
      <c r="B23" s="1" t="s">
        <v>1976</v>
      </c>
      <c r="C23" s="3" t="s">
        <v>95</v>
      </c>
      <c r="E23" s="23" t="s">
        <v>1073</v>
      </c>
      <c r="F23" s="48" t="s">
        <v>1977</v>
      </c>
      <c r="G23" s="23" t="s">
        <v>1978</v>
      </c>
      <c r="H23" s="41" t="s">
        <v>1979</v>
      </c>
      <c r="I23" s="122" t="s">
        <v>2024</v>
      </c>
      <c r="J23" s="23" t="s">
        <v>2025</v>
      </c>
      <c r="K23" s="298"/>
      <c r="L23" t="s">
        <v>3479</v>
      </c>
    </row>
    <row r="24" spans="2:12" x14ac:dyDescent="0.35">
      <c r="B24" s="2" t="s">
        <v>2026</v>
      </c>
      <c r="C24" s="3" t="s">
        <v>95</v>
      </c>
      <c r="E24" s="50" t="s">
        <v>383</v>
      </c>
      <c r="F24" s="23" t="s">
        <v>1977</v>
      </c>
      <c r="G24" s="41" t="s">
        <v>1978</v>
      </c>
      <c r="H24" s="41" t="s">
        <v>1979</v>
      </c>
      <c r="I24" s="122" t="s">
        <v>2027</v>
      </c>
      <c r="J24" s="23" t="s">
        <v>2028</v>
      </c>
      <c r="K24" s="298"/>
      <c r="L24" t="s">
        <v>3479</v>
      </c>
    </row>
    <row r="25" spans="2:12" x14ac:dyDescent="0.35">
      <c r="B25" s="1" t="s">
        <v>2029</v>
      </c>
      <c r="C25" s="3" t="s">
        <v>95</v>
      </c>
      <c r="E25" s="23" t="s">
        <v>828</v>
      </c>
      <c r="F25" s="23" t="s">
        <v>1977</v>
      </c>
      <c r="G25" s="23" t="s">
        <v>1978</v>
      </c>
      <c r="H25" s="41" t="s">
        <v>1979</v>
      </c>
      <c r="I25" s="122" t="s">
        <v>2030</v>
      </c>
      <c r="J25" s="23" t="s">
        <v>2031</v>
      </c>
      <c r="K25" s="298"/>
      <c r="L25" t="s">
        <v>3479</v>
      </c>
    </row>
    <row r="26" spans="2:12" x14ac:dyDescent="0.35">
      <c r="B26" s="1" t="s">
        <v>1976</v>
      </c>
      <c r="C26" s="3" t="s">
        <v>95</v>
      </c>
      <c r="E26" s="23" t="s">
        <v>333</v>
      </c>
      <c r="F26" s="23" t="s">
        <v>1977</v>
      </c>
      <c r="G26" s="23" t="s">
        <v>1978</v>
      </c>
      <c r="H26" s="41" t="s">
        <v>1979</v>
      </c>
      <c r="I26" s="122" t="s">
        <v>2032</v>
      </c>
      <c r="J26" s="23" t="s">
        <v>2033</v>
      </c>
      <c r="K26" s="298"/>
      <c r="L26" t="s">
        <v>3479</v>
      </c>
    </row>
    <row r="27" spans="2:12" x14ac:dyDescent="0.35">
      <c r="B27" s="1" t="s">
        <v>1976</v>
      </c>
      <c r="C27" s="3" t="s">
        <v>95</v>
      </c>
      <c r="E27" s="299" t="s">
        <v>791</v>
      </c>
      <c r="F27" s="23" t="s">
        <v>1977</v>
      </c>
      <c r="G27" s="23" t="s">
        <v>1978</v>
      </c>
      <c r="H27" s="41" t="s">
        <v>1979</v>
      </c>
      <c r="I27" s="122" t="s">
        <v>2034</v>
      </c>
      <c r="J27" s="23" t="s">
        <v>2035</v>
      </c>
      <c r="K27" s="298"/>
      <c r="L27" t="s">
        <v>3479</v>
      </c>
    </row>
    <row r="28" spans="2:12" x14ac:dyDescent="0.35">
      <c r="B28" s="1" t="s">
        <v>2029</v>
      </c>
      <c r="C28" s="3" t="s">
        <v>95</v>
      </c>
      <c r="E28" s="299" t="s">
        <v>2036</v>
      </c>
      <c r="F28" s="23" t="s">
        <v>1977</v>
      </c>
      <c r="G28" s="23" t="s">
        <v>1978</v>
      </c>
      <c r="H28" s="41" t="s">
        <v>1979</v>
      </c>
      <c r="I28" s="122" t="s">
        <v>2037</v>
      </c>
      <c r="J28" s="23" t="s">
        <v>2038</v>
      </c>
      <c r="K28" s="298"/>
      <c r="L28" t="s">
        <v>3479</v>
      </c>
    </row>
    <row r="29" spans="2:12" x14ac:dyDescent="0.35">
      <c r="B29" s="1" t="s">
        <v>1976</v>
      </c>
      <c r="C29" s="3" t="s">
        <v>95</v>
      </c>
      <c r="E29" s="23" t="s">
        <v>2039</v>
      </c>
      <c r="F29" s="23" t="s">
        <v>1977</v>
      </c>
      <c r="G29" s="23" t="s">
        <v>1978</v>
      </c>
      <c r="H29" s="41" t="s">
        <v>1979</v>
      </c>
      <c r="I29" s="122" t="s">
        <v>2040</v>
      </c>
      <c r="J29" s="23" t="s">
        <v>2041</v>
      </c>
      <c r="K29" s="761" t="s">
        <v>843</v>
      </c>
      <c r="L29" t="s">
        <v>3479</v>
      </c>
    </row>
    <row r="30" spans="2:12" x14ac:dyDescent="0.35">
      <c r="B30" s="1" t="s">
        <v>1976</v>
      </c>
      <c r="C30" s="3" t="s">
        <v>95</v>
      </c>
      <c r="E30" s="43" t="s">
        <v>852</v>
      </c>
      <c r="F30" s="43" t="s">
        <v>1977</v>
      </c>
      <c r="G30" s="43" t="s">
        <v>1978</v>
      </c>
      <c r="H30" s="39" t="s">
        <v>1979</v>
      </c>
      <c r="I30" s="122" t="s">
        <v>2042</v>
      </c>
      <c r="J30" s="23" t="s">
        <v>2043</v>
      </c>
      <c r="K30" s="761"/>
      <c r="L30" t="s">
        <v>3479</v>
      </c>
    </row>
    <row r="31" spans="2:12" x14ac:dyDescent="0.35">
      <c r="B31" s="1" t="s">
        <v>1976</v>
      </c>
      <c r="C31" s="3" t="s">
        <v>95</v>
      </c>
      <c r="E31" s="23" t="s">
        <v>847</v>
      </c>
      <c r="F31" s="43" t="s">
        <v>1977</v>
      </c>
      <c r="G31" s="43" t="s">
        <v>1978</v>
      </c>
      <c r="H31" s="39" t="s">
        <v>1979</v>
      </c>
      <c r="I31" s="122" t="s">
        <v>2044</v>
      </c>
      <c r="J31" s="23" t="s">
        <v>2045</v>
      </c>
      <c r="K31" s="761"/>
      <c r="L31" t="s">
        <v>3479</v>
      </c>
    </row>
    <row r="32" spans="2:12" x14ac:dyDescent="0.35">
      <c r="B32" s="1" t="s">
        <v>1976</v>
      </c>
      <c r="C32" s="3" t="s">
        <v>95</v>
      </c>
      <c r="E32" s="50" t="s">
        <v>2046</v>
      </c>
      <c r="F32" s="50" t="s">
        <v>1977</v>
      </c>
      <c r="G32" s="50" t="s">
        <v>1978</v>
      </c>
      <c r="H32" s="36" t="s">
        <v>1979</v>
      </c>
      <c r="I32" s="122" t="s">
        <v>2047</v>
      </c>
      <c r="J32" s="23" t="s">
        <v>2048</v>
      </c>
      <c r="K32" s="761"/>
      <c r="L32" t="s">
        <v>3479</v>
      </c>
    </row>
    <row r="33" spans="2:12" x14ac:dyDescent="0.35">
      <c r="B33" s="1" t="s">
        <v>1976</v>
      </c>
      <c r="C33" s="3" t="s">
        <v>95</v>
      </c>
      <c r="E33" s="23" t="s">
        <v>2049</v>
      </c>
      <c r="F33" s="23" t="s">
        <v>1977</v>
      </c>
      <c r="G33" s="23" t="s">
        <v>1978</v>
      </c>
      <c r="H33" s="41" t="s">
        <v>1979</v>
      </c>
      <c r="I33" s="122" t="s">
        <v>2050</v>
      </c>
      <c r="J33" s="23" t="s">
        <v>2051</v>
      </c>
      <c r="K33" s="761"/>
      <c r="L33" t="s">
        <v>3479</v>
      </c>
    </row>
    <row r="34" spans="2:12" x14ac:dyDescent="0.35">
      <c r="B34" s="1" t="s">
        <v>1976</v>
      </c>
      <c r="C34" s="3" t="s">
        <v>95</v>
      </c>
      <c r="E34" s="23" t="s">
        <v>725</v>
      </c>
      <c r="F34" s="23" t="s">
        <v>1977</v>
      </c>
      <c r="G34" s="23" t="s">
        <v>1978</v>
      </c>
      <c r="H34" s="41" t="s">
        <v>1979</v>
      </c>
      <c r="I34" s="122" t="s">
        <v>2052</v>
      </c>
      <c r="J34" s="23" t="s">
        <v>2053</v>
      </c>
      <c r="K34" s="300" t="s">
        <v>854</v>
      </c>
      <c r="L34" t="s">
        <v>3479</v>
      </c>
    </row>
    <row r="35" spans="2:12" x14ac:dyDescent="0.35">
      <c r="B35" s="1" t="s">
        <v>1976</v>
      </c>
      <c r="C35" s="3" t="s">
        <v>95</v>
      </c>
      <c r="E35" s="23" t="s">
        <v>670</v>
      </c>
      <c r="F35" s="23" t="s">
        <v>1977</v>
      </c>
      <c r="G35" s="23" t="s">
        <v>1978</v>
      </c>
      <c r="H35" s="41" t="s">
        <v>1979</v>
      </c>
      <c r="I35" s="122" t="s">
        <v>2054</v>
      </c>
      <c r="J35" s="23" t="s">
        <v>2055</v>
      </c>
      <c r="K35" s="300"/>
      <c r="L35" t="s">
        <v>3479</v>
      </c>
    </row>
    <row r="36" spans="2:12" x14ac:dyDescent="0.35">
      <c r="B36" s="1" t="s">
        <v>1976</v>
      </c>
      <c r="C36" s="3" t="s">
        <v>95</v>
      </c>
      <c r="E36" s="23" t="s">
        <v>2056</v>
      </c>
      <c r="F36" s="23" t="s">
        <v>1977</v>
      </c>
      <c r="G36" s="23" t="s">
        <v>1978</v>
      </c>
      <c r="H36" s="41" t="s">
        <v>1979</v>
      </c>
      <c r="I36" s="122" t="s">
        <v>2057</v>
      </c>
      <c r="J36" s="23" t="s">
        <v>2058</v>
      </c>
      <c r="K36" s="300"/>
      <c r="L36" t="s">
        <v>3479</v>
      </c>
    </row>
    <row r="37" spans="2:12" x14ac:dyDescent="0.35">
      <c r="B37" s="1" t="s">
        <v>1976</v>
      </c>
      <c r="C37" s="3" t="s">
        <v>95</v>
      </c>
      <c r="E37" s="23" t="s">
        <v>2059</v>
      </c>
      <c r="F37" s="23" t="s">
        <v>1977</v>
      </c>
      <c r="G37" s="23" t="s">
        <v>1978</v>
      </c>
      <c r="H37" s="41" t="s">
        <v>1979</v>
      </c>
      <c r="I37" s="122" t="s">
        <v>2060</v>
      </c>
      <c r="J37" s="23" t="s">
        <v>2061</v>
      </c>
      <c r="K37" s="300"/>
      <c r="L37" t="s">
        <v>3479</v>
      </c>
    </row>
    <row r="38" spans="2:12" x14ac:dyDescent="0.35">
      <c r="B38" s="1" t="s">
        <v>1976</v>
      </c>
      <c r="C38" s="3" t="s">
        <v>95</v>
      </c>
      <c r="E38" s="23" t="s">
        <v>2062</v>
      </c>
      <c r="F38" s="23" t="s">
        <v>1977</v>
      </c>
      <c r="G38" s="23" t="s">
        <v>1978</v>
      </c>
      <c r="H38" s="41" t="s">
        <v>1979</v>
      </c>
      <c r="I38" s="122" t="s">
        <v>2063</v>
      </c>
      <c r="J38" s="23" t="s">
        <v>2064</v>
      </c>
      <c r="K38" s="300"/>
      <c r="L38" t="s">
        <v>3479</v>
      </c>
    </row>
    <row r="39" spans="2:12" x14ac:dyDescent="0.35">
      <c r="B39" s="1" t="s">
        <v>1976</v>
      </c>
      <c r="C39" s="3" t="s">
        <v>95</v>
      </c>
      <c r="E39" s="23" t="s">
        <v>886</v>
      </c>
      <c r="F39" s="23" t="s">
        <v>1977</v>
      </c>
      <c r="G39" s="23" t="s">
        <v>1978</v>
      </c>
      <c r="H39" s="41" t="s">
        <v>1979</v>
      </c>
      <c r="I39" s="122" t="s">
        <v>2065</v>
      </c>
      <c r="J39" s="23" t="s">
        <v>2066</v>
      </c>
      <c r="K39" s="300"/>
      <c r="L39" t="s">
        <v>3479</v>
      </c>
    </row>
    <row r="40" spans="2:12" x14ac:dyDescent="0.35">
      <c r="B40" s="1" t="s">
        <v>1976</v>
      </c>
      <c r="C40" s="3" t="s">
        <v>95</v>
      </c>
      <c r="E40" s="23" t="s">
        <v>583</v>
      </c>
      <c r="F40" s="23" t="s">
        <v>1977</v>
      </c>
      <c r="G40" s="23" t="s">
        <v>1978</v>
      </c>
      <c r="H40" s="41" t="s">
        <v>1979</v>
      </c>
      <c r="I40" s="122" t="s">
        <v>2067</v>
      </c>
      <c r="J40" s="23" t="s">
        <v>2068</v>
      </c>
      <c r="K40" s="300"/>
      <c r="L40" t="s">
        <v>3479</v>
      </c>
    </row>
    <row r="41" spans="2:12" x14ac:dyDescent="0.35">
      <c r="B41" s="1" t="s">
        <v>1976</v>
      </c>
      <c r="C41" s="3" t="s">
        <v>95</v>
      </c>
      <c r="E41" s="23" t="s">
        <v>577</v>
      </c>
      <c r="F41" s="23" t="s">
        <v>1977</v>
      </c>
      <c r="G41" s="23" t="s">
        <v>1978</v>
      </c>
      <c r="H41" s="41" t="s">
        <v>1979</v>
      </c>
      <c r="I41" s="122" t="s">
        <v>2069</v>
      </c>
      <c r="J41" s="23" t="s">
        <v>2070</v>
      </c>
      <c r="K41" s="300"/>
      <c r="L41" t="s">
        <v>3479</v>
      </c>
    </row>
    <row r="42" spans="2:12" x14ac:dyDescent="0.35">
      <c r="B42" s="1" t="s">
        <v>1976</v>
      </c>
      <c r="C42" s="3" t="s">
        <v>95</v>
      </c>
      <c r="E42" s="23" t="s">
        <v>2071</v>
      </c>
      <c r="F42" s="23" t="s">
        <v>1977</v>
      </c>
      <c r="G42" s="23" t="s">
        <v>1978</v>
      </c>
      <c r="H42" s="41" t="s">
        <v>1979</v>
      </c>
      <c r="I42" s="122" t="s">
        <v>2072</v>
      </c>
      <c r="J42" s="23" t="s">
        <v>2073</v>
      </c>
      <c r="K42" s="300"/>
      <c r="L42" t="s">
        <v>3479</v>
      </c>
    </row>
    <row r="43" spans="2:12" x14ac:dyDescent="0.35">
      <c r="B43" s="1" t="s">
        <v>1976</v>
      </c>
      <c r="C43" s="3" t="s">
        <v>95</v>
      </c>
      <c r="E43" s="23" t="s">
        <v>2074</v>
      </c>
      <c r="F43" s="23" t="s">
        <v>1977</v>
      </c>
      <c r="G43" s="23" t="s">
        <v>1978</v>
      </c>
      <c r="H43" s="41" t="s">
        <v>1979</v>
      </c>
      <c r="I43" s="122" t="s">
        <v>2075</v>
      </c>
      <c r="J43" s="23" t="s">
        <v>2076</v>
      </c>
      <c r="K43" s="300"/>
      <c r="L43" t="s">
        <v>3479</v>
      </c>
    </row>
    <row r="44" spans="2:12" x14ac:dyDescent="0.35">
      <c r="B44" s="1" t="s">
        <v>1976</v>
      </c>
      <c r="C44" s="3" t="s">
        <v>95</v>
      </c>
      <c r="E44" s="23" t="s">
        <v>586</v>
      </c>
      <c r="F44" s="23" t="s">
        <v>1977</v>
      </c>
      <c r="G44" s="23" t="s">
        <v>1978</v>
      </c>
      <c r="H44" s="41" t="s">
        <v>1979</v>
      </c>
      <c r="I44" s="122" t="s">
        <v>2077</v>
      </c>
      <c r="J44" s="23" t="s">
        <v>2078</v>
      </c>
      <c r="K44" s="300"/>
      <c r="L44" t="s">
        <v>3479</v>
      </c>
    </row>
    <row r="45" spans="2:12" x14ac:dyDescent="0.35">
      <c r="B45" s="1" t="s">
        <v>1976</v>
      </c>
      <c r="C45" s="3" t="s">
        <v>95</v>
      </c>
      <c r="E45" s="23" t="s">
        <v>2079</v>
      </c>
      <c r="F45" s="23" t="s">
        <v>1977</v>
      </c>
      <c r="G45" s="23" t="s">
        <v>1978</v>
      </c>
      <c r="H45" s="41" t="s">
        <v>1979</v>
      </c>
      <c r="I45" s="122" t="s">
        <v>2080</v>
      </c>
      <c r="J45" s="23" t="s">
        <v>2081</v>
      </c>
      <c r="K45" s="300"/>
      <c r="L45" t="s">
        <v>3479</v>
      </c>
    </row>
    <row r="46" spans="2:12" x14ac:dyDescent="0.35">
      <c r="B46" s="1" t="s">
        <v>1976</v>
      </c>
      <c r="C46" s="3" t="s">
        <v>95</v>
      </c>
      <c r="E46" s="23" t="s">
        <v>2082</v>
      </c>
      <c r="F46" s="23" t="s">
        <v>1977</v>
      </c>
      <c r="G46" s="23" t="s">
        <v>1978</v>
      </c>
      <c r="H46" s="41" t="s">
        <v>1979</v>
      </c>
      <c r="I46" s="122" t="s">
        <v>2083</v>
      </c>
      <c r="J46" s="23" t="s">
        <v>2084</v>
      </c>
      <c r="K46" s="300"/>
      <c r="L46" s="35" t="s">
        <v>3479</v>
      </c>
    </row>
    <row r="47" spans="2:12" x14ac:dyDescent="0.35">
      <c r="B47" s="1" t="s">
        <v>1976</v>
      </c>
      <c r="C47" s="3" t="s">
        <v>95</v>
      </c>
      <c r="E47" s="23" t="s">
        <v>892</v>
      </c>
      <c r="F47" s="23" t="s">
        <v>1977</v>
      </c>
      <c r="G47" s="23" t="s">
        <v>1978</v>
      </c>
      <c r="H47" s="41" t="s">
        <v>1979</v>
      </c>
      <c r="I47" s="122" t="s">
        <v>2085</v>
      </c>
      <c r="J47" s="23" t="s">
        <v>2086</v>
      </c>
      <c r="K47" s="300"/>
      <c r="L47" s="35" t="s">
        <v>3479</v>
      </c>
    </row>
    <row r="48" spans="2:12" x14ac:dyDescent="0.35">
      <c r="B48" s="1" t="s">
        <v>1976</v>
      </c>
      <c r="C48" s="3" t="s">
        <v>95</v>
      </c>
      <c r="E48" s="23" t="s">
        <v>907</v>
      </c>
      <c r="F48" s="23" t="s">
        <v>1977</v>
      </c>
      <c r="G48" s="23" t="s">
        <v>1978</v>
      </c>
      <c r="H48" s="41" t="s">
        <v>1979</v>
      </c>
      <c r="I48" s="255" t="s">
        <v>2087</v>
      </c>
      <c r="J48" s="23" t="s">
        <v>2088</v>
      </c>
      <c r="K48" s="300"/>
      <c r="L48" t="s">
        <v>3479</v>
      </c>
    </row>
    <row r="49" spans="2:12" x14ac:dyDescent="0.35">
      <c r="B49" s="1" t="s">
        <v>1976</v>
      </c>
      <c r="C49" s="3" t="s">
        <v>95</v>
      </c>
      <c r="E49" s="23" t="s">
        <v>910</v>
      </c>
      <c r="F49" s="23" t="s">
        <v>1977</v>
      </c>
      <c r="G49" s="23" t="s">
        <v>1978</v>
      </c>
      <c r="H49" s="41" t="s">
        <v>1979</v>
      </c>
      <c r="I49" s="255" t="s">
        <v>2089</v>
      </c>
      <c r="J49" s="23" t="s">
        <v>2090</v>
      </c>
      <c r="K49" s="300"/>
      <c r="L49" t="s">
        <v>3479</v>
      </c>
    </row>
    <row r="50" spans="2:12" x14ac:dyDescent="0.35">
      <c r="B50" s="1" t="s">
        <v>1976</v>
      </c>
      <c r="C50" s="3" t="s">
        <v>95</v>
      </c>
      <c r="E50" s="23" t="s">
        <v>415</v>
      </c>
      <c r="F50" s="23" t="s">
        <v>1977</v>
      </c>
      <c r="G50" s="23" t="s">
        <v>1978</v>
      </c>
      <c r="H50" s="41" t="s">
        <v>1979</v>
      </c>
      <c r="I50" s="255" t="s">
        <v>2091</v>
      </c>
      <c r="J50" s="23" t="s">
        <v>2092</v>
      </c>
      <c r="K50" s="300"/>
      <c r="L50" t="s">
        <v>3479</v>
      </c>
    </row>
    <row r="51" spans="2:12" x14ac:dyDescent="0.35">
      <c r="B51" s="1" t="s">
        <v>1976</v>
      </c>
      <c r="C51" s="3" t="s">
        <v>95</v>
      </c>
      <c r="E51" s="23" t="s">
        <v>432</v>
      </c>
      <c r="F51" s="23" t="s">
        <v>1977</v>
      </c>
      <c r="G51" s="23" t="s">
        <v>1978</v>
      </c>
      <c r="H51" s="41" t="s">
        <v>1979</v>
      </c>
      <c r="I51" s="255" t="s">
        <v>2093</v>
      </c>
      <c r="J51" s="23" t="s">
        <v>2094</v>
      </c>
      <c r="K51" s="300"/>
      <c r="L51" t="s">
        <v>3479</v>
      </c>
    </row>
    <row r="52" spans="2:12" x14ac:dyDescent="0.35">
      <c r="B52" s="1" t="s">
        <v>1976</v>
      </c>
      <c r="C52" s="3" t="s">
        <v>95</v>
      </c>
      <c r="E52" s="23" t="s">
        <v>588</v>
      </c>
      <c r="F52" s="23" t="s">
        <v>1977</v>
      </c>
      <c r="G52" s="23" t="s">
        <v>1978</v>
      </c>
      <c r="H52" s="41" t="s">
        <v>1979</v>
      </c>
      <c r="I52" s="255" t="s">
        <v>2095</v>
      </c>
      <c r="J52" s="23"/>
      <c r="K52" s="300"/>
      <c r="L52" t="s">
        <v>3479</v>
      </c>
    </row>
    <row r="53" spans="2:12" x14ac:dyDescent="0.35">
      <c r="B53" s="1" t="s">
        <v>1976</v>
      </c>
      <c r="C53" s="3" t="s">
        <v>95</v>
      </c>
      <c r="E53" s="23" t="s">
        <v>913</v>
      </c>
      <c r="F53" s="23" t="s">
        <v>1977</v>
      </c>
      <c r="G53" s="23" t="s">
        <v>1978</v>
      </c>
      <c r="H53" s="41" t="s">
        <v>1979</v>
      </c>
      <c r="I53" s="255" t="s">
        <v>2096</v>
      </c>
      <c r="J53" s="23" t="s">
        <v>2097</v>
      </c>
      <c r="K53" s="300"/>
      <c r="L53" t="s">
        <v>3479</v>
      </c>
    </row>
    <row r="54" spans="2:12" x14ac:dyDescent="0.35">
      <c r="B54" s="1" t="s">
        <v>1976</v>
      </c>
      <c r="C54" s="3" t="s">
        <v>95</v>
      </c>
      <c r="E54" s="23" t="s">
        <v>259</v>
      </c>
      <c r="F54" s="23" t="s">
        <v>1977</v>
      </c>
      <c r="G54" s="23" t="s">
        <v>1978</v>
      </c>
      <c r="H54" s="41" t="s">
        <v>1979</v>
      </c>
      <c r="I54" s="255" t="s">
        <v>2098</v>
      </c>
      <c r="J54" s="23" t="s">
        <v>2099</v>
      </c>
      <c r="K54" s="300"/>
      <c r="L54" t="s">
        <v>3479</v>
      </c>
    </row>
    <row r="55" spans="2:12" x14ac:dyDescent="0.35">
      <c r="B55" s="1" t="s">
        <v>1976</v>
      </c>
      <c r="C55" s="3" t="s">
        <v>95</v>
      </c>
      <c r="E55" s="23" t="s">
        <v>880</v>
      </c>
      <c r="F55" s="23" t="s">
        <v>1977</v>
      </c>
      <c r="G55" s="23" t="s">
        <v>1978</v>
      </c>
      <c r="H55" s="41" t="s">
        <v>1979</v>
      </c>
      <c r="I55" s="255" t="s">
        <v>2100</v>
      </c>
      <c r="J55" s="23" t="s">
        <v>2101</v>
      </c>
      <c r="K55" s="300"/>
      <c r="L55" t="s">
        <v>3479</v>
      </c>
    </row>
    <row r="56" spans="2:12" x14ac:dyDescent="0.35">
      <c r="B56" s="1" t="s">
        <v>1976</v>
      </c>
      <c r="C56" s="3" t="s">
        <v>95</v>
      </c>
      <c r="E56" s="23" t="s">
        <v>525</v>
      </c>
      <c r="F56" s="23" t="s">
        <v>1977</v>
      </c>
      <c r="G56" s="23" t="s">
        <v>1978</v>
      </c>
      <c r="H56" s="41" t="s">
        <v>2102</v>
      </c>
      <c r="I56" s="23" t="s">
        <v>2103</v>
      </c>
      <c r="J56" s="23" t="s">
        <v>2104</v>
      </c>
      <c r="K56" s="300"/>
      <c r="L56" s="35" t="s">
        <v>3479</v>
      </c>
    </row>
    <row r="57" spans="2:12" x14ac:dyDescent="0.35">
      <c r="B57" s="1" t="s">
        <v>2029</v>
      </c>
      <c r="C57" s="3" t="s">
        <v>95</v>
      </c>
      <c r="E57" s="23" t="s">
        <v>712</v>
      </c>
      <c r="F57" s="23" t="s">
        <v>1977</v>
      </c>
      <c r="G57" s="23" t="s">
        <v>1978</v>
      </c>
      <c r="H57" s="41" t="s">
        <v>1989</v>
      </c>
      <c r="I57" s="23" t="s">
        <v>2105</v>
      </c>
      <c r="J57" s="23"/>
      <c r="K57" s="300"/>
      <c r="L57" s="35" t="s">
        <v>3479</v>
      </c>
    </row>
    <row r="58" spans="2:12" x14ac:dyDescent="0.35">
      <c r="B58" s="1" t="s">
        <v>2029</v>
      </c>
      <c r="C58" s="3" t="s">
        <v>95</v>
      </c>
      <c r="E58" s="23" t="s">
        <v>2107</v>
      </c>
      <c r="F58" s="23" t="s">
        <v>1977</v>
      </c>
      <c r="G58" s="23" t="s">
        <v>1978</v>
      </c>
      <c r="H58" s="41" t="s">
        <v>1979</v>
      </c>
      <c r="I58" s="122" t="s">
        <v>2108</v>
      </c>
      <c r="J58" s="23" t="s">
        <v>2109</v>
      </c>
      <c r="K58" s="301"/>
      <c r="L58" s="35" t="s">
        <v>3479</v>
      </c>
    </row>
    <row r="59" spans="2:12" x14ac:dyDescent="0.35">
      <c r="B59" s="1" t="s">
        <v>2029</v>
      </c>
      <c r="C59" s="3" t="s">
        <v>95</v>
      </c>
      <c r="E59" s="23" t="s">
        <v>927</v>
      </c>
      <c r="F59" s="23" t="s">
        <v>1977</v>
      </c>
      <c r="G59" s="23" t="s">
        <v>1978</v>
      </c>
      <c r="H59" s="41" t="s">
        <v>1989</v>
      </c>
      <c r="I59" s="23" t="s">
        <v>2110</v>
      </c>
      <c r="J59" s="41" t="s">
        <v>2111</v>
      </c>
      <c r="K59" s="757" t="s">
        <v>929</v>
      </c>
      <c r="L59" t="s">
        <v>3479</v>
      </c>
    </row>
    <row r="60" spans="2:12" x14ac:dyDescent="0.35">
      <c r="B60" s="1" t="s">
        <v>2029</v>
      </c>
      <c r="C60" s="3" t="s">
        <v>95</v>
      </c>
      <c r="E60" s="23" t="s">
        <v>869</v>
      </c>
      <c r="F60" s="23" t="s">
        <v>1977</v>
      </c>
      <c r="G60" s="23" t="s">
        <v>1978</v>
      </c>
      <c r="H60" s="41" t="s">
        <v>1979</v>
      </c>
      <c r="I60" s="255" t="s">
        <v>2112</v>
      </c>
      <c r="J60" s="41" t="s">
        <v>2113</v>
      </c>
      <c r="K60" s="757"/>
      <c r="L60" s="35" t="s">
        <v>3479</v>
      </c>
    </row>
    <row r="61" spans="2:12" x14ac:dyDescent="0.35">
      <c r="B61" s="1" t="s">
        <v>2026</v>
      </c>
      <c r="C61" s="3" t="s">
        <v>95</v>
      </c>
      <c r="E61" s="23" t="s">
        <v>971</v>
      </c>
      <c r="F61" s="23" t="s">
        <v>1977</v>
      </c>
      <c r="G61" s="23" t="s">
        <v>1978</v>
      </c>
      <c r="H61" s="41" t="s">
        <v>1979</v>
      </c>
      <c r="I61" s="255" t="s">
        <v>2114</v>
      </c>
      <c r="J61" s="41" t="s">
        <v>2115</v>
      </c>
      <c r="K61" s="757"/>
      <c r="L61" s="35" t="s">
        <v>3479</v>
      </c>
    </row>
    <row r="62" spans="2:12" x14ac:dyDescent="0.35">
      <c r="B62" s="1" t="s">
        <v>2026</v>
      </c>
      <c r="C62" s="3" t="s">
        <v>95</v>
      </c>
      <c r="E62" s="42" t="s">
        <v>421</v>
      </c>
      <c r="F62" s="23" t="s">
        <v>1977</v>
      </c>
      <c r="G62" s="23" t="s">
        <v>1978</v>
      </c>
      <c r="H62" s="41" t="s">
        <v>2011</v>
      </c>
      <c r="I62" s="23" t="s">
        <v>2116</v>
      </c>
      <c r="J62" s="41" t="s">
        <v>2117</v>
      </c>
      <c r="K62" s="757"/>
      <c r="L62" s="35" t="s">
        <v>3479</v>
      </c>
    </row>
    <row r="63" spans="2:12" x14ac:dyDescent="0.35">
      <c r="B63" s="1" t="s">
        <v>2026</v>
      </c>
      <c r="C63" s="3" t="s">
        <v>95</v>
      </c>
      <c r="E63" s="23" t="s">
        <v>997</v>
      </c>
      <c r="F63" s="23" t="s">
        <v>1977</v>
      </c>
      <c r="G63" s="23" t="s">
        <v>1978</v>
      </c>
      <c r="H63" s="41" t="s">
        <v>2011</v>
      </c>
      <c r="I63" s="23" t="s">
        <v>2118</v>
      </c>
      <c r="J63" s="41" t="s">
        <v>2119</v>
      </c>
      <c r="K63" s="757"/>
      <c r="L63" s="35" t="s">
        <v>3479</v>
      </c>
    </row>
    <row r="64" spans="2:12" x14ac:dyDescent="0.35">
      <c r="B64" s="1" t="s">
        <v>2026</v>
      </c>
      <c r="C64" s="3" t="s">
        <v>95</v>
      </c>
      <c r="E64" s="23" t="s">
        <v>1009</v>
      </c>
      <c r="F64" s="23" t="s">
        <v>1977</v>
      </c>
      <c r="G64" s="23" t="s">
        <v>1978</v>
      </c>
      <c r="H64" s="41" t="s">
        <v>1979</v>
      </c>
      <c r="I64" s="23" t="s">
        <v>2120</v>
      </c>
      <c r="J64" s="41" t="s">
        <v>2121</v>
      </c>
      <c r="K64" s="757"/>
      <c r="L64" s="35" t="s">
        <v>3479</v>
      </c>
    </row>
    <row r="65" spans="2:12" x14ac:dyDescent="0.35">
      <c r="B65" s="1" t="s">
        <v>2026</v>
      </c>
      <c r="C65" s="3" t="s">
        <v>95</v>
      </c>
      <c r="E65" s="23" t="s">
        <v>1000</v>
      </c>
      <c r="F65" s="23" t="s">
        <v>1977</v>
      </c>
      <c r="G65" s="23" t="s">
        <v>1978</v>
      </c>
      <c r="H65" s="41" t="s">
        <v>2011</v>
      </c>
      <c r="I65" s="23" t="s">
        <v>2122</v>
      </c>
      <c r="J65" s="41" t="s">
        <v>2123</v>
      </c>
      <c r="K65" s="757"/>
      <c r="L65" s="48" t="s">
        <v>3479</v>
      </c>
    </row>
    <row r="66" spans="2:12" x14ac:dyDescent="0.35">
      <c r="B66" s="1" t="s">
        <v>2026</v>
      </c>
      <c r="C66" s="3" t="s">
        <v>95</v>
      </c>
      <c r="E66" s="23" t="s">
        <v>308</v>
      </c>
      <c r="F66" s="23" t="s">
        <v>1977</v>
      </c>
      <c r="G66" s="23" t="s">
        <v>1978</v>
      </c>
      <c r="H66" s="41" t="s">
        <v>1979</v>
      </c>
      <c r="I66" s="23" t="s">
        <v>2124</v>
      </c>
      <c r="J66" s="41" t="s">
        <v>2125</v>
      </c>
      <c r="K66" s="757"/>
      <c r="L66" s="35" t="s">
        <v>3479</v>
      </c>
    </row>
    <row r="67" spans="2:12" x14ac:dyDescent="0.35">
      <c r="B67" s="1" t="s">
        <v>2029</v>
      </c>
      <c r="C67" s="3">
        <v>2018</v>
      </c>
      <c r="E67" s="23" t="s">
        <v>319</v>
      </c>
      <c r="F67" s="23" t="s">
        <v>1977</v>
      </c>
      <c r="G67" s="23" t="s">
        <v>1978</v>
      </c>
      <c r="H67" s="41" t="s">
        <v>1979</v>
      </c>
      <c r="I67" s="23" t="s">
        <v>3486</v>
      </c>
      <c r="J67" s="41" t="s">
        <v>2126</v>
      </c>
      <c r="K67" s="757"/>
      <c r="L67" t="s">
        <v>3479</v>
      </c>
    </row>
    <row r="68" spans="2:12" x14ac:dyDescent="0.35">
      <c r="B68" s="1" t="s">
        <v>2026</v>
      </c>
      <c r="C68" s="3" t="s">
        <v>95</v>
      </c>
      <c r="E68" s="23" t="s">
        <v>974</v>
      </c>
      <c r="F68" s="23" t="s">
        <v>1977</v>
      </c>
      <c r="G68" s="23" t="s">
        <v>1978</v>
      </c>
      <c r="H68" s="41" t="s">
        <v>1979</v>
      </c>
      <c r="I68" s="23" t="s">
        <v>2127</v>
      </c>
      <c r="J68" s="41" t="s">
        <v>2128</v>
      </c>
      <c r="K68" s="757"/>
      <c r="L68" s="35" t="s">
        <v>3479</v>
      </c>
    </row>
    <row r="69" spans="2:12" x14ac:dyDescent="0.35">
      <c r="B69" s="1" t="s">
        <v>2026</v>
      </c>
      <c r="C69" s="3" t="s">
        <v>95</v>
      </c>
      <c r="E69" s="43" t="s">
        <v>950</v>
      </c>
      <c r="F69" s="23" t="s">
        <v>1977</v>
      </c>
      <c r="G69" s="23" t="s">
        <v>1978</v>
      </c>
      <c r="H69" s="41" t="s">
        <v>2011</v>
      </c>
      <c r="I69" s="23" t="s">
        <v>2129</v>
      </c>
      <c r="J69" s="41" t="s">
        <v>2130</v>
      </c>
      <c r="K69" s="757"/>
      <c r="L69" s="35" t="s">
        <v>3479</v>
      </c>
    </row>
    <row r="70" spans="2:12" x14ac:dyDescent="0.35">
      <c r="B70" s="1" t="s">
        <v>2026</v>
      </c>
      <c r="C70" s="3" t="s">
        <v>95</v>
      </c>
      <c r="E70" s="42" t="s">
        <v>2131</v>
      </c>
      <c r="F70" s="48" t="s">
        <v>1977</v>
      </c>
      <c r="G70" s="23" t="s">
        <v>1978</v>
      </c>
      <c r="H70" s="81" t="s">
        <v>2011</v>
      </c>
      <c r="I70" s="42" t="s">
        <v>2132</v>
      </c>
      <c r="J70" s="81" t="s">
        <v>2133</v>
      </c>
      <c r="K70" s="757"/>
      <c r="L70" s="35" t="s">
        <v>3479</v>
      </c>
    </row>
    <row r="71" spans="2:12" x14ac:dyDescent="0.35">
      <c r="B71" s="1" t="s">
        <v>2026</v>
      </c>
      <c r="C71" s="3" t="s">
        <v>95</v>
      </c>
      <c r="E71" s="42" t="s">
        <v>303</v>
      </c>
      <c r="F71" s="23" t="s">
        <v>1977</v>
      </c>
      <c r="G71" s="23" t="s">
        <v>1978</v>
      </c>
      <c r="H71" s="81" t="s">
        <v>1979</v>
      </c>
      <c r="I71" s="42" t="s">
        <v>2134</v>
      </c>
      <c r="J71" s="81" t="s">
        <v>2135</v>
      </c>
      <c r="K71" s="757"/>
      <c r="L71" s="35" t="s">
        <v>3479</v>
      </c>
    </row>
    <row r="72" spans="2:12" x14ac:dyDescent="0.35">
      <c r="B72" s="1" t="s">
        <v>1976</v>
      </c>
      <c r="C72" s="3" t="s">
        <v>95</v>
      </c>
      <c r="E72" s="23" t="s">
        <v>2136</v>
      </c>
      <c r="F72" s="23" t="s">
        <v>1977</v>
      </c>
      <c r="G72" s="23" t="s">
        <v>1978</v>
      </c>
      <c r="H72" s="41" t="s">
        <v>1979</v>
      </c>
      <c r="I72" s="23" t="s">
        <v>2137</v>
      </c>
      <c r="J72" s="41"/>
      <c r="K72" s="757"/>
      <c r="L72" s="35" t="s">
        <v>3479</v>
      </c>
    </row>
    <row r="73" spans="2:12" x14ac:dyDescent="0.35">
      <c r="B73" s="1" t="s">
        <v>1976</v>
      </c>
      <c r="C73" s="3" t="s">
        <v>95</v>
      </c>
      <c r="E73" s="23" t="s">
        <v>262</v>
      </c>
      <c r="F73" s="23" t="s">
        <v>1977</v>
      </c>
      <c r="G73" s="23" t="s">
        <v>1978</v>
      </c>
      <c r="H73" s="41" t="s">
        <v>1979</v>
      </c>
      <c r="I73" s="23" t="s">
        <v>2138</v>
      </c>
      <c r="J73" s="41" t="s">
        <v>2139</v>
      </c>
      <c r="K73" s="757"/>
      <c r="L73" s="35" t="s">
        <v>3479</v>
      </c>
    </row>
    <row r="74" spans="2:12" x14ac:dyDescent="0.35">
      <c r="B74" s="1" t="s">
        <v>1976</v>
      </c>
      <c r="C74" s="3" t="s">
        <v>95</v>
      </c>
      <c r="E74" s="23" t="s">
        <v>298</v>
      </c>
      <c r="F74" s="23" t="s">
        <v>1977</v>
      </c>
      <c r="G74" s="23" t="s">
        <v>1978</v>
      </c>
      <c r="H74" s="41" t="s">
        <v>1979</v>
      </c>
      <c r="I74" s="23" t="s">
        <v>2140</v>
      </c>
      <c r="J74" s="41" t="s">
        <v>2141</v>
      </c>
      <c r="K74" s="757"/>
      <c r="L74" s="35" t="s">
        <v>3479</v>
      </c>
    </row>
    <row r="75" spans="2:12" x14ac:dyDescent="0.35">
      <c r="B75" s="1" t="s">
        <v>2026</v>
      </c>
      <c r="C75" s="3" t="s">
        <v>95</v>
      </c>
      <c r="E75" s="23" t="s">
        <v>465</v>
      </c>
      <c r="F75" s="23" t="s">
        <v>1977</v>
      </c>
      <c r="G75" s="23" t="s">
        <v>1978</v>
      </c>
      <c r="H75" s="81" t="s">
        <v>1979</v>
      </c>
      <c r="I75" s="42" t="s">
        <v>2142</v>
      </c>
      <c r="J75" s="81" t="s">
        <v>2143</v>
      </c>
      <c r="K75" s="757"/>
      <c r="L75" s="35" t="s">
        <v>3479</v>
      </c>
    </row>
    <row r="76" spans="2:12" x14ac:dyDescent="0.35">
      <c r="B76" s="1" t="s">
        <v>1976</v>
      </c>
      <c r="C76" s="3" t="s">
        <v>95</v>
      </c>
      <c r="E76" s="23" t="s">
        <v>2144</v>
      </c>
      <c r="F76" s="23" t="s">
        <v>1977</v>
      </c>
      <c r="G76" s="23" t="s">
        <v>1978</v>
      </c>
      <c r="H76" s="41" t="s">
        <v>1979</v>
      </c>
      <c r="I76" s="23" t="s">
        <v>2145</v>
      </c>
      <c r="J76" s="41" t="s">
        <v>2146</v>
      </c>
      <c r="K76" s="757"/>
      <c r="L76" s="35" t="s">
        <v>3479</v>
      </c>
    </row>
    <row r="77" spans="2:12" x14ac:dyDescent="0.35">
      <c r="B77" s="1" t="s">
        <v>2029</v>
      </c>
      <c r="C77" s="3" t="s">
        <v>95</v>
      </c>
      <c r="E77" s="23" t="s">
        <v>683</v>
      </c>
      <c r="F77" s="23" t="s">
        <v>1977</v>
      </c>
      <c r="G77" s="23" t="s">
        <v>1978</v>
      </c>
      <c r="H77" s="41" t="s">
        <v>1979</v>
      </c>
      <c r="I77" s="23" t="s">
        <v>2147</v>
      </c>
      <c r="J77" s="41"/>
      <c r="K77" s="757"/>
      <c r="L77" s="35" t="s">
        <v>3479</v>
      </c>
    </row>
    <row r="78" spans="2:12" x14ac:dyDescent="0.35">
      <c r="B78" s="1" t="s">
        <v>2026</v>
      </c>
      <c r="C78" s="3" t="s">
        <v>95</v>
      </c>
      <c r="E78" s="23" t="s">
        <v>2148</v>
      </c>
      <c r="F78" s="23" t="s">
        <v>1977</v>
      </c>
      <c r="G78" s="23" t="s">
        <v>1978</v>
      </c>
      <c r="H78" s="41" t="s">
        <v>1979</v>
      </c>
      <c r="I78" s="23" t="s">
        <v>2149</v>
      </c>
      <c r="J78" s="41" t="s">
        <v>2150</v>
      </c>
      <c r="K78" s="757"/>
      <c r="L78" s="35" t="s">
        <v>3479</v>
      </c>
    </row>
    <row r="79" spans="2:12" x14ac:dyDescent="0.35">
      <c r="B79" s="1" t="s">
        <v>2029</v>
      </c>
      <c r="C79" s="3"/>
      <c r="E79" s="23" t="s">
        <v>1850</v>
      </c>
      <c r="F79" s="23" t="s">
        <v>1977</v>
      </c>
      <c r="G79" s="23" t="s">
        <v>1978</v>
      </c>
      <c r="H79" s="41" t="s">
        <v>1979</v>
      </c>
      <c r="I79" s="23" t="s">
        <v>2151</v>
      </c>
      <c r="J79" s="41" t="s">
        <v>2152</v>
      </c>
      <c r="K79" s="757"/>
      <c r="L79" s="35" t="s">
        <v>3479</v>
      </c>
    </row>
    <row r="80" spans="2:12" x14ac:dyDescent="0.35">
      <c r="B80" s="1" t="s">
        <v>2029</v>
      </c>
      <c r="C80" s="3"/>
      <c r="E80" s="23" t="s">
        <v>1855</v>
      </c>
      <c r="F80" s="23" t="s">
        <v>1977</v>
      </c>
      <c r="G80" s="23" t="s">
        <v>1978</v>
      </c>
      <c r="H80" s="41" t="s">
        <v>1979</v>
      </c>
      <c r="I80" s="23" t="s">
        <v>2153</v>
      </c>
      <c r="J80" s="41" t="s">
        <v>2154</v>
      </c>
      <c r="K80" s="757"/>
      <c r="L80" s="35" t="s">
        <v>3479</v>
      </c>
    </row>
    <row r="81" spans="2:12" x14ac:dyDescent="0.35">
      <c r="B81" s="1" t="s">
        <v>1976</v>
      </c>
      <c r="C81" s="3" t="s">
        <v>95</v>
      </c>
      <c r="E81" s="23" t="s">
        <v>300</v>
      </c>
      <c r="F81" s="23" t="s">
        <v>1977</v>
      </c>
      <c r="G81" s="23" t="s">
        <v>1978</v>
      </c>
      <c r="H81" s="41" t="s">
        <v>1979</v>
      </c>
      <c r="I81" s="23" t="s">
        <v>2155</v>
      </c>
      <c r="J81" s="41"/>
      <c r="K81" s="757"/>
      <c r="L81" s="35" t="s">
        <v>3479</v>
      </c>
    </row>
    <row r="82" spans="2:12" x14ac:dyDescent="0.35">
      <c r="B82" s="1" t="s">
        <v>1976</v>
      </c>
      <c r="C82" s="3"/>
      <c r="E82" s="23" t="s">
        <v>938</v>
      </c>
      <c r="F82" s="23" t="s">
        <v>1977</v>
      </c>
      <c r="G82" s="23" t="s">
        <v>1978</v>
      </c>
      <c r="H82" s="41" t="s">
        <v>2011</v>
      </c>
      <c r="I82" s="23" t="s">
        <v>2156</v>
      </c>
      <c r="J82" s="41" t="s">
        <v>2157</v>
      </c>
      <c r="K82" s="757"/>
      <c r="L82" s="35" t="s">
        <v>3479</v>
      </c>
    </row>
    <row r="83" spans="2:12" x14ac:dyDescent="0.35">
      <c r="B83" s="1" t="s">
        <v>1976</v>
      </c>
      <c r="C83" s="3" t="s">
        <v>95</v>
      </c>
      <c r="E83" s="23" t="s">
        <v>977</v>
      </c>
      <c r="F83" s="23" t="s">
        <v>1977</v>
      </c>
      <c r="G83" s="23" t="s">
        <v>1978</v>
      </c>
      <c r="H83" s="41" t="s">
        <v>1979</v>
      </c>
      <c r="I83" s="23" t="s">
        <v>2158</v>
      </c>
      <c r="J83" s="41" t="s">
        <v>2159</v>
      </c>
      <c r="K83" s="757"/>
      <c r="L83" s="35" t="s">
        <v>3479</v>
      </c>
    </row>
    <row r="84" spans="2:12" x14ac:dyDescent="0.35">
      <c r="B84" s="1" t="s">
        <v>1976</v>
      </c>
      <c r="C84" s="3" t="s">
        <v>95</v>
      </c>
      <c r="E84" s="23" t="s">
        <v>987</v>
      </c>
      <c r="F84" s="23" t="s">
        <v>1977</v>
      </c>
      <c r="G84" s="23" t="s">
        <v>1978</v>
      </c>
      <c r="H84" s="41" t="s">
        <v>1979</v>
      </c>
      <c r="I84" s="23" t="s">
        <v>2160</v>
      </c>
      <c r="J84" s="41" t="s">
        <v>2161</v>
      </c>
      <c r="K84" s="757"/>
      <c r="L84" s="35" t="s">
        <v>3479</v>
      </c>
    </row>
    <row r="85" spans="2:12" x14ac:dyDescent="0.35">
      <c r="B85" s="1" t="s">
        <v>1976</v>
      </c>
      <c r="C85" s="3" t="s">
        <v>95</v>
      </c>
      <c r="E85" s="23" t="s">
        <v>638</v>
      </c>
      <c r="F85" s="23" t="s">
        <v>1977</v>
      </c>
      <c r="G85" s="23" t="s">
        <v>1978</v>
      </c>
      <c r="H85" s="41" t="s">
        <v>1979</v>
      </c>
      <c r="I85" s="23" t="s">
        <v>2162</v>
      </c>
      <c r="J85" s="41"/>
      <c r="K85" s="757"/>
      <c r="L85" s="35" t="s">
        <v>3479</v>
      </c>
    </row>
    <row r="86" spans="2:12" x14ac:dyDescent="0.35">
      <c r="B86" s="1" t="s">
        <v>1976</v>
      </c>
      <c r="C86" s="3">
        <v>2018</v>
      </c>
      <c r="E86" s="23" t="s">
        <v>2163</v>
      </c>
      <c r="F86" s="23" t="s">
        <v>1977</v>
      </c>
      <c r="G86" s="23" t="s">
        <v>1978</v>
      </c>
      <c r="H86" s="41" t="s">
        <v>2011</v>
      </c>
      <c r="I86" s="23" t="s">
        <v>2164</v>
      </c>
      <c r="J86" s="41" t="s">
        <v>2165</v>
      </c>
      <c r="K86" s="757"/>
      <c r="L86" s="35" t="s">
        <v>3479</v>
      </c>
    </row>
    <row r="87" spans="2:12" x14ac:dyDescent="0.35">
      <c r="B87" s="1" t="s">
        <v>1976</v>
      </c>
      <c r="C87" s="3" t="s">
        <v>95</v>
      </c>
      <c r="E87" s="255" t="s">
        <v>6194</v>
      </c>
      <c r="F87" s="23" t="s">
        <v>1977</v>
      </c>
      <c r="G87" s="23" t="s">
        <v>1978</v>
      </c>
      <c r="H87" s="41" t="s">
        <v>1979</v>
      </c>
      <c r="I87" s="23" t="s">
        <v>2166</v>
      </c>
      <c r="J87" s="41" t="s">
        <v>2167</v>
      </c>
      <c r="K87" s="757"/>
      <c r="L87" s="35" t="s">
        <v>3479</v>
      </c>
    </row>
    <row r="88" spans="2:12" x14ac:dyDescent="0.35">
      <c r="B88" s="1" t="s">
        <v>1976</v>
      </c>
      <c r="C88" s="3" t="s">
        <v>95</v>
      </c>
      <c r="E88" s="23" t="s">
        <v>434</v>
      </c>
      <c r="F88" s="23" t="s">
        <v>1977</v>
      </c>
      <c r="G88" s="23" t="s">
        <v>1978</v>
      </c>
      <c r="H88" s="41" t="s">
        <v>1979</v>
      </c>
      <c r="I88" s="23" t="s">
        <v>2168</v>
      </c>
      <c r="J88" s="41" t="s">
        <v>2169</v>
      </c>
      <c r="K88" s="757"/>
      <c r="L88" s="35" t="s">
        <v>3479</v>
      </c>
    </row>
    <row r="89" spans="2:12" x14ac:dyDescent="0.35">
      <c r="B89" s="1" t="s">
        <v>2029</v>
      </c>
      <c r="C89" s="3" t="s">
        <v>95</v>
      </c>
      <c r="E89" s="23" t="s">
        <v>961</v>
      </c>
      <c r="F89" s="23" t="s">
        <v>1977</v>
      </c>
      <c r="G89" s="23" t="s">
        <v>1978</v>
      </c>
      <c r="H89" s="41" t="s">
        <v>1979</v>
      </c>
      <c r="I89" s="23" t="s">
        <v>2170</v>
      </c>
      <c r="J89" s="41"/>
      <c r="K89" s="757"/>
      <c r="L89" s="35" t="s">
        <v>3479</v>
      </c>
    </row>
    <row r="90" spans="2:12" x14ac:dyDescent="0.35">
      <c r="B90" s="1" t="s">
        <v>2029</v>
      </c>
      <c r="C90" s="3" t="s">
        <v>95</v>
      </c>
      <c r="E90" s="23" t="s">
        <v>2171</v>
      </c>
      <c r="F90" s="23" t="s">
        <v>1977</v>
      </c>
      <c r="G90" s="23" t="s">
        <v>1978</v>
      </c>
      <c r="H90" s="41" t="s">
        <v>1979</v>
      </c>
      <c r="I90" s="23" t="s">
        <v>2172</v>
      </c>
      <c r="J90" s="41"/>
      <c r="K90" s="757"/>
      <c r="L90" s="35" t="s">
        <v>3479</v>
      </c>
    </row>
    <row r="91" spans="2:12" x14ac:dyDescent="0.35">
      <c r="B91" s="1" t="s">
        <v>2173</v>
      </c>
      <c r="C91" s="3" t="s">
        <v>95</v>
      </c>
      <c r="E91" s="23" t="s">
        <v>980</v>
      </c>
      <c r="F91" s="23" t="s">
        <v>1977</v>
      </c>
      <c r="G91" s="23" t="s">
        <v>1978</v>
      </c>
      <c r="H91" s="41" t="s">
        <v>1979</v>
      </c>
      <c r="I91" s="23" t="s">
        <v>2174</v>
      </c>
      <c r="J91" s="41"/>
      <c r="K91" s="757"/>
      <c r="L91" s="35" t="s">
        <v>3479</v>
      </c>
    </row>
    <row r="92" spans="2:12" x14ac:dyDescent="0.35">
      <c r="B92" s="1" t="s">
        <v>1976</v>
      </c>
      <c r="C92" s="3" t="s">
        <v>95</v>
      </c>
      <c r="E92" s="23" t="s">
        <v>729</v>
      </c>
      <c r="F92" s="23" t="s">
        <v>1977</v>
      </c>
      <c r="G92" s="23" t="s">
        <v>1978</v>
      </c>
      <c r="H92" s="41" t="s">
        <v>1979</v>
      </c>
      <c r="I92" s="23" t="s">
        <v>2175</v>
      </c>
      <c r="J92" s="23"/>
      <c r="K92" s="302" t="s">
        <v>1026</v>
      </c>
      <c r="L92" s="35" t="s">
        <v>3479</v>
      </c>
    </row>
    <row r="93" spans="2:12" x14ac:dyDescent="0.35">
      <c r="B93" s="1" t="s">
        <v>1976</v>
      </c>
      <c r="C93" s="3" t="s">
        <v>95</v>
      </c>
      <c r="E93" s="23" t="s">
        <v>2176</v>
      </c>
      <c r="F93" s="23" t="s">
        <v>1977</v>
      </c>
      <c r="G93" s="23" t="s">
        <v>1978</v>
      </c>
      <c r="H93" s="41" t="s">
        <v>1979</v>
      </c>
      <c r="I93" s="23" t="s">
        <v>2177</v>
      </c>
      <c r="J93" s="23" t="s">
        <v>2178</v>
      </c>
      <c r="K93" s="300"/>
      <c r="L93" s="35" t="s">
        <v>3479</v>
      </c>
    </row>
    <row r="94" spans="2:12" x14ac:dyDescent="0.35">
      <c r="B94" s="1" t="s">
        <v>1976</v>
      </c>
      <c r="C94" s="3" t="s">
        <v>95</v>
      </c>
      <c r="E94" s="23" t="s">
        <v>1052</v>
      </c>
      <c r="F94" s="23" t="s">
        <v>1977</v>
      </c>
      <c r="G94" s="23" t="s">
        <v>1978</v>
      </c>
      <c r="H94" s="41" t="s">
        <v>1979</v>
      </c>
      <c r="I94" s="23" t="s">
        <v>2179</v>
      </c>
      <c r="J94" s="23" t="s">
        <v>2180</v>
      </c>
      <c r="K94" s="300"/>
      <c r="L94" s="35" t="s">
        <v>3479</v>
      </c>
    </row>
    <row r="95" spans="2:12" x14ac:dyDescent="0.35">
      <c r="B95" s="1" t="s">
        <v>1976</v>
      </c>
      <c r="C95" s="3" t="s">
        <v>95</v>
      </c>
      <c r="E95" s="23" t="s">
        <v>2181</v>
      </c>
      <c r="F95" s="23" t="s">
        <v>1977</v>
      </c>
      <c r="G95" s="23" t="s">
        <v>1978</v>
      </c>
      <c r="H95" s="41" t="s">
        <v>1979</v>
      </c>
      <c r="I95" s="23" t="s">
        <v>2182</v>
      </c>
      <c r="J95" s="23" t="s">
        <v>2183</v>
      </c>
      <c r="K95" s="300"/>
      <c r="L95" s="35" t="s">
        <v>3479</v>
      </c>
    </row>
    <row r="96" spans="2:12" x14ac:dyDescent="0.35">
      <c r="B96" s="1" t="s">
        <v>1976</v>
      </c>
      <c r="C96" s="3" t="s">
        <v>95</v>
      </c>
      <c r="E96" s="23" t="s">
        <v>2184</v>
      </c>
      <c r="F96" s="23" t="s">
        <v>1977</v>
      </c>
      <c r="G96" s="23" t="s">
        <v>1978</v>
      </c>
      <c r="H96" s="41" t="s">
        <v>2011</v>
      </c>
      <c r="I96" s="23" t="s">
        <v>2185</v>
      </c>
      <c r="J96" s="23" t="s">
        <v>2186</v>
      </c>
      <c r="K96" s="300"/>
      <c r="L96" s="35" t="s">
        <v>3479</v>
      </c>
    </row>
    <row r="97" spans="2:12" x14ac:dyDescent="0.35">
      <c r="B97" s="1" t="s">
        <v>1976</v>
      </c>
      <c r="C97" s="3" t="s">
        <v>95</v>
      </c>
      <c r="E97" s="23" t="s">
        <v>1825</v>
      </c>
      <c r="F97" s="23" t="s">
        <v>1977</v>
      </c>
      <c r="G97" s="23" t="s">
        <v>1978</v>
      </c>
      <c r="H97" s="41" t="s">
        <v>2011</v>
      </c>
      <c r="I97" s="23" t="s">
        <v>2187</v>
      </c>
      <c r="J97" s="23">
        <v>500604734609</v>
      </c>
      <c r="K97" s="300"/>
      <c r="L97" s="35" t="s">
        <v>3479</v>
      </c>
    </row>
    <row r="98" spans="2:12" x14ac:dyDescent="0.35">
      <c r="B98" s="1" t="s">
        <v>1976</v>
      </c>
      <c r="C98" s="3" t="s">
        <v>95</v>
      </c>
      <c r="E98" s="23" t="s">
        <v>385</v>
      </c>
      <c r="F98" s="23" t="s">
        <v>1977</v>
      </c>
      <c r="G98" s="23" t="s">
        <v>1978</v>
      </c>
      <c r="H98" s="41" t="s">
        <v>1979</v>
      </c>
      <c r="I98" s="23" t="s">
        <v>2188</v>
      </c>
      <c r="J98" s="23" t="s">
        <v>2189</v>
      </c>
      <c r="K98" s="300"/>
      <c r="L98" s="35" t="s">
        <v>3479</v>
      </c>
    </row>
    <row r="99" spans="2:12" x14ac:dyDescent="0.35">
      <c r="B99" s="1" t="s">
        <v>1976</v>
      </c>
      <c r="C99" s="3" t="s">
        <v>95</v>
      </c>
      <c r="E99" s="23" t="s">
        <v>1050</v>
      </c>
      <c r="F99" s="23" t="s">
        <v>1977</v>
      </c>
      <c r="G99" s="23" t="s">
        <v>1978</v>
      </c>
      <c r="H99" s="41" t="s">
        <v>1979</v>
      </c>
      <c r="I99" s="23" t="s">
        <v>2190</v>
      </c>
      <c r="J99" s="23" t="s">
        <v>2191</v>
      </c>
      <c r="K99" s="300"/>
      <c r="L99" t="s">
        <v>3479</v>
      </c>
    </row>
    <row r="100" spans="2:12" x14ac:dyDescent="0.35">
      <c r="B100" s="1" t="s">
        <v>1976</v>
      </c>
      <c r="C100" s="3" t="s">
        <v>95</v>
      </c>
      <c r="E100" s="23" t="s">
        <v>1048</v>
      </c>
      <c r="F100" s="23" t="s">
        <v>1977</v>
      </c>
      <c r="G100" s="23" t="s">
        <v>1978</v>
      </c>
      <c r="H100" s="41" t="s">
        <v>1979</v>
      </c>
      <c r="I100" s="23" t="s">
        <v>2192</v>
      </c>
      <c r="J100" s="23" t="s">
        <v>2193</v>
      </c>
      <c r="K100" s="300"/>
      <c r="L100" t="s">
        <v>3479</v>
      </c>
    </row>
    <row r="101" spans="2:12" x14ac:dyDescent="0.35">
      <c r="B101" s="1" t="s">
        <v>2029</v>
      </c>
      <c r="C101" s="3" t="s">
        <v>95</v>
      </c>
      <c r="E101" s="23" t="s">
        <v>2194</v>
      </c>
      <c r="F101" s="23" t="s">
        <v>1977</v>
      </c>
      <c r="G101" s="23" t="s">
        <v>1978</v>
      </c>
      <c r="H101" s="41" t="s">
        <v>1979</v>
      </c>
      <c r="I101" s="23" t="s">
        <v>2195</v>
      </c>
      <c r="J101" s="23" t="s">
        <v>2196</v>
      </c>
      <c r="K101" s="303"/>
      <c r="L101" s="35" t="s">
        <v>3479</v>
      </c>
    </row>
    <row r="102" spans="2:12" x14ac:dyDescent="0.35">
      <c r="B102" s="1" t="s">
        <v>1976</v>
      </c>
      <c r="C102" s="3" t="s">
        <v>95</v>
      </c>
      <c r="E102" s="23" t="s">
        <v>331</v>
      </c>
      <c r="F102" s="23" t="s">
        <v>1977</v>
      </c>
      <c r="G102" s="23" t="s">
        <v>1978</v>
      </c>
      <c r="H102" s="41" t="s">
        <v>1979</v>
      </c>
      <c r="I102" s="23" t="s">
        <v>2197</v>
      </c>
      <c r="J102" s="23" t="s">
        <v>2198</v>
      </c>
      <c r="K102" s="300"/>
      <c r="L102" s="35" t="s">
        <v>3479</v>
      </c>
    </row>
    <row r="103" spans="2:12" x14ac:dyDescent="0.35">
      <c r="B103" s="1" t="s">
        <v>1976</v>
      </c>
      <c r="C103" s="3" t="s">
        <v>95</v>
      </c>
      <c r="E103" s="23" t="s">
        <v>1137</v>
      </c>
      <c r="F103" s="23" t="s">
        <v>1977</v>
      </c>
      <c r="G103" s="23" t="s">
        <v>1978</v>
      </c>
      <c r="H103" s="41" t="s">
        <v>1979</v>
      </c>
      <c r="I103" s="23" t="s">
        <v>2199</v>
      </c>
      <c r="J103" s="23" t="s">
        <v>2200</v>
      </c>
      <c r="K103" s="300"/>
      <c r="L103" s="35" t="s">
        <v>3479</v>
      </c>
    </row>
    <row r="104" spans="2:12" x14ac:dyDescent="0.35">
      <c r="B104" s="1" t="s">
        <v>1976</v>
      </c>
      <c r="C104" s="3" t="s">
        <v>95</v>
      </c>
      <c r="E104" s="23" t="s">
        <v>1084</v>
      </c>
      <c r="F104" s="23" t="s">
        <v>1977</v>
      </c>
      <c r="G104" s="23" t="s">
        <v>1978</v>
      </c>
      <c r="H104" s="41" t="s">
        <v>1979</v>
      </c>
      <c r="I104" s="23" t="s">
        <v>2201</v>
      </c>
      <c r="J104" s="23" t="s">
        <v>2202</v>
      </c>
      <c r="K104" s="300"/>
      <c r="L104" s="35" t="s">
        <v>3479</v>
      </c>
    </row>
    <row r="105" spans="2:12" x14ac:dyDescent="0.35">
      <c r="B105" s="1" t="s">
        <v>2029</v>
      </c>
      <c r="C105" s="3" t="s">
        <v>95</v>
      </c>
      <c r="E105" s="23" t="s">
        <v>2203</v>
      </c>
      <c r="F105" s="23" t="s">
        <v>1977</v>
      </c>
      <c r="G105" s="23" t="s">
        <v>1978</v>
      </c>
      <c r="H105" s="41" t="s">
        <v>1979</v>
      </c>
      <c r="I105" s="23" t="s">
        <v>2204</v>
      </c>
      <c r="J105" s="23" t="s">
        <v>2205</v>
      </c>
      <c r="K105" s="300"/>
      <c r="L105" s="35" t="s">
        <v>3479</v>
      </c>
    </row>
    <row r="106" spans="2:12" x14ac:dyDescent="0.35">
      <c r="B106" s="1" t="s">
        <v>1976</v>
      </c>
      <c r="C106" s="3" t="s">
        <v>95</v>
      </c>
      <c r="E106" s="43" t="s">
        <v>484</v>
      </c>
      <c r="F106" s="23" t="s">
        <v>1977</v>
      </c>
      <c r="G106" s="23" t="s">
        <v>1978</v>
      </c>
      <c r="H106" s="41" t="s">
        <v>1979</v>
      </c>
      <c r="I106" s="23" t="s">
        <v>2206</v>
      </c>
      <c r="J106" s="23" t="s">
        <v>2207</v>
      </c>
      <c r="K106" s="300"/>
      <c r="L106" s="35" t="s">
        <v>3479</v>
      </c>
    </row>
    <row r="107" spans="2:12" x14ac:dyDescent="0.35">
      <c r="B107" s="1" t="s">
        <v>2029</v>
      </c>
      <c r="C107" s="3" t="s">
        <v>95</v>
      </c>
      <c r="E107" s="23" t="s">
        <v>2208</v>
      </c>
      <c r="F107" s="182" t="s">
        <v>1977</v>
      </c>
      <c r="G107" s="78" t="s">
        <v>1978</v>
      </c>
      <c r="H107" s="41" t="s">
        <v>1979</v>
      </c>
      <c r="I107" s="23" t="s">
        <v>2209</v>
      </c>
      <c r="J107" s="23" t="s">
        <v>2210</v>
      </c>
      <c r="K107" s="300"/>
      <c r="L107" s="35" t="s">
        <v>3479</v>
      </c>
    </row>
    <row r="108" spans="2:12" x14ac:dyDescent="0.35">
      <c r="B108" s="304" t="s">
        <v>2029</v>
      </c>
      <c r="C108" s="3" t="s">
        <v>95</v>
      </c>
      <c r="E108" s="23" t="s">
        <v>733</v>
      </c>
      <c r="F108" s="182" t="s">
        <v>1977</v>
      </c>
      <c r="G108" s="78" t="s">
        <v>1978</v>
      </c>
      <c r="H108" s="41" t="s">
        <v>1979</v>
      </c>
      <c r="I108" s="23" t="s">
        <v>2211</v>
      </c>
      <c r="J108" s="23" t="s">
        <v>2212</v>
      </c>
      <c r="K108" s="300"/>
      <c r="L108" s="35" t="s">
        <v>3479</v>
      </c>
    </row>
    <row r="109" spans="2:12" x14ac:dyDescent="0.35">
      <c r="B109" s="1" t="s">
        <v>1976</v>
      </c>
      <c r="C109" s="3" t="s">
        <v>95</v>
      </c>
      <c r="E109" s="50" t="s">
        <v>1145</v>
      </c>
      <c r="F109" s="23" t="s">
        <v>1977</v>
      </c>
      <c r="G109" s="23" t="s">
        <v>1978</v>
      </c>
      <c r="H109" s="41" t="s">
        <v>1979</v>
      </c>
      <c r="I109" s="23" t="s">
        <v>2213</v>
      </c>
      <c r="J109" s="23" t="s">
        <v>2214</v>
      </c>
      <c r="K109" s="300"/>
      <c r="L109" s="35" t="s">
        <v>3479</v>
      </c>
    </row>
    <row r="110" spans="2:12" x14ac:dyDescent="0.35">
      <c r="B110" s="1" t="s">
        <v>2029</v>
      </c>
      <c r="C110" s="3" t="s">
        <v>95</v>
      </c>
      <c r="E110" s="23" t="s">
        <v>1140</v>
      </c>
      <c r="F110" s="23" t="s">
        <v>1977</v>
      </c>
      <c r="G110" s="23" t="s">
        <v>1978</v>
      </c>
      <c r="H110" s="41" t="s">
        <v>1979</v>
      </c>
      <c r="I110" s="23" t="s">
        <v>2215</v>
      </c>
      <c r="J110" s="23" t="s">
        <v>2216</v>
      </c>
      <c r="K110" s="300"/>
      <c r="L110" s="35" t="s">
        <v>3479</v>
      </c>
    </row>
    <row r="111" spans="2:12" x14ac:dyDescent="0.35">
      <c r="B111" s="1" t="s">
        <v>1976</v>
      </c>
      <c r="C111" s="3" t="s">
        <v>95</v>
      </c>
      <c r="E111" s="23" t="s">
        <v>569</v>
      </c>
      <c r="F111" s="23" t="s">
        <v>1977</v>
      </c>
      <c r="G111" s="23" t="s">
        <v>1978</v>
      </c>
      <c r="H111" s="41" t="s">
        <v>1979</v>
      </c>
      <c r="I111" s="23" t="s">
        <v>2217</v>
      </c>
      <c r="J111" s="23" t="s">
        <v>2218</v>
      </c>
      <c r="K111" s="761" t="s">
        <v>1110</v>
      </c>
      <c r="L111" s="35" t="s">
        <v>3479</v>
      </c>
    </row>
    <row r="112" spans="2:12" x14ac:dyDescent="0.35">
      <c r="B112" s="1" t="s">
        <v>1976</v>
      </c>
      <c r="C112" s="3" t="s">
        <v>95</v>
      </c>
      <c r="E112" s="23" t="s">
        <v>353</v>
      </c>
      <c r="F112" s="23" t="s">
        <v>1977</v>
      </c>
      <c r="G112" s="23" t="s">
        <v>1978</v>
      </c>
      <c r="H112" s="41" t="s">
        <v>1979</v>
      </c>
      <c r="I112" s="23" t="s">
        <v>2219</v>
      </c>
      <c r="J112" s="23" t="s">
        <v>2220</v>
      </c>
      <c r="K112" s="761"/>
      <c r="L112" s="35" t="s">
        <v>3479</v>
      </c>
    </row>
    <row r="113" spans="2:12" x14ac:dyDescent="0.35">
      <c r="B113" s="1" t="s">
        <v>1976</v>
      </c>
      <c r="C113" s="3" t="s">
        <v>95</v>
      </c>
      <c r="E113" s="23" t="s">
        <v>503</v>
      </c>
      <c r="F113" s="23" t="s">
        <v>1977</v>
      </c>
      <c r="G113" s="23" t="s">
        <v>1978</v>
      </c>
      <c r="H113" s="41" t="s">
        <v>1979</v>
      </c>
      <c r="I113" s="23" t="s">
        <v>2221</v>
      </c>
      <c r="J113" s="23" t="s">
        <v>2222</v>
      </c>
      <c r="K113" s="761"/>
      <c r="L113" s="35" t="s">
        <v>3479</v>
      </c>
    </row>
    <row r="114" spans="2:12" x14ac:dyDescent="0.35">
      <c r="B114" s="1" t="s">
        <v>2029</v>
      </c>
      <c r="C114" s="3" t="s">
        <v>95</v>
      </c>
      <c r="E114" s="22" t="s">
        <v>542</v>
      </c>
      <c r="F114" s="23" t="s">
        <v>1977</v>
      </c>
      <c r="G114" s="23" t="s">
        <v>1978</v>
      </c>
      <c r="H114" s="41" t="s">
        <v>1979</v>
      </c>
      <c r="I114" s="23" t="s">
        <v>2223</v>
      </c>
      <c r="J114" s="23" t="s">
        <v>2224</v>
      </c>
      <c r="K114" s="761"/>
      <c r="L114" t="s">
        <v>3479</v>
      </c>
    </row>
    <row r="115" spans="2:12" x14ac:dyDescent="0.35">
      <c r="B115" s="1" t="s">
        <v>2029</v>
      </c>
      <c r="C115" s="3" t="s">
        <v>95</v>
      </c>
      <c r="E115" s="22" t="s">
        <v>2225</v>
      </c>
      <c r="F115" s="23" t="s">
        <v>1977</v>
      </c>
      <c r="G115" s="23" t="s">
        <v>1978</v>
      </c>
      <c r="H115" s="41" t="s">
        <v>1979</v>
      </c>
      <c r="I115" s="23" t="s">
        <v>2226</v>
      </c>
      <c r="J115" s="23" t="s">
        <v>2227</v>
      </c>
      <c r="K115" s="761"/>
      <c r="L115" t="s">
        <v>3479</v>
      </c>
    </row>
    <row r="116" spans="2:12" x14ac:dyDescent="0.35">
      <c r="B116" s="1" t="s">
        <v>2029</v>
      </c>
      <c r="C116" s="3" t="s">
        <v>95</v>
      </c>
      <c r="E116" s="22" t="s">
        <v>1121</v>
      </c>
      <c r="F116" s="23" t="s">
        <v>1977</v>
      </c>
      <c r="G116" s="23" t="s">
        <v>1978</v>
      </c>
      <c r="H116" s="41" t="s">
        <v>1979</v>
      </c>
      <c r="I116" s="23" t="s">
        <v>2228</v>
      </c>
      <c r="J116" s="23" t="s">
        <v>2229</v>
      </c>
      <c r="K116" s="761"/>
      <c r="L116" t="s">
        <v>3479</v>
      </c>
    </row>
    <row r="117" spans="2:12" x14ac:dyDescent="0.35">
      <c r="B117" s="1" t="s">
        <v>1976</v>
      </c>
      <c r="C117" s="3" t="s">
        <v>95</v>
      </c>
      <c r="E117" s="23" t="s">
        <v>1118</v>
      </c>
      <c r="F117" s="23" t="s">
        <v>1977</v>
      </c>
      <c r="G117" s="23" t="s">
        <v>1978</v>
      </c>
      <c r="H117" s="41" t="s">
        <v>1979</v>
      </c>
      <c r="I117" s="23" t="s">
        <v>2230</v>
      </c>
      <c r="J117" s="23" t="s">
        <v>2231</v>
      </c>
      <c r="K117" s="761"/>
      <c r="L117" s="35" t="s">
        <v>3479</v>
      </c>
    </row>
    <row r="118" spans="2:12" x14ac:dyDescent="0.35">
      <c r="B118" s="1" t="s">
        <v>2029</v>
      </c>
      <c r="C118" s="3" t="s">
        <v>95</v>
      </c>
      <c r="E118" s="23" t="s">
        <v>427</v>
      </c>
      <c r="F118" s="23" t="s">
        <v>1977</v>
      </c>
      <c r="G118" s="23" t="s">
        <v>1978</v>
      </c>
      <c r="H118" s="41" t="s">
        <v>1979</v>
      </c>
      <c r="I118" s="23" t="s">
        <v>2232</v>
      </c>
      <c r="J118" s="23" t="s">
        <v>2233</v>
      </c>
      <c r="K118" s="300" t="s">
        <v>1157</v>
      </c>
      <c r="L118" t="s">
        <v>3479</v>
      </c>
    </row>
    <row r="119" spans="2:12" x14ac:dyDescent="0.35">
      <c r="B119" s="1" t="s">
        <v>2029</v>
      </c>
      <c r="C119" s="3" t="s">
        <v>95</v>
      </c>
      <c r="E119" s="43" t="s">
        <v>1159</v>
      </c>
      <c r="F119" s="23" t="s">
        <v>1977</v>
      </c>
      <c r="G119" s="23" t="s">
        <v>1978</v>
      </c>
      <c r="H119" s="41" t="s">
        <v>1979</v>
      </c>
      <c r="I119" s="23" t="s">
        <v>2234</v>
      </c>
      <c r="J119" s="23" t="s">
        <v>2235</v>
      </c>
      <c r="K119" s="300"/>
      <c r="L119" t="s">
        <v>3479</v>
      </c>
    </row>
    <row r="120" spans="2:12" x14ac:dyDescent="0.35">
      <c r="B120" s="1" t="s">
        <v>2029</v>
      </c>
      <c r="C120" s="3" t="s">
        <v>95</v>
      </c>
      <c r="E120" s="324" t="s">
        <v>1059</v>
      </c>
      <c r="F120" s="23" t="s">
        <v>1977</v>
      </c>
      <c r="G120" s="23" t="s">
        <v>1978</v>
      </c>
      <c r="H120" s="41" t="s">
        <v>2011</v>
      </c>
      <c r="I120" s="23" t="s">
        <v>2236</v>
      </c>
      <c r="J120" s="23" t="s">
        <v>2237</v>
      </c>
      <c r="K120" s="300"/>
      <c r="L120" s="35" t="s">
        <v>3479</v>
      </c>
    </row>
    <row r="121" spans="2:12" x14ac:dyDescent="0.35">
      <c r="B121" s="1" t="s">
        <v>2029</v>
      </c>
      <c r="C121" s="3" t="s">
        <v>95</v>
      </c>
      <c r="E121" s="50" t="s">
        <v>400</v>
      </c>
      <c r="F121" s="23" t="s">
        <v>1977</v>
      </c>
      <c r="G121" s="23" t="s">
        <v>1978</v>
      </c>
      <c r="H121" s="41" t="s">
        <v>1979</v>
      </c>
      <c r="I121" s="23" t="s">
        <v>2238</v>
      </c>
      <c r="J121" s="23" t="s">
        <v>2239</v>
      </c>
      <c r="K121" s="300" t="s">
        <v>2240</v>
      </c>
      <c r="L121" s="35" t="s">
        <v>3479</v>
      </c>
    </row>
    <row r="122" spans="2:12" x14ac:dyDescent="0.35">
      <c r="B122" s="1" t="s">
        <v>2029</v>
      </c>
      <c r="C122" s="3" t="s">
        <v>95</v>
      </c>
      <c r="E122" s="23" t="s">
        <v>1069</v>
      </c>
      <c r="F122" s="23" t="s">
        <v>1977</v>
      </c>
      <c r="G122" s="23" t="s">
        <v>1978</v>
      </c>
      <c r="H122" s="41" t="s">
        <v>1979</v>
      </c>
      <c r="I122" s="23" t="s">
        <v>2241</v>
      </c>
      <c r="J122" s="23" t="s">
        <v>2242</v>
      </c>
      <c r="K122" s="300"/>
      <c r="L122" t="s">
        <v>3479</v>
      </c>
    </row>
    <row r="123" spans="2:12" x14ac:dyDescent="0.35">
      <c r="B123" s="1" t="s">
        <v>2029</v>
      </c>
      <c r="C123" s="3" t="s">
        <v>95</v>
      </c>
      <c r="E123" s="23" t="s">
        <v>625</v>
      </c>
      <c r="F123" s="23" t="s">
        <v>1977</v>
      </c>
      <c r="G123" s="23" t="s">
        <v>1978</v>
      </c>
      <c r="H123" s="41" t="s">
        <v>1979</v>
      </c>
      <c r="I123" s="23" t="s">
        <v>2243</v>
      </c>
      <c r="J123" s="23" t="s">
        <v>2244</v>
      </c>
      <c r="K123" s="300"/>
      <c r="L123" t="s">
        <v>3479</v>
      </c>
    </row>
    <row r="124" spans="2:12" x14ac:dyDescent="0.35">
      <c r="B124" s="1" t="s">
        <v>2029</v>
      </c>
      <c r="C124" s="3" t="s">
        <v>95</v>
      </c>
      <c r="E124" s="23" t="s">
        <v>417</v>
      </c>
      <c r="F124" s="23" t="s">
        <v>1977</v>
      </c>
      <c r="G124" s="23" t="s">
        <v>1978</v>
      </c>
      <c r="H124" s="41" t="s">
        <v>1979</v>
      </c>
      <c r="I124" s="23" t="s">
        <v>2245</v>
      </c>
      <c r="J124" s="23" t="s">
        <v>2246</v>
      </c>
      <c r="K124" s="300"/>
      <c r="L124" t="s">
        <v>3479</v>
      </c>
    </row>
    <row r="125" spans="2:12" x14ac:dyDescent="0.35">
      <c r="B125" s="1" t="s">
        <v>2029</v>
      </c>
      <c r="C125" s="3" t="s">
        <v>95</v>
      </c>
      <c r="E125" s="23" t="s">
        <v>1078</v>
      </c>
      <c r="F125" s="23" t="s">
        <v>1977</v>
      </c>
      <c r="G125" s="23" t="s">
        <v>1978</v>
      </c>
      <c r="H125" s="41" t="s">
        <v>1979</v>
      </c>
      <c r="I125" s="23" t="s">
        <v>2247</v>
      </c>
      <c r="J125" s="23" t="s">
        <v>2248</v>
      </c>
      <c r="K125" s="300"/>
      <c r="L125" t="s">
        <v>3479</v>
      </c>
    </row>
    <row r="126" spans="2:12" x14ac:dyDescent="0.35">
      <c r="B126" s="1" t="s">
        <v>2029</v>
      </c>
      <c r="C126" s="3" t="s">
        <v>95</v>
      </c>
      <c r="E126" s="23" t="s">
        <v>2249</v>
      </c>
      <c r="F126" s="23" t="s">
        <v>1977</v>
      </c>
      <c r="G126" s="23" t="s">
        <v>1978</v>
      </c>
      <c r="H126" s="41" t="s">
        <v>1979</v>
      </c>
      <c r="I126" s="23" t="s">
        <v>2250</v>
      </c>
      <c r="J126" s="23" t="s">
        <v>2251</v>
      </c>
      <c r="K126" s="300"/>
      <c r="L126" t="s">
        <v>3479</v>
      </c>
    </row>
    <row r="127" spans="2:12" x14ac:dyDescent="0.35">
      <c r="B127" s="1" t="s">
        <v>2029</v>
      </c>
      <c r="C127" s="3" t="s">
        <v>95</v>
      </c>
      <c r="E127" s="23" t="s">
        <v>2252</v>
      </c>
      <c r="F127" s="23" t="s">
        <v>1977</v>
      </c>
      <c r="G127" s="23" t="s">
        <v>1978</v>
      </c>
      <c r="H127" s="41" t="s">
        <v>1979</v>
      </c>
      <c r="I127" s="23" t="s">
        <v>2253</v>
      </c>
      <c r="J127" s="23" t="s">
        <v>2254</v>
      </c>
      <c r="K127" s="300"/>
      <c r="L127" t="s">
        <v>3479</v>
      </c>
    </row>
    <row r="128" spans="2:12" x14ac:dyDescent="0.35">
      <c r="B128" s="1" t="s">
        <v>2029</v>
      </c>
      <c r="C128" s="3" t="s">
        <v>95</v>
      </c>
      <c r="E128" s="23" t="s">
        <v>1552</v>
      </c>
      <c r="F128" s="23" t="s">
        <v>1977</v>
      </c>
      <c r="G128" s="23" t="s">
        <v>1978</v>
      </c>
      <c r="H128" s="41" t="s">
        <v>1979</v>
      </c>
      <c r="I128" s="23" t="s">
        <v>2255</v>
      </c>
      <c r="J128" s="23" t="s">
        <v>2256</v>
      </c>
      <c r="K128" s="300"/>
      <c r="L128" t="s">
        <v>3479</v>
      </c>
    </row>
    <row r="129" spans="2:12" x14ac:dyDescent="0.35">
      <c r="B129" s="1" t="s">
        <v>2029</v>
      </c>
      <c r="C129" s="3" t="s">
        <v>95</v>
      </c>
      <c r="E129" s="23" t="s">
        <v>404</v>
      </c>
      <c r="F129" s="23" t="s">
        <v>1977</v>
      </c>
      <c r="G129" s="23" t="s">
        <v>1978</v>
      </c>
      <c r="H129" s="41" t="s">
        <v>1979</v>
      </c>
      <c r="I129" s="23" t="s">
        <v>2257</v>
      </c>
      <c r="J129" s="23" t="s">
        <v>2258</v>
      </c>
      <c r="K129" s="300" t="s">
        <v>2259</v>
      </c>
      <c r="L129" t="s">
        <v>3479</v>
      </c>
    </row>
    <row r="130" spans="2:12" x14ac:dyDescent="0.35">
      <c r="B130" s="1" t="s">
        <v>2029</v>
      </c>
      <c r="C130" s="3" t="s">
        <v>95</v>
      </c>
      <c r="E130" s="23" t="s">
        <v>6202</v>
      </c>
      <c r="F130" s="23" t="s">
        <v>1977</v>
      </c>
      <c r="G130" s="23" t="s">
        <v>1978</v>
      </c>
      <c r="H130" s="41" t="s">
        <v>1979</v>
      </c>
      <c r="I130" s="23" t="s">
        <v>2260</v>
      </c>
      <c r="J130" s="23" t="s">
        <v>2261</v>
      </c>
      <c r="K130" s="300"/>
      <c r="L130" t="s">
        <v>3479</v>
      </c>
    </row>
    <row r="131" spans="2:12" x14ac:dyDescent="0.35">
      <c r="B131" s="1" t="s">
        <v>2029</v>
      </c>
      <c r="C131" s="3" t="s">
        <v>95</v>
      </c>
      <c r="E131" s="23" t="s">
        <v>613</v>
      </c>
      <c r="F131" s="23" t="s">
        <v>1977</v>
      </c>
      <c r="G131" s="23" t="s">
        <v>1978</v>
      </c>
      <c r="H131" s="41" t="s">
        <v>2011</v>
      </c>
      <c r="I131" s="23" t="s">
        <v>2262</v>
      </c>
      <c r="J131" s="23" t="s">
        <v>2263</v>
      </c>
      <c r="K131" s="300"/>
      <c r="L131" s="35" t="s">
        <v>3479</v>
      </c>
    </row>
    <row r="132" spans="2:12" x14ac:dyDescent="0.35">
      <c r="B132" s="1" t="s">
        <v>2029</v>
      </c>
      <c r="C132" s="3" t="s">
        <v>95</v>
      </c>
      <c r="E132" s="23" t="s">
        <v>79</v>
      </c>
      <c r="F132" s="23" t="s">
        <v>1977</v>
      </c>
      <c r="G132" s="23" t="s">
        <v>1978</v>
      </c>
      <c r="H132" s="41" t="s">
        <v>1979</v>
      </c>
      <c r="I132" s="23" t="s">
        <v>2264</v>
      </c>
      <c r="J132" s="23" t="s">
        <v>2265</v>
      </c>
      <c r="K132" s="300"/>
      <c r="L132" s="35" t="s">
        <v>3479</v>
      </c>
    </row>
    <row r="133" spans="2:12" x14ac:dyDescent="0.35">
      <c r="B133" s="1" t="s">
        <v>2029</v>
      </c>
      <c r="C133" s="3" t="s">
        <v>95</v>
      </c>
      <c r="E133" s="23" t="s">
        <v>355</v>
      </c>
      <c r="F133" s="23" t="s">
        <v>1977</v>
      </c>
      <c r="G133" s="23" t="s">
        <v>1978</v>
      </c>
      <c r="H133" s="41" t="s">
        <v>1979</v>
      </c>
      <c r="I133" s="23" t="s">
        <v>2266</v>
      </c>
      <c r="J133" s="23" t="s">
        <v>2267</v>
      </c>
      <c r="K133" s="300"/>
      <c r="L133" t="s">
        <v>3479</v>
      </c>
    </row>
    <row r="134" spans="2:12" x14ac:dyDescent="0.35">
      <c r="B134" s="1" t="s">
        <v>1976</v>
      </c>
      <c r="C134" s="3" t="s">
        <v>95</v>
      </c>
      <c r="E134" s="23" t="s">
        <v>2268</v>
      </c>
      <c r="F134" s="23" t="s">
        <v>1977</v>
      </c>
      <c r="G134" s="23" t="s">
        <v>1978</v>
      </c>
      <c r="H134" s="41" t="s">
        <v>1979</v>
      </c>
      <c r="I134" t="s">
        <v>3488</v>
      </c>
      <c r="J134" s="23"/>
      <c r="K134" s="761" t="s">
        <v>2269</v>
      </c>
      <c r="L134" t="s">
        <v>3479</v>
      </c>
    </row>
    <row r="135" spans="2:12" x14ac:dyDescent="0.35">
      <c r="B135" s="1" t="s">
        <v>1976</v>
      </c>
      <c r="C135" s="3" t="s">
        <v>95</v>
      </c>
      <c r="E135" s="23" t="s">
        <v>1031</v>
      </c>
      <c r="F135" s="23" t="s">
        <v>1977</v>
      </c>
      <c r="G135" s="23" t="s">
        <v>1978</v>
      </c>
      <c r="H135" s="41" t="s">
        <v>1979</v>
      </c>
      <c r="I135" s="23" t="s">
        <v>2270</v>
      </c>
      <c r="J135" s="23" t="s">
        <v>2271</v>
      </c>
      <c r="K135" s="761"/>
      <c r="L135" s="35" t="s">
        <v>3479</v>
      </c>
    </row>
    <row r="136" spans="2:12" x14ac:dyDescent="0.35">
      <c r="B136" s="1" t="s">
        <v>1976</v>
      </c>
      <c r="C136" s="3" t="s">
        <v>95</v>
      </c>
      <c r="E136" s="23" t="s">
        <v>1038</v>
      </c>
      <c r="F136" s="23" t="s">
        <v>1977</v>
      </c>
      <c r="G136" s="23" t="s">
        <v>1978</v>
      </c>
      <c r="H136" s="41" t="s">
        <v>1979</v>
      </c>
      <c r="I136" s="23" t="s">
        <v>2272</v>
      </c>
      <c r="J136" s="23" t="s">
        <v>2273</v>
      </c>
      <c r="K136" s="761"/>
      <c r="L136" s="35" t="s">
        <v>3479</v>
      </c>
    </row>
    <row r="137" spans="2:12" x14ac:dyDescent="0.35">
      <c r="B137" s="1" t="s">
        <v>2029</v>
      </c>
      <c r="C137" s="3" t="s">
        <v>95</v>
      </c>
      <c r="E137" s="23" t="s">
        <v>2274</v>
      </c>
      <c r="F137" s="23" t="s">
        <v>1977</v>
      </c>
      <c r="G137" s="23" t="s">
        <v>1978</v>
      </c>
      <c r="H137" s="41" t="s">
        <v>1979</v>
      </c>
      <c r="I137" s="23" t="s">
        <v>2275</v>
      </c>
      <c r="J137" s="23" t="s">
        <v>2276</v>
      </c>
      <c r="K137" s="761"/>
      <c r="L137" t="s">
        <v>3479</v>
      </c>
    </row>
    <row r="138" spans="2:12" x14ac:dyDescent="0.35">
      <c r="B138" s="1" t="s">
        <v>1976</v>
      </c>
      <c r="C138" s="3" t="s">
        <v>95</v>
      </c>
      <c r="E138" s="23" t="s">
        <v>1035</v>
      </c>
      <c r="F138" s="23" t="s">
        <v>1977</v>
      </c>
      <c r="G138" s="23" t="s">
        <v>1978</v>
      </c>
      <c r="H138" s="41" t="s">
        <v>1979</v>
      </c>
      <c r="I138" s="23" t="s">
        <v>2277</v>
      </c>
      <c r="J138" s="23" t="s">
        <v>2278</v>
      </c>
      <c r="K138" s="761"/>
      <c r="L138" s="35" t="s">
        <v>3479</v>
      </c>
    </row>
    <row r="139" spans="2:12" x14ac:dyDescent="0.35">
      <c r="B139" s="1" t="s">
        <v>1976</v>
      </c>
      <c r="C139" s="3" t="s">
        <v>197</v>
      </c>
      <c r="E139" s="23" t="s">
        <v>1164</v>
      </c>
      <c r="F139" s="23" t="s">
        <v>1977</v>
      </c>
      <c r="G139" s="23" t="s">
        <v>1978</v>
      </c>
      <c r="H139" s="41" t="s">
        <v>2011</v>
      </c>
      <c r="I139" s="23" t="s">
        <v>2279</v>
      </c>
      <c r="J139" s="23" t="s">
        <v>2280</v>
      </c>
      <c r="K139" s="763" t="s">
        <v>1166</v>
      </c>
      <c r="L139" s="35" t="s">
        <v>3479</v>
      </c>
    </row>
    <row r="140" spans="2:12" x14ac:dyDescent="0.35">
      <c r="B140" s="1" t="s">
        <v>1976</v>
      </c>
      <c r="C140" s="3" t="s">
        <v>95</v>
      </c>
      <c r="E140" s="23" t="s">
        <v>1168</v>
      </c>
      <c r="F140" s="23" t="s">
        <v>1977</v>
      </c>
      <c r="G140" s="23" t="s">
        <v>1978</v>
      </c>
      <c r="H140" s="41" t="s">
        <v>1979</v>
      </c>
      <c r="I140" s="23" t="s">
        <v>2281</v>
      </c>
      <c r="J140" s="23" t="s">
        <v>2282</v>
      </c>
      <c r="K140" s="764"/>
      <c r="L140" s="35" t="s">
        <v>3479</v>
      </c>
    </row>
    <row r="141" spans="2:12" x14ac:dyDescent="0.35">
      <c r="B141" s="1" t="s">
        <v>1976</v>
      </c>
      <c r="C141" s="3" t="s">
        <v>95</v>
      </c>
      <c r="E141" s="23" t="s">
        <v>1174</v>
      </c>
      <c r="F141" s="23" t="s">
        <v>1977</v>
      </c>
      <c r="G141" s="23" t="s">
        <v>1978</v>
      </c>
      <c r="H141" s="41" t="s">
        <v>2011</v>
      </c>
      <c r="I141" s="23" t="s">
        <v>2283</v>
      </c>
      <c r="J141" s="23" t="s">
        <v>2284</v>
      </c>
      <c r="K141" s="764"/>
      <c r="L141" s="35" t="s">
        <v>3479</v>
      </c>
    </row>
    <row r="142" spans="2:12" x14ac:dyDescent="0.35">
      <c r="B142" s="1" t="s">
        <v>1976</v>
      </c>
      <c r="C142" s="3" t="s">
        <v>95</v>
      </c>
      <c r="E142" s="23" t="s">
        <v>1177</v>
      </c>
      <c r="F142" s="23" t="s">
        <v>1977</v>
      </c>
      <c r="G142" s="23" t="s">
        <v>1978</v>
      </c>
      <c r="H142" s="41" t="s">
        <v>1979</v>
      </c>
      <c r="I142" s="23" t="s">
        <v>2285</v>
      </c>
      <c r="J142" s="23" t="s">
        <v>2286</v>
      </c>
      <c r="K142" s="764"/>
      <c r="L142" t="s">
        <v>3479</v>
      </c>
    </row>
    <row r="143" spans="2:12" x14ac:dyDescent="0.35">
      <c r="B143" s="1" t="s">
        <v>1976</v>
      </c>
      <c r="C143" s="3" t="s">
        <v>95</v>
      </c>
      <c r="E143" s="23" t="s">
        <v>1182</v>
      </c>
      <c r="F143" s="23" t="s">
        <v>1977</v>
      </c>
      <c r="G143" s="23" t="s">
        <v>1978</v>
      </c>
      <c r="H143" s="41" t="s">
        <v>1979</v>
      </c>
      <c r="I143" s="23" t="s">
        <v>2287</v>
      </c>
      <c r="J143" s="23" t="s">
        <v>2288</v>
      </c>
      <c r="K143" s="764"/>
      <c r="L143" t="s">
        <v>3479</v>
      </c>
    </row>
    <row r="144" spans="2:12" x14ac:dyDescent="0.35">
      <c r="B144" s="1" t="s">
        <v>2029</v>
      </c>
      <c r="C144" s="3" t="s">
        <v>95</v>
      </c>
      <c r="E144" s="23" t="s">
        <v>2289</v>
      </c>
      <c r="F144" s="23" t="s">
        <v>1977</v>
      </c>
      <c r="G144" s="23" t="s">
        <v>1978</v>
      </c>
      <c r="H144" s="41" t="s">
        <v>1979</v>
      </c>
      <c r="I144" s="23" t="s">
        <v>2290</v>
      </c>
      <c r="J144" s="23"/>
      <c r="K144" s="764"/>
      <c r="L144" t="s">
        <v>3479</v>
      </c>
    </row>
    <row r="145" spans="2:12" x14ac:dyDescent="0.35">
      <c r="B145" s="1" t="s">
        <v>1976</v>
      </c>
      <c r="C145" s="3" t="s">
        <v>95</v>
      </c>
      <c r="E145" s="23" t="s">
        <v>1185</v>
      </c>
      <c r="F145" s="23" t="s">
        <v>1977</v>
      </c>
      <c r="G145" s="23" t="s">
        <v>1978</v>
      </c>
      <c r="H145" s="41" t="s">
        <v>2011</v>
      </c>
      <c r="I145" s="23" t="s">
        <v>2291</v>
      </c>
      <c r="J145" s="23" t="s">
        <v>2292</v>
      </c>
      <c r="K145" s="764"/>
      <c r="L145" s="35" t="s">
        <v>3479</v>
      </c>
    </row>
    <row r="146" spans="2:12" x14ac:dyDescent="0.35">
      <c r="B146" s="1" t="s">
        <v>2029</v>
      </c>
      <c r="C146" s="3" t="s">
        <v>95</v>
      </c>
      <c r="E146" s="23" t="s">
        <v>1197</v>
      </c>
      <c r="F146" s="23" t="s">
        <v>1977</v>
      </c>
      <c r="G146" s="23" t="s">
        <v>1978</v>
      </c>
      <c r="H146" s="41" t="s">
        <v>1979</v>
      </c>
      <c r="I146" s="23" t="s">
        <v>2293</v>
      </c>
      <c r="J146" s="23" t="s">
        <v>2294</v>
      </c>
      <c r="K146" s="764"/>
      <c r="L146" t="s">
        <v>3479</v>
      </c>
    </row>
    <row r="147" spans="2:12" x14ac:dyDescent="0.35">
      <c r="B147" s="1" t="s">
        <v>2029</v>
      </c>
      <c r="C147" s="3" t="s">
        <v>95</v>
      </c>
      <c r="E147" s="23" t="s">
        <v>2295</v>
      </c>
      <c r="F147" s="23" t="s">
        <v>1977</v>
      </c>
      <c r="G147" s="23" t="s">
        <v>1978</v>
      </c>
      <c r="H147" s="41" t="s">
        <v>1979</v>
      </c>
      <c r="I147" s="23" t="s">
        <v>2296</v>
      </c>
      <c r="J147" s="23" t="s">
        <v>2297</v>
      </c>
      <c r="K147" s="764"/>
      <c r="L147" t="s">
        <v>3479</v>
      </c>
    </row>
    <row r="148" spans="2:12" x14ac:dyDescent="0.35">
      <c r="B148" s="1" t="s">
        <v>1976</v>
      </c>
      <c r="C148" s="3" t="s">
        <v>95</v>
      </c>
      <c r="E148" s="23" t="s">
        <v>2298</v>
      </c>
      <c r="F148" s="23" t="s">
        <v>1977</v>
      </c>
      <c r="G148" s="23" t="s">
        <v>1978</v>
      </c>
      <c r="H148" s="41" t="s">
        <v>2011</v>
      </c>
      <c r="I148" s="23" t="s">
        <v>2299</v>
      </c>
      <c r="J148" s="23" t="s">
        <v>2300</v>
      </c>
      <c r="K148" s="764"/>
      <c r="L148" s="35" t="s">
        <v>3479</v>
      </c>
    </row>
    <row r="149" spans="2:12" x14ac:dyDescent="0.35">
      <c r="B149" s="1" t="s">
        <v>1976</v>
      </c>
      <c r="C149" s="3" t="s">
        <v>95</v>
      </c>
      <c r="E149" s="23" t="s">
        <v>609</v>
      </c>
      <c r="F149" s="23" t="s">
        <v>1977</v>
      </c>
      <c r="G149" s="23" t="s">
        <v>1978</v>
      </c>
      <c r="H149" s="41" t="s">
        <v>1979</v>
      </c>
      <c r="I149" s="23" t="s">
        <v>2301</v>
      </c>
      <c r="J149" s="23" t="s">
        <v>2302</v>
      </c>
      <c r="K149" s="764"/>
      <c r="L149" t="s">
        <v>3479</v>
      </c>
    </row>
    <row r="150" spans="2:12" x14ac:dyDescent="0.35">
      <c r="B150" s="1" t="s">
        <v>1976</v>
      </c>
      <c r="C150" s="3" t="s">
        <v>95</v>
      </c>
      <c r="E150" s="23" t="s">
        <v>2303</v>
      </c>
      <c r="F150" s="23" t="s">
        <v>1977</v>
      </c>
      <c r="G150" s="23" t="s">
        <v>1978</v>
      </c>
      <c r="H150" s="41" t="s">
        <v>1989</v>
      </c>
      <c r="I150" s="23" t="s">
        <v>2304</v>
      </c>
      <c r="J150" s="23" t="s">
        <v>2305</v>
      </c>
      <c r="K150" s="759" t="s">
        <v>1201</v>
      </c>
      <c r="L150" s="35" t="s">
        <v>3479</v>
      </c>
    </row>
    <row r="151" spans="2:12" x14ac:dyDescent="0.35">
      <c r="B151" s="1" t="s">
        <v>1976</v>
      </c>
      <c r="C151" s="3" t="s">
        <v>95</v>
      </c>
      <c r="E151" s="23" t="s">
        <v>1203</v>
      </c>
      <c r="F151" s="23" t="s">
        <v>1977</v>
      </c>
      <c r="G151" s="23" t="s">
        <v>1978</v>
      </c>
      <c r="H151" s="41" t="s">
        <v>1979</v>
      </c>
      <c r="I151" s="23" t="s">
        <v>2306</v>
      </c>
      <c r="J151" s="23"/>
      <c r="K151" s="759"/>
      <c r="L151" t="s">
        <v>3479</v>
      </c>
    </row>
    <row r="152" spans="2:12" x14ac:dyDescent="0.35">
      <c r="B152" s="1" t="s">
        <v>1976</v>
      </c>
      <c r="C152" s="3" t="s">
        <v>95</v>
      </c>
      <c r="E152" s="23" t="s">
        <v>1213</v>
      </c>
      <c r="F152" s="23" t="s">
        <v>1977</v>
      </c>
      <c r="G152" s="23" t="s">
        <v>1978</v>
      </c>
      <c r="H152" s="41" t="s">
        <v>1979</v>
      </c>
      <c r="I152" s="23" t="s">
        <v>2307</v>
      </c>
      <c r="J152" s="23" t="s">
        <v>2308</v>
      </c>
      <c r="K152" s="759"/>
      <c r="L152" t="s">
        <v>3479</v>
      </c>
    </row>
    <row r="153" spans="2:12" x14ac:dyDescent="0.35">
      <c r="B153" s="1" t="s">
        <v>1976</v>
      </c>
      <c r="C153" s="3" t="s">
        <v>95</v>
      </c>
      <c r="E153" s="23" t="s">
        <v>1226</v>
      </c>
      <c r="F153" s="23" t="s">
        <v>1977</v>
      </c>
      <c r="G153" s="23" t="s">
        <v>1978</v>
      </c>
      <c r="H153" s="41" t="s">
        <v>1979</v>
      </c>
      <c r="I153" s="23" t="s">
        <v>2309</v>
      </c>
      <c r="J153" s="23" t="s">
        <v>2310</v>
      </c>
      <c r="K153" s="759"/>
      <c r="L153" t="s">
        <v>3479</v>
      </c>
    </row>
    <row r="154" spans="2:12" x14ac:dyDescent="0.35">
      <c r="B154" s="1" t="s">
        <v>1976</v>
      </c>
      <c r="C154" s="3" t="s">
        <v>95</v>
      </c>
      <c r="E154" s="23" t="s">
        <v>330</v>
      </c>
      <c r="F154" s="23" t="s">
        <v>1977</v>
      </c>
      <c r="G154" s="23" t="s">
        <v>1978</v>
      </c>
      <c r="H154" s="41" t="s">
        <v>1979</v>
      </c>
      <c r="I154" s="23" t="s">
        <v>2311</v>
      </c>
      <c r="J154" s="23" t="s">
        <v>2312</v>
      </c>
      <c r="K154" s="759"/>
      <c r="L154" t="s">
        <v>3479</v>
      </c>
    </row>
    <row r="155" spans="2:12" x14ac:dyDescent="0.35">
      <c r="B155" s="1" t="s">
        <v>1976</v>
      </c>
      <c r="C155" s="3" t="s">
        <v>95</v>
      </c>
      <c r="E155" s="23" t="s">
        <v>467</v>
      </c>
      <c r="F155" s="23" t="s">
        <v>1977</v>
      </c>
      <c r="G155" s="23" t="s">
        <v>1978</v>
      </c>
      <c r="H155" s="39" t="s">
        <v>1979</v>
      </c>
      <c r="I155" s="23" t="s">
        <v>2313</v>
      </c>
      <c r="J155" s="23" t="s">
        <v>2314</v>
      </c>
      <c r="K155" s="759"/>
      <c r="L155" t="s">
        <v>3479</v>
      </c>
    </row>
    <row r="156" spans="2:12" x14ac:dyDescent="0.35">
      <c r="B156" s="1" t="s">
        <v>1976</v>
      </c>
      <c r="C156" s="3" t="s">
        <v>95</v>
      </c>
      <c r="E156" s="23" t="s">
        <v>1209</v>
      </c>
      <c r="F156" s="23" t="s">
        <v>1977</v>
      </c>
      <c r="G156" s="23" t="s">
        <v>1978</v>
      </c>
      <c r="H156" s="39" t="s">
        <v>1979</v>
      </c>
      <c r="I156" s="23" t="s">
        <v>2315</v>
      </c>
      <c r="J156" s="23" t="s">
        <v>2316</v>
      </c>
      <c r="K156" s="759"/>
      <c r="L156" t="s">
        <v>3479</v>
      </c>
    </row>
    <row r="157" spans="2:12" x14ac:dyDescent="0.35">
      <c r="B157" s="1" t="s">
        <v>1976</v>
      </c>
      <c r="C157" s="3" t="s">
        <v>95</v>
      </c>
      <c r="E157" s="23" t="s">
        <v>1586</v>
      </c>
      <c r="F157" s="23" t="s">
        <v>1977</v>
      </c>
      <c r="G157" s="23" t="s">
        <v>1978</v>
      </c>
      <c r="H157" s="41" t="s">
        <v>1979</v>
      </c>
      <c r="I157" s="23" t="s">
        <v>2317</v>
      </c>
      <c r="J157" s="23" t="s">
        <v>2318</v>
      </c>
      <c r="K157" s="759"/>
      <c r="L157" t="s">
        <v>3479</v>
      </c>
    </row>
    <row r="158" spans="2:12" x14ac:dyDescent="0.35">
      <c r="B158" s="1" t="s">
        <v>1976</v>
      </c>
      <c r="C158" s="3" t="s">
        <v>95</v>
      </c>
      <c r="E158" s="23" t="s">
        <v>1283</v>
      </c>
      <c r="F158" s="23" t="s">
        <v>1977</v>
      </c>
      <c r="G158" s="23" t="s">
        <v>1978</v>
      </c>
      <c r="H158" s="41" t="s">
        <v>1979</v>
      </c>
      <c r="I158" s="23" t="s">
        <v>2319</v>
      </c>
      <c r="J158" s="23" t="s">
        <v>2320</v>
      </c>
      <c r="K158" s="759"/>
      <c r="L158" t="s">
        <v>3479</v>
      </c>
    </row>
    <row r="159" spans="2:12" x14ac:dyDescent="0.35">
      <c r="B159" s="1" t="s">
        <v>1976</v>
      </c>
      <c r="C159" s="3" t="s">
        <v>95</v>
      </c>
      <c r="E159" s="23" t="s">
        <v>1206</v>
      </c>
      <c r="F159" s="23" t="s">
        <v>1977</v>
      </c>
      <c r="G159" s="23" t="s">
        <v>1978</v>
      </c>
      <c r="H159" s="41" t="s">
        <v>1979</v>
      </c>
      <c r="I159" s="23" t="s">
        <v>2321</v>
      </c>
      <c r="J159" s="23" t="s">
        <v>2322</v>
      </c>
      <c r="K159" s="759"/>
      <c r="L159" t="s">
        <v>3479</v>
      </c>
    </row>
    <row r="160" spans="2:12" x14ac:dyDescent="0.35">
      <c r="B160" s="1" t="s">
        <v>1976</v>
      </c>
      <c r="C160" s="3" t="s">
        <v>95</v>
      </c>
      <c r="E160" s="23" t="s">
        <v>103</v>
      </c>
      <c r="F160" s="23" t="s">
        <v>1977</v>
      </c>
      <c r="G160" s="23" t="s">
        <v>1978</v>
      </c>
      <c r="H160" s="41" t="s">
        <v>1979</v>
      </c>
      <c r="I160" s="23" t="s">
        <v>2323</v>
      </c>
      <c r="J160" s="23" t="s">
        <v>2324</v>
      </c>
      <c r="K160" s="759"/>
      <c r="L160" t="s">
        <v>3479</v>
      </c>
    </row>
    <row r="161" spans="2:12" x14ac:dyDescent="0.35">
      <c r="B161" s="1" t="s">
        <v>2029</v>
      </c>
      <c r="C161" s="3" t="s">
        <v>95</v>
      </c>
      <c r="E161" s="23" t="s">
        <v>469</v>
      </c>
      <c r="F161" s="23" t="s">
        <v>1977</v>
      </c>
      <c r="G161" s="23" t="s">
        <v>1978</v>
      </c>
      <c r="H161" s="41" t="s">
        <v>1979</v>
      </c>
      <c r="I161" s="23" t="s">
        <v>2325</v>
      </c>
      <c r="J161" s="23" t="s">
        <v>2326</v>
      </c>
      <c r="K161" s="759"/>
      <c r="L161" t="s">
        <v>3479</v>
      </c>
    </row>
    <row r="162" spans="2:12" x14ac:dyDescent="0.35">
      <c r="B162" s="1" t="s">
        <v>2029</v>
      </c>
      <c r="C162" s="3" t="s">
        <v>95</v>
      </c>
      <c r="E162" s="23" t="s">
        <v>1220</v>
      </c>
      <c r="F162" s="23" t="s">
        <v>1977</v>
      </c>
      <c r="G162" s="23" t="s">
        <v>1978</v>
      </c>
      <c r="H162" s="41" t="s">
        <v>1979</v>
      </c>
      <c r="I162" s="23" t="s">
        <v>2327</v>
      </c>
      <c r="J162" s="23" t="s">
        <v>2328</v>
      </c>
      <c r="K162" s="759"/>
      <c r="L162" t="s">
        <v>3479</v>
      </c>
    </row>
    <row r="163" spans="2:12" x14ac:dyDescent="0.35">
      <c r="B163" s="1" t="s">
        <v>1976</v>
      </c>
      <c r="C163" s="3" t="s">
        <v>95</v>
      </c>
      <c r="E163" s="23" t="s">
        <v>2329</v>
      </c>
      <c r="F163" s="23" t="s">
        <v>1977</v>
      </c>
      <c r="G163" s="23" t="s">
        <v>1978</v>
      </c>
      <c r="H163" s="41" t="s">
        <v>1979</v>
      </c>
      <c r="I163" s="23" t="s">
        <v>2330</v>
      </c>
      <c r="J163" s="23" t="s">
        <v>2331</v>
      </c>
      <c r="K163" s="759"/>
      <c r="L163" t="s">
        <v>3479</v>
      </c>
    </row>
    <row r="164" spans="2:12" x14ac:dyDescent="0.35">
      <c r="B164" s="1" t="s">
        <v>2029</v>
      </c>
      <c r="C164" s="3" t="s">
        <v>95</v>
      </c>
      <c r="E164" s="43" t="s">
        <v>557</v>
      </c>
      <c r="F164" s="43" t="s">
        <v>1977</v>
      </c>
      <c r="G164" s="43" t="s">
        <v>1978</v>
      </c>
      <c r="H164" s="39" t="s">
        <v>1979</v>
      </c>
      <c r="I164" s="23" t="s">
        <v>2332</v>
      </c>
      <c r="J164" s="23" t="s">
        <v>2333</v>
      </c>
      <c r="K164" s="760"/>
      <c r="L164" t="s">
        <v>3479</v>
      </c>
    </row>
    <row r="165" spans="2:12" x14ac:dyDescent="0.35">
      <c r="B165" s="1" t="s">
        <v>2029</v>
      </c>
      <c r="C165" s="3" t="s">
        <v>95</v>
      </c>
      <c r="E165" s="23" t="s">
        <v>672</v>
      </c>
      <c r="F165" s="23" t="s">
        <v>1977</v>
      </c>
      <c r="G165" s="23" t="s">
        <v>1978</v>
      </c>
      <c r="H165" s="41" t="s">
        <v>1979</v>
      </c>
      <c r="I165" s="23" t="s">
        <v>2334</v>
      </c>
      <c r="J165" s="23" t="s">
        <v>2335</v>
      </c>
      <c r="K165" s="761" t="s">
        <v>1240</v>
      </c>
      <c r="L165" t="s">
        <v>3479</v>
      </c>
    </row>
    <row r="166" spans="2:12" x14ac:dyDescent="0.35">
      <c r="B166" s="1" t="s">
        <v>1976</v>
      </c>
      <c r="C166" s="3" t="s">
        <v>95</v>
      </c>
      <c r="E166" s="23" t="s">
        <v>1263</v>
      </c>
      <c r="F166" s="23" t="s">
        <v>1977</v>
      </c>
      <c r="G166" s="23" t="s">
        <v>1978</v>
      </c>
      <c r="H166" s="41" t="s">
        <v>1979</v>
      </c>
      <c r="I166" s="23" t="s">
        <v>2336</v>
      </c>
      <c r="J166" s="23" t="s">
        <v>2337</v>
      </c>
      <c r="K166" s="761"/>
      <c r="L166" t="s">
        <v>3479</v>
      </c>
    </row>
    <row r="167" spans="2:12" x14ac:dyDescent="0.35">
      <c r="B167" s="1" t="s">
        <v>1976</v>
      </c>
      <c r="C167" s="3" t="s">
        <v>95</v>
      </c>
      <c r="E167" s="23" t="s">
        <v>2338</v>
      </c>
      <c r="F167" s="23" t="s">
        <v>1977</v>
      </c>
      <c r="G167" s="23" t="s">
        <v>1978</v>
      </c>
      <c r="H167" s="41" t="s">
        <v>1979</v>
      </c>
      <c r="I167" s="23" t="s">
        <v>2339</v>
      </c>
      <c r="J167" s="23" t="s">
        <v>2340</v>
      </c>
      <c r="K167" s="761"/>
      <c r="L167" t="s">
        <v>3479</v>
      </c>
    </row>
    <row r="168" spans="2:12" x14ac:dyDescent="0.35">
      <c r="B168" s="1" t="s">
        <v>1976</v>
      </c>
      <c r="C168" s="3" t="s">
        <v>95</v>
      </c>
      <c r="E168" s="23" t="s">
        <v>516</v>
      </c>
      <c r="F168" s="23" t="s">
        <v>1977</v>
      </c>
      <c r="G168" s="23" t="s">
        <v>1978</v>
      </c>
      <c r="H168" s="41" t="s">
        <v>1979</v>
      </c>
      <c r="I168" s="23" t="s">
        <v>2341</v>
      </c>
      <c r="J168" s="23" t="s">
        <v>2342</v>
      </c>
      <c r="K168" s="761"/>
      <c r="L168" t="s">
        <v>3479</v>
      </c>
    </row>
    <row r="169" spans="2:12" x14ac:dyDescent="0.35">
      <c r="B169" s="1" t="s">
        <v>2173</v>
      </c>
      <c r="C169" s="3" t="s">
        <v>95</v>
      </c>
      <c r="E169" s="123" t="s">
        <v>2343</v>
      </c>
      <c r="F169" s="23" t="s">
        <v>1977</v>
      </c>
      <c r="G169" s="23" t="s">
        <v>1978</v>
      </c>
      <c r="H169" s="41" t="s">
        <v>1979</v>
      </c>
      <c r="I169" s="23" t="s">
        <v>2344</v>
      </c>
      <c r="J169" s="23" t="s">
        <v>2345</v>
      </c>
      <c r="K169" s="761"/>
      <c r="L169" t="s">
        <v>3479</v>
      </c>
    </row>
    <row r="170" spans="2:12" x14ac:dyDescent="0.35">
      <c r="B170" s="1" t="s">
        <v>1976</v>
      </c>
      <c r="C170" s="3" t="s">
        <v>95</v>
      </c>
      <c r="E170" s="23" t="s">
        <v>6341</v>
      </c>
      <c r="F170" s="23" t="s">
        <v>1977</v>
      </c>
      <c r="G170" s="23" t="s">
        <v>1978</v>
      </c>
      <c r="H170" s="41" t="s">
        <v>1979</v>
      </c>
      <c r="I170" s="23" t="s">
        <v>2347</v>
      </c>
      <c r="J170" s="23" t="s">
        <v>2348</v>
      </c>
      <c r="K170" s="761"/>
      <c r="L170" t="s">
        <v>3479</v>
      </c>
    </row>
    <row r="171" spans="2:12" x14ac:dyDescent="0.35">
      <c r="B171" s="1" t="s">
        <v>2173</v>
      </c>
      <c r="C171" s="3" t="s">
        <v>95</v>
      </c>
      <c r="E171" s="23" t="s">
        <v>1276</v>
      </c>
      <c r="F171" s="23" t="s">
        <v>1977</v>
      </c>
      <c r="G171" s="23" t="s">
        <v>1978</v>
      </c>
      <c r="H171" s="41" t="s">
        <v>1979</v>
      </c>
      <c r="I171" s="23" t="s">
        <v>2349</v>
      </c>
      <c r="J171" s="23" t="s">
        <v>2350</v>
      </c>
      <c r="K171" s="761"/>
      <c r="L171" t="s">
        <v>3479</v>
      </c>
    </row>
    <row r="172" spans="2:12" x14ac:dyDescent="0.35">
      <c r="B172" s="1" t="s">
        <v>2173</v>
      </c>
      <c r="C172" s="3" t="s">
        <v>95</v>
      </c>
      <c r="E172" s="23" t="s">
        <v>1273</v>
      </c>
      <c r="F172" s="23" t="s">
        <v>1977</v>
      </c>
      <c r="G172" s="23" t="s">
        <v>1978</v>
      </c>
      <c r="H172" s="41" t="s">
        <v>1979</v>
      </c>
      <c r="I172" s="23" t="s">
        <v>2351</v>
      </c>
      <c r="J172" s="23" t="s">
        <v>2352</v>
      </c>
      <c r="K172" s="761"/>
      <c r="L172" t="s">
        <v>3479</v>
      </c>
    </row>
    <row r="173" spans="2:12" x14ac:dyDescent="0.35">
      <c r="B173" s="1" t="s">
        <v>2353</v>
      </c>
      <c r="C173" s="3" t="s">
        <v>95</v>
      </c>
      <c r="E173" s="23" t="s">
        <v>1878</v>
      </c>
      <c r="F173" s="23" t="s">
        <v>1977</v>
      </c>
      <c r="G173" s="23" t="s">
        <v>1978</v>
      </c>
      <c r="H173" s="41" t="s">
        <v>2011</v>
      </c>
      <c r="I173" s="23" t="s">
        <v>2354</v>
      </c>
      <c r="J173" s="23" t="s">
        <v>2355</v>
      </c>
      <c r="K173" s="761"/>
      <c r="L173" t="s">
        <v>3479</v>
      </c>
    </row>
    <row r="174" spans="2:12" x14ac:dyDescent="0.35">
      <c r="B174" s="1" t="s">
        <v>1976</v>
      </c>
      <c r="C174" s="3" t="s">
        <v>95</v>
      </c>
      <c r="E174" s="23" t="s">
        <v>2356</v>
      </c>
      <c r="F174" s="23" t="s">
        <v>1977</v>
      </c>
      <c r="G174" s="23" t="s">
        <v>1978</v>
      </c>
      <c r="H174" s="41" t="s">
        <v>2011</v>
      </c>
      <c r="I174" s="23" t="s">
        <v>2357</v>
      </c>
      <c r="J174" s="23" t="s">
        <v>2358</v>
      </c>
      <c r="K174" s="761"/>
      <c r="L174" t="s">
        <v>3479</v>
      </c>
    </row>
    <row r="175" spans="2:12" x14ac:dyDescent="0.35">
      <c r="B175" s="1" t="s">
        <v>2173</v>
      </c>
      <c r="C175" s="3" t="s">
        <v>95</v>
      </c>
      <c r="E175" s="23" t="s">
        <v>1256</v>
      </c>
      <c r="F175" s="23" t="s">
        <v>1977</v>
      </c>
      <c r="G175" s="23" t="s">
        <v>1978</v>
      </c>
      <c r="H175" s="41" t="s">
        <v>1979</v>
      </c>
      <c r="I175" s="23" t="s">
        <v>2359</v>
      </c>
      <c r="J175" s="23" t="s">
        <v>2360</v>
      </c>
      <c r="K175" s="761"/>
      <c r="L175" t="s">
        <v>3479</v>
      </c>
    </row>
    <row r="176" spans="2:12" x14ac:dyDescent="0.35">
      <c r="B176" s="1" t="s">
        <v>2026</v>
      </c>
      <c r="C176" s="3" t="s">
        <v>95</v>
      </c>
      <c r="E176" s="43" t="s">
        <v>507</v>
      </c>
      <c r="F176" s="43" t="s">
        <v>1977</v>
      </c>
      <c r="G176" s="43" t="s">
        <v>1978</v>
      </c>
      <c r="H176" s="39" t="s">
        <v>1989</v>
      </c>
      <c r="I176" s="23" t="s">
        <v>2361</v>
      </c>
      <c r="J176" s="23"/>
      <c r="K176" s="761" t="s">
        <v>1282</v>
      </c>
      <c r="L176" t="s">
        <v>3479</v>
      </c>
    </row>
    <row r="177" spans="2:12" x14ac:dyDescent="0.35">
      <c r="B177" s="1" t="s">
        <v>1976</v>
      </c>
      <c r="C177" s="3" t="s">
        <v>95</v>
      </c>
      <c r="E177" s="22" t="s">
        <v>1285</v>
      </c>
      <c r="F177" s="22" t="s">
        <v>1977</v>
      </c>
      <c r="G177" s="17" t="s">
        <v>1978</v>
      </c>
      <c r="H177" s="868" t="s">
        <v>1979</v>
      </c>
      <c r="I177" t="s">
        <v>6338</v>
      </c>
      <c r="J177" s="23"/>
      <c r="K177" s="761"/>
      <c r="L177" t="s">
        <v>3479</v>
      </c>
    </row>
    <row r="178" spans="2:12" x14ac:dyDescent="0.35">
      <c r="B178" s="1" t="s">
        <v>1976</v>
      </c>
      <c r="C178" s="3" t="s">
        <v>95</v>
      </c>
      <c r="E178" s="22" t="s">
        <v>1287</v>
      </c>
      <c r="F178" s="22" t="s">
        <v>1977</v>
      </c>
      <c r="G178" s="17" t="s">
        <v>1978</v>
      </c>
      <c r="H178" s="868" t="s">
        <v>1979</v>
      </c>
      <c r="I178" s="22" t="s">
        <v>2363</v>
      </c>
      <c r="J178" s="23"/>
      <c r="K178" s="761"/>
      <c r="L178" t="s">
        <v>3479</v>
      </c>
    </row>
    <row r="179" spans="2:12" x14ac:dyDescent="0.35">
      <c r="B179" s="1" t="s">
        <v>1976</v>
      </c>
      <c r="C179" s="3" t="s">
        <v>95</v>
      </c>
      <c r="E179" s="22" t="s">
        <v>6339</v>
      </c>
      <c r="F179" s="22" t="s">
        <v>1977</v>
      </c>
      <c r="G179" s="17" t="s">
        <v>1978</v>
      </c>
      <c r="H179" s="868" t="s">
        <v>1979</v>
      </c>
      <c r="I179" s="31" t="s">
        <v>2367</v>
      </c>
      <c r="J179" s="23"/>
      <c r="K179" s="761"/>
      <c r="L179" t="s">
        <v>3479</v>
      </c>
    </row>
    <row r="180" spans="2:12" x14ac:dyDescent="0.35">
      <c r="B180" s="1" t="s">
        <v>1976</v>
      </c>
      <c r="C180" s="3" t="s">
        <v>95</v>
      </c>
      <c r="E180" s="22" t="s">
        <v>6340</v>
      </c>
      <c r="F180" s="22" t="s">
        <v>1977</v>
      </c>
      <c r="G180" s="17" t="s">
        <v>1978</v>
      </c>
      <c r="H180" s="868" t="s">
        <v>1979</v>
      </c>
      <c r="I180" s="22" t="s">
        <v>2364</v>
      </c>
      <c r="J180" s="23"/>
      <c r="K180" s="761"/>
      <c r="L180" t="s">
        <v>3479</v>
      </c>
    </row>
    <row r="181" spans="2:12" x14ac:dyDescent="0.35">
      <c r="B181" s="1"/>
      <c r="C181" s="3"/>
      <c r="E181" s="22" t="s">
        <v>1293</v>
      </c>
      <c r="F181" s="22" t="s">
        <v>1977</v>
      </c>
      <c r="G181" s="17" t="s">
        <v>1978</v>
      </c>
      <c r="H181" s="868" t="s">
        <v>1979</v>
      </c>
      <c r="I181" s="22" t="s">
        <v>2365</v>
      </c>
      <c r="J181" s="23"/>
      <c r="K181" s="761"/>
    </row>
    <row r="182" spans="2:12" x14ac:dyDescent="0.35">
      <c r="B182" s="1"/>
      <c r="C182" s="3"/>
      <c r="E182" s="31" t="s">
        <v>2366</v>
      </c>
      <c r="F182" s="869" t="s">
        <v>1977</v>
      </c>
      <c r="G182" s="17" t="s">
        <v>1978</v>
      </c>
      <c r="H182" s="868" t="s">
        <v>2011</v>
      </c>
      <c r="I182" s="22" t="s">
        <v>2362</v>
      </c>
      <c r="J182" s="23"/>
      <c r="K182" s="761"/>
    </row>
    <row r="183" spans="2:12" x14ac:dyDescent="0.35">
      <c r="B183" s="1" t="s">
        <v>1976</v>
      </c>
      <c r="C183" s="3" t="s">
        <v>95</v>
      </c>
      <c r="E183" s="23" t="s">
        <v>501</v>
      </c>
      <c r="F183" s="23" t="s">
        <v>1977</v>
      </c>
      <c r="G183" s="23" t="s">
        <v>1978</v>
      </c>
      <c r="H183" s="41" t="s">
        <v>2102</v>
      </c>
      <c r="I183" s="23" t="s">
        <v>2368</v>
      </c>
      <c r="J183" s="23" t="s">
        <v>2369</v>
      </c>
      <c r="K183" s="761" t="s">
        <v>1301</v>
      </c>
      <c r="L183" t="s">
        <v>3479</v>
      </c>
    </row>
    <row r="184" spans="2:12" x14ac:dyDescent="0.35">
      <c r="B184" s="1" t="s">
        <v>1976</v>
      </c>
      <c r="C184" s="3" t="s">
        <v>95</v>
      </c>
      <c r="E184" s="23" t="s">
        <v>2370</v>
      </c>
      <c r="F184" s="23" t="s">
        <v>1977</v>
      </c>
      <c r="G184" s="23" t="s">
        <v>1978</v>
      </c>
      <c r="H184" s="41" t="s">
        <v>1979</v>
      </c>
      <c r="I184" s="23" t="s">
        <v>2371</v>
      </c>
      <c r="J184" s="23" t="s">
        <v>2372</v>
      </c>
      <c r="K184" s="761"/>
      <c r="L184" t="s">
        <v>3479</v>
      </c>
    </row>
    <row r="185" spans="2:12" x14ac:dyDescent="0.35">
      <c r="B185" s="1" t="s">
        <v>1976</v>
      </c>
      <c r="C185" s="3" t="s">
        <v>95</v>
      </c>
      <c r="E185" s="23" t="s">
        <v>490</v>
      </c>
      <c r="F185" s="23" t="s">
        <v>1977</v>
      </c>
      <c r="G185" s="23" t="s">
        <v>1978</v>
      </c>
      <c r="H185" s="39" t="s">
        <v>1979</v>
      </c>
      <c r="I185" s="23" t="s">
        <v>2373</v>
      </c>
      <c r="J185" s="23" t="s">
        <v>2374</v>
      </c>
      <c r="K185" s="298"/>
      <c r="L185" s="35" t="s">
        <v>3479</v>
      </c>
    </row>
    <row r="186" spans="2:12" x14ac:dyDescent="0.35">
      <c r="B186" s="1" t="s">
        <v>2029</v>
      </c>
      <c r="C186" s="3" t="s">
        <v>95</v>
      </c>
      <c r="E186" s="23" t="s">
        <v>677</v>
      </c>
      <c r="F186" s="23" t="s">
        <v>1977</v>
      </c>
      <c r="G186" s="23" t="s">
        <v>1978</v>
      </c>
      <c r="H186" s="39" t="s">
        <v>1979</v>
      </c>
      <c r="I186" s="23" t="s">
        <v>2375</v>
      </c>
      <c r="J186" s="23" t="s">
        <v>2376</v>
      </c>
      <c r="K186" s="758" t="s">
        <v>2377</v>
      </c>
      <c r="L186" s="35" t="s">
        <v>3479</v>
      </c>
    </row>
    <row r="187" spans="2:12" x14ac:dyDescent="0.35">
      <c r="B187" s="1" t="s">
        <v>1976</v>
      </c>
      <c r="C187" s="3" t="s">
        <v>95</v>
      </c>
      <c r="E187" s="23" t="s">
        <v>2378</v>
      </c>
      <c r="F187" s="23" t="s">
        <v>1977</v>
      </c>
      <c r="G187" s="23" t="s">
        <v>1978</v>
      </c>
      <c r="H187" s="41" t="s">
        <v>2011</v>
      </c>
      <c r="I187" s="23" t="s">
        <v>2379</v>
      </c>
      <c r="J187" s="23" t="s">
        <v>2380</v>
      </c>
      <c r="K187" s="759"/>
      <c r="L187" s="35" t="s">
        <v>3479</v>
      </c>
    </row>
    <row r="188" spans="2:12" x14ac:dyDescent="0.35">
      <c r="B188" s="1" t="s">
        <v>1976</v>
      </c>
      <c r="C188" s="3" t="s">
        <v>95</v>
      </c>
      <c r="E188" s="23" t="s">
        <v>1313</v>
      </c>
      <c r="F188" s="23" t="s">
        <v>1977</v>
      </c>
      <c r="G188" s="23" t="s">
        <v>1978</v>
      </c>
      <c r="H188" s="41" t="s">
        <v>2011</v>
      </c>
      <c r="I188" s="23" t="s">
        <v>2381</v>
      </c>
      <c r="J188" s="23" t="s">
        <v>2382</v>
      </c>
      <c r="K188" s="759"/>
      <c r="L188" s="35" t="s">
        <v>3479</v>
      </c>
    </row>
    <row r="189" spans="2:12" x14ac:dyDescent="0.35">
      <c r="B189" s="1" t="s">
        <v>1976</v>
      </c>
      <c r="C189" s="3" t="s">
        <v>95</v>
      </c>
      <c r="E189" s="23" t="s">
        <v>1308</v>
      </c>
      <c r="F189" s="23" t="s">
        <v>1977</v>
      </c>
      <c r="G189" s="23" t="s">
        <v>1978</v>
      </c>
      <c r="H189" s="41" t="s">
        <v>1979</v>
      </c>
      <c r="I189" s="23" t="s">
        <v>2383</v>
      </c>
      <c r="J189" s="23" t="s">
        <v>2384</v>
      </c>
      <c r="K189" s="759"/>
      <c r="L189" s="35" t="s">
        <v>3479</v>
      </c>
    </row>
    <row r="190" spans="2:12" x14ac:dyDescent="0.35">
      <c r="B190" s="1"/>
      <c r="C190" s="3"/>
      <c r="E190" s="23" t="s">
        <v>6290</v>
      </c>
      <c r="F190" s="23" t="s">
        <v>1977</v>
      </c>
      <c r="G190" s="23" t="s">
        <v>1978</v>
      </c>
      <c r="H190" s="41" t="s">
        <v>1979</v>
      </c>
      <c r="I190" s="23" t="s">
        <v>2461</v>
      </c>
      <c r="J190" s="23"/>
      <c r="K190" s="759"/>
      <c r="L190" s="35"/>
    </row>
    <row r="191" spans="2:12" x14ac:dyDescent="0.35">
      <c r="B191" s="1" t="s">
        <v>1976</v>
      </c>
      <c r="C191" s="3" t="s">
        <v>95</v>
      </c>
      <c r="E191" s="113" t="s">
        <v>1319</v>
      </c>
      <c r="F191" s="23" t="s">
        <v>1977</v>
      </c>
      <c r="G191" s="23" t="s">
        <v>1978</v>
      </c>
      <c r="H191" s="41" t="s">
        <v>1979</v>
      </c>
      <c r="I191" s="23" t="s">
        <v>2385</v>
      </c>
      <c r="J191" s="23" t="s">
        <v>2386</v>
      </c>
      <c r="K191" s="759"/>
      <c r="L191" s="35" t="s">
        <v>3479</v>
      </c>
    </row>
    <row r="192" spans="2:12" x14ac:dyDescent="0.35">
      <c r="B192" s="1" t="s">
        <v>1976</v>
      </c>
      <c r="C192" s="3" t="s">
        <v>95</v>
      </c>
      <c r="E192" s="113" t="s">
        <v>1317</v>
      </c>
      <c r="F192" s="23" t="s">
        <v>1977</v>
      </c>
      <c r="G192" s="23" t="s">
        <v>1978</v>
      </c>
      <c r="H192" s="41" t="s">
        <v>1979</v>
      </c>
      <c r="I192" s="23" t="s">
        <v>2387</v>
      </c>
      <c r="J192" s="23" t="s">
        <v>2388</v>
      </c>
      <c r="K192" s="759"/>
      <c r="L192" s="35" t="s">
        <v>3479</v>
      </c>
    </row>
    <row r="193" spans="2:12" x14ac:dyDescent="0.35">
      <c r="B193" s="1" t="s">
        <v>1976</v>
      </c>
      <c r="C193" s="3" t="s">
        <v>95</v>
      </c>
      <c r="E193" s="113" t="s">
        <v>2389</v>
      </c>
      <c r="F193" s="23" t="s">
        <v>1977</v>
      </c>
      <c r="G193" s="23" t="s">
        <v>1978</v>
      </c>
      <c r="H193" s="41" t="s">
        <v>1979</v>
      </c>
      <c r="I193" s="23" t="s">
        <v>2390</v>
      </c>
      <c r="J193" s="23" t="s">
        <v>2391</v>
      </c>
      <c r="K193" s="760"/>
      <c r="L193" s="35" t="s">
        <v>3479</v>
      </c>
    </row>
    <row r="194" spans="2:12" x14ac:dyDescent="0.35">
      <c r="B194" s="1" t="s">
        <v>2029</v>
      </c>
      <c r="C194" s="3" t="s">
        <v>95</v>
      </c>
      <c r="E194" s="23" t="s">
        <v>693</v>
      </c>
      <c r="F194" s="23" t="s">
        <v>1977</v>
      </c>
      <c r="G194" s="23" t="s">
        <v>1978</v>
      </c>
      <c r="H194" s="41" t="s">
        <v>1979</v>
      </c>
      <c r="I194" s="23" t="s">
        <v>2392</v>
      </c>
      <c r="J194" s="23"/>
      <c r="K194" s="761" t="s">
        <v>1321</v>
      </c>
      <c r="L194" t="s">
        <v>3479</v>
      </c>
    </row>
    <row r="195" spans="2:12" x14ac:dyDescent="0.35">
      <c r="B195" s="1" t="s">
        <v>1976</v>
      </c>
      <c r="C195" s="3" t="s">
        <v>95</v>
      </c>
      <c r="E195" s="23" t="s">
        <v>1345</v>
      </c>
      <c r="F195" s="23" t="s">
        <v>1977</v>
      </c>
      <c r="G195" s="23" t="s">
        <v>1978</v>
      </c>
      <c r="H195" s="41" t="s">
        <v>1979</v>
      </c>
      <c r="I195" s="23" t="s">
        <v>2393</v>
      </c>
      <c r="J195" s="23" t="s">
        <v>2394</v>
      </c>
      <c r="K195" s="761"/>
      <c r="L195" s="35" t="s">
        <v>3479</v>
      </c>
    </row>
    <row r="196" spans="2:12" x14ac:dyDescent="0.35">
      <c r="B196" s="1" t="s">
        <v>1976</v>
      </c>
      <c r="C196" s="3" t="s">
        <v>95</v>
      </c>
      <c r="E196" s="23" t="s">
        <v>1341</v>
      </c>
      <c r="F196" s="23" t="s">
        <v>1977</v>
      </c>
      <c r="G196" s="23" t="s">
        <v>1978</v>
      </c>
      <c r="H196" s="41" t="s">
        <v>2011</v>
      </c>
      <c r="I196" s="23" t="s">
        <v>2395</v>
      </c>
      <c r="J196" s="23" t="s">
        <v>2396</v>
      </c>
      <c r="K196" s="761"/>
      <c r="L196" t="s">
        <v>3479</v>
      </c>
    </row>
    <row r="197" spans="2:12" x14ac:dyDescent="0.35">
      <c r="B197" s="1" t="s">
        <v>1976</v>
      </c>
      <c r="C197" s="3" t="s">
        <v>95</v>
      </c>
      <c r="E197" s="23" t="s">
        <v>1325</v>
      </c>
      <c r="F197" s="23" t="s">
        <v>1977</v>
      </c>
      <c r="G197" s="23" t="s">
        <v>1978</v>
      </c>
      <c r="H197" s="41" t="s">
        <v>1979</v>
      </c>
      <c r="I197" s="23" t="s">
        <v>2397</v>
      </c>
      <c r="J197" s="23"/>
      <c r="K197" s="761"/>
      <c r="L197" t="s">
        <v>3479</v>
      </c>
    </row>
    <row r="198" spans="2:12" x14ac:dyDescent="0.35">
      <c r="B198" s="1" t="s">
        <v>1976</v>
      </c>
      <c r="C198" s="3" t="s">
        <v>95</v>
      </c>
      <c r="E198" s="23" t="s">
        <v>2398</v>
      </c>
      <c r="F198" s="23" t="s">
        <v>1977</v>
      </c>
      <c r="G198" s="23" t="s">
        <v>1978</v>
      </c>
      <c r="H198" s="41" t="s">
        <v>1979</v>
      </c>
      <c r="I198" s="23" t="s">
        <v>2399</v>
      </c>
      <c r="J198" s="23"/>
      <c r="K198" s="761"/>
      <c r="L198" t="s">
        <v>3479</v>
      </c>
    </row>
    <row r="199" spans="2:12" x14ac:dyDescent="0.35">
      <c r="B199" s="1" t="s">
        <v>1976</v>
      </c>
      <c r="C199" s="3" t="s">
        <v>95</v>
      </c>
      <c r="E199" s="23" t="s">
        <v>1330</v>
      </c>
      <c r="F199" s="23" t="s">
        <v>1977</v>
      </c>
      <c r="G199" s="23" t="s">
        <v>1978</v>
      </c>
      <c r="H199" s="41" t="s">
        <v>1979</v>
      </c>
      <c r="I199" s="23" t="s">
        <v>2400</v>
      </c>
      <c r="J199" s="23"/>
      <c r="K199" s="761"/>
      <c r="L199" t="s">
        <v>3479</v>
      </c>
    </row>
    <row r="200" spans="2:12" x14ac:dyDescent="0.35">
      <c r="B200" s="1" t="s">
        <v>1976</v>
      </c>
      <c r="C200" s="3" t="s">
        <v>95</v>
      </c>
      <c r="E200" s="23" t="s">
        <v>1334</v>
      </c>
      <c r="F200" s="23" t="s">
        <v>1977</v>
      </c>
      <c r="G200" s="23" t="s">
        <v>1978</v>
      </c>
      <c r="H200" s="41" t="s">
        <v>1979</v>
      </c>
      <c r="I200" s="23" t="s">
        <v>2401</v>
      </c>
      <c r="J200" s="23"/>
      <c r="K200" s="761"/>
      <c r="L200" t="s">
        <v>3479</v>
      </c>
    </row>
    <row r="201" spans="2:12" x14ac:dyDescent="0.35">
      <c r="B201" s="1" t="s">
        <v>1976</v>
      </c>
      <c r="C201" s="3" t="s">
        <v>95</v>
      </c>
      <c r="E201" s="23" t="s">
        <v>495</v>
      </c>
      <c r="F201" s="23" t="s">
        <v>1977</v>
      </c>
      <c r="G201" s="23" t="s">
        <v>1978</v>
      </c>
      <c r="H201" s="41" t="s">
        <v>1979</v>
      </c>
      <c r="I201" s="23" t="s">
        <v>2402</v>
      </c>
      <c r="J201" s="23" t="s">
        <v>2403</v>
      </c>
      <c r="K201" s="761"/>
      <c r="L201" t="s">
        <v>3479</v>
      </c>
    </row>
    <row r="202" spans="2:12" x14ac:dyDescent="0.35">
      <c r="B202" s="1" t="s">
        <v>1976</v>
      </c>
      <c r="C202" s="3" t="s">
        <v>95</v>
      </c>
      <c r="E202" s="23" t="s">
        <v>2404</v>
      </c>
      <c r="F202" s="23" t="s">
        <v>1977</v>
      </c>
      <c r="G202" s="23" t="s">
        <v>1978</v>
      </c>
      <c r="H202" s="41" t="s">
        <v>1979</v>
      </c>
      <c r="I202" s="23" t="s">
        <v>2405</v>
      </c>
      <c r="J202" s="23"/>
      <c r="K202" s="761" t="s">
        <v>1349</v>
      </c>
      <c r="L202" t="s">
        <v>3479</v>
      </c>
    </row>
    <row r="203" spans="2:12" x14ac:dyDescent="0.35">
      <c r="B203" s="1" t="s">
        <v>1976</v>
      </c>
      <c r="C203" s="3" t="s">
        <v>95</v>
      </c>
      <c r="E203" s="23" t="s">
        <v>2406</v>
      </c>
      <c r="F203" s="23" t="s">
        <v>1977</v>
      </c>
      <c r="G203" s="23" t="s">
        <v>1978</v>
      </c>
      <c r="H203" s="41" t="s">
        <v>2011</v>
      </c>
      <c r="I203" s="23" t="s">
        <v>2407</v>
      </c>
      <c r="J203" s="23" t="s">
        <v>2408</v>
      </c>
      <c r="K203" s="761"/>
      <c r="L203" t="s">
        <v>3479</v>
      </c>
    </row>
    <row r="204" spans="2:12" x14ac:dyDescent="0.35">
      <c r="B204" s="1" t="s">
        <v>1976</v>
      </c>
      <c r="C204" s="3" t="s">
        <v>95</v>
      </c>
      <c r="E204" s="23" t="s">
        <v>67</v>
      </c>
      <c r="F204" s="23" t="s">
        <v>1977</v>
      </c>
      <c r="G204" s="23" t="s">
        <v>1978</v>
      </c>
      <c r="H204" s="41" t="s">
        <v>1979</v>
      </c>
      <c r="I204" s="23" t="s">
        <v>2409</v>
      </c>
      <c r="J204" s="23" t="s">
        <v>2410</v>
      </c>
      <c r="K204" s="761"/>
      <c r="L204" t="s">
        <v>3479</v>
      </c>
    </row>
    <row r="205" spans="2:12" x14ac:dyDescent="0.35">
      <c r="B205" s="1" t="s">
        <v>1976</v>
      </c>
      <c r="C205" s="3" t="s">
        <v>95</v>
      </c>
      <c r="E205" s="23" t="s">
        <v>1354</v>
      </c>
      <c r="F205" s="23" t="s">
        <v>1977</v>
      </c>
      <c r="G205" s="23" t="s">
        <v>1978</v>
      </c>
      <c r="H205" s="41" t="s">
        <v>1979</v>
      </c>
      <c r="I205" s="23" t="s">
        <v>2411</v>
      </c>
      <c r="J205" s="23"/>
      <c r="K205" s="761"/>
      <c r="L205" t="s">
        <v>3479</v>
      </c>
    </row>
    <row r="206" spans="2:12" x14ac:dyDescent="0.35">
      <c r="B206" s="1" t="s">
        <v>2029</v>
      </c>
      <c r="C206" s="3" t="s">
        <v>95</v>
      </c>
      <c r="E206" s="23" t="s">
        <v>1362</v>
      </c>
      <c r="F206" s="23" t="s">
        <v>1977</v>
      </c>
      <c r="G206" s="23" t="s">
        <v>1978</v>
      </c>
      <c r="H206" s="41" t="s">
        <v>1979</v>
      </c>
      <c r="I206" s="23" t="s">
        <v>2412</v>
      </c>
      <c r="J206" s="23" t="s">
        <v>2413</v>
      </c>
      <c r="K206" s="761" t="s">
        <v>1364</v>
      </c>
      <c r="L206" t="s">
        <v>3479</v>
      </c>
    </row>
    <row r="207" spans="2:12" x14ac:dyDescent="0.35">
      <c r="B207" s="1" t="s">
        <v>2029</v>
      </c>
      <c r="C207" s="3" t="s">
        <v>95</v>
      </c>
      <c r="E207" s="23" t="s">
        <v>1365</v>
      </c>
      <c r="F207" s="23" t="s">
        <v>1977</v>
      </c>
      <c r="G207" s="23" t="s">
        <v>1978</v>
      </c>
      <c r="H207" s="41" t="s">
        <v>1979</v>
      </c>
      <c r="I207" s="23" t="s">
        <v>2414</v>
      </c>
      <c r="J207" s="23" t="s">
        <v>2415</v>
      </c>
      <c r="K207" s="761"/>
      <c r="L207" t="s">
        <v>3479</v>
      </c>
    </row>
    <row r="208" spans="2:12" x14ac:dyDescent="0.35">
      <c r="B208" s="1" t="s">
        <v>2029</v>
      </c>
      <c r="C208" s="3" t="s">
        <v>95</v>
      </c>
      <c r="E208" s="23" t="s">
        <v>1367</v>
      </c>
      <c r="F208" s="23" t="s">
        <v>1977</v>
      </c>
      <c r="G208" s="23" t="s">
        <v>1978</v>
      </c>
      <c r="H208" s="41" t="s">
        <v>1979</v>
      </c>
      <c r="I208" s="23" t="s">
        <v>2416</v>
      </c>
      <c r="J208" s="23" t="s">
        <v>2417</v>
      </c>
      <c r="K208" s="761"/>
      <c r="L208" t="s">
        <v>3479</v>
      </c>
    </row>
    <row r="209" spans="2:12" x14ac:dyDescent="0.35">
      <c r="B209" s="1" t="s">
        <v>2029</v>
      </c>
      <c r="C209" s="3" t="s">
        <v>95</v>
      </c>
      <c r="E209" s="23" t="s">
        <v>1369</v>
      </c>
      <c r="F209" s="23" t="s">
        <v>1977</v>
      </c>
      <c r="G209" s="23" t="s">
        <v>1978</v>
      </c>
      <c r="H209" s="41" t="s">
        <v>1979</v>
      </c>
      <c r="I209" s="23" t="s">
        <v>2418</v>
      </c>
      <c r="J209" s="23" t="s">
        <v>2419</v>
      </c>
      <c r="K209" s="761"/>
      <c r="L209" t="s">
        <v>3479</v>
      </c>
    </row>
    <row r="210" spans="2:12" x14ac:dyDescent="0.35">
      <c r="B210" s="1" t="s">
        <v>2029</v>
      </c>
      <c r="C210" s="3" t="s">
        <v>95</v>
      </c>
      <c r="E210" s="23" t="s">
        <v>1371</v>
      </c>
      <c r="F210" s="23" t="s">
        <v>1977</v>
      </c>
      <c r="G210" s="23" t="s">
        <v>1978</v>
      </c>
      <c r="H210" s="41" t="s">
        <v>1979</v>
      </c>
      <c r="I210" s="23" t="s">
        <v>2420</v>
      </c>
      <c r="J210" s="23" t="s">
        <v>2421</v>
      </c>
      <c r="K210" s="298" t="s">
        <v>1373</v>
      </c>
      <c r="L210" t="s">
        <v>3479</v>
      </c>
    </row>
    <row r="211" spans="2:12" x14ac:dyDescent="0.35">
      <c r="B211" s="1" t="s">
        <v>2029</v>
      </c>
      <c r="C211" s="3" t="s">
        <v>95</v>
      </c>
      <c r="E211" s="43" t="s">
        <v>402</v>
      </c>
      <c r="F211" s="43" t="s">
        <v>1977</v>
      </c>
      <c r="G211" s="23" t="s">
        <v>1978</v>
      </c>
      <c r="H211" s="41" t="s">
        <v>1979</v>
      </c>
      <c r="I211" s="23" t="s">
        <v>2422</v>
      </c>
      <c r="J211" s="23" t="s">
        <v>2423</v>
      </c>
      <c r="K211" s="758" t="s">
        <v>1358</v>
      </c>
      <c r="L211" t="s">
        <v>3479</v>
      </c>
    </row>
    <row r="212" spans="2:12" x14ac:dyDescent="0.35">
      <c r="B212" s="1" t="s">
        <v>2029</v>
      </c>
      <c r="C212" s="3">
        <v>2018</v>
      </c>
      <c r="E212" s="43" t="s">
        <v>1893</v>
      </c>
      <c r="F212" s="43" t="s">
        <v>1977</v>
      </c>
      <c r="G212" s="23" t="s">
        <v>1978</v>
      </c>
      <c r="H212" s="41" t="s">
        <v>1979</v>
      </c>
      <c r="I212" s="23" t="s">
        <v>2424</v>
      </c>
      <c r="J212" s="23" t="s">
        <v>2425</v>
      </c>
      <c r="K212" s="760"/>
      <c r="L212" t="s">
        <v>3479</v>
      </c>
    </row>
    <row r="213" spans="2:12" x14ac:dyDescent="0.35">
      <c r="B213" s="1" t="s">
        <v>2029</v>
      </c>
      <c r="C213" s="3" t="s">
        <v>95</v>
      </c>
      <c r="E213" s="42"/>
      <c r="F213" s="23" t="s">
        <v>1977</v>
      </c>
      <c r="G213" s="23" t="s">
        <v>1978</v>
      </c>
      <c r="H213" s="41" t="s">
        <v>2011</v>
      </c>
      <c r="I213" s="23" t="s">
        <v>2426</v>
      </c>
      <c r="J213" s="23"/>
      <c r="K213" s="758" t="s">
        <v>2427</v>
      </c>
      <c r="L213" t="s">
        <v>3479</v>
      </c>
    </row>
    <row r="214" spans="2:12" x14ac:dyDescent="0.35">
      <c r="B214" s="1" t="s">
        <v>2029</v>
      </c>
      <c r="C214" s="3" t="s">
        <v>95</v>
      </c>
      <c r="E214" s="23"/>
      <c r="F214" s="23" t="s">
        <v>1977</v>
      </c>
      <c r="G214" s="23" t="s">
        <v>1978</v>
      </c>
      <c r="H214" s="41" t="s">
        <v>2011</v>
      </c>
      <c r="I214" s="23" t="s">
        <v>2428</v>
      </c>
      <c r="J214" s="23"/>
      <c r="K214" s="759"/>
      <c r="L214" t="s">
        <v>3479</v>
      </c>
    </row>
    <row r="215" spans="2:12" x14ac:dyDescent="0.35">
      <c r="B215" s="1" t="s">
        <v>2029</v>
      </c>
      <c r="C215" s="3" t="s">
        <v>95</v>
      </c>
      <c r="E215" s="23"/>
      <c r="F215" s="23" t="s">
        <v>1977</v>
      </c>
      <c r="G215" s="41" t="s">
        <v>1978</v>
      </c>
      <c r="H215" s="81" t="s">
        <v>2011</v>
      </c>
      <c r="I215" s="23" t="s">
        <v>2429</v>
      </c>
      <c r="J215" s="23"/>
      <c r="K215" s="759"/>
      <c r="L215" t="s">
        <v>3479</v>
      </c>
    </row>
    <row r="216" spans="2:12" x14ac:dyDescent="0.35">
      <c r="B216" s="1" t="s">
        <v>2029</v>
      </c>
      <c r="C216" s="3" t="s">
        <v>95</v>
      </c>
      <c r="E216" s="23"/>
      <c r="F216" s="23" t="s">
        <v>1977</v>
      </c>
      <c r="G216" s="41" t="s">
        <v>1978</v>
      </c>
      <c r="H216" s="81" t="s">
        <v>2011</v>
      </c>
      <c r="I216" s="23" t="s">
        <v>2430</v>
      </c>
      <c r="J216" s="23"/>
      <c r="K216" s="759"/>
      <c r="L216" t="s">
        <v>3479</v>
      </c>
    </row>
    <row r="217" spans="2:12" x14ac:dyDescent="0.35">
      <c r="B217" s="1" t="s">
        <v>2029</v>
      </c>
      <c r="C217" s="3" t="s">
        <v>95</v>
      </c>
      <c r="E217" s="23"/>
      <c r="F217" s="23" t="s">
        <v>1977</v>
      </c>
      <c r="G217" s="41" t="s">
        <v>1978</v>
      </c>
      <c r="H217" s="81" t="s">
        <v>2011</v>
      </c>
      <c r="I217" s="23" t="s">
        <v>2431</v>
      </c>
      <c r="J217" s="23"/>
      <c r="K217" s="759"/>
      <c r="L217" t="s">
        <v>3479</v>
      </c>
    </row>
    <row r="218" spans="2:12" x14ac:dyDescent="0.35">
      <c r="B218" s="1" t="s">
        <v>2029</v>
      </c>
      <c r="C218" s="3" t="s">
        <v>95</v>
      </c>
      <c r="E218" s="23"/>
      <c r="F218" s="23" t="s">
        <v>1977</v>
      </c>
      <c r="G218" s="41" t="s">
        <v>1978</v>
      </c>
      <c r="H218" s="81" t="s">
        <v>2011</v>
      </c>
      <c r="I218" s="23" t="s">
        <v>2432</v>
      </c>
      <c r="J218" s="23"/>
      <c r="K218" s="759"/>
      <c r="L218" t="s">
        <v>3479</v>
      </c>
    </row>
    <row r="219" spans="2:12" x14ac:dyDescent="0.35">
      <c r="B219" s="1" t="s">
        <v>2029</v>
      </c>
      <c r="C219" s="3" t="s">
        <v>95</v>
      </c>
      <c r="E219" s="23"/>
      <c r="F219" s="23" t="s">
        <v>1977</v>
      </c>
      <c r="G219" s="41" t="s">
        <v>1978</v>
      </c>
      <c r="H219" s="81" t="s">
        <v>2011</v>
      </c>
      <c r="I219" s="23" t="s">
        <v>2433</v>
      </c>
      <c r="J219" s="23"/>
      <c r="K219" s="759"/>
      <c r="L219" t="s">
        <v>3479</v>
      </c>
    </row>
    <row r="220" spans="2:12" x14ac:dyDescent="0.35">
      <c r="B220" s="1" t="s">
        <v>2029</v>
      </c>
      <c r="C220" s="3" t="s">
        <v>95</v>
      </c>
      <c r="E220" s="23"/>
      <c r="F220" s="23" t="s">
        <v>1977</v>
      </c>
      <c r="G220" s="41" t="s">
        <v>1978</v>
      </c>
      <c r="H220" s="81" t="s">
        <v>2011</v>
      </c>
      <c r="I220" s="23" t="s">
        <v>2434</v>
      </c>
      <c r="J220" s="23"/>
      <c r="K220" s="759"/>
      <c r="L220" t="s">
        <v>3479</v>
      </c>
    </row>
    <row r="221" spans="2:12" x14ac:dyDescent="0.35">
      <c r="B221" s="2" t="s">
        <v>2026</v>
      </c>
      <c r="C221" s="4" t="s">
        <v>197</v>
      </c>
      <c r="E221" s="23"/>
      <c r="F221" s="23" t="s">
        <v>1977</v>
      </c>
      <c r="G221" s="41" t="s">
        <v>1978</v>
      </c>
      <c r="H221" s="81" t="s">
        <v>2011</v>
      </c>
      <c r="I221" s="23" t="s">
        <v>2435</v>
      </c>
      <c r="J221" s="23"/>
      <c r="K221" s="759"/>
      <c r="L221" t="s">
        <v>3479</v>
      </c>
    </row>
    <row r="222" spans="2:12" x14ac:dyDescent="0.35">
      <c r="B222" s="2" t="s">
        <v>2026</v>
      </c>
      <c r="C222" s="4" t="s">
        <v>197</v>
      </c>
      <c r="E222" s="23"/>
      <c r="F222" s="23" t="s">
        <v>1977</v>
      </c>
      <c r="G222" s="41" t="s">
        <v>1978</v>
      </c>
      <c r="H222" s="81" t="s">
        <v>2011</v>
      </c>
      <c r="I222" s="23" t="s">
        <v>2436</v>
      </c>
      <c r="J222" s="23"/>
      <c r="K222" s="759"/>
      <c r="L222" t="s">
        <v>3479</v>
      </c>
    </row>
    <row r="223" spans="2:12" x14ac:dyDescent="0.35">
      <c r="B223" s="2" t="s">
        <v>2026</v>
      </c>
      <c r="C223" s="4" t="s">
        <v>197</v>
      </c>
      <c r="E223" s="23"/>
      <c r="F223" s="23" t="s">
        <v>1977</v>
      </c>
      <c r="G223" s="41" t="s">
        <v>1978</v>
      </c>
      <c r="H223" s="81" t="s">
        <v>1979</v>
      </c>
      <c r="I223" s="23" t="s">
        <v>2437</v>
      </c>
      <c r="J223" s="23"/>
      <c r="K223" s="759"/>
      <c r="L223" t="s">
        <v>3479</v>
      </c>
    </row>
    <row r="224" spans="2:12" x14ac:dyDescent="0.35">
      <c r="B224" s="2" t="s">
        <v>2026</v>
      </c>
      <c r="C224" s="4" t="s">
        <v>197</v>
      </c>
      <c r="E224" s="23"/>
      <c r="F224" s="23" t="s">
        <v>1977</v>
      </c>
      <c r="G224" s="41" t="s">
        <v>1978</v>
      </c>
      <c r="H224" s="81" t="s">
        <v>1979</v>
      </c>
      <c r="I224" s="23" t="s">
        <v>2438</v>
      </c>
      <c r="J224" s="23"/>
      <c r="K224" s="759"/>
      <c r="L224" t="s">
        <v>3479</v>
      </c>
    </row>
    <row r="225" spans="2:12" x14ac:dyDescent="0.35">
      <c r="B225" s="2" t="s">
        <v>2026</v>
      </c>
      <c r="C225" s="4" t="s">
        <v>197</v>
      </c>
      <c r="E225" s="23"/>
      <c r="F225" s="23" t="s">
        <v>1977</v>
      </c>
      <c r="G225" s="41" t="s">
        <v>1978</v>
      </c>
      <c r="H225" s="81" t="s">
        <v>1979</v>
      </c>
      <c r="I225" s="23" t="s">
        <v>2439</v>
      </c>
      <c r="J225" s="23"/>
      <c r="K225" s="759"/>
      <c r="L225" t="s">
        <v>3479</v>
      </c>
    </row>
    <row r="226" spans="2:12" x14ac:dyDescent="0.35">
      <c r="B226" s="2" t="s">
        <v>2026</v>
      </c>
      <c r="C226" s="4" t="s">
        <v>197</v>
      </c>
      <c r="E226" s="23"/>
      <c r="F226" s="23" t="s">
        <v>1977</v>
      </c>
      <c r="G226" s="41" t="s">
        <v>1978</v>
      </c>
      <c r="H226" s="81" t="s">
        <v>1979</v>
      </c>
      <c r="I226" s="23" t="s">
        <v>2440</v>
      </c>
      <c r="J226" s="23"/>
      <c r="K226" s="759"/>
      <c r="L226" t="s">
        <v>3479</v>
      </c>
    </row>
    <row r="227" spans="2:12" x14ac:dyDescent="0.35">
      <c r="B227" s="2" t="s">
        <v>2026</v>
      </c>
      <c r="C227" s="4" t="s">
        <v>197</v>
      </c>
      <c r="E227" s="23"/>
      <c r="F227" s="23" t="s">
        <v>1977</v>
      </c>
      <c r="G227" s="41" t="s">
        <v>1978</v>
      </c>
      <c r="H227" s="81" t="s">
        <v>1979</v>
      </c>
      <c r="I227" s="23" t="s">
        <v>2441</v>
      </c>
      <c r="J227" s="23"/>
      <c r="K227" s="759"/>
      <c r="L227" t="s">
        <v>3479</v>
      </c>
    </row>
    <row r="228" spans="2:12" x14ac:dyDescent="0.35">
      <c r="B228" s="2" t="s">
        <v>2026</v>
      </c>
      <c r="C228" s="4" t="s">
        <v>197</v>
      </c>
      <c r="E228" s="23"/>
      <c r="F228" s="23" t="s">
        <v>1977</v>
      </c>
      <c r="G228" s="41" t="s">
        <v>1978</v>
      </c>
      <c r="H228" s="81" t="s">
        <v>1979</v>
      </c>
      <c r="I228" s="23" t="s">
        <v>2442</v>
      </c>
      <c r="J228" s="23"/>
      <c r="K228" s="759"/>
      <c r="L228" t="s">
        <v>3479</v>
      </c>
    </row>
    <row r="229" spans="2:12" x14ac:dyDescent="0.35">
      <c r="B229" s="2" t="s">
        <v>2026</v>
      </c>
      <c r="C229" s="4" t="s">
        <v>197</v>
      </c>
      <c r="E229" s="23"/>
      <c r="F229" s="23" t="s">
        <v>1977</v>
      </c>
      <c r="G229" s="41" t="s">
        <v>1978</v>
      </c>
      <c r="H229" s="81" t="s">
        <v>1979</v>
      </c>
      <c r="I229" s="23" t="s">
        <v>2443</v>
      </c>
      <c r="J229" s="23"/>
      <c r="K229" s="759"/>
      <c r="L229" t="s">
        <v>3479</v>
      </c>
    </row>
    <row r="230" spans="2:12" x14ac:dyDescent="0.35">
      <c r="B230" s="2" t="s">
        <v>2026</v>
      </c>
      <c r="C230" s="4" t="s">
        <v>197</v>
      </c>
      <c r="E230" s="23"/>
      <c r="F230" s="23" t="s">
        <v>1977</v>
      </c>
      <c r="G230" s="41" t="s">
        <v>1978</v>
      </c>
      <c r="H230" s="81" t="s">
        <v>1979</v>
      </c>
      <c r="I230" s="23" t="s">
        <v>2444</v>
      </c>
      <c r="J230" s="23"/>
      <c r="K230" s="759"/>
      <c r="L230" t="s">
        <v>3479</v>
      </c>
    </row>
    <row r="231" spans="2:12" x14ac:dyDescent="0.35">
      <c r="B231" s="2" t="s">
        <v>2026</v>
      </c>
      <c r="C231" s="4" t="s">
        <v>197</v>
      </c>
      <c r="E231" s="43"/>
      <c r="F231" s="43" t="s">
        <v>1977</v>
      </c>
      <c r="G231" s="39" t="s">
        <v>1978</v>
      </c>
      <c r="H231" s="323" t="s">
        <v>1979</v>
      </c>
      <c r="I231" s="23" t="s">
        <v>2445</v>
      </c>
      <c r="J231" s="23"/>
      <c r="K231" s="760"/>
      <c r="L231" t="s">
        <v>3479</v>
      </c>
    </row>
    <row r="232" spans="2:12" x14ac:dyDescent="0.35">
      <c r="B232" s="2" t="s">
        <v>2026</v>
      </c>
      <c r="C232" s="4" t="s">
        <v>197</v>
      </c>
      <c r="E232" s="23"/>
      <c r="F232" s="23" t="s">
        <v>1977</v>
      </c>
      <c r="G232" s="23" t="s">
        <v>1978</v>
      </c>
      <c r="H232" s="41" t="s">
        <v>1979</v>
      </c>
      <c r="I232" s="23" t="s">
        <v>2446</v>
      </c>
      <c r="J232" s="23"/>
      <c r="K232" s="761" t="s">
        <v>1377</v>
      </c>
      <c r="L232" t="s">
        <v>3479</v>
      </c>
    </row>
    <row r="233" spans="2:12" x14ac:dyDescent="0.35">
      <c r="B233" s="2" t="s">
        <v>2026</v>
      </c>
      <c r="C233" s="4" t="s">
        <v>197</v>
      </c>
      <c r="E233" s="43"/>
      <c r="F233" s="43" t="s">
        <v>1977</v>
      </c>
      <c r="G233" s="43" t="s">
        <v>1978</v>
      </c>
      <c r="H233" s="39" t="s">
        <v>1979</v>
      </c>
      <c r="I233" s="23" t="s">
        <v>2447</v>
      </c>
      <c r="J233" s="23"/>
      <c r="K233" s="761"/>
      <c r="L233" t="s">
        <v>3479</v>
      </c>
    </row>
    <row r="234" spans="2:12" x14ac:dyDescent="0.35">
      <c r="B234" s="2" t="s">
        <v>2026</v>
      </c>
      <c r="C234" s="4" t="s">
        <v>197</v>
      </c>
      <c r="E234" s="23"/>
      <c r="F234" s="23" t="s">
        <v>1977</v>
      </c>
      <c r="G234" s="23" t="s">
        <v>1978</v>
      </c>
      <c r="H234" s="41" t="s">
        <v>2011</v>
      </c>
      <c r="I234" s="43" t="s">
        <v>2448</v>
      </c>
      <c r="J234" s="43"/>
      <c r="K234" s="761"/>
      <c r="L234" t="s">
        <v>3479</v>
      </c>
    </row>
    <row r="235" spans="2:12" x14ac:dyDescent="0.35">
      <c r="B235" s="2" t="s">
        <v>2449</v>
      </c>
      <c r="C235" s="4" t="s">
        <v>197</v>
      </c>
      <c r="E235" s="23"/>
      <c r="F235" s="23" t="s">
        <v>1977</v>
      </c>
      <c r="G235" s="23" t="s">
        <v>1978</v>
      </c>
      <c r="H235" s="41" t="s">
        <v>2011</v>
      </c>
      <c r="I235" s="23" t="s">
        <v>2450</v>
      </c>
      <c r="J235" s="23"/>
      <c r="K235" s="761"/>
      <c r="L235" t="s">
        <v>3479</v>
      </c>
    </row>
    <row r="236" spans="2:12" x14ac:dyDescent="0.35">
      <c r="B236" s="2" t="s">
        <v>2449</v>
      </c>
      <c r="C236" s="4" t="s">
        <v>197</v>
      </c>
      <c r="E236" s="23"/>
      <c r="F236" s="23" t="s">
        <v>1977</v>
      </c>
      <c r="G236" s="23" t="s">
        <v>1978</v>
      </c>
      <c r="H236" s="41" t="s">
        <v>2011</v>
      </c>
      <c r="I236" s="23" t="s">
        <v>2451</v>
      </c>
      <c r="J236" s="23"/>
      <c r="K236" s="761"/>
      <c r="L236" t="s">
        <v>3479</v>
      </c>
    </row>
    <row r="237" spans="2:12" x14ac:dyDescent="0.35">
      <c r="B237" s="2" t="s">
        <v>2449</v>
      </c>
      <c r="C237" s="4" t="s">
        <v>197</v>
      </c>
      <c r="E237" s="23"/>
      <c r="F237" s="23" t="s">
        <v>1977</v>
      </c>
      <c r="G237" s="23" t="s">
        <v>1978</v>
      </c>
      <c r="H237" s="41" t="s">
        <v>2011</v>
      </c>
      <c r="I237" s="23" t="s">
        <v>2452</v>
      </c>
      <c r="J237" s="23"/>
      <c r="K237" s="761"/>
      <c r="L237" t="s">
        <v>3479</v>
      </c>
    </row>
    <row r="238" spans="2:12" x14ac:dyDescent="0.35">
      <c r="B238" s="2" t="s">
        <v>2449</v>
      </c>
      <c r="C238" s="4" t="s">
        <v>197</v>
      </c>
      <c r="E238" s="23"/>
      <c r="F238" s="23" t="s">
        <v>1977</v>
      </c>
      <c r="G238" s="23" t="s">
        <v>1978</v>
      </c>
      <c r="H238" s="41" t="s">
        <v>2011</v>
      </c>
      <c r="I238" s="23" t="s">
        <v>2453</v>
      </c>
      <c r="J238" s="23"/>
      <c r="K238" s="761"/>
      <c r="L238" t="s">
        <v>3479</v>
      </c>
    </row>
    <row r="239" spans="2:12" x14ac:dyDescent="0.35">
      <c r="B239" s="2" t="s">
        <v>2449</v>
      </c>
      <c r="C239" s="4" t="s">
        <v>197</v>
      </c>
      <c r="E239" s="23"/>
      <c r="F239" s="23" t="s">
        <v>1977</v>
      </c>
      <c r="G239" s="23" t="s">
        <v>1978</v>
      </c>
      <c r="H239" s="41" t="s">
        <v>2011</v>
      </c>
      <c r="I239" s="23" t="s">
        <v>2454</v>
      </c>
      <c r="J239" s="23"/>
      <c r="K239" s="761"/>
      <c r="L239" t="s">
        <v>3479</v>
      </c>
    </row>
    <row r="240" spans="2:12" x14ac:dyDescent="0.35">
      <c r="B240" s="2" t="s">
        <v>2449</v>
      </c>
      <c r="C240" s="4" t="s">
        <v>197</v>
      </c>
      <c r="E240" s="23"/>
      <c r="F240" s="23" t="s">
        <v>1977</v>
      </c>
      <c r="G240" s="23" t="s">
        <v>1978</v>
      </c>
      <c r="H240" s="41" t="s">
        <v>2011</v>
      </c>
      <c r="I240" s="23" t="s">
        <v>2455</v>
      </c>
      <c r="J240" s="23"/>
      <c r="K240" s="761"/>
      <c r="L240" t="s">
        <v>3479</v>
      </c>
    </row>
    <row r="241" spans="2:12" x14ac:dyDescent="0.35">
      <c r="B241" s="2" t="s">
        <v>2449</v>
      </c>
      <c r="C241" s="4" t="s">
        <v>197</v>
      </c>
      <c r="E241" s="43"/>
      <c r="F241" s="23" t="s">
        <v>1977</v>
      </c>
      <c r="G241" s="23" t="s">
        <v>1978</v>
      </c>
      <c r="H241" s="41" t="s">
        <v>2011</v>
      </c>
      <c r="I241" s="23" t="s">
        <v>2456</v>
      </c>
      <c r="J241" s="23"/>
      <c r="K241" s="761"/>
      <c r="L241" t="s">
        <v>3479</v>
      </c>
    </row>
    <row r="242" spans="2:12" x14ac:dyDescent="0.35">
      <c r="B242" s="2" t="s">
        <v>2026</v>
      </c>
      <c r="C242" s="4" t="s">
        <v>197</v>
      </c>
      <c r="E242" s="23"/>
      <c r="F242" s="23" t="s">
        <v>1977</v>
      </c>
      <c r="G242" s="23" t="s">
        <v>1978</v>
      </c>
      <c r="H242" s="41" t="s">
        <v>2457</v>
      </c>
      <c r="I242" s="23" t="s">
        <v>2458</v>
      </c>
      <c r="J242" s="23"/>
      <c r="K242" s="870" t="s">
        <v>509</v>
      </c>
      <c r="L242" s="78" t="s">
        <v>3479</v>
      </c>
    </row>
    <row r="243" spans="2:12" x14ac:dyDescent="0.35">
      <c r="B243" s="2" t="s">
        <v>2026</v>
      </c>
      <c r="C243" s="4" t="s">
        <v>197</v>
      </c>
      <c r="E243" s="23"/>
      <c r="F243" s="23" t="s">
        <v>1977</v>
      </c>
      <c r="G243" s="23" t="s">
        <v>1978</v>
      </c>
      <c r="H243" s="41" t="s">
        <v>2457</v>
      </c>
      <c r="I243" s="23" t="s">
        <v>2459</v>
      </c>
      <c r="J243" s="23"/>
      <c r="K243" s="871"/>
      <c r="L243" s="182" t="s">
        <v>3479</v>
      </c>
    </row>
    <row r="244" spans="2:12" x14ac:dyDescent="0.35">
      <c r="B244" s="2" t="s">
        <v>2026</v>
      </c>
      <c r="C244" s="4" t="s">
        <v>197</v>
      </c>
      <c r="E244" s="23"/>
      <c r="F244" s="23" t="s">
        <v>1977</v>
      </c>
      <c r="G244" s="23" t="s">
        <v>1978</v>
      </c>
      <c r="H244" s="41" t="s">
        <v>2457</v>
      </c>
      <c r="I244" s="23" t="s">
        <v>2460</v>
      </c>
      <c r="J244" s="23"/>
      <c r="K244" s="871"/>
      <c r="L244" s="182" t="s">
        <v>3479</v>
      </c>
    </row>
    <row r="245" spans="2:12" x14ac:dyDescent="0.35">
      <c r="B245" s="2" t="s">
        <v>2026</v>
      </c>
      <c r="C245" s="4" t="s">
        <v>197</v>
      </c>
      <c r="E245" s="23"/>
      <c r="F245" s="23" t="s">
        <v>1977</v>
      </c>
      <c r="G245" s="23" t="s">
        <v>1978</v>
      </c>
      <c r="H245" s="41" t="s">
        <v>2457</v>
      </c>
      <c r="I245" s="23" t="s">
        <v>2462</v>
      </c>
      <c r="J245" s="23"/>
      <c r="K245" s="871"/>
      <c r="L245" s="182" t="s">
        <v>3479</v>
      </c>
    </row>
    <row r="246" spans="2:12" x14ac:dyDescent="0.35">
      <c r="B246" s="2" t="s">
        <v>2026</v>
      </c>
      <c r="C246" s="4" t="s">
        <v>197</v>
      </c>
      <c r="E246" s="23"/>
      <c r="F246" s="23" t="s">
        <v>1977</v>
      </c>
      <c r="G246" s="23" t="s">
        <v>1978</v>
      </c>
      <c r="H246" s="41" t="s">
        <v>2457</v>
      </c>
      <c r="I246" s="23" t="s">
        <v>2463</v>
      </c>
      <c r="J246" s="23"/>
      <c r="K246" s="871"/>
      <c r="L246" s="182" t="s">
        <v>3479</v>
      </c>
    </row>
    <row r="247" spans="2:12" x14ac:dyDescent="0.35">
      <c r="B247" s="2" t="s">
        <v>2026</v>
      </c>
      <c r="C247" s="4" t="s">
        <v>197</v>
      </c>
      <c r="E247" s="23"/>
      <c r="F247" s="23" t="s">
        <v>1977</v>
      </c>
      <c r="G247" s="23" t="s">
        <v>1978</v>
      </c>
      <c r="H247" s="41" t="s">
        <v>2457</v>
      </c>
      <c r="I247" s="23" t="s">
        <v>2464</v>
      </c>
      <c r="J247" s="23"/>
      <c r="K247" s="871"/>
      <c r="L247" s="182" t="s">
        <v>3479</v>
      </c>
    </row>
    <row r="248" spans="2:12" x14ac:dyDescent="0.35">
      <c r="B248" s="2" t="s">
        <v>2026</v>
      </c>
      <c r="C248" s="4" t="s">
        <v>197</v>
      </c>
      <c r="E248" s="43"/>
      <c r="F248" s="43" t="s">
        <v>1977</v>
      </c>
      <c r="G248" s="43" t="s">
        <v>1978</v>
      </c>
      <c r="H248" s="39" t="s">
        <v>2457</v>
      </c>
      <c r="I248" s="23" t="s">
        <v>2465</v>
      </c>
      <c r="J248" s="23"/>
      <c r="K248" s="871"/>
      <c r="L248" s="182" t="s">
        <v>3479</v>
      </c>
    </row>
    <row r="249" spans="2:12" x14ac:dyDescent="0.35">
      <c r="B249" s="2" t="s">
        <v>2026</v>
      </c>
      <c r="C249" s="4" t="s">
        <v>197</v>
      </c>
      <c r="E249" s="43"/>
      <c r="F249" s="43" t="s">
        <v>1977</v>
      </c>
      <c r="G249" s="43" t="s">
        <v>1978</v>
      </c>
      <c r="H249" s="39" t="s">
        <v>1979</v>
      </c>
      <c r="I249" s="23" t="s">
        <v>2466</v>
      </c>
      <c r="J249" s="23"/>
      <c r="K249" s="871"/>
      <c r="L249" t="s">
        <v>3479</v>
      </c>
    </row>
    <row r="250" spans="2:12" x14ac:dyDescent="0.35">
      <c r="B250" s="2" t="s">
        <v>2026</v>
      </c>
      <c r="C250" s="4" t="s">
        <v>197</v>
      </c>
      <c r="E250" s="23"/>
      <c r="F250" s="23" t="s">
        <v>1977</v>
      </c>
      <c r="G250" s="23" t="s">
        <v>1978</v>
      </c>
      <c r="H250" s="41" t="s">
        <v>1979</v>
      </c>
      <c r="I250" s="23" t="s">
        <v>2467</v>
      </c>
      <c r="J250" s="23"/>
      <c r="K250" s="871"/>
      <c r="L250" t="s">
        <v>3479</v>
      </c>
    </row>
    <row r="251" spans="2:12" x14ac:dyDescent="0.35">
      <c r="B251" s="2" t="s">
        <v>2026</v>
      </c>
      <c r="C251" s="4" t="s">
        <v>197</v>
      </c>
      <c r="E251" s="23"/>
      <c r="F251" s="23" t="s">
        <v>1977</v>
      </c>
      <c r="G251" s="23" t="s">
        <v>1978</v>
      </c>
      <c r="H251" s="41" t="s">
        <v>1979</v>
      </c>
      <c r="I251" s="23" t="s">
        <v>2468</v>
      </c>
      <c r="J251" s="23"/>
      <c r="K251" s="871"/>
      <c r="L251" t="s">
        <v>3479</v>
      </c>
    </row>
    <row r="252" spans="2:12" x14ac:dyDescent="0.35">
      <c r="B252" s="2" t="s">
        <v>2026</v>
      </c>
      <c r="C252" s="4" t="s">
        <v>197</v>
      </c>
      <c r="E252" s="23"/>
      <c r="F252" s="23" t="s">
        <v>1977</v>
      </c>
      <c r="G252" s="23" t="s">
        <v>1978</v>
      </c>
      <c r="H252" s="41" t="s">
        <v>1979</v>
      </c>
      <c r="I252" s="23" t="s">
        <v>2469</v>
      </c>
      <c r="J252" s="23"/>
      <c r="K252" s="871"/>
      <c r="L252" t="s">
        <v>3479</v>
      </c>
    </row>
    <row r="253" spans="2:12" x14ac:dyDescent="0.35">
      <c r="B253" s="2" t="s">
        <v>2026</v>
      </c>
      <c r="C253" s="4" t="s">
        <v>197</v>
      </c>
      <c r="E253" s="23"/>
      <c r="F253" s="23" t="s">
        <v>1977</v>
      </c>
      <c r="G253" s="23" t="s">
        <v>1978</v>
      </c>
      <c r="H253" s="41" t="s">
        <v>1979</v>
      </c>
      <c r="I253" s="23" t="s">
        <v>2470</v>
      </c>
      <c r="J253" s="23"/>
      <c r="K253" s="871"/>
      <c r="L253" t="s">
        <v>3479</v>
      </c>
    </row>
    <row r="254" spans="2:12" x14ac:dyDescent="0.35">
      <c r="B254" s="2" t="s">
        <v>2449</v>
      </c>
      <c r="C254" s="4" t="s">
        <v>197</v>
      </c>
      <c r="E254" s="23"/>
      <c r="F254" s="48" t="s">
        <v>1977</v>
      </c>
      <c r="G254" s="23" t="s">
        <v>1978</v>
      </c>
      <c r="H254" s="41" t="s">
        <v>2011</v>
      </c>
      <c r="I254" s="42" t="s">
        <v>2471</v>
      </c>
      <c r="J254" s="42"/>
      <c r="K254" s="761" t="s">
        <v>1620</v>
      </c>
      <c r="L254" t="s">
        <v>3479</v>
      </c>
    </row>
    <row r="255" spans="2:12" x14ac:dyDescent="0.35">
      <c r="B255" s="2" t="s">
        <v>2449</v>
      </c>
      <c r="C255" s="4" t="s">
        <v>197</v>
      </c>
      <c r="E255" s="23"/>
      <c r="F255" s="48" t="s">
        <v>1977</v>
      </c>
      <c r="G255" s="23" t="s">
        <v>1978</v>
      </c>
      <c r="H255" s="41" t="s">
        <v>2011</v>
      </c>
      <c r="I255" s="42" t="s">
        <v>2472</v>
      </c>
      <c r="J255" s="42"/>
      <c r="K255" s="761"/>
      <c r="L255" t="s">
        <v>3479</v>
      </c>
    </row>
    <row r="256" spans="2:12" x14ac:dyDescent="0.35">
      <c r="B256" s="2" t="s">
        <v>2449</v>
      </c>
      <c r="C256" s="4" t="s">
        <v>197</v>
      </c>
      <c r="E256" s="23"/>
      <c r="F256" s="48" t="s">
        <v>1977</v>
      </c>
      <c r="G256" s="23" t="s">
        <v>1978</v>
      </c>
      <c r="H256" s="41" t="s">
        <v>2011</v>
      </c>
      <c r="I256" s="42" t="s">
        <v>2473</v>
      </c>
      <c r="J256" s="42"/>
      <c r="K256" s="761"/>
      <c r="L256" t="s">
        <v>3479</v>
      </c>
    </row>
    <row r="257" spans="5:12" x14ac:dyDescent="0.35">
      <c r="E257" s="23"/>
      <c r="F257" s="48" t="s">
        <v>1977</v>
      </c>
      <c r="G257" s="23" t="s">
        <v>1978</v>
      </c>
      <c r="H257" s="41" t="s">
        <v>2011</v>
      </c>
      <c r="I257" s="42" t="s">
        <v>2474</v>
      </c>
      <c r="J257" s="42"/>
      <c r="K257" s="761"/>
      <c r="L257" t="s">
        <v>3479</v>
      </c>
    </row>
    <row r="258" spans="5:12" x14ac:dyDescent="0.35">
      <c r="E258" s="23"/>
      <c r="F258" s="48" t="s">
        <v>1977</v>
      </c>
      <c r="G258" s="23" t="s">
        <v>1978</v>
      </c>
      <c r="H258" s="41" t="s">
        <v>2011</v>
      </c>
      <c r="I258" s="42" t="s">
        <v>2475</v>
      </c>
      <c r="J258" s="42"/>
      <c r="K258" s="761"/>
      <c r="L258" t="s">
        <v>3479</v>
      </c>
    </row>
    <row r="259" spans="5:12" x14ac:dyDescent="0.35">
      <c r="E259" s="23"/>
      <c r="F259" s="48" t="s">
        <v>1977</v>
      </c>
      <c r="G259" s="23" t="s">
        <v>1978</v>
      </c>
      <c r="H259" s="41" t="s">
        <v>2011</v>
      </c>
      <c r="I259" s="42" t="s">
        <v>2476</v>
      </c>
      <c r="J259" s="42"/>
      <c r="K259" s="761"/>
      <c r="L259" t="s">
        <v>3479</v>
      </c>
    </row>
    <row r="260" spans="5:12" x14ac:dyDescent="0.35">
      <c r="E260" s="23"/>
      <c r="F260" s="48" t="s">
        <v>1977</v>
      </c>
      <c r="G260" s="23" t="s">
        <v>1978</v>
      </c>
      <c r="H260" s="41" t="s">
        <v>2011</v>
      </c>
      <c r="I260" s="42" t="s">
        <v>2477</v>
      </c>
      <c r="J260" s="42"/>
      <c r="K260" s="761"/>
      <c r="L260" t="s">
        <v>3479</v>
      </c>
    </row>
    <row r="261" spans="5:12" x14ac:dyDescent="0.35">
      <c r="E261" s="23"/>
      <c r="F261" s="48" t="s">
        <v>1977</v>
      </c>
      <c r="G261" s="23" t="s">
        <v>1978</v>
      </c>
      <c r="H261" s="41" t="s">
        <v>2011</v>
      </c>
      <c r="I261" s="42" t="s">
        <v>2478</v>
      </c>
      <c r="J261" s="42"/>
      <c r="K261" s="761"/>
      <c r="L261" t="s">
        <v>3479</v>
      </c>
    </row>
    <row r="262" spans="5:12" x14ac:dyDescent="0.35">
      <c r="E262" s="23"/>
      <c r="F262" s="48" t="s">
        <v>1977</v>
      </c>
      <c r="G262" s="23" t="s">
        <v>1978</v>
      </c>
      <c r="H262" s="41" t="s">
        <v>2011</v>
      </c>
      <c r="I262" s="42" t="s">
        <v>2479</v>
      </c>
      <c r="J262" s="42"/>
      <c r="K262" s="761"/>
      <c r="L262" t="s">
        <v>3479</v>
      </c>
    </row>
    <row r="263" spans="5:12" x14ac:dyDescent="0.35">
      <c r="E263" s="43"/>
      <c r="F263" s="48" t="s">
        <v>1977</v>
      </c>
      <c r="G263" s="23" t="s">
        <v>1978</v>
      </c>
      <c r="H263" s="41" t="s">
        <v>2011</v>
      </c>
      <c r="I263" s="42" t="s">
        <v>2480</v>
      </c>
      <c r="J263" s="42"/>
      <c r="K263" s="761"/>
      <c r="L263" t="s">
        <v>3479</v>
      </c>
    </row>
    <row r="264" spans="5:12" x14ac:dyDescent="0.35">
      <c r="E264" s="43"/>
      <c r="F264" s="38" t="s">
        <v>1977</v>
      </c>
      <c r="G264" s="43" t="s">
        <v>1978</v>
      </c>
      <c r="H264" s="39" t="s">
        <v>2011</v>
      </c>
      <c r="I264" s="66" t="s">
        <v>2481</v>
      </c>
      <c r="J264" s="66"/>
      <c r="K264" s="761"/>
      <c r="L264" t="s">
        <v>3479</v>
      </c>
    </row>
    <row r="265" spans="5:12" x14ac:dyDescent="0.35">
      <c r="E265" s="15"/>
      <c r="F265" s="15" t="s">
        <v>1977</v>
      </c>
      <c r="G265" s="15" t="s">
        <v>1978</v>
      </c>
      <c r="H265" s="137" t="s">
        <v>1979</v>
      </c>
      <c r="I265" s="887" t="s">
        <v>6417</v>
      </c>
      <c r="J265" s="15"/>
      <c r="K265" s="732" t="s">
        <v>6430</v>
      </c>
    </row>
    <row r="266" spans="5:12" x14ac:dyDescent="0.35">
      <c r="E266" s="15"/>
      <c r="F266" s="15" t="s">
        <v>1977</v>
      </c>
      <c r="G266" s="15" t="s">
        <v>1978</v>
      </c>
      <c r="H266" s="137" t="s">
        <v>1979</v>
      </c>
      <c r="I266" s="887" t="s">
        <v>6418</v>
      </c>
      <c r="J266" s="15"/>
      <c r="K266" s="886"/>
    </row>
    <row r="267" spans="5:12" x14ac:dyDescent="0.35">
      <c r="E267" s="15"/>
      <c r="F267" s="15" t="s">
        <v>1977</v>
      </c>
      <c r="G267" s="15" t="s">
        <v>1978</v>
      </c>
      <c r="H267" s="137" t="s">
        <v>1979</v>
      </c>
      <c r="I267" s="887" t="s">
        <v>6419</v>
      </c>
      <c r="J267" s="15"/>
      <c r="K267" s="886"/>
    </row>
    <row r="268" spans="5:12" x14ac:dyDescent="0.35">
      <c r="E268" s="15"/>
      <c r="F268" s="15" t="s">
        <v>1977</v>
      </c>
      <c r="G268" s="15" t="s">
        <v>1978</v>
      </c>
      <c r="H268" s="137" t="s">
        <v>1979</v>
      </c>
      <c r="I268" s="887" t="s">
        <v>6420</v>
      </c>
      <c r="J268" s="15"/>
      <c r="K268" s="886"/>
    </row>
    <row r="269" spans="5:12" x14ac:dyDescent="0.35">
      <c r="E269" s="15"/>
      <c r="F269" s="15" t="s">
        <v>1977</v>
      </c>
      <c r="G269" s="15" t="s">
        <v>1978</v>
      </c>
      <c r="H269" s="137" t="s">
        <v>1979</v>
      </c>
      <c r="I269" s="887" t="s">
        <v>6421</v>
      </c>
      <c r="J269" s="15"/>
      <c r="K269" s="886"/>
    </row>
    <row r="270" spans="5:12" x14ac:dyDescent="0.35">
      <c r="E270" s="15"/>
      <c r="F270" s="15" t="s">
        <v>1977</v>
      </c>
      <c r="G270" s="15" t="s">
        <v>1978</v>
      </c>
      <c r="H270" s="137" t="s">
        <v>1979</v>
      </c>
      <c r="I270" s="887" t="s">
        <v>6422</v>
      </c>
      <c r="J270" s="15"/>
      <c r="K270" s="886"/>
    </row>
    <row r="271" spans="5:12" x14ac:dyDescent="0.35">
      <c r="E271" s="15"/>
      <c r="F271" s="15" t="s">
        <v>1977</v>
      </c>
      <c r="G271" s="15" t="s">
        <v>1978</v>
      </c>
      <c r="H271" s="137" t="s">
        <v>1979</v>
      </c>
      <c r="I271" s="887" t="s">
        <v>6423</v>
      </c>
      <c r="J271" s="15"/>
      <c r="K271" s="886"/>
    </row>
    <row r="272" spans="5:12" x14ac:dyDescent="0.35">
      <c r="E272" s="15"/>
      <c r="F272" s="15" t="s">
        <v>1977</v>
      </c>
      <c r="G272" s="15" t="s">
        <v>1978</v>
      </c>
      <c r="H272" s="137" t="s">
        <v>1979</v>
      </c>
      <c r="I272" s="887" t="s">
        <v>6424</v>
      </c>
      <c r="J272" s="15"/>
      <c r="K272" s="886"/>
    </row>
    <row r="273" spans="4:11" x14ac:dyDescent="0.35">
      <c r="E273" s="15"/>
      <c r="F273" s="15" t="s">
        <v>1977</v>
      </c>
      <c r="G273" s="15" t="s">
        <v>1978</v>
      </c>
      <c r="H273" s="137" t="s">
        <v>1979</v>
      </c>
      <c r="I273" s="887" t="s">
        <v>6425</v>
      </c>
      <c r="J273" s="15"/>
      <c r="K273" s="886"/>
    </row>
    <row r="274" spans="4:11" x14ac:dyDescent="0.35">
      <c r="E274" s="15"/>
      <c r="F274" s="15" t="s">
        <v>1977</v>
      </c>
      <c r="G274" s="15" t="s">
        <v>1978</v>
      </c>
      <c r="H274" s="137" t="s">
        <v>1979</v>
      </c>
      <c r="I274" s="887" t="s">
        <v>6426</v>
      </c>
      <c r="J274" s="15"/>
      <c r="K274" s="886"/>
    </row>
    <row r="275" spans="4:11" x14ac:dyDescent="0.35">
      <c r="E275" s="15"/>
      <c r="F275" s="15" t="s">
        <v>1977</v>
      </c>
      <c r="G275" s="15" t="s">
        <v>1978</v>
      </c>
      <c r="H275" s="137" t="s">
        <v>1979</v>
      </c>
      <c r="I275" s="887" t="s">
        <v>6427</v>
      </c>
      <c r="J275" s="15"/>
      <c r="K275" s="886"/>
    </row>
    <row r="276" spans="4:11" x14ac:dyDescent="0.35">
      <c r="E276" s="15"/>
      <c r="F276" s="15" t="s">
        <v>1977</v>
      </c>
      <c r="G276" s="15" t="s">
        <v>1978</v>
      </c>
      <c r="H276" s="137" t="s">
        <v>1979</v>
      </c>
      <c r="I276" s="887" t="s">
        <v>6428</v>
      </c>
      <c r="J276" s="15"/>
      <c r="K276" s="886"/>
    </row>
    <row r="277" spans="4:11" x14ac:dyDescent="0.35">
      <c r="E277" s="15"/>
      <c r="F277" s="15" t="s">
        <v>1977</v>
      </c>
      <c r="G277" s="15" t="s">
        <v>1978</v>
      </c>
      <c r="H277" s="137" t="s">
        <v>1979</v>
      </c>
      <c r="I277" s="887" t="s">
        <v>6429</v>
      </c>
      <c r="J277" s="15"/>
      <c r="K277" s="886"/>
    </row>
    <row r="283" spans="4:11" x14ac:dyDescent="0.35">
      <c r="D283" s="23"/>
    </row>
  </sheetData>
  <autoFilter ref="B1:L256" xr:uid="{527F045E-83E6-43DA-8CEB-1A89FF072051}"/>
  <mergeCells count="20">
    <mergeCell ref="K176:K182"/>
    <mergeCell ref="K183:K184"/>
    <mergeCell ref="K2:K7"/>
    <mergeCell ref="K8:K9"/>
    <mergeCell ref="K29:K33"/>
    <mergeCell ref="K111:K117"/>
    <mergeCell ref="K134:K138"/>
    <mergeCell ref="K165:K175"/>
    <mergeCell ref="K150:K164"/>
    <mergeCell ref="K59:K91"/>
    <mergeCell ref="K139:K149"/>
    <mergeCell ref="K213:K231"/>
    <mergeCell ref="K186:K193"/>
    <mergeCell ref="K254:K264"/>
    <mergeCell ref="K194:K201"/>
    <mergeCell ref="K202:K205"/>
    <mergeCell ref="K206:K209"/>
    <mergeCell ref="K232:K241"/>
    <mergeCell ref="K211:K212"/>
    <mergeCell ref="K265:K277"/>
  </mergeCells>
  <conditionalFormatting sqref="E114:E116">
    <cfRule type="duplicateValues" dxfId="203" priority="6"/>
  </conditionalFormatting>
  <conditionalFormatting sqref="E191">
    <cfRule type="duplicateValues" dxfId="202" priority="8"/>
    <cfRule type="duplicateValues" dxfId="201" priority="9"/>
  </conditionalFormatting>
  <conditionalFormatting sqref="E192:E193">
    <cfRule type="duplicateValues" dxfId="200" priority="10"/>
    <cfRule type="duplicateValues" dxfId="199" priority="11"/>
  </conditionalFormatting>
  <conditionalFormatting sqref="I287:I1048576 L196 J140:J143 J101:J102 I1:I133 J106 J125:J128 J122 J111:J117 J145:J149 L101:L104 L106 L109 L111:L117 L135:L136 L138:L143 L121 L145:L149 L173:L174 L203 I135:I176 E281:E286 I183:I280">
    <cfRule type="duplicateValues" dxfId="198" priority="7"/>
  </conditionalFormatting>
  <conditionalFormatting sqref="L65">
    <cfRule type="duplicateValues" dxfId="197" priority="5"/>
  </conditionalFormatting>
  <conditionalFormatting sqref="L151:L172 L175">
    <cfRule type="duplicateValues" dxfId="196" priority="4"/>
  </conditionalFormatting>
  <conditionalFormatting sqref="I177:I182">
    <cfRule type="duplicateValues" dxfId="195" priority="2"/>
  </conditionalFormatting>
  <conditionalFormatting sqref="D283">
    <cfRule type="duplicateValues" dxfId="194" priority="1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12CDA-6D7C-495D-BD2D-B34CB07C10A0}">
  <sheetPr>
    <tabColor rgb="FFFFFF00"/>
  </sheetPr>
  <dimension ref="B1:F55"/>
  <sheetViews>
    <sheetView topLeftCell="A13" workbookViewId="0">
      <selection activeCell="K58" sqref="K58"/>
    </sheetView>
  </sheetViews>
  <sheetFormatPr defaultRowHeight="14.5" x14ac:dyDescent="0.35"/>
  <cols>
    <col min="2" max="2" width="24.54296875" customWidth="1"/>
    <col min="3" max="3" width="32.1796875" customWidth="1"/>
    <col min="4" max="4" width="15.26953125" customWidth="1"/>
    <col min="5" max="5" width="16.453125" customWidth="1"/>
  </cols>
  <sheetData>
    <row r="1" spans="2:6" x14ac:dyDescent="0.35">
      <c r="C1" s="13" t="s">
        <v>0</v>
      </c>
      <c r="D1" s="169" t="s">
        <v>2</v>
      </c>
      <c r="E1" s="13" t="s">
        <v>1</v>
      </c>
    </row>
    <row r="2" spans="2:6" x14ac:dyDescent="0.35">
      <c r="C2" s="1" t="s">
        <v>2482</v>
      </c>
      <c r="D2" s="170" t="s">
        <v>16</v>
      </c>
      <c r="E2" s="65" t="s">
        <v>2483</v>
      </c>
    </row>
    <row r="3" spans="2:6" x14ac:dyDescent="0.35">
      <c r="C3" s="7" t="s">
        <v>2484</v>
      </c>
      <c r="D3" s="171" t="s">
        <v>46</v>
      </c>
      <c r="E3" s="171" t="s">
        <v>2485</v>
      </c>
    </row>
    <row r="4" spans="2:6" x14ac:dyDescent="0.35">
      <c r="C4" s="1" t="s">
        <v>2484</v>
      </c>
      <c r="D4" s="170" t="s">
        <v>46</v>
      </c>
      <c r="E4" s="170" t="s">
        <v>2486</v>
      </c>
    </row>
    <row r="5" spans="2:6" x14ac:dyDescent="0.35">
      <c r="C5" s="1" t="s">
        <v>2487</v>
      </c>
      <c r="D5" s="170" t="s">
        <v>46</v>
      </c>
      <c r="E5" s="170" t="s">
        <v>2488</v>
      </c>
    </row>
    <row r="6" spans="2:6" x14ac:dyDescent="0.35">
      <c r="C6" s="1" t="s">
        <v>2487</v>
      </c>
      <c r="D6" s="170" t="s">
        <v>46</v>
      </c>
      <c r="E6" s="170" t="s">
        <v>2489</v>
      </c>
    </row>
    <row r="7" spans="2:6" x14ac:dyDescent="0.35">
      <c r="C7" s="1" t="s">
        <v>2490</v>
      </c>
      <c r="D7" s="170" t="s">
        <v>276</v>
      </c>
      <c r="E7" s="170" t="s">
        <v>2491</v>
      </c>
    </row>
    <row r="8" spans="2:6" x14ac:dyDescent="0.35">
      <c r="C8" s="1" t="s">
        <v>2492</v>
      </c>
      <c r="D8" s="170">
        <v>2023</v>
      </c>
      <c r="E8" s="170" t="s">
        <v>2493</v>
      </c>
    </row>
    <row r="9" spans="2:6" x14ac:dyDescent="0.35">
      <c r="C9" s="1" t="s">
        <v>2494</v>
      </c>
      <c r="D9" s="170" t="s">
        <v>276</v>
      </c>
      <c r="E9" s="170" t="s">
        <v>2495</v>
      </c>
    </row>
    <row r="10" spans="2:6" x14ac:dyDescent="0.35">
      <c r="C10" s="1" t="s">
        <v>2494</v>
      </c>
      <c r="D10" s="170" t="s">
        <v>276</v>
      </c>
      <c r="E10" s="170" t="s">
        <v>2496</v>
      </c>
    </row>
    <row r="11" spans="2:6" x14ac:dyDescent="0.35">
      <c r="C11" s="1" t="s">
        <v>2494</v>
      </c>
      <c r="D11" s="170" t="s">
        <v>276</v>
      </c>
      <c r="E11" s="170" t="s">
        <v>2497</v>
      </c>
    </row>
    <row r="15" spans="2:6" ht="18.5" x14ac:dyDescent="0.45">
      <c r="B15" s="166" t="s">
        <v>2498</v>
      </c>
      <c r="C15" s="166" t="s">
        <v>2499</v>
      </c>
      <c r="D15" s="167" t="s">
        <v>2500</v>
      </c>
      <c r="E15" s="167" t="s">
        <v>2501</v>
      </c>
    </row>
    <row r="16" spans="2:6" x14ac:dyDescent="0.35">
      <c r="B16" s="15" t="s">
        <v>2502</v>
      </c>
      <c r="C16" s="15" t="s">
        <v>2503</v>
      </c>
      <c r="D16" s="15" t="s">
        <v>2504</v>
      </c>
      <c r="E16" s="15" t="s">
        <v>2488</v>
      </c>
      <c r="F16" s="305" t="s">
        <v>3479</v>
      </c>
    </row>
    <row r="17" spans="2:6" x14ac:dyDescent="0.35">
      <c r="B17" s="15" t="s">
        <v>2505</v>
      </c>
      <c r="C17" s="15" t="s">
        <v>2506</v>
      </c>
      <c r="D17" s="15" t="s">
        <v>2504</v>
      </c>
      <c r="E17" s="15" t="s">
        <v>2485</v>
      </c>
      <c r="F17" s="305" t="s">
        <v>3479</v>
      </c>
    </row>
    <row r="18" spans="2:6" x14ac:dyDescent="0.35">
      <c r="B18" s="103" t="s">
        <v>2507</v>
      </c>
      <c r="C18" s="15" t="s">
        <v>2508</v>
      </c>
      <c r="D18" s="15" t="s">
        <v>2504</v>
      </c>
      <c r="E18" s="15" t="s">
        <v>2509</v>
      </c>
      <c r="F18" s="305" t="s">
        <v>3479</v>
      </c>
    </row>
    <row r="19" spans="2:6" x14ac:dyDescent="0.35">
      <c r="B19" s="15" t="s">
        <v>2510</v>
      </c>
      <c r="C19" s="15" t="s">
        <v>2506</v>
      </c>
      <c r="D19" s="15" t="s">
        <v>2511</v>
      </c>
      <c r="E19" s="15" t="s">
        <v>2512</v>
      </c>
      <c r="F19" s="305" t="s">
        <v>3479</v>
      </c>
    </row>
    <row r="20" spans="2:6" x14ac:dyDescent="0.35">
      <c r="B20" s="15" t="s">
        <v>2513</v>
      </c>
      <c r="C20" s="15" t="s">
        <v>2506</v>
      </c>
      <c r="D20" s="15" t="s">
        <v>2511</v>
      </c>
      <c r="E20" s="15" t="s">
        <v>2514</v>
      </c>
      <c r="F20" s="305" t="s">
        <v>3479</v>
      </c>
    </row>
    <row r="21" spans="2:6" x14ac:dyDescent="0.35">
      <c r="B21" s="15" t="s">
        <v>2515</v>
      </c>
      <c r="C21" s="15" t="s">
        <v>2503</v>
      </c>
      <c r="D21" s="15" t="s">
        <v>2504</v>
      </c>
      <c r="E21" s="15" t="s">
        <v>2489</v>
      </c>
      <c r="F21" s="305" t="s">
        <v>3479</v>
      </c>
    </row>
    <row r="22" spans="2:6" x14ac:dyDescent="0.35">
      <c r="B22" s="15" t="s">
        <v>2516</v>
      </c>
      <c r="C22" s="15" t="s">
        <v>2506</v>
      </c>
      <c r="D22" s="15" t="s">
        <v>2504</v>
      </c>
      <c r="E22" s="15" t="s">
        <v>2486</v>
      </c>
      <c r="F22" s="305" t="s">
        <v>3479</v>
      </c>
    </row>
    <row r="23" spans="2:6" x14ac:dyDescent="0.35">
      <c r="B23" s="15" t="s">
        <v>2517</v>
      </c>
      <c r="C23" s="15" t="s">
        <v>2506</v>
      </c>
      <c r="D23" s="15" t="s">
        <v>2504</v>
      </c>
      <c r="E23" s="15" t="s">
        <v>2483</v>
      </c>
      <c r="F23" s="305" t="s">
        <v>3479</v>
      </c>
    </row>
    <row r="24" spans="2:6" x14ac:dyDescent="0.35">
      <c r="B24" s="306" t="s">
        <v>2518</v>
      </c>
      <c r="C24" s="306" t="s">
        <v>2519</v>
      </c>
      <c r="D24" s="306" t="s">
        <v>2504</v>
      </c>
      <c r="E24" t="s">
        <v>3487</v>
      </c>
      <c r="F24" s="305" t="s">
        <v>3479</v>
      </c>
    </row>
    <row r="25" spans="2:6" x14ac:dyDescent="0.35">
      <c r="B25" s="15" t="s">
        <v>2520</v>
      </c>
      <c r="C25" s="15" t="s">
        <v>2506</v>
      </c>
      <c r="D25" s="15" t="s">
        <v>1377</v>
      </c>
      <c r="E25" s="15" t="s">
        <v>2521</v>
      </c>
      <c r="F25" s="305" t="s">
        <v>3479</v>
      </c>
    </row>
    <row r="26" spans="2:6" x14ac:dyDescent="0.35">
      <c r="B26" s="15" t="s">
        <v>2522</v>
      </c>
      <c r="C26" s="15" t="s">
        <v>2506</v>
      </c>
      <c r="D26" s="15" t="s">
        <v>1377</v>
      </c>
      <c r="E26" s="15" t="s">
        <v>2523</v>
      </c>
      <c r="F26" s="305" t="s">
        <v>3479</v>
      </c>
    </row>
    <row r="27" spans="2:6" x14ac:dyDescent="0.35">
      <c r="B27" s="103" t="s">
        <v>2524</v>
      </c>
      <c r="C27" s="15" t="s">
        <v>2506</v>
      </c>
      <c r="D27" s="15" t="s">
        <v>2504</v>
      </c>
      <c r="E27" s="15" t="s">
        <v>2525</v>
      </c>
      <c r="F27" s="305" t="s">
        <v>3479</v>
      </c>
    </row>
    <row r="28" spans="2:6" x14ac:dyDescent="0.35">
      <c r="B28" s="15" t="s">
        <v>2526</v>
      </c>
      <c r="C28" s="15" t="s">
        <v>2506</v>
      </c>
      <c r="D28" s="15" t="s">
        <v>2504</v>
      </c>
      <c r="E28" s="15" t="s">
        <v>2527</v>
      </c>
      <c r="F28" s="305" t="s">
        <v>3479</v>
      </c>
    </row>
    <row r="29" spans="2:6" x14ac:dyDescent="0.35">
      <c r="B29" s="15" t="s">
        <v>2528</v>
      </c>
      <c r="C29" s="15" t="s">
        <v>2506</v>
      </c>
      <c r="D29" s="15" t="s">
        <v>2504</v>
      </c>
      <c r="E29" s="15" t="s">
        <v>2529</v>
      </c>
      <c r="F29" s="305" t="s">
        <v>3479</v>
      </c>
    </row>
    <row r="30" spans="2:6" x14ac:dyDescent="0.35">
      <c r="B30" s="15" t="s">
        <v>2530</v>
      </c>
      <c r="C30" s="15" t="s">
        <v>2531</v>
      </c>
      <c r="D30" s="15" t="s">
        <v>1377</v>
      </c>
      <c r="E30" s="15" t="s">
        <v>2532</v>
      </c>
      <c r="F30" s="305" t="s">
        <v>3479</v>
      </c>
    </row>
    <row r="31" spans="2:6" x14ac:dyDescent="0.35">
      <c r="B31" s="15" t="s">
        <v>2533</v>
      </c>
      <c r="C31" s="15" t="s">
        <v>2506</v>
      </c>
      <c r="D31" s="15" t="s">
        <v>2504</v>
      </c>
      <c r="E31" s="15" t="s">
        <v>2534</v>
      </c>
      <c r="F31" s="305" t="s">
        <v>3479</v>
      </c>
    </row>
    <row r="32" spans="2:6" x14ac:dyDescent="0.35">
      <c r="B32" s="306" t="s">
        <v>2535</v>
      </c>
      <c r="C32" s="306" t="s">
        <v>2519</v>
      </c>
      <c r="D32" s="306" t="s">
        <v>2504</v>
      </c>
      <c r="E32" s="306" t="s">
        <v>2536</v>
      </c>
      <c r="F32" s="307" t="s">
        <v>3479</v>
      </c>
    </row>
    <row r="33" spans="2:6" x14ac:dyDescent="0.35">
      <c r="B33" s="15" t="s">
        <v>2537</v>
      </c>
      <c r="C33" s="15" t="s">
        <v>2506</v>
      </c>
      <c r="D33" s="15" t="s">
        <v>2511</v>
      </c>
      <c r="E33" s="15" t="s">
        <v>2538</v>
      </c>
      <c r="F33" s="305" t="s">
        <v>3479</v>
      </c>
    </row>
    <row r="34" spans="2:6" x14ac:dyDescent="0.35">
      <c r="B34" s="15" t="s">
        <v>2539</v>
      </c>
      <c r="C34" s="15" t="s">
        <v>2540</v>
      </c>
      <c r="D34" s="15" t="s">
        <v>2504</v>
      </c>
      <c r="E34" s="15" t="s">
        <v>2541</v>
      </c>
      <c r="F34" s="305" t="s">
        <v>3479</v>
      </c>
    </row>
    <row r="35" spans="2:6" x14ac:dyDescent="0.35">
      <c r="B35" s="306" t="s">
        <v>2542</v>
      </c>
      <c r="C35" s="306" t="s">
        <v>2519</v>
      </c>
      <c r="D35" s="306" t="s">
        <v>2504</v>
      </c>
      <c r="E35" s="306" t="s">
        <v>2543</v>
      </c>
      <c r="F35" s="307" t="s">
        <v>3479</v>
      </c>
    </row>
    <row r="36" spans="2:6" x14ac:dyDescent="0.35">
      <c r="B36" s="15" t="s">
        <v>2544</v>
      </c>
      <c r="C36" s="15" t="s">
        <v>2540</v>
      </c>
      <c r="D36" s="15" t="s">
        <v>2511</v>
      </c>
      <c r="E36" s="15" t="s">
        <v>2493</v>
      </c>
      <c r="F36" s="305" t="s">
        <v>3479</v>
      </c>
    </row>
    <row r="37" spans="2:6" x14ac:dyDescent="0.35">
      <c r="B37" s="15" t="s">
        <v>2545</v>
      </c>
      <c r="C37" s="15" t="s">
        <v>2540</v>
      </c>
      <c r="D37" s="15" t="s">
        <v>2511</v>
      </c>
      <c r="E37" s="15" t="s">
        <v>2495</v>
      </c>
      <c r="F37" s="305" t="s">
        <v>3479</v>
      </c>
    </row>
    <row r="38" spans="2:6" x14ac:dyDescent="0.35">
      <c r="B38" s="15" t="s">
        <v>2546</v>
      </c>
      <c r="C38" s="15" t="s">
        <v>2540</v>
      </c>
      <c r="D38" s="15" t="s">
        <v>2511</v>
      </c>
      <c r="E38" s="15" t="s">
        <v>2496</v>
      </c>
      <c r="F38" s="305" t="s">
        <v>3479</v>
      </c>
    </row>
    <row r="39" spans="2:6" x14ac:dyDescent="0.35">
      <c r="B39" s="15" t="s">
        <v>2547</v>
      </c>
      <c r="C39" s="15" t="s">
        <v>2540</v>
      </c>
      <c r="D39" s="15" t="s">
        <v>2511</v>
      </c>
      <c r="E39" s="15" t="s">
        <v>2497</v>
      </c>
      <c r="F39" s="305" t="s">
        <v>3479</v>
      </c>
    </row>
    <row r="40" spans="2:6" ht="29" x14ac:dyDescent="0.35">
      <c r="B40" s="63" t="s">
        <v>2548</v>
      </c>
      <c r="C40" s="63" t="s">
        <v>2549</v>
      </c>
      <c r="D40" s="63" t="s">
        <v>2511</v>
      </c>
      <c r="E40" s="168" t="s">
        <v>2550</v>
      </c>
      <c r="F40" s="305" t="s">
        <v>3479</v>
      </c>
    </row>
    <row r="41" spans="2:6" x14ac:dyDescent="0.35">
      <c r="B41" s="15" t="s">
        <v>2551</v>
      </c>
      <c r="C41" s="15" t="s">
        <v>2552</v>
      </c>
      <c r="D41" s="15" t="s">
        <v>2511</v>
      </c>
      <c r="E41" s="15" t="s">
        <v>2491</v>
      </c>
      <c r="F41" s="305" t="s">
        <v>3479</v>
      </c>
    </row>
    <row r="42" spans="2:6" x14ac:dyDescent="0.35">
      <c r="B42" s="15" t="s">
        <v>2553</v>
      </c>
      <c r="C42" s="15" t="s">
        <v>2554</v>
      </c>
      <c r="D42" s="15" t="s">
        <v>2504</v>
      </c>
      <c r="E42" s="15" t="s">
        <v>2555</v>
      </c>
      <c r="F42" s="305" t="s">
        <v>3479</v>
      </c>
    </row>
    <row r="43" spans="2:6" ht="43.5" x14ac:dyDescent="0.35">
      <c r="B43" s="63" t="s">
        <v>2556</v>
      </c>
      <c r="C43" s="63" t="s">
        <v>2557</v>
      </c>
      <c r="D43" s="63" t="s">
        <v>2504</v>
      </c>
      <c r="E43" s="168" t="s">
        <v>2558</v>
      </c>
      <c r="F43" s="305" t="s">
        <v>3479</v>
      </c>
    </row>
    <row r="46" spans="2:6" x14ac:dyDescent="0.35">
      <c r="B46" s="140" t="s">
        <v>1664</v>
      </c>
    </row>
    <row r="47" spans="2:6" x14ac:dyDescent="0.35">
      <c r="C47" s="872" t="s">
        <v>3490</v>
      </c>
      <c r="D47" s="872" t="s">
        <v>2650</v>
      </c>
      <c r="E47" s="872" t="s">
        <v>1</v>
      </c>
    </row>
    <row r="48" spans="2:6" x14ac:dyDescent="0.35">
      <c r="C48" s="861" t="s">
        <v>6342</v>
      </c>
      <c r="D48" s="861" t="s">
        <v>4387</v>
      </c>
      <c r="E48" s="861" t="s">
        <v>6343</v>
      </c>
    </row>
    <row r="49" spans="3:5" x14ac:dyDescent="0.35">
      <c r="C49" s="861" t="s">
        <v>6344</v>
      </c>
      <c r="D49" s="861" t="s">
        <v>6345</v>
      </c>
      <c r="E49" s="861" t="s">
        <v>6346</v>
      </c>
    </row>
    <row r="50" spans="3:5" x14ac:dyDescent="0.35">
      <c r="C50" s="861" t="s">
        <v>6347</v>
      </c>
      <c r="D50" s="861" t="s">
        <v>4387</v>
      </c>
      <c r="E50" s="861" t="s">
        <v>6348</v>
      </c>
    </row>
    <row r="51" spans="3:5" x14ac:dyDescent="0.35">
      <c r="C51" s="861" t="s">
        <v>6347</v>
      </c>
      <c r="D51" s="861" t="s">
        <v>4387</v>
      </c>
      <c r="E51" s="861" t="s">
        <v>6349</v>
      </c>
    </row>
    <row r="52" spans="3:5" x14ac:dyDescent="0.35">
      <c r="C52" s="861" t="s">
        <v>6347</v>
      </c>
      <c r="D52" s="861" t="s">
        <v>4387</v>
      </c>
      <c r="E52" s="861" t="s">
        <v>6350</v>
      </c>
    </row>
    <row r="53" spans="3:5" x14ac:dyDescent="0.35">
      <c r="C53" s="861" t="s">
        <v>6347</v>
      </c>
      <c r="D53" s="861" t="s">
        <v>4387</v>
      </c>
      <c r="E53" s="861" t="s">
        <v>6351</v>
      </c>
    </row>
    <row r="54" spans="3:5" x14ac:dyDescent="0.35">
      <c r="C54" s="861" t="s">
        <v>6347</v>
      </c>
      <c r="D54" s="861" t="s">
        <v>6352</v>
      </c>
      <c r="E54" s="861" t="s">
        <v>6353</v>
      </c>
    </row>
    <row r="55" spans="3:5" x14ac:dyDescent="0.35">
      <c r="C55" s="861" t="s">
        <v>6354</v>
      </c>
      <c r="D55" s="861" t="s">
        <v>6355</v>
      </c>
      <c r="E55" s="861" t="s">
        <v>6356</v>
      </c>
    </row>
  </sheetData>
  <conditionalFormatting sqref="E1:E23 E25:E1048576 F16:F43">
    <cfRule type="duplicateValues" dxfId="193" priority="2"/>
  </conditionalFormatting>
  <conditionalFormatting sqref="E2:E11">
    <cfRule type="duplicateValues" dxfId="192" priority="3"/>
    <cfRule type="duplicateValues" dxfId="191" priority="4"/>
    <cfRule type="duplicateValues" dxfId="190" priority="5"/>
    <cfRule type="duplicateValues" dxfId="189" priority="6"/>
  </conditionalFormatting>
  <conditionalFormatting sqref="E1:E1048576">
    <cfRule type="duplicateValues" dxfId="188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DE197-F49A-4AE0-8D48-5160784160D0}">
  <sheetPr>
    <tabColor rgb="FFFFFF00"/>
  </sheetPr>
  <dimension ref="A1:D54"/>
  <sheetViews>
    <sheetView workbookViewId="0">
      <selection activeCell="B52" sqref="B52"/>
    </sheetView>
  </sheetViews>
  <sheetFormatPr defaultRowHeight="14.5" x14ac:dyDescent="0.35"/>
  <cols>
    <col min="1" max="1" width="36.81640625" customWidth="1"/>
    <col min="2" max="2" width="58.54296875" customWidth="1"/>
    <col min="3" max="3" width="19.54296875" customWidth="1"/>
  </cols>
  <sheetData>
    <row r="1" spans="1:4" x14ac:dyDescent="0.35">
      <c r="B1" s="13" t="s">
        <v>0</v>
      </c>
      <c r="C1" s="13" t="s">
        <v>1</v>
      </c>
      <c r="D1" s="13" t="s">
        <v>2</v>
      </c>
    </row>
    <row r="2" spans="1:4" x14ac:dyDescent="0.35">
      <c r="B2" s="2" t="s">
        <v>2559</v>
      </c>
      <c r="C2" s="4" t="s">
        <v>2560</v>
      </c>
      <c r="D2" s="5" t="s">
        <v>276</v>
      </c>
    </row>
    <row r="3" spans="1:4" x14ac:dyDescent="0.35">
      <c r="B3" s="2" t="s">
        <v>2559</v>
      </c>
      <c r="C3" s="4" t="s">
        <v>2561</v>
      </c>
      <c r="D3" s="5" t="s">
        <v>276</v>
      </c>
    </row>
    <row r="4" spans="1:4" x14ac:dyDescent="0.35">
      <c r="B4" s="2" t="s">
        <v>2559</v>
      </c>
      <c r="C4" s="4" t="s">
        <v>2562</v>
      </c>
      <c r="D4" s="4" t="s">
        <v>276</v>
      </c>
    </row>
    <row r="5" spans="1:4" x14ac:dyDescent="0.35">
      <c r="B5" s="2" t="s">
        <v>2559</v>
      </c>
      <c r="C5" s="4" t="s">
        <v>2563</v>
      </c>
      <c r="D5" s="4" t="s">
        <v>276</v>
      </c>
    </row>
    <row r="6" spans="1:4" x14ac:dyDescent="0.35">
      <c r="B6" s="2" t="s">
        <v>2559</v>
      </c>
      <c r="C6" s="4" t="s">
        <v>2564</v>
      </c>
      <c r="D6" s="4" t="s">
        <v>276</v>
      </c>
    </row>
    <row r="7" spans="1:4" x14ac:dyDescent="0.35">
      <c r="B7" s="2" t="s">
        <v>2559</v>
      </c>
      <c r="C7" s="4" t="s">
        <v>2565</v>
      </c>
      <c r="D7" s="4" t="s">
        <v>276</v>
      </c>
    </row>
    <row r="8" spans="1:4" x14ac:dyDescent="0.35">
      <c r="B8" s="2" t="s">
        <v>2559</v>
      </c>
      <c r="C8" s="4" t="s">
        <v>2566</v>
      </c>
      <c r="D8" s="4" t="s">
        <v>276</v>
      </c>
    </row>
    <row r="9" spans="1:4" x14ac:dyDescent="0.35">
      <c r="B9" s="2" t="s">
        <v>2559</v>
      </c>
      <c r="C9" s="4" t="s">
        <v>2567</v>
      </c>
      <c r="D9" s="4" t="s">
        <v>276</v>
      </c>
    </row>
    <row r="10" spans="1:4" x14ac:dyDescent="0.35">
      <c r="B10" s="2" t="s">
        <v>2559</v>
      </c>
      <c r="C10" s="4" t="s">
        <v>2568</v>
      </c>
      <c r="D10" s="4" t="s">
        <v>276</v>
      </c>
    </row>
    <row r="11" spans="1:4" x14ac:dyDescent="0.35">
      <c r="B11" s="2" t="s">
        <v>2559</v>
      </c>
      <c r="C11" s="4" t="s">
        <v>2569</v>
      </c>
      <c r="D11" s="4" t="s">
        <v>276</v>
      </c>
    </row>
    <row r="14" spans="1:4" x14ac:dyDescent="0.35">
      <c r="A14" s="15" t="s">
        <v>2570</v>
      </c>
      <c r="B14" s="15" t="s">
        <v>2571</v>
      </c>
      <c r="C14" s="15" t="s">
        <v>2560</v>
      </c>
      <c r="D14" s="309" t="s">
        <v>3479</v>
      </c>
    </row>
    <row r="15" spans="1:4" x14ac:dyDescent="0.35">
      <c r="A15" s="15" t="s">
        <v>2572</v>
      </c>
      <c r="B15" s="15" t="s">
        <v>2571</v>
      </c>
      <c r="C15" s="15" t="s">
        <v>2561</v>
      </c>
      <c r="D15" s="308" t="s">
        <v>3479</v>
      </c>
    </row>
    <row r="16" spans="1:4" x14ac:dyDescent="0.35">
      <c r="A16" s="15" t="s">
        <v>2573</v>
      </c>
      <c r="B16" s="15" t="s">
        <v>2571</v>
      </c>
      <c r="C16" s="15" t="s">
        <v>2562</v>
      </c>
      <c r="D16" s="308" t="s">
        <v>3479</v>
      </c>
    </row>
    <row r="17" spans="1:4" x14ac:dyDescent="0.35">
      <c r="A17" s="15" t="s">
        <v>2574</v>
      </c>
      <c r="B17" s="15" t="s">
        <v>2571</v>
      </c>
      <c r="C17" s="15" t="s">
        <v>2563</v>
      </c>
      <c r="D17" s="308" t="s">
        <v>3479</v>
      </c>
    </row>
    <row r="18" spans="1:4" x14ac:dyDescent="0.35">
      <c r="A18" s="15" t="s">
        <v>2575</v>
      </c>
      <c r="B18" s="15" t="s">
        <v>2571</v>
      </c>
      <c r="C18" s="15" t="s">
        <v>2564</v>
      </c>
      <c r="D18" s="308" t="s">
        <v>3479</v>
      </c>
    </row>
    <row r="19" spans="1:4" x14ac:dyDescent="0.35">
      <c r="A19" s="15" t="s">
        <v>2576</v>
      </c>
      <c r="B19" s="15" t="s">
        <v>2571</v>
      </c>
      <c r="C19" s="15" t="s">
        <v>2565</v>
      </c>
      <c r="D19" s="310" t="s">
        <v>3479</v>
      </c>
    </row>
    <row r="20" spans="1:4" x14ac:dyDescent="0.35">
      <c r="A20" s="15" t="s">
        <v>2577</v>
      </c>
      <c r="B20" s="15" t="s">
        <v>2578</v>
      </c>
      <c r="C20" s="15" t="s">
        <v>2579</v>
      </c>
      <c r="D20" s="310" t="s">
        <v>3479</v>
      </c>
    </row>
    <row r="21" spans="1:4" x14ac:dyDescent="0.35">
      <c r="A21" s="15" t="s">
        <v>2580</v>
      </c>
      <c r="B21" s="15" t="s">
        <v>2578</v>
      </c>
      <c r="C21" s="15" t="s">
        <v>2581</v>
      </c>
      <c r="D21" s="310" t="s">
        <v>3479</v>
      </c>
    </row>
    <row r="22" spans="1:4" x14ac:dyDescent="0.35">
      <c r="A22" s="15" t="s">
        <v>2582</v>
      </c>
      <c r="B22" s="15" t="s">
        <v>2571</v>
      </c>
      <c r="C22" s="15" t="s">
        <v>2566</v>
      </c>
      <c r="D22" s="310" t="s">
        <v>3479</v>
      </c>
    </row>
    <row r="23" spans="1:4" x14ac:dyDescent="0.35">
      <c r="A23" s="15" t="s">
        <v>2583</v>
      </c>
      <c r="B23" s="15" t="s">
        <v>2571</v>
      </c>
      <c r="C23" s="15" t="s">
        <v>2567</v>
      </c>
      <c r="D23" s="310" t="s">
        <v>3479</v>
      </c>
    </row>
    <row r="24" spans="1:4" x14ac:dyDescent="0.35">
      <c r="A24" s="15" t="s">
        <v>2584</v>
      </c>
      <c r="B24" s="15" t="s">
        <v>2571</v>
      </c>
      <c r="C24" s="15" t="s">
        <v>2568</v>
      </c>
      <c r="D24" s="310" t="s">
        <v>3479</v>
      </c>
    </row>
    <row r="25" spans="1:4" x14ac:dyDescent="0.35">
      <c r="A25" s="15" t="s">
        <v>2585</v>
      </c>
      <c r="B25" s="15" t="s">
        <v>2571</v>
      </c>
      <c r="C25" s="15" t="s">
        <v>2569</v>
      </c>
      <c r="D25" s="310" t="s">
        <v>3479</v>
      </c>
    </row>
    <row r="26" spans="1:4" x14ac:dyDescent="0.35">
      <c r="A26" s="137" t="s">
        <v>2586</v>
      </c>
      <c r="B26" s="138" t="s">
        <v>2587</v>
      </c>
      <c r="C26" s="138" t="s">
        <v>2588</v>
      </c>
      <c r="D26" s="310" t="s">
        <v>3479</v>
      </c>
    </row>
    <row r="27" spans="1:4" x14ac:dyDescent="0.35">
      <c r="A27" s="137" t="s">
        <v>2589</v>
      </c>
      <c r="B27" s="138" t="s">
        <v>2590</v>
      </c>
      <c r="C27" s="138" t="s">
        <v>2591</v>
      </c>
      <c r="D27" s="310" t="s">
        <v>3479</v>
      </c>
    </row>
    <row r="28" spans="1:4" x14ac:dyDescent="0.35">
      <c r="A28" s="137" t="s">
        <v>2592</v>
      </c>
      <c r="B28" s="138" t="s">
        <v>2593</v>
      </c>
      <c r="C28" s="138" t="s">
        <v>2594</v>
      </c>
      <c r="D28" s="310" t="s">
        <v>3479</v>
      </c>
    </row>
    <row r="29" spans="1:4" x14ac:dyDescent="0.35">
      <c r="A29" s="137" t="s">
        <v>2595</v>
      </c>
      <c r="B29" s="138" t="s">
        <v>2587</v>
      </c>
      <c r="C29" s="138" t="s">
        <v>2596</v>
      </c>
      <c r="D29" s="310" t="s">
        <v>3479</v>
      </c>
    </row>
    <row r="30" spans="1:4" x14ac:dyDescent="0.35">
      <c r="A30" s="137" t="s">
        <v>2597</v>
      </c>
      <c r="B30" s="138" t="s">
        <v>2598</v>
      </c>
      <c r="C30" s="138" t="s">
        <v>2599</v>
      </c>
      <c r="D30" s="310" t="s">
        <v>3479</v>
      </c>
    </row>
    <row r="31" spans="1:4" x14ac:dyDescent="0.35">
      <c r="A31" s="137" t="s">
        <v>2600</v>
      </c>
      <c r="B31" s="311" t="s">
        <v>2601</v>
      </c>
      <c r="C31" s="138" t="s">
        <v>2602</v>
      </c>
      <c r="D31" s="310" t="s">
        <v>3479</v>
      </c>
    </row>
    <row r="32" spans="1:4" x14ac:dyDescent="0.35">
      <c r="A32" s="137" t="s">
        <v>2603</v>
      </c>
      <c r="B32" s="311" t="s">
        <v>2601</v>
      </c>
      <c r="C32" s="138" t="s">
        <v>2604</v>
      </c>
      <c r="D32" s="310" t="s">
        <v>3479</v>
      </c>
    </row>
    <row r="33" spans="1:4" x14ac:dyDescent="0.35">
      <c r="A33" s="137" t="s">
        <v>2605</v>
      </c>
      <c r="B33" s="138" t="s">
        <v>2606</v>
      </c>
      <c r="C33" s="138" t="s">
        <v>2607</v>
      </c>
      <c r="D33" s="310" t="s">
        <v>3479</v>
      </c>
    </row>
    <row r="34" spans="1:4" x14ac:dyDescent="0.35">
      <c r="A34" s="137" t="s">
        <v>2608</v>
      </c>
      <c r="B34" s="138" t="s">
        <v>2590</v>
      </c>
      <c r="C34" s="138" t="s">
        <v>2609</v>
      </c>
      <c r="D34" s="310" t="s">
        <v>3479</v>
      </c>
    </row>
    <row r="35" spans="1:4" x14ac:dyDescent="0.35">
      <c r="A35" s="137" t="s">
        <v>2610</v>
      </c>
      <c r="B35" s="311" t="s">
        <v>2611</v>
      </c>
      <c r="C35" s="138" t="s">
        <v>2612</v>
      </c>
      <c r="D35" t="s">
        <v>3479</v>
      </c>
    </row>
    <row r="36" spans="1:4" x14ac:dyDescent="0.35">
      <c r="A36" s="137" t="s">
        <v>2613</v>
      </c>
      <c r="B36" s="138" t="s">
        <v>2614</v>
      </c>
      <c r="C36" s="138" t="s">
        <v>2615</v>
      </c>
      <c r="D36" t="s">
        <v>3479</v>
      </c>
    </row>
    <row r="37" spans="1:4" x14ac:dyDescent="0.35">
      <c r="A37" s="137" t="s">
        <v>1620</v>
      </c>
      <c r="B37" s="138" t="s">
        <v>2614</v>
      </c>
      <c r="C37" s="138" t="s">
        <v>2616</v>
      </c>
      <c r="D37" t="s">
        <v>3479</v>
      </c>
    </row>
    <row r="40" spans="1:4" x14ac:dyDescent="0.35">
      <c r="A40" s="139" t="s">
        <v>6449</v>
      </c>
    </row>
    <row r="41" spans="1:4" x14ac:dyDescent="0.35">
      <c r="A41" s="312" t="s">
        <v>2618</v>
      </c>
      <c r="B41" s="312" t="s">
        <v>2619</v>
      </c>
      <c r="C41" t="s">
        <v>3483</v>
      </c>
    </row>
    <row r="42" spans="1:4" x14ac:dyDescent="0.35">
      <c r="A42" s="53" t="s">
        <v>2620</v>
      </c>
      <c r="B42" s="53" t="s">
        <v>2621</v>
      </c>
      <c r="C42" t="s">
        <v>3483</v>
      </c>
    </row>
    <row r="43" spans="1:4" x14ac:dyDescent="0.35">
      <c r="A43" s="312" t="s">
        <v>2618</v>
      </c>
      <c r="B43" s="312" t="s">
        <v>2622</v>
      </c>
      <c r="C43" t="s">
        <v>3483</v>
      </c>
    </row>
    <row r="44" spans="1:4" x14ac:dyDescent="0.35">
      <c r="A44" s="53" t="s">
        <v>2623</v>
      </c>
      <c r="B44" s="53" t="s">
        <v>2624</v>
      </c>
      <c r="C44" t="s">
        <v>3483</v>
      </c>
    </row>
    <row r="45" spans="1:4" x14ac:dyDescent="0.35">
      <c r="A45" s="53" t="s">
        <v>2593</v>
      </c>
      <c r="B45" s="53" t="s">
        <v>2625</v>
      </c>
      <c r="C45" t="s">
        <v>3483</v>
      </c>
    </row>
    <row r="46" spans="1:4" x14ac:dyDescent="0.35">
      <c r="A46" s="53" t="s">
        <v>2593</v>
      </c>
      <c r="B46" s="53" t="s">
        <v>2626</v>
      </c>
      <c r="C46" t="s">
        <v>3483</v>
      </c>
    </row>
    <row r="47" spans="1:4" x14ac:dyDescent="0.35">
      <c r="A47" s="312" t="s">
        <v>2618</v>
      </c>
      <c r="B47" s="312" t="s">
        <v>2627</v>
      </c>
      <c r="C47" t="s">
        <v>3483</v>
      </c>
    </row>
    <row r="48" spans="1:4" x14ac:dyDescent="0.35">
      <c r="A48" s="53" t="s">
        <v>2628</v>
      </c>
      <c r="B48" s="53" t="s">
        <v>2629</v>
      </c>
      <c r="C48" t="s">
        <v>3483</v>
      </c>
    </row>
    <row r="49" spans="1:3" x14ac:dyDescent="0.35">
      <c r="A49" s="53" t="s">
        <v>2630</v>
      </c>
      <c r="B49" s="53" t="s">
        <v>2631</v>
      </c>
      <c r="C49" t="s">
        <v>3483</v>
      </c>
    </row>
    <row r="50" spans="1:3" x14ac:dyDescent="0.35">
      <c r="A50" s="312" t="s">
        <v>2618</v>
      </c>
      <c r="B50" s="312" t="s">
        <v>2632</v>
      </c>
      <c r="C50" t="s">
        <v>3483</v>
      </c>
    </row>
    <row r="51" spans="1:3" x14ac:dyDescent="0.35">
      <c r="A51" s="312" t="s">
        <v>2618</v>
      </c>
      <c r="B51" s="312" t="s">
        <v>2633</v>
      </c>
      <c r="C51" t="s">
        <v>3483</v>
      </c>
    </row>
    <row r="52" spans="1:3" x14ac:dyDescent="0.35">
      <c r="A52" s="53" t="s">
        <v>2634</v>
      </c>
      <c r="B52" s="53" t="s">
        <v>2635</v>
      </c>
      <c r="C52" t="s">
        <v>3483</v>
      </c>
    </row>
    <row r="53" spans="1:3" x14ac:dyDescent="0.35">
      <c r="A53" s="313" t="s">
        <v>2636</v>
      </c>
      <c r="B53" s="313" t="s">
        <v>2637</v>
      </c>
      <c r="C53" t="s">
        <v>3483</v>
      </c>
    </row>
    <row r="54" spans="1:3" x14ac:dyDescent="0.35">
      <c r="A54" s="247" t="s">
        <v>3473</v>
      </c>
      <c r="B54" s="247" t="s">
        <v>3474</v>
      </c>
      <c r="C54" t="s">
        <v>3483</v>
      </c>
    </row>
  </sheetData>
  <conditionalFormatting sqref="C1:C1048576 D15:D34">
    <cfRule type="duplicateValues" dxfId="187" priority="1"/>
  </conditionalFormatting>
  <conditionalFormatting sqref="C14:C25 D15:D34">
    <cfRule type="duplicateValues" dxfId="186" priority="2"/>
  </conditionalFormatting>
  <conditionalFormatting sqref="C14:C53 D15:D34">
    <cfRule type="duplicateValues" dxfId="185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8F18E-408E-4077-ABF3-5C2CF8FBEB06}">
  <sheetPr>
    <tabColor rgb="FFFFFF00"/>
  </sheetPr>
  <dimension ref="A1:F9"/>
  <sheetViews>
    <sheetView workbookViewId="0">
      <selection activeCell="F3" sqref="F3"/>
    </sheetView>
  </sheetViews>
  <sheetFormatPr defaultRowHeight="14.5" x14ac:dyDescent="0.35"/>
  <cols>
    <col min="1" max="1" width="20.81640625" bestFit="1" customWidth="1"/>
    <col min="3" max="3" width="6.7265625" bestFit="1" customWidth="1"/>
    <col min="4" max="4" width="14" bestFit="1" customWidth="1"/>
    <col min="5" max="5" width="22.81640625" bestFit="1" customWidth="1"/>
  </cols>
  <sheetData>
    <row r="1" spans="1:6" x14ac:dyDescent="0.35">
      <c r="A1" s="314" t="s">
        <v>3048</v>
      </c>
      <c r="B1" s="314" t="s">
        <v>735</v>
      </c>
      <c r="C1" s="314" t="s">
        <v>736</v>
      </c>
      <c r="D1" s="314" t="s">
        <v>1</v>
      </c>
      <c r="E1" s="314" t="s">
        <v>739</v>
      </c>
      <c r="F1" s="314" t="s">
        <v>3478</v>
      </c>
    </row>
    <row r="2" spans="1:6" x14ac:dyDescent="0.35">
      <c r="A2" s="315" t="s">
        <v>3528</v>
      </c>
      <c r="B2" s="315" t="s">
        <v>3529</v>
      </c>
      <c r="C2" s="315" t="s">
        <v>3530</v>
      </c>
      <c r="D2" s="315" t="s">
        <v>3531</v>
      </c>
      <c r="E2" s="315" t="s">
        <v>3532</v>
      </c>
      <c r="F2" s="315" t="s">
        <v>3483</v>
      </c>
    </row>
    <row r="3" spans="1:6" x14ac:dyDescent="0.35">
      <c r="A3" s="315"/>
      <c r="B3" s="315"/>
      <c r="C3" s="315"/>
      <c r="D3" s="315"/>
      <c r="E3" s="315"/>
    </row>
    <row r="4" spans="1:6" x14ac:dyDescent="0.35">
      <c r="A4" s="315"/>
      <c r="B4" s="315"/>
      <c r="C4" s="315"/>
      <c r="D4" s="315"/>
      <c r="E4" s="315"/>
    </row>
    <row r="5" spans="1:6" x14ac:dyDescent="0.35">
      <c r="A5" s="315"/>
      <c r="B5" s="315"/>
      <c r="C5" s="315"/>
      <c r="D5" s="315"/>
      <c r="E5" s="315"/>
    </row>
    <row r="6" spans="1:6" x14ac:dyDescent="0.35">
      <c r="A6" s="314" t="s">
        <v>3533</v>
      </c>
      <c r="B6" s="315"/>
      <c r="C6" s="315"/>
      <c r="D6" s="315"/>
      <c r="E6" s="315"/>
    </row>
    <row r="7" spans="1:6" x14ac:dyDescent="0.35">
      <c r="A7" s="314" t="s">
        <v>3048</v>
      </c>
      <c r="B7" s="314" t="s">
        <v>735</v>
      </c>
      <c r="C7" s="314" t="s">
        <v>736</v>
      </c>
      <c r="D7" s="314" t="s">
        <v>1</v>
      </c>
      <c r="E7" s="314" t="s">
        <v>739</v>
      </c>
    </row>
    <row r="8" spans="1:6" x14ac:dyDescent="0.35">
      <c r="A8" s="315" t="s">
        <v>3534</v>
      </c>
      <c r="B8" s="315" t="s">
        <v>3529</v>
      </c>
      <c r="C8" s="315" t="s">
        <v>3530</v>
      </c>
      <c r="D8" s="315" t="s">
        <v>3535</v>
      </c>
      <c r="E8" s="315" t="s">
        <v>1377</v>
      </c>
      <c r="F8" s="315" t="s">
        <v>3479</v>
      </c>
    </row>
    <row r="9" spans="1:6" x14ac:dyDescent="0.35">
      <c r="A9" s="315" t="s">
        <v>3534</v>
      </c>
      <c r="B9" s="315" t="s">
        <v>3529</v>
      </c>
      <c r="C9" s="315" t="s">
        <v>3530</v>
      </c>
      <c r="D9" s="315" t="s">
        <v>3536</v>
      </c>
      <c r="E9" s="315" t="s">
        <v>2504</v>
      </c>
      <c r="F9" s="315" t="s">
        <v>3479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56CE5-B344-4493-ABC0-F08245D6BD85}">
  <sheetPr>
    <tabColor rgb="FFFFFF00"/>
  </sheetPr>
  <dimension ref="B1:I238"/>
  <sheetViews>
    <sheetView topLeftCell="A19" workbookViewId="0">
      <pane ySplit="11" topLeftCell="A210" activePane="bottomLeft" state="frozen"/>
      <selection activeCell="A19" sqref="A19"/>
      <selection pane="bottomLeft" activeCell="F238" sqref="F238"/>
    </sheetView>
  </sheetViews>
  <sheetFormatPr defaultRowHeight="14.5" x14ac:dyDescent="0.35"/>
  <cols>
    <col min="2" max="2" width="44.54296875" customWidth="1"/>
    <col min="3" max="3" width="21" customWidth="1"/>
    <col min="4" max="4" width="39" customWidth="1"/>
    <col min="5" max="5" width="22.1796875" customWidth="1"/>
    <col min="6" max="6" width="27.7265625" customWidth="1"/>
    <col min="7" max="7" width="31.7265625" customWidth="1"/>
    <col min="9" max="9" width="27.81640625" bestFit="1" customWidth="1"/>
  </cols>
  <sheetData>
    <row r="1" spans="2:7" x14ac:dyDescent="0.35">
      <c r="B1" s="14" t="s">
        <v>0</v>
      </c>
      <c r="C1" s="14" t="s">
        <v>2</v>
      </c>
      <c r="D1" s="14" t="s">
        <v>0</v>
      </c>
      <c r="E1" s="14" t="s">
        <v>2</v>
      </c>
      <c r="F1" s="14" t="s">
        <v>0</v>
      </c>
      <c r="G1" s="14" t="s">
        <v>2</v>
      </c>
    </row>
    <row r="2" spans="2:7" x14ac:dyDescent="0.35">
      <c r="B2" s="2" t="s">
        <v>2638</v>
      </c>
      <c r="C2" s="4" t="s">
        <v>16</v>
      </c>
      <c r="D2" s="2" t="s">
        <v>2639</v>
      </c>
      <c r="E2" s="4" t="s">
        <v>16</v>
      </c>
      <c r="F2" s="11" t="s">
        <v>2640</v>
      </c>
      <c r="G2" s="4" t="s">
        <v>46</v>
      </c>
    </row>
    <row r="3" spans="2:7" x14ac:dyDescent="0.35">
      <c r="B3" s="2" t="s">
        <v>2638</v>
      </c>
      <c r="C3" s="4" t="s">
        <v>16</v>
      </c>
      <c r="D3" s="2" t="s">
        <v>2639</v>
      </c>
      <c r="E3" s="4" t="s">
        <v>16</v>
      </c>
      <c r="F3" s="11" t="s">
        <v>2640</v>
      </c>
      <c r="G3" s="4" t="s">
        <v>46</v>
      </c>
    </row>
    <row r="4" spans="2:7" x14ac:dyDescent="0.35">
      <c r="B4" s="2" t="s">
        <v>2638</v>
      </c>
      <c r="C4" s="4" t="s">
        <v>16</v>
      </c>
      <c r="D4" s="2" t="s">
        <v>2639</v>
      </c>
      <c r="E4" s="4" t="s">
        <v>16</v>
      </c>
    </row>
    <row r="5" spans="2:7" x14ac:dyDescent="0.35">
      <c r="B5" s="2" t="s">
        <v>2638</v>
      </c>
      <c r="C5" s="4" t="s">
        <v>16</v>
      </c>
      <c r="D5" s="2" t="s">
        <v>2639</v>
      </c>
      <c r="E5" s="4" t="s">
        <v>16</v>
      </c>
    </row>
    <row r="6" spans="2:7" x14ac:dyDescent="0.35">
      <c r="B6" s="2" t="s">
        <v>2638</v>
      </c>
      <c r="C6" s="4" t="s">
        <v>16</v>
      </c>
      <c r="D6" s="2" t="s">
        <v>2639</v>
      </c>
      <c r="E6" s="4" t="s">
        <v>16</v>
      </c>
    </row>
    <row r="7" spans="2:7" x14ac:dyDescent="0.35">
      <c r="B7" s="11" t="s">
        <v>2641</v>
      </c>
      <c r="C7" s="4" t="s">
        <v>46</v>
      </c>
      <c r="D7" s="11" t="s">
        <v>2642</v>
      </c>
      <c r="E7" s="4" t="s">
        <v>46</v>
      </c>
    </row>
    <row r="8" spans="2:7" x14ac:dyDescent="0.35">
      <c r="B8" s="11" t="s">
        <v>2641</v>
      </c>
      <c r="C8" s="4" t="s">
        <v>46</v>
      </c>
      <c r="D8" s="11" t="s">
        <v>2642</v>
      </c>
      <c r="E8" s="4" t="s">
        <v>46</v>
      </c>
    </row>
    <row r="9" spans="2:7" x14ac:dyDescent="0.35">
      <c r="B9" s="11" t="s">
        <v>2641</v>
      </c>
      <c r="C9" s="4" t="s">
        <v>46</v>
      </c>
      <c r="D9" s="11" t="s">
        <v>2642</v>
      </c>
      <c r="E9" s="4" t="s">
        <v>46</v>
      </c>
    </row>
    <row r="10" spans="2:7" x14ac:dyDescent="0.35">
      <c r="B10" s="11" t="s">
        <v>2643</v>
      </c>
      <c r="C10" s="4" t="s">
        <v>46</v>
      </c>
      <c r="D10" s="11" t="s">
        <v>2642</v>
      </c>
      <c r="E10" s="4" t="s">
        <v>46</v>
      </c>
    </row>
    <row r="11" spans="2:7" x14ac:dyDescent="0.35">
      <c r="B11" s="11" t="s">
        <v>2643</v>
      </c>
      <c r="C11" s="4" t="s">
        <v>46</v>
      </c>
      <c r="D11" s="11" t="s">
        <v>2642</v>
      </c>
      <c r="E11" s="4" t="s">
        <v>46</v>
      </c>
    </row>
    <row r="12" spans="2:7" x14ac:dyDescent="0.35">
      <c r="B12" s="11" t="s">
        <v>2643</v>
      </c>
      <c r="C12" s="4" t="s">
        <v>46</v>
      </c>
      <c r="D12" s="11" t="s">
        <v>2642</v>
      </c>
      <c r="E12" s="4" t="s">
        <v>46</v>
      </c>
    </row>
    <row r="13" spans="2:7" x14ac:dyDescent="0.35">
      <c r="B13" s="2" t="s">
        <v>2644</v>
      </c>
      <c r="C13" s="4" t="s">
        <v>95</v>
      </c>
      <c r="D13" s="2" t="s">
        <v>2645</v>
      </c>
      <c r="E13" s="4" t="s">
        <v>296</v>
      </c>
    </row>
    <row r="14" spans="2:7" x14ac:dyDescent="0.35">
      <c r="B14" s="2" t="s">
        <v>2644</v>
      </c>
      <c r="C14" s="4" t="s">
        <v>95</v>
      </c>
      <c r="D14" s="2" t="s">
        <v>2645</v>
      </c>
      <c r="E14" s="4" t="s">
        <v>296</v>
      </c>
    </row>
    <row r="15" spans="2:7" x14ac:dyDescent="0.35">
      <c r="B15" s="2" t="s">
        <v>2644</v>
      </c>
      <c r="C15" s="4" t="s">
        <v>95</v>
      </c>
      <c r="D15" s="2" t="s">
        <v>2645</v>
      </c>
      <c r="E15" s="4" t="s">
        <v>296</v>
      </c>
    </row>
    <row r="16" spans="2:7" x14ac:dyDescent="0.35">
      <c r="B16" s="2" t="s">
        <v>2644</v>
      </c>
      <c r="C16" s="4" t="s">
        <v>95</v>
      </c>
      <c r="D16" s="2" t="s">
        <v>2645</v>
      </c>
      <c r="E16" s="4" t="s">
        <v>296</v>
      </c>
    </row>
    <row r="17" spans="2:9" x14ac:dyDescent="0.35">
      <c r="B17" s="2" t="s">
        <v>2644</v>
      </c>
      <c r="C17" s="4" t="s">
        <v>95</v>
      </c>
    </row>
    <row r="18" spans="2:9" x14ac:dyDescent="0.35">
      <c r="B18" s="2" t="s">
        <v>2644</v>
      </c>
      <c r="C18" s="4" t="s">
        <v>95</v>
      </c>
    </row>
    <row r="19" spans="2:9" x14ac:dyDescent="0.35">
      <c r="B19" s="2" t="s">
        <v>2644</v>
      </c>
      <c r="C19" s="4" t="s">
        <v>95</v>
      </c>
    </row>
    <row r="20" spans="2:9" x14ac:dyDescent="0.35">
      <c r="B20" s="2" t="s">
        <v>2644</v>
      </c>
      <c r="C20" s="4" t="s">
        <v>95</v>
      </c>
    </row>
    <row r="21" spans="2:9" x14ac:dyDescent="0.35">
      <c r="B21" s="2" t="s">
        <v>2644</v>
      </c>
      <c r="C21" s="4" t="s">
        <v>95</v>
      </c>
    </row>
    <row r="22" spans="2:9" x14ac:dyDescent="0.35">
      <c r="B22" s="2" t="s">
        <v>2644</v>
      </c>
      <c r="C22" s="4" t="s">
        <v>95</v>
      </c>
    </row>
    <row r="23" spans="2:9" x14ac:dyDescent="0.35">
      <c r="B23" s="2" t="s">
        <v>2646</v>
      </c>
      <c r="C23" s="5" t="s">
        <v>296</v>
      </c>
    </row>
    <row r="24" spans="2:9" x14ac:dyDescent="0.35">
      <c r="B24" s="2" t="s">
        <v>2646</v>
      </c>
      <c r="C24" s="4" t="s">
        <v>296</v>
      </c>
    </row>
    <row r="29" spans="2:9" x14ac:dyDescent="0.35">
      <c r="B29" s="172" t="s">
        <v>2647</v>
      </c>
      <c r="C29" s="173" t="s">
        <v>2648</v>
      </c>
      <c r="D29" s="173" t="s">
        <v>1484</v>
      </c>
      <c r="E29" s="173" t="s">
        <v>2649</v>
      </c>
      <c r="F29" s="173" t="s">
        <v>739</v>
      </c>
      <c r="G29" s="173" t="s">
        <v>2650</v>
      </c>
      <c r="H29" s="318" t="s">
        <v>3478</v>
      </c>
    </row>
    <row r="30" spans="2:9" ht="16.5" customHeight="1" x14ac:dyDescent="0.35">
      <c r="B30" s="174" t="s">
        <v>2651</v>
      </c>
      <c r="C30" s="175" t="s">
        <v>1977</v>
      </c>
      <c r="D30" s="175" t="s">
        <v>3611</v>
      </c>
      <c r="E30" s="175" t="s">
        <v>2653</v>
      </c>
      <c r="F30" s="175" t="s">
        <v>2504</v>
      </c>
      <c r="G30" s="175" t="s">
        <v>2654</v>
      </c>
      <c r="H30" s="319" t="s">
        <v>3479</v>
      </c>
      <c r="I30" t="s">
        <v>3567</v>
      </c>
    </row>
    <row r="31" spans="2:9" ht="17.25" customHeight="1" x14ac:dyDescent="0.35">
      <c r="B31" s="174" t="s">
        <v>2655</v>
      </c>
      <c r="C31" s="175" t="s">
        <v>1977</v>
      </c>
      <c r="D31" s="175" t="s">
        <v>2652</v>
      </c>
      <c r="E31" s="175" t="s">
        <v>2656</v>
      </c>
      <c r="F31" s="175" t="s">
        <v>2504</v>
      </c>
      <c r="G31" s="175" t="s">
        <v>2654</v>
      </c>
      <c r="H31" s="319" t="s">
        <v>3479</v>
      </c>
      <c r="I31" t="s">
        <v>3567</v>
      </c>
    </row>
    <row r="32" spans="2:9" ht="16.5" customHeight="1" x14ac:dyDescent="0.35">
      <c r="B32" s="174" t="s">
        <v>2657</v>
      </c>
      <c r="C32" s="175" t="s">
        <v>1977</v>
      </c>
      <c r="D32" s="175" t="s">
        <v>2652</v>
      </c>
      <c r="E32" s="175" t="s">
        <v>2658</v>
      </c>
      <c r="F32" s="175" t="s">
        <v>1377</v>
      </c>
      <c r="G32" s="175" t="s">
        <v>2654</v>
      </c>
      <c r="H32" s="319" t="s">
        <v>3479</v>
      </c>
      <c r="I32" t="s">
        <v>3567</v>
      </c>
    </row>
    <row r="33" spans="2:9" ht="15" customHeight="1" x14ac:dyDescent="0.35">
      <c r="B33" s="174" t="s">
        <v>2659</v>
      </c>
      <c r="C33" s="175" t="s">
        <v>1977</v>
      </c>
      <c r="D33" s="175" t="s">
        <v>2652</v>
      </c>
      <c r="E33" s="175" t="s">
        <v>2660</v>
      </c>
      <c r="F33" s="175" t="s">
        <v>1377</v>
      </c>
      <c r="G33" s="175" t="s">
        <v>2654</v>
      </c>
      <c r="H33" s="321" t="s">
        <v>3479</v>
      </c>
      <c r="I33" t="s">
        <v>3567</v>
      </c>
    </row>
    <row r="34" spans="2:9" x14ac:dyDescent="0.35">
      <c r="B34" s="174" t="s">
        <v>2661</v>
      </c>
      <c r="C34" s="175" t="s">
        <v>2662</v>
      </c>
      <c r="D34" s="175" t="s">
        <v>2663</v>
      </c>
      <c r="E34" s="175" t="s">
        <v>2664</v>
      </c>
      <c r="F34" s="175" t="s">
        <v>2504</v>
      </c>
      <c r="G34" s="175" t="s">
        <v>2665</v>
      </c>
      <c r="H34" s="319" t="s">
        <v>3479</v>
      </c>
      <c r="I34" t="s">
        <v>3568</v>
      </c>
    </row>
    <row r="35" spans="2:9" x14ac:dyDescent="0.35">
      <c r="B35" s="174" t="s">
        <v>2666</v>
      </c>
      <c r="C35" s="175" t="s">
        <v>2662</v>
      </c>
      <c r="D35" s="175" t="s">
        <v>2663</v>
      </c>
      <c r="E35" s="175" t="s">
        <v>2667</v>
      </c>
      <c r="F35" s="175" t="s">
        <v>2504</v>
      </c>
      <c r="G35" s="175" t="s">
        <v>2665</v>
      </c>
      <c r="H35" s="319" t="s">
        <v>3479</v>
      </c>
      <c r="I35" t="s">
        <v>3568</v>
      </c>
    </row>
    <row r="36" spans="2:9" x14ac:dyDescent="0.35">
      <c r="B36" s="174" t="s">
        <v>2668</v>
      </c>
      <c r="C36" s="175" t="s">
        <v>2662</v>
      </c>
      <c r="D36" s="175" t="s">
        <v>2669</v>
      </c>
      <c r="E36" s="175" t="s">
        <v>2670</v>
      </c>
      <c r="F36" s="175" t="s">
        <v>2504</v>
      </c>
      <c r="G36" s="175" t="s">
        <v>2671</v>
      </c>
      <c r="H36" s="319" t="s">
        <v>3479</v>
      </c>
      <c r="I36" t="s">
        <v>3569</v>
      </c>
    </row>
    <row r="37" spans="2:9" x14ac:dyDescent="0.35">
      <c r="B37" s="174" t="s">
        <v>2672</v>
      </c>
      <c r="C37" s="175" t="s">
        <v>2662</v>
      </c>
      <c r="D37" s="175" t="s">
        <v>2673</v>
      </c>
      <c r="E37" s="175" t="s">
        <v>2674</v>
      </c>
      <c r="F37" s="175" t="s">
        <v>2675</v>
      </c>
      <c r="G37" s="175" t="s">
        <v>2671</v>
      </c>
      <c r="H37" s="319" t="s">
        <v>3479</v>
      </c>
      <c r="I37" t="s">
        <v>3570</v>
      </c>
    </row>
    <row r="38" spans="2:9" x14ac:dyDescent="0.35">
      <c r="B38" s="174" t="s">
        <v>2676</v>
      </c>
      <c r="C38" s="175" t="s">
        <v>2662</v>
      </c>
      <c r="D38" s="175" t="s">
        <v>2677</v>
      </c>
      <c r="E38" s="175" t="s">
        <v>2678</v>
      </c>
      <c r="F38" s="175" t="s">
        <v>2675</v>
      </c>
      <c r="G38" s="175" t="s">
        <v>2671</v>
      </c>
      <c r="H38" s="319" t="s">
        <v>3479</v>
      </c>
      <c r="I38" t="s">
        <v>3571</v>
      </c>
    </row>
    <row r="39" spans="2:9" x14ac:dyDescent="0.35">
      <c r="B39" s="174" t="s">
        <v>2679</v>
      </c>
      <c r="C39" s="175" t="s">
        <v>2662</v>
      </c>
      <c r="D39" s="175" t="s">
        <v>2680</v>
      </c>
      <c r="E39" s="175" t="s">
        <v>2681</v>
      </c>
      <c r="F39" s="175" t="s">
        <v>1377</v>
      </c>
      <c r="G39" s="175" t="s">
        <v>2671</v>
      </c>
      <c r="H39" s="319" t="s">
        <v>3479</v>
      </c>
      <c r="I39" t="s">
        <v>3572</v>
      </c>
    </row>
    <row r="40" spans="2:9" x14ac:dyDescent="0.35">
      <c r="B40" s="174" t="s">
        <v>2682</v>
      </c>
      <c r="C40" s="175" t="s">
        <v>2662</v>
      </c>
      <c r="D40" s="175" t="s">
        <v>2683</v>
      </c>
      <c r="E40" s="175" t="s">
        <v>2684</v>
      </c>
      <c r="F40" s="175" t="s">
        <v>1377</v>
      </c>
      <c r="G40" s="175" t="s">
        <v>2671</v>
      </c>
      <c r="H40" s="321" t="s">
        <v>3479</v>
      </c>
      <c r="I40" t="s">
        <v>3573</v>
      </c>
    </row>
    <row r="41" spans="2:9" x14ac:dyDescent="0.35">
      <c r="B41" s="174" t="s">
        <v>2685</v>
      </c>
      <c r="C41" s="175" t="s">
        <v>2662</v>
      </c>
      <c r="D41" s="175" t="s">
        <v>2686</v>
      </c>
      <c r="E41" s="175" t="s">
        <v>2687</v>
      </c>
      <c r="F41" s="175" t="s">
        <v>1377</v>
      </c>
      <c r="G41" s="175" t="s">
        <v>2671</v>
      </c>
      <c r="H41" s="321" t="s">
        <v>3479</v>
      </c>
      <c r="I41" t="s">
        <v>3574</v>
      </c>
    </row>
    <row r="42" spans="2:9" x14ac:dyDescent="0.35">
      <c r="B42" s="174" t="s">
        <v>2688</v>
      </c>
      <c r="C42" s="175" t="s">
        <v>2662</v>
      </c>
      <c r="D42" s="175" t="s">
        <v>2689</v>
      </c>
      <c r="E42" s="175" t="s">
        <v>2690</v>
      </c>
      <c r="F42" s="175" t="s">
        <v>1377</v>
      </c>
      <c r="G42" s="175" t="s">
        <v>2671</v>
      </c>
      <c r="H42" s="321" t="s">
        <v>3479</v>
      </c>
      <c r="I42" t="s">
        <v>3575</v>
      </c>
    </row>
    <row r="43" spans="2:9" ht="21" customHeight="1" x14ac:dyDescent="0.35">
      <c r="B43" s="174" t="s">
        <v>2691</v>
      </c>
      <c r="C43" s="175" t="s">
        <v>2692</v>
      </c>
      <c r="D43" s="175" t="s">
        <v>2693</v>
      </c>
      <c r="E43" s="176">
        <v>12801184160</v>
      </c>
      <c r="F43" s="175" t="s">
        <v>2504</v>
      </c>
      <c r="G43" s="175" t="s">
        <v>2694</v>
      </c>
      <c r="H43" s="319" t="s">
        <v>3479</v>
      </c>
      <c r="I43" t="s">
        <v>3576</v>
      </c>
    </row>
    <row r="44" spans="2:9" ht="21.75" customHeight="1" x14ac:dyDescent="0.35">
      <c r="B44" s="174" t="s">
        <v>2695</v>
      </c>
      <c r="C44" s="175" t="s">
        <v>2692</v>
      </c>
      <c r="D44" s="175" t="s">
        <v>2693</v>
      </c>
      <c r="E44" s="176">
        <v>12801184250</v>
      </c>
      <c r="F44" s="175" t="s">
        <v>2504</v>
      </c>
      <c r="G44" s="175" t="s">
        <v>2694</v>
      </c>
      <c r="H44" s="319" t="s">
        <v>3479</v>
      </c>
      <c r="I44" t="s">
        <v>3576</v>
      </c>
    </row>
    <row r="45" spans="2:9" ht="19.5" customHeight="1" x14ac:dyDescent="0.35">
      <c r="B45" s="174" t="s">
        <v>2696</v>
      </c>
      <c r="C45" s="175" t="s">
        <v>2692</v>
      </c>
      <c r="D45" s="175" t="s">
        <v>2693</v>
      </c>
      <c r="E45" s="176">
        <v>12801204604</v>
      </c>
      <c r="F45" s="175" t="s">
        <v>1377</v>
      </c>
      <c r="G45" s="175" t="s">
        <v>2694</v>
      </c>
      <c r="H45" s="319" t="s">
        <v>3479</v>
      </c>
      <c r="I45" t="s">
        <v>3576</v>
      </c>
    </row>
    <row r="46" spans="2:9" ht="20.25" customHeight="1" x14ac:dyDescent="0.35">
      <c r="B46" s="174" t="s">
        <v>2697</v>
      </c>
      <c r="C46" s="175" t="s">
        <v>2692</v>
      </c>
      <c r="D46" s="175" t="s">
        <v>2693</v>
      </c>
      <c r="E46" s="176">
        <v>12801204413</v>
      </c>
      <c r="F46" s="175" t="s">
        <v>1377</v>
      </c>
      <c r="G46" s="175" t="s">
        <v>2694</v>
      </c>
      <c r="H46" s="321" t="s">
        <v>3479</v>
      </c>
      <c r="I46" t="s">
        <v>3576</v>
      </c>
    </row>
    <row r="47" spans="2:9" x14ac:dyDescent="0.35">
      <c r="B47" s="174" t="s">
        <v>2698</v>
      </c>
      <c r="C47" s="175" t="s">
        <v>2662</v>
      </c>
      <c r="D47" s="317" t="s">
        <v>2699</v>
      </c>
      <c r="E47" s="175" t="s">
        <v>2700</v>
      </c>
      <c r="F47" s="175" t="s">
        <v>2701</v>
      </c>
      <c r="G47" s="175" t="s">
        <v>2665</v>
      </c>
      <c r="H47" s="319" t="s">
        <v>3479</v>
      </c>
      <c r="I47" t="s">
        <v>3577</v>
      </c>
    </row>
    <row r="48" spans="2:9" x14ac:dyDescent="0.35">
      <c r="B48" s="174" t="s">
        <v>2702</v>
      </c>
      <c r="C48" s="175" t="s">
        <v>2662</v>
      </c>
      <c r="D48" s="175" t="s">
        <v>2703</v>
      </c>
      <c r="E48" s="175" t="s">
        <v>2704</v>
      </c>
      <c r="F48" s="175" t="s">
        <v>2701</v>
      </c>
      <c r="G48" s="175" t="s">
        <v>2671</v>
      </c>
      <c r="H48" s="319" t="s">
        <v>3479</v>
      </c>
      <c r="I48" t="s">
        <v>3578</v>
      </c>
    </row>
    <row r="49" spans="2:9" x14ac:dyDescent="0.35">
      <c r="B49" s="174" t="s">
        <v>2705</v>
      </c>
      <c r="C49" s="175" t="s">
        <v>2662</v>
      </c>
      <c r="D49" s="175" t="s">
        <v>2703</v>
      </c>
      <c r="E49" s="175" t="s">
        <v>2706</v>
      </c>
      <c r="F49" s="175" t="s">
        <v>2701</v>
      </c>
      <c r="G49" s="175" t="s">
        <v>2671</v>
      </c>
      <c r="H49" s="319" t="s">
        <v>3479</v>
      </c>
      <c r="I49" t="s">
        <v>3578</v>
      </c>
    </row>
    <row r="50" spans="2:9" x14ac:dyDescent="0.35">
      <c r="B50" s="174" t="s">
        <v>2707</v>
      </c>
      <c r="C50" s="175" t="s">
        <v>2662</v>
      </c>
      <c r="D50" s="175" t="s">
        <v>2708</v>
      </c>
      <c r="E50" s="175" t="s">
        <v>2709</v>
      </c>
      <c r="F50" s="175" t="s">
        <v>2701</v>
      </c>
      <c r="G50" s="175" t="s">
        <v>2710</v>
      </c>
      <c r="H50" s="319" t="s">
        <v>3479</v>
      </c>
      <c r="I50" t="s">
        <v>3579</v>
      </c>
    </row>
    <row r="51" spans="2:9" x14ac:dyDescent="0.35">
      <c r="B51" s="174" t="s">
        <v>2711</v>
      </c>
      <c r="C51" s="175" t="s">
        <v>2662</v>
      </c>
      <c r="D51" s="175" t="s">
        <v>2712</v>
      </c>
      <c r="E51" s="175" t="s">
        <v>2713</v>
      </c>
      <c r="F51" s="175" t="s">
        <v>2701</v>
      </c>
      <c r="G51" s="175" t="s">
        <v>2710</v>
      </c>
      <c r="H51" s="319" t="s">
        <v>3479</v>
      </c>
      <c r="I51" t="s">
        <v>3580</v>
      </c>
    </row>
    <row r="52" spans="2:9" x14ac:dyDescent="0.35">
      <c r="B52" s="174" t="s">
        <v>2714</v>
      </c>
      <c r="C52" s="175" t="s">
        <v>2662</v>
      </c>
      <c r="D52" s="175" t="s">
        <v>2708</v>
      </c>
      <c r="E52" s="175" t="s">
        <v>2715</v>
      </c>
      <c r="F52" s="175" t="s">
        <v>2701</v>
      </c>
      <c r="G52" s="175" t="s">
        <v>2710</v>
      </c>
      <c r="H52" s="319" t="s">
        <v>3479</v>
      </c>
      <c r="I52" t="s">
        <v>3579</v>
      </c>
    </row>
    <row r="53" spans="2:9" x14ac:dyDescent="0.35">
      <c r="B53" s="174" t="s">
        <v>2716</v>
      </c>
      <c r="C53" s="175" t="s">
        <v>2662</v>
      </c>
      <c r="D53" s="175" t="s">
        <v>2669</v>
      </c>
      <c r="E53" s="175" t="s">
        <v>2717</v>
      </c>
      <c r="F53" s="175" t="s">
        <v>2504</v>
      </c>
      <c r="G53" s="175" t="s">
        <v>2665</v>
      </c>
      <c r="H53" s="319" t="s">
        <v>3479</v>
      </c>
      <c r="I53" t="s">
        <v>3569</v>
      </c>
    </row>
    <row r="54" spans="2:9" x14ac:dyDescent="0.35">
      <c r="B54" s="174" t="s">
        <v>2718</v>
      </c>
      <c r="C54" s="175" t="s">
        <v>2662</v>
      </c>
      <c r="D54" s="175" t="s">
        <v>2719</v>
      </c>
      <c r="E54" s="175" t="s">
        <v>2720</v>
      </c>
      <c r="F54" s="175" t="s">
        <v>2504</v>
      </c>
      <c r="G54" s="175" t="s">
        <v>2671</v>
      </c>
      <c r="H54" s="319" t="s">
        <v>3479</v>
      </c>
      <c r="I54" t="s">
        <v>3581</v>
      </c>
    </row>
    <row r="55" spans="2:9" x14ac:dyDescent="0.35">
      <c r="B55" s="174" t="s">
        <v>2721</v>
      </c>
      <c r="C55" s="175" t="s">
        <v>2662</v>
      </c>
      <c r="D55" s="317" t="s">
        <v>2699</v>
      </c>
      <c r="E55" s="175" t="s">
        <v>2722</v>
      </c>
      <c r="F55" s="175" t="s">
        <v>2504</v>
      </c>
      <c r="G55" s="175" t="s">
        <v>2665</v>
      </c>
      <c r="H55" s="319" t="s">
        <v>3479</v>
      </c>
      <c r="I55" t="s">
        <v>3577</v>
      </c>
    </row>
    <row r="56" spans="2:9" x14ac:dyDescent="0.35">
      <c r="B56" s="174" t="s">
        <v>2723</v>
      </c>
      <c r="C56" s="175" t="s">
        <v>2662</v>
      </c>
      <c r="D56" s="317" t="s">
        <v>2699</v>
      </c>
      <c r="E56" s="175" t="s">
        <v>2724</v>
      </c>
      <c r="F56" s="175" t="s">
        <v>2504</v>
      </c>
      <c r="G56" s="175" t="s">
        <v>2665</v>
      </c>
      <c r="H56" s="319" t="s">
        <v>3479</v>
      </c>
      <c r="I56" t="s">
        <v>3577</v>
      </c>
    </row>
    <row r="57" spans="2:9" x14ac:dyDescent="0.35">
      <c r="B57" s="174" t="s">
        <v>2725</v>
      </c>
      <c r="C57" s="175" t="s">
        <v>2662</v>
      </c>
      <c r="D57" s="175" t="s">
        <v>2726</v>
      </c>
      <c r="E57" s="175" t="s">
        <v>2727</v>
      </c>
      <c r="F57" s="175" t="s">
        <v>2504</v>
      </c>
      <c r="G57" s="175" t="s">
        <v>3612</v>
      </c>
      <c r="H57" s="319" t="s">
        <v>3479</v>
      </c>
      <c r="I57" t="s">
        <v>3582</v>
      </c>
    </row>
    <row r="58" spans="2:9" x14ac:dyDescent="0.35">
      <c r="B58" s="174" t="s">
        <v>2728</v>
      </c>
      <c r="C58" s="175" t="s">
        <v>2662</v>
      </c>
      <c r="D58" s="175" t="s">
        <v>2726</v>
      </c>
      <c r="E58" s="175" t="s">
        <v>2729</v>
      </c>
      <c r="F58" s="175" t="s">
        <v>2504</v>
      </c>
      <c r="G58" s="175" t="s">
        <v>3612</v>
      </c>
      <c r="H58" s="319" t="s">
        <v>3479</v>
      </c>
      <c r="I58" t="s">
        <v>3582</v>
      </c>
    </row>
    <row r="59" spans="2:9" x14ac:dyDescent="0.35">
      <c r="B59" s="174" t="s">
        <v>2730</v>
      </c>
      <c r="C59" s="175" t="s">
        <v>2662</v>
      </c>
      <c r="D59" s="175" t="s">
        <v>2731</v>
      </c>
      <c r="E59" s="175" t="s">
        <v>2732</v>
      </c>
      <c r="F59" s="175" t="s">
        <v>2504</v>
      </c>
      <c r="G59" s="175" t="s">
        <v>2710</v>
      </c>
      <c r="H59" s="321" t="s">
        <v>3479</v>
      </c>
      <c r="I59" s="20" t="s">
        <v>3583</v>
      </c>
    </row>
    <row r="60" spans="2:9" x14ac:dyDescent="0.35">
      <c r="B60" s="174" t="s">
        <v>2733</v>
      </c>
      <c r="C60" s="175" t="s">
        <v>2662</v>
      </c>
      <c r="D60" s="175" t="s">
        <v>2731</v>
      </c>
      <c r="E60" s="175" t="s">
        <v>2734</v>
      </c>
      <c r="F60" s="175" t="s">
        <v>2504</v>
      </c>
      <c r="G60" s="175" t="s">
        <v>2710</v>
      </c>
      <c r="H60" s="321" t="s">
        <v>3479</v>
      </c>
      <c r="I60" s="20" t="s">
        <v>3583</v>
      </c>
    </row>
    <row r="61" spans="2:9" x14ac:dyDescent="0.35">
      <c r="B61" s="174" t="s">
        <v>2735</v>
      </c>
      <c r="C61" s="175" t="s">
        <v>2662</v>
      </c>
      <c r="D61" s="175" t="s">
        <v>2731</v>
      </c>
      <c r="E61" s="175" t="s">
        <v>2736</v>
      </c>
      <c r="F61" s="175" t="s">
        <v>2504</v>
      </c>
      <c r="G61" s="175" t="s">
        <v>2710</v>
      </c>
      <c r="H61" s="321" t="s">
        <v>3479</v>
      </c>
      <c r="I61" s="20" t="s">
        <v>3583</v>
      </c>
    </row>
    <row r="62" spans="2:9" x14ac:dyDescent="0.35">
      <c r="B62" s="174" t="s">
        <v>2737</v>
      </c>
      <c r="C62" s="175" t="s">
        <v>2662</v>
      </c>
      <c r="D62" s="175" t="s">
        <v>2731</v>
      </c>
      <c r="E62" s="175" t="s">
        <v>2738</v>
      </c>
      <c r="F62" s="175" t="s">
        <v>2504</v>
      </c>
      <c r="G62" s="175" t="s">
        <v>2710</v>
      </c>
      <c r="H62" s="321" t="s">
        <v>3479</v>
      </c>
      <c r="I62" s="20" t="s">
        <v>3583</v>
      </c>
    </row>
    <row r="63" spans="2:9" x14ac:dyDescent="0.35">
      <c r="B63" s="174" t="s">
        <v>2739</v>
      </c>
      <c r="C63" s="175" t="s">
        <v>2662</v>
      </c>
      <c r="D63" s="175" t="s">
        <v>2731</v>
      </c>
      <c r="E63" s="175" t="s">
        <v>2740</v>
      </c>
      <c r="F63" s="175" t="s">
        <v>2504</v>
      </c>
      <c r="G63" s="175" t="s">
        <v>2710</v>
      </c>
      <c r="H63" s="321" t="s">
        <v>3479</v>
      </c>
      <c r="I63" s="20" t="s">
        <v>3583</v>
      </c>
    </row>
    <row r="64" spans="2:9" x14ac:dyDescent="0.35">
      <c r="B64" s="174" t="s">
        <v>2741</v>
      </c>
      <c r="C64" s="175" t="s">
        <v>2662</v>
      </c>
      <c r="D64" s="175" t="s">
        <v>2731</v>
      </c>
      <c r="E64" s="175" t="s">
        <v>2742</v>
      </c>
      <c r="F64" s="175" t="s">
        <v>2504</v>
      </c>
      <c r="G64" s="175" t="s">
        <v>2710</v>
      </c>
      <c r="H64" s="321" t="s">
        <v>3479</v>
      </c>
      <c r="I64" s="20" t="s">
        <v>3583</v>
      </c>
    </row>
    <row r="65" spans="2:9" x14ac:dyDescent="0.35">
      <c r="B65" s="174" t="s">
        <v>2743</v>
      </c>
      <c r="C65" s="175" t="s">
        <v>2662</v>
      </c>
      <c r="D65" s="175" t="s">
        <v>2731</v>
      </c>
      <c r="E65" s="175" t="s">
        <v>2744</v>
      </c>
      <c r="F65" s="175" t="s">
        <v>2504</v>
      </c>
      <c r="G65" s="175" t="s">
        <v>2710</v>
      </c>
      <c r="H65" s="321" t="s">
        <v>3479</v>
      </c>
      <c r="I65" s="20" t="s">
        <v>3583</v>
      </c>
    </row>
    <row r="66" spans="2:9" x14ac:dyDescent="0.35">
      <c r="B66" s="174" t="s">
        <v>2745</v>
      </c>
      <c r="C66" s="175" t="s">
        <v>2662</v>
      </c>
      <c r="D66" s="175" t="s">
        <v>2746</v>
      </c>
      <c r="E66" s="175" t="s">
        <v>2747</v>
      </c>
      <c r="F66" s="175" t="s">
        <v>2504</v>
      </c>
      <c r="G66" s="175" t="s">
        <v>2748</v>
      </c>
      <c r="H66" s="319" t="s">
        <v>3479</v>
      </c>
      <c r="I66" t="s">
        <v>3584</v>
      </c>
    </row>
    <row r="67" spans="2:9" x14ac:dyDescent="0.35">
      <c r="B67" s="174" t="s">
        <v>2749</v>
      </c>
      <c r="C67" s="175" t="s">
        <v>2662</v>
      </c>
      <c r="D67" s="175" t="s">
        <v>2746</v>
      </c>
      <c r="E67" s="175" t="s">
        <v>2750</v>
      </c>
      <c r="F67" s="175" t="s">
        <v>2504</v>
      </c>
      <c r="G67" s="175" t="s">
        <v>2748</v>
      </c>
      <c r="H67" s="319" t="s">
        <v>3479</v>
      </c>
      <c r="I67" t="s">
        <v>3584</v>
      </c>
    </row>
    <row r="68" spans="2:9" x14ac:dyDescent="0.35">
      <c r="B68" s="174" t="s">
        <v>2751</v>
      </c>
      <c r="C68" s="175" t="s">
        <v>2662</v>
      </c>
      <c r="D68" s="175" t="s">
        <v>2731</v>
      </c>
      <c r="E68" s="175" t="s">
        <v>2752</v>
      </c>
      <c r="F68" s="175" t="s">
        <v>2504</v>
      </c>
      <c r="G68" s="175" t="s">
        <v>2710</v>
      </c>
      <c r="H68" s="321" t="s">
        <v>3479</v>
      </c>
      <c r="I68" s="20" t="s">
        <v>3583</v>
      </c>
    </row>
    <row r="69" spans="2:9" x14ac:dyDescent="0.35">
      <c r="B69" s="174" t="s">
        <v>2753</v>
      </c>
      <c r="C69" s="175" t="s">
        <v>2662</v>
      </c>
      <c r="D69" s="175" t="s">
        <v>2731</v>
      </c>
      <c r="E69" s="175" t="s">
        <v>2754</v>
      </c>
      <c r="F69" s="175" t="s">
        <v>2504</v>
      </c>
      <c r="G69" s="175" t="s">
        <v>2710</v>
      </c>
      <c r="H69" s="321" t="s">
        <v>3479</v>
      </c>
      <c r="I69" s="20" t="s">
        <v>3583</v>
      </c>
    </row>
    <row r="70" spans="2:9" x14ac:dyDescent="0.35">
      <c r="B70" s="174" t="s">
        <v>2755</v>
      </c>
      <c r="C70" s="175" t="s">
        <v>2662</v>
      </c>
      <c r="D70" s="175" t="s">
        <v>2731</v>
      </c>
      <c r="E70" s="175" t="s">
        <v>2756</v>
      </c>
      <c r="F70" s="175" t="s">
        <v>2504</v>
      </c>
      <c r="G70" s="175" t="s">
        <v>2710</v>
      </c>
      <c r="H70" s="321" t="s">
        <v>3479</v>
      </c>
      <c r="I70" s="20" t="s">
        <v>3583</v>
      </c>
    </row>
    <row r="71" spans="2:9" x14ac:dyDescent="0.35">
      <c r="B71" s="174" t="s">
        <v>2757</v>
      </c>
      <c r="C71" s="175" t="s">
        <v>2662</v>
      </c>
      <c r="D71" s="175" t="s">
        <v>2731</v>
      </c>
      <c r="E71" s="175" t="s">
        <v>2758</v>
      </c>
      <c r="F71" s="175" t="s">
        <v>2504</v>
      </c>
      <c r="G71" s="175" t="s">
        <v>2710</v>
      </c>
      <c r="H71" s="321" t="s">
        <v>3479</v>
      </c>
      <c r="I71" s="20" t="s">
        <v>3583</v>
      </c>
    </row>
    <row r="72" spans="2:9" x14ac:dyDescent="0.35">
      <c r="B72" s="174" t="s">
        <v>2759</v>
      </c>
      <c r="C72" s="175" t="s">
        <v>2662</v>
      </c>
      <c r="D72" s="175" t="s">
        <v>2731</v>
      </c>
      <c r="E72" s="175" t="s">
        <v>2760</v>
      </c>
      <c r="F72" s="175" t="s">
        <v>2504</v>
      </c>
      <c r="G72" s="175" t="s">
        <v>2710</v>
      </c>
      <c r="H72" s="321" t="s">
        <v>3479</v>
      </c>
      <c r="I72" s="20" t="s">
        <v>3583</v>
      </c>
    </row>
    <row r="73" spans="2:9" x14ac:dyDescent="0.35">
      <c r="B73" s="174" t="s">
        <v>2761</v>
      </c>
      <c r="C73" s="175" t="s">
        <v>2662</v>
      </c>
      <c r="D73" s="175" t="s">
        <v>2731</v>
      </c>
      <c r="E73" s="175" t="s">
        <v>2762</v>
      </c>
      <c r="F73" s="175" t="s">
        <v>2504</v>
      </c>
      <c r="G73" s="175" t="s">
        <v>2710</v>
      </c>
      <c r="H73" s="321" t="s">
        <v>3479</v>
      </c>
      <c r="I73" s="20" t="s">
        <v>3583</v>
      </c>
    </row>
    <row r="74" spans="2:9" x14ac:dyDescent="0.35">
      <c r="B74" s="174" t="s">
        <v>2763</v>
      </c>
      <c r="C74" s="175" t="s">
        <v>2662</v>
      </c>
      <c r="D74" s="175" t="s">
        <v>2731</v>
      </c>
      <c r="E74" s="175" t="s">
        <v>2764</v>
      </c>
      <c r="F74" s="175" t="s">
        <v>2504</v>
      </c>
      <c r="G74" s="175" t="s">
        <v>2710</v>
      </c>
      <c r="H74" s="321" t="s">
        <v>3479</v>
      </c>
      <c r="I74" s="20" t="s">
        <v>3583</v>
      </c>
    </row>
    <row r="75" spans="2:9" x14ac:dyDescent="0.35">
      <c r="B75" s="174" t="s">
        <v>2765</v>
      </c>
      <c r="C75" s="175" t="s">
        <v>2662</v>
      </c>
      <c r="D75" s="175" t="s">
        <v>2731</v>
      </c>
      <c r="E75" s="175" t="s">
        <v>2766</v>
      </c>
      <c r="F75" s="175" t="s">
        <v>2504</v>
      </c>
      <c r="G75" s="175" t="s">
        <v>2710</v>
      </c>
      <c r="H75" s="321" t="s">
        <v>3479</v>
      </c>
      <c r="I75" s="20" t="s">
        <v>3583</v>
      </c>
    </row>
    <row r="76" spans="2:9" x14ac:dyDescent="0.35">
      <c r="B76" s="174" t="s">
        <v>2767</v>
      </c>
      <c r="C76" s="175" t="s">
        <v>2662</v>
      </c>
      <c r="D76" s="175" t="s">
        <v>2731</v>
      </c>
      <c r="E76" s="175" t="s">
        <v>2768</v>
      </c>
      <c r="F76" s="175" t="s">
        <v>2504</v>
      </c>
      <c r="G76" s="175" t="s">
        <v>2710</v>
      </c>
      <c r="H76" s="321" t="s">
        <v>3479</v>
      </c>
      <c r="I76" s="20" t="s">
        <v>3583</v>
      </c>
    </row>
    <row r="77" spans="2:9" x14ac:dyDescent="0.35">
      <c r="B77" s="174" t="s">
        <v>2769</v>
      </c>
      <c r="C77" s="175" t="s">
        <v>2662</v>
      </c>
      <c r="D77" s="175" t="s">
        <v>2731</v>
      </c>
      <c r="E77" s="175" t="s">
        <v>2770</v>
      </c>
      <c r="F77" s="175" t="s">
        <v>2504</v>
      </c>
      <c r="G77" s="175" t="s">
        <v>2710</v>
      </c>
      <c r="H77" s="321" t="s">
        <v>3479</v>
      </c>
      <c r="I77" s="20" t="s">
        <v>3583</v>
      </c>
    </row>
    <row r="78" spans="2:9" x14ac:dyDescent="0.35">
      <c r="B78" s="174" t="s">
        <v>2771</v>
      </c>
      <c r="C78" s="175" t="s">
        <v>2662</v>
      </c>
      <c r="D78" s="175" t="s">
        <v>2731</v>
      </c>
      <c r="E78" s="175" t="s">
        <v>2772</v>
      </c>
      <c r="F78" s="175" t="s">
        <v>2504</v>
      </c>
      <c r="G78" s="175" t="s">
        <v>2710</v>
      </c>
      <c r="H78" s="321" t="s">
        <v>3479</v>
      </c>
      <c r="I78" s="20" t="s">
        <v>3583</v>
      </c>
    </row>
    <row r="79" spans="2:9" x14ac:dyDescent="0.35">
      <c r="B79" s="174" t="s">
        <v>2773</v>
      </c>
      <c r="C79" s="175" t="s">
        <v>2662</v>
      </c>
      <c r="D79" s="175" t="s">
        <v>2731</v>
      </c>
      <c r="E79" s="175" t="s">
        <v>2774</v>
      </c>
      <c r="F79" s="175" t="s">
        <v>2504</v>
      </c>
      <c r="G79" s="175" t="s">
        <v>2710</v>
      </c>
      <c r="H79" s="321" t="s">
        <v>3479</v>
      </c>
      <c r="I79" s="20" t="s">
        <v>3583</v>
      </c>
    </row>
    <row r="80" spans="2:9" x14ac:dyDescent="0.35">
      <c r="B80" s="174" t="s">
        <v>2775</v>
      </c>
      <c r="C80" s="175" t="s">
        <v>2662</v>
      </c>
      <c r="D80" s="175" t="s">
        <v>2731</v>
      </c>
      <c r="E80" s="175" t="s">
        <v>2776</v>
      </c>
      <c r="F80" s="175" t="s">
        <v>2504</v>
      </c>
      <c r="G80" s="175" t="s">
        <v>2710</v>
      </c>
      <c r="H80" s="321" t="s">
        <v>3479</v>
      </c>
      <c r="I80" s="20" t="s">
        <v>3583</v>
      </c>
    </row>
    <row r="81" spans="2:9" x14ac:dyDescent="0.35">
      <c r="B81" s="174" t="s">
        <v>2777</v>
      </c>
      <c r="C81" s="175" t="s">
        <v>2662</v>
      </c>
      <c r="D81" s="175" t="s">
        <v>2731</v>
      </c>
      <c r="E81" s="175" t="s">
        <v>2778</v>
      </c>
      <c r="F81" s="175" t="s">
        <v>2504</v>
      </c>
      <c r="G81" s="175" t="s">
        <v>2710</v>
      </c>
      <c r="H81" s="321" t="s">
        <v>3479</v>
      </c>
      <c r="I81" s="20" t="s">
        <v>3583</v>
      </c>
    </row>
    <row r="82" spans="2:9" x14ac:dyDescent="0.35">
      <c r="B82" s="174" t="s">
        <v>2779</v>
      </c>
      <c r="C82" s="175" t="s">
        <v>2662</v>
      </c>
      <c r="D82" s="175" t="s">
        <v>2780</v>
      </c>
      <c r="E82" s="175" t="s">
        <v>2781</v>
      </c>
      <c r="F82" s="175" t="s">
        <v>2504</v>
      </c>
      <c r="G82" s="175" t="s">
        <v>2694</v>
      </c>
      <c r="H82" s="321" t="s">
        <v>3479</v>
      </c>
      <c r="I82" t="s">
        <v>3585</v>
      </c>
    </row>
    <row r="83" spans="2:9" x14ac:dyDescent="0.35">
      <c r="B83" s="174" t="s">
        <v>2782</v>
      </c>
      <c r="C83" s="175" t="s">
        <v>2662</v>
      </c>
      <c r="D83" s="175" t="s">
        <v>2780</v>
      </c>
      <c r="E83" s="175" t="s">
        <v>2783</v>
      </c>
      <c r="F83" s="175" t="s">
        <v>2504</v>
      </c>
      <c r="G83" s="175" t="s">
        <v>2694</v>
      </c>
      <c r="H83" s="321" t="s">
        <v>3479</v>
      </c>
      <c r="I83" t="s">
        <v>3585</v>
      </c>
    </row>
    <row r="84" spans="2:9" x14ac:dyDescent="0.35">
      <c r="B84" s="174" t="s">
        <v>2784</v>
      </c>
      <c r="C84" s="175" t="s">
        <v>2662</v>
      </c>
      <c r="D84" s="175" t="s">
        <v>2731</v>
      </c>
      <c r="E84" s="175" t="s">
        <v>2785</v>
      </c>
      <c r="F84" s="175" t="s">
        <v>2504</v>
      </c>
      <c r="G84" s="175" t="s">
        <v>2710</v>
      </c>
      <c r="H84" s="321" t="s">
        <v>3479</v>
      </c>
      <c r="I84" s="20" t="s">
        <v>3583</v>
      </c>
    </row>
    <row r="85" spans="2:9" x14ac:dyDescent="0.35">
      <c r="B85" s="174" t="s">
        <v>2786</v>
      </c>
      <c r="C85" s="175" t="s">
        <v>2662</v>
      </c>
      <c r="D85" s="175" t="s">
        <v>2731</v>
      </c>
      <c r="E85" s="175" t="s">
        <v>2787</v>
      </c>
      <c r="F85" s="175" t="s">
        <v>2504</v>
      </c>
      <c r="G85" s="175" t="s">
        <v>2710</v>
      </c>
      <c r="H85" s="321" t="s">
        <v>3479</v>
      </c>
      <c r="I85" s="20" t="s">
        <v>3583</v>
      </c>
    </row>
    <row r="86" spans="2:9" x14ac:dyDescent="0.35">
      <c r="B86" s="174" t="s">
        <v>2788</v>
      </c>
      <c r="C86" s="175" t="s">
        <v>2662</v>
      </c>
      <c r="D86" s="175" t="s">
        <v>2789</v>
      </c>
      <c r="E86" s="175" t="s">
        <v>2790</v>
      </c>
      <c r="F86" s="175" t="s">
        <v>2504</v>
      </c>
      <c r="G86" s="175" t="s">
        <v>2671</v>
      </c>
      <c r="H86" s="319" t="s">
        <v>3479</v>
      </c>
      <c r="I86" t="s">
        <v>3586</v>
      </c>
    </row>
    <row r="87" spans="2:9" x14ac:dyDescent="0.35">
      <c r="B87" s="174" t="s">
        <v>2791</v>
      </c>
      <c r="C87" s="175" t="s">
        <v>2662</v>
      </c>
      <c r="D87" s="175" t="s">
        <v>2792</v>
      </c>
      <c r="E87" s="175" t="s">
        <v>2793</v>
      </c>
      <c r="F87" s="175" t="s">
        <v>2504</v>
      </c>
      <c r="G87" s="175" t="s">
        <v>2671</v>
      </c>
      <c r="H87" s="319" t="s">
        <v>3479</v>
      </c>
      <c r="I87" t="s">
        <v>3587</v>
      </c>
    </row>
    <row r="88" spans="2:9" x14ac:dyDescent="0.35">
      <c r="B88" s="174" t="s">
        <v>2794</v>
      </c>
      <c r="C88" s="175" t="s">
        <v>2662</v>
      </c>
      <c r="D88" s="175" t="s">
        <v>2792</v>
      </c>
      <c r="E88" s="175" t="s">
        <v>2795</v>
      </c>
      <c r="F88" s="175" t="s">
        <v>2504</v>
      </c>
      <c r="G88" s="175" t="s">
        <v>2671</v>
      </c>
      <c r="H88" s="321" t="s">
        <v>3479</v>
      </c>
      <c r="I88" t="s">
        <v>3587</v>
      </c>
    </row>
    <row r="89" spans="2:9" x14ac:dyDescent="0.35">
      <c r="B89" s="174" t="s">
        <v>2796</v>
      </c>
      <c r="C89" s="175" t="s">
        <v>2662</v>
      </c>
      <c r="D89" s="175" t="s">
        <v>2797</v>
      </c>
      <c r="E89" s="175" t="s">
        <v>2798</v>
      </c>
      <c r="F89" s="175" t="s">
        <v>2504</v>
      </c>
      <c r="G89" s="175" t="s">
        <v>2671</v>
      </c>
      <c r="H89" s="319" t="s">
        <v>3479</v>
      </c>
      <c r="I89" t="s">
        <v>3588</v>
      </c>
    </row>
    <row r="90" spans="2:9" x14ac:dyDescent="0.35">
      <c r="B90" s="174" t="s">
        <v>2799</v>
      </c>
      <c r="C90" s="175" t="s">
        <v>2662</v>
      </c>
      <c r="D90" s="175" t="s">
        <v>2797</v>
      </c>
      <c r="E90" s="175" t="s">
        <v>2800</v>
      </c>
      <c r="F90" s="175" t="s">
        <v>2504</v>
      </c>
      <c r="G90" s="175" t="s">
        <v>2671</v>
      </c>
      <c r="H90" s="319" t="s">
        <v>3479</v>
      </c>
      <c r="I90" t="s">
        <v>3588</v>
      </c>
    </row>
    <row r="91" spans="2:9" x14ac:dyDescent="0.35">
      <c r="B91" s="174" t="s">
        <v>2801</v>
      </c>
      <c r="C91" s="175" t="s">
        <v>2662</v>
      </c>
      <c r="D91" s="175" t="s">
        <v>2797</v>
      </c>
      <c r="E91" s="175" t="s">
        <v>2802</v>
      </c>
      <c r="F91" s="175" t="s">
        <v>2504</v>
      </c>
      <c r="G91" s="175" t="s">
        <v>2671</v>
      </c>
      <c r="H91" s="319" t="s">
        <v>3479</v>
      </c>
      <c r="I91" t="s">
        <v>3588</v>
      </c>
    </row>
    <row r="92" spans="2:9" x14ac:dyDescent="0.35">
      <c r="B92" s="174" t="s">
        <v>2803</v>
      </c>
      <c r="C92" s="175" t="s">
        <v>2662</v>
      </c>
      <c r="D92" s="175" t="s">
        <v>2797</v>
      </c>
      <c r="E92" s="175" t="s">
        <v>2804</v>
      </c>
      <c r="F92" s="175" t="s">
        <v>2504</v>
      </c>
      <c r="G92" s="175" t="s">
        <v>2671</v>
      </c>
      <c r="H92" s="320" t="s">
        <v>3479</v>
      </c>
      <c r="I92" t="s">
        <v>3588</v>
      </c>
    </row>
    <row r="93" spans="2:9" x14ac:dyDescent="0.35">
      <c r="B93" s="174" t="s">
        <v>2805</v>
      </c>
      <c r="C93" s="175" t="s">
        <v>2662</v>
      </c>
      <c r="D93" s="175" t="s">
        <v>2797</v>
      </c>
      <c r="E93" s="175" t="s">
        <v>2806</v>
      </c>
      <c r="F93" s="175" t="s">
        <v>2504</v>
      </c>
      <c r="G93" s="175" t="s">
        <v>2671</v>
      </c>
      <c r="H93" s="320" t="s">
        <v>3479</v>
      </c>
      <c r="I93" t="s">
        <v>3588</v>
      </c>
    </row>
    <row r="94" spans="2:9" x14ac:dyDescent="0.35">
      <c r="B94" s="174" t="s">
        <v>2807</v>
      </c>
      <c r="C94" s="175" t="s">
        <v>2662</v>
      </c>
      <c r="D94" s="175" t="s">
        <v>2731</v>
      </c>
      <c r="E94" s="175" t="s">
        <v>2808</v>
      </c>
      <c r="F94" s="175" t="s">
        <v>2504</v>
      </c>
      <c r="G94" s="175" t="s">
        <v>2710</v>
      </c>
      <c r="H94" s="321" t="s">
        <v>3479</v>
      </c>
      <c r="I94" s="20" t="s">
        <v>3583</v>
      </c>
    </row>
    <row r="95" spans="2:9" x14ac:dyDescent="0.35">
      <c r="B95" s="174" t="s">
        <v>2809</v>
      </c>
      <c r="C95" s="175" t="s">
        <v>2662</v>
      </c>
      <c r="D95" s="175" t="s">
        <v>2731</v>
      </c>
      <c r="E95" s="175" t="s">
        <v>2810</v>
      </c>
      <c r="F95" s="175" t="s">
        <v>2504</v>
      </c>
      <c r="G95" s="175" t="s">
        <v>2710</v>
      </c>
      <c r="H95" s="321" t="s">
        <v>3479</v>
      </c>
      <c r="I95" s="20" t="s">
        <v>3583</v>
      </c>
    </row>
    <row r="96" spans="2:9" x14ac:dyDescent="0.35">
      <c r="B96" s="174" t="s">
        <v>2811</v>
      </c>
      <c r="C96" s="175" t="s">
        <v>2662</v>
      </c>
      <c r="D96" s="175" t="s">
        <v>2797</v>
      </c>
      <c r="E96" s="175" t="s">
        <v>2812</v>
      </c>
      <c r="F96" s="175" t="s">
        <v>2504</v>
      </c>
      <c r="G96" s="175" t="s">
        <v>2671</v>
      </c>
      <c r="H96" s="320" t="s">
        <v>3479</v>
      </c>
      <c r="I96" t="s">
        <v>3588</v>
      </c>
    </row>
    <row r="97" spans="2:9" x14ac:dyDescent="0.35">
      <c r="B97" s="174" t="s">
        <v>2813</v>
      </c>
      <c r="C97" s="175" t="s">
        <v>2662</v>
      </c>
      <c r="D97" s="175" t="s">
        <v>2797</v>
      </c>
      <c r="E97" s="175" t="s">
        <v>2814</v>
      </c>
      <c r="F97" s="175" t="s">
        <v>2504</v>
      </c>
      <c r="G97" s="175" t="s">
        <v>2671</v>
      </c>
      <c r="H97" s="320" t="s">
        <v>3479</v>
      </c>
      <c r="I97" t="s">
        <v>3588</v>
      </c>
    </row>
    <row r="98" spans="2:9" x14ac:dyDescent="0.35">
      <c r="B98" s="174" t="s">
        <v>2815</v>
      </c>
      <c r="C98" s="175" t="s">
        <v>2662</v>
      </c>
      <c r="D98" s="175" t="s">
        <v>2797</v>
      </c>
      <c r="E98" s="175" t="s">
        <v>2816</v>
      </c>
      <c r="F98" s="175" t="s">
        <v>2504</v>
      </c>
      <c r="G98" s="175" t="s">
        <v>2671</v>
      </c>
      <c r="H98" s="320" t="s">
        <v>3479</v>
      </c>
      <c r="I98" t="s">
        <v>3588</v>
      </c>
    </row>
    <row r="99" spans="2:9" x14ac:dyDescent="0.35">
      <c r="B99" s="174" t="s">
        <v>2817</v>
      </c>
      <c r="C99" s="175" t="s">
        <v>2662</v>
      </c>
      <c r="D99" s="175" t="s">
        <v>2731</v>
      </c>
      <c r="E99" s="175" t="s">
        <v>2818</v>
      </c>
      <c r="F99" s="175" t="s">
        <v>2504</v>
      </c>
      <c r="G99" s="175" t="s">
        <v>2710</v>
      </c>
      <c r="H99" s="321" t="s">
        <v>3479</v>
      </c>
      <c r="I99" s="20" t="s">
        <v>3583</v>
      </c>
    </row>
    <row r="100" spans="2:9" x14ac:dyDescent="0.35">
      <c r="B100" s="174" t="s">
        <v>2819</v>
      </c>
      <c r="C100" s="175" t="s">
        <v>2662</v>
      </c>
      <c r="D100" s="175" t="s">
        <v>2797</v>
      </c>
      <c r="E100" s="175" t="s">
        <v>2820</v>
      </c>
      <c r="F100" s="175" t="s">
        <v>2504</v>
      </c>
      <c r="G100" s="175" t="s">
        <v>2671</v>
      </c>
      <c r="H100" s="320" t="s">
        <v>3479</v>
      </c>
      <c r="I100" t="s">
        <v>3588</v>
      </c>
    </row>
    <row r="101" spans="2:9" x14ac:dyDescent="0.35">
      <c r="B101" s="174" t="s">
        <v>2821</v>
      </c>
      <c r="C101" s="175" t="s">
        <v>2662</v>
      </c>
      <c r="D101" s="175" t="s">
        <v>2797</v>
      </c>
      <c r="E101" s="175" t="s">
        <v>2822</v>
      </c>
      <c r="F101" s="175" t="s">
        <v>2504</v>
      </c>
      <c r="G101" s="175" t="s">
        <v>2671</v>
      </c>
      <c r="H101" s="320" t="s">
        <v>3479</v>
      </c>
      <c r="I101" t="s">
        <v>3588</v>
      </c>
    </row>
    <row r="102" spans="2:9" x14ac:dyDescent="0.35">
      <c r="B102" s="174" t="s">
        <v>2823</v>
      </c>
      <c r="C102" s="175" t="s">
        <v>2662</v>
      </c>
      <c r="D102" s="175" t="s">
        <v>2797</v>
      </c>
      <c r="E102" s="175" t="s">
        <v>2824</v>
      </c>
      <c r="F102" s="175" t="s">
        <v>2504</v>
      </c>
      <c r="G102" s="175" t="s">
        <v>2671</v>
      </c>
      <c r="H102" s="320" t="s">
        <v>3479</v>
      </c>
      <c r="I102" t="s">
        <v>3588</v>
      </c>
    </row>
    <row r="103" spans="2:9" x14ac:dyDescent="0.35">
      <c r="B103" s="174" t="s">
        <v>2825</v>
      </c>
      <c r="C103" s="175" t="s">
        <v>2662</v>
      </c>
      <c r="D103" s="175" t="s">
        <v>2731</v>
      </c>
      <c r="E103" s="175" t="s">
        <v>2826</v>
      </c>
      <c r="F103" s="175" t="s">
        <v>2504</v>
      </c>
      <c r="G103" s="175" t="s">
        <v>2710</v>
      </c>
      <c r="H103" s="321" t="s">
        <v>3479</v>
      </c>
      <c r="I103" s="20" t="s">
        <v>3583</v>
      </c>
    </row>
    <row r="104" spans="2:9" x14ac:dyDescent="0.35">
      <c r="B104" s="174" t="s">
        <v>2827</v>
      </c>
      <c r="C104" s="175" t="s">
        <v>2662</v>
      </c>
      <c r="D104" s="175" t="s">
        <v>2731</v>
      </c>
      <c r="E104" s="175" t="s">
        <v>2828</v>
      </c>
      <c r="F104" s="175" t="s">
        <v>2504</v>
      </c>
      <c r="G104" s="175" t="s">
        <v>2710</v>
      </c>
      <c r="H104" s="321" t="s">
        <v>3479</v>
      </c>
      <c r="I104" s="20" t="s">
        <v>3583</v>
      </c>
    </row>
    <row r="105" spans="2:9" x14ac:dyDescent="0.35">
      <c r="B105" s="174" t="s">
        <v>2829</v>
      </c>
      <c r="C105" s="175" t="s">
        <v>2662</v>
      </c>
      <c r="D105" s="175" t="s">
        <v>2731</v>
      </c>
      <c r="E105" s="175" t="s">
        <v>2830</v>
      </c>
      <c r="F105" s="175" t="s">
        <v>2504</v>
      </c>
      <c r="G105" s="175" t="s">
        <v>2710</v>
      </c>
      <c r="H105" s="321" t="s">
        <v>3479</v>
      </c>
      <c r="I105" s="20" t="s">
        <v>3583</v>
      </c>
    </row>
    <row r="106" spans="2:9" x14ac:dyDescent="0.35">
      <c r="B106" s="174" t="s">
        <v>2831</v>
      </c>
      <c r="C106" s="175" t="s">
        <v>2662</v>
      </c>
      <c r="D106" s="175" t="s">
        <v>2731</v>
      </c>
      <c r="E106" s="175" t="s">
        <v>2832</v>
      </c>
      <c r="F106" s="175" t="s">
        <v>2504</v>
      </c>
      <c r="G106" s="175" t="s">
        <v>2710</v>
      </c>
      <c r="H106" s="321" t="s">
        <v>3479</v>
      </c>
      <c r="I106" s="20" t="s">
        <v>3583</v>
      </c>
    </row>
    <row r="107" spans="2:9" x14ac:dyDescent="0.35">
      <c r="B107" s="174" t="s">
        <v>2833</v>
      </c>
      <c r="C107" s="175" t="s">
        <v>2662</v>
      </c>
      <c r="D107" s="175" t="s">
        <v>2731</v>
      </c>
      <c r="E107" s="175" t="s">
        <v>2834</v>
      </c>
      <c r="F107" s="175" t="s">
        <v>2504</v>
      </c>
      <c r="G107" s="175" t="s">
        <v>2710</v>
      </c>
      <c r="H107" s="321" t="s">
        <v>3479</v>
      </c>
      <c r="I107" s="20" t="s">
        <v>3583</v>
      </c>
    </row>
    <row r="108" spans="2:9" x14ac:dyDescent="0.35">
      <c r="B108" s="174" t="s">
        <v>2835</v>
      </c>
      <c r="C108" s="175" t="s">
        <v>2662</v>
      </c>
      <c r="D108" s="175" t="s">
        <v>2719</v>
      </c>
      <c r="E108" s="175" t="s">
        <v>2836</v>
      </c>
      <c r="F108" s="175" t="s">
        <v>2504</v>
      </c>
      <c r="G108" s="175" t="s">
        <v>2671</v>
      </c>
      <c r="H108" s="320" t="s">
        <v>3479</v>
      </c>
      <c r="I108" t="s">
        <v>3581</v>
      </c>
    </row>
    <row r="109" spans="2:9" x14ac:dyDescent="0.35">
      <c r="B109" s="174" t="s">
        <v>2837</v>
      </c>
      <c r="C109" s="175" t="s">
        <v>2662</v>
      </c>
      <c r="D109" s="175" t="s">
        <v>2731</v>
      </c>
      <c r="E109" s="175" t="s">
        <v>2838</v>
      </c>
      <c r="F109" s="175" t="s">
        <v>2504</v>
      </c>
      <c r="G109" s="175" t="s">
        <v>2710</v>
      </c>
      <c r="H109" s="321" t="s">
        <v>3479</v>
      </c>
      <c r="I109" s="20" t="s">
        <v>3583</v>
      </c>
    </row>
    <row r="110" spans="2:9" x14ac:dyDescent="0.35">
      <c r="B110" s="174" t="s">
        <v>2839</v>
      </c>
      <c r="C110" s="175" t="s">
        <v>2662</v>
      </c>
      <c r="D110" s="175" t="s">
        <v>2731</v>
      </c>
      <c r="E110" s="175" t="s">
        <v>2840</v>
      </c>
      <c r="F110" s="175" t="s">
        <v>2504</v>
      </c>
      <c r="G110" s="175" t="s">
        <v>2710</v>
      </c>
      <c r="H110" s="321" t="s">
        <v>3479</v>
      </c>
      <c r="I110" s="20" t="s">
        <v>3583</v>
      </c>
    </row>
    <row r="111" spans="2:9" x14ac:dyDescent="0.35">
      <c r="B111" s="174" t="s">
        <v>2841</v>
      </c>
      <c r="C111" s="175" t="s">
        <v>2662</v>
      </c>
      <c r="D111" s="175" t="s">
        <v>2731</v>
      </c>
      <c r="E111" s="175" t="s">
        <v>2842</v>
      </c>
      <c r="F111" s="175" t="s">
        <v>2504</v>
      </c>
      <c r="G111" s="175" t="s">
        <v>2710</v>
      </c>
      <c r="H111" s="321" t="s">
        <v>3479</v>
      </c>
      <c r="I111" s="20" t="s">
        <v>3583</v>
      </c>
    </row>
    <row r="112" spans="2:9" x14ac:dyDescent="0.35">
      <c r="B112" s="174" t="s">
        <v>2843</v>
      </c>
      <c r="C112" s="175" t="s">
        <v>2662</v>
      </c>
      <c r="D112" s="175" t="s">
        <v>2844</v>
      </c>
      <c r="E112" s="175" t="s">
        <v>2845</v>
      </c>
      <c r="F112" s="175" t="s">
        <v>2504</v>
      </c>
      <c r="G112" s="175" t="s">
        <v>2671</v>
      </c>
      <c r="H112" s="320" t="s">
        <v>3479</v>
      </c>
      <c r="I112" t="s">
        <v>3589</v>
      </c>
    </row>
    <row r="113" spans="2:9" x14ac:dyDescent="0.35">
      <c r="B113" s="174" t="s">
        <v>2846</v>
      </c>
      <c r="C113" s="175" t="s">
        <v>2662</v>
      </c>
      <c r="D113" s="175" t="s">
        <v>2847</v>
      </c>
      <c r="E113" s="330" t="s">
        <v>2848</v>
      </c>
      <c r="F113" s="175" t="s">
        <v>2504</v>
      </c>
      <c r="G113" s="175" t="s">
        <v>2671</v>
      </c>
      <c r="H113" s="320" t="s">
        <v>3479</v>
      </c>
      <c r="I113" t="s">
        <v>3590</v>
      </c>
    </row>
    <row r="114" spans="2:9" x14ac:dyDescent="0.35">
      <c r="B114" s="174" t="s">
        <v>2849</v>
      </c>
      <c r="C114" s="175" t="s">
        <v>2662</v>
      </c>
      <c r="D114" s="175" t="s">
        <v>2847</v>
      </c>
      <c r="E114" s="330" t="s">
        <v>2850</v>
      </c>
      <c r="F114" s="175" t="s">
        <v>2504</v>
      </c>
      <c r="G114" s="175" t="s">
        <v>2671</v>
      </c>
      <c r="H114" s="320" t="s">
        <v>3479</v>
      </c>
      <c r="I114" t="s">
        <v>3590</v>
      </c>
    </row>
    <row r="115" spans="2:9" x14ac:dyDescent="0.35">
      <c r="B115" s="174" t="s">
        <v>2851</v>
      </c>
      <c r="C115" s="175" t="s">
        <v>2662</v>
      </c>
      <c r="D115" s="175" t="s">
        <v>2847</v>
      </c>
      <c r="E115" s="175" t="s">
        <v>2852</v>
      </c>
      <c r="F115" s="175" t="s">
        <v>2504</v>
      </c>
      <c r="G115" s="175" t="s">
        <v>2671</v>
      </c>
      <c r="H115" s="320" t="s">
        <v>3479</v>
      </c>
      <c r="I115" t="s">
        <v>3590</v>
      </c>
    </row>
    <row r="116" spans="2:9" x14ac:dyDescent="0.35">
      <c r="B116" s="174" t="s">
        <v>2853</v>
      </c>
      <c r="C116" s="175" t="s">
        <v>2662</v>
      </c>
      <c r="D116" s="175" t="s">
        <v>2847</v>
      </c>
      <c r="E116" s="175" t="s">
        <v>2854</v>
      </c>
      <c r="F116" s="175" t="s">
        <v>2504</v>
      </c>
      <c r="G116" s="175" t="s">
        <v>2671</v>
      </c>
      <c r="H116" s="320" t="s">
        <v>3479</v>
      </c>
      <c r="I116" t="s">
        <v>3590</v>
      </c>
    </row>
    <row r="117" spans="2:9" x14ac:dyDescent="0.35">
      <c r="B117" s="174" t="s">
        <v>2855</v>
      </c>
      <c r="C117" s="175" t="s">
        <v>2662</v>
      </c>
      <c r="D117" s="175" t="s">
        <v>2856</v>
      </c>
      <c r="E117" s="175" t="s">
        <v>2857</v>
      </c>
      <c r="F117" s="175" t="s">
        <v>2504</v>
      </c>
      <c r="G117" s="175" t="s">
        <v>2671</v>
      </c>
      <c r="H117" t="s">
        <v>3479</v>
      </c>
      <c r="I117" t="s">
        <v>3591</v>
      </c>
    </row>
    <row r="118" spans="2:9" x14ac:dyDescent="0.35">
      <c r="B118" s="174" t="s">
        <v>2858</v>
      </c>
      <c r="C118" s="175" t="s">
        <v>2662</v>
      </c>
      <c r="D118" s="175" t="s">
        <v>2856</v>
      </c>
      <c r="E118" s="175" t="s">
        <v>2859</v>
      </c>
      <c r="F118" s="175" t="s">
        <v>2504</v>
      </c>
      <c r="G118" s="175" t="s">
        <v>2671</v>
      </c>
      <c r="H118" t="s">
        <v>3479</v>
      </c>
      <c r="I118" t="s">
        <v>3591</v>
      </c>
    </row>
    <row r="119" spans="2:9" x14ac:dyDescent="0.35">
      <c r="B119" s="174" t="s">
        <v>2860</v>
      </c>
      <c r="C119" s="175" t="s">
        <v>2662</v>
      </c>
      <c r="D119" s="175" t="s">
        <v>2856</v>
      </c>
      <c r="E119" s="175" t="s">
        <v>2861</v>
      </c>
      <c r="F119" s="175" t="s">
        <v>2504</v>
      </c>
      <c r="G119" s="175" t="s">
        <v>2671</v>
      </c>
      <c r="H119" t="s">
        <v>3479</v>
      </c>
      <c r="I119" t="s">
        <v>3591</v>
      </c>
    </row>
    <row r="120" spans="2:9" x14ac:dyDescent="0.35">
      <c r="B120" s="174" t="s">
        <v>2862</v>
      </c>
      <c r="C120" s="175" t="s">
        <v>2662</v>
      </c>
      <c r="D120" s="175" t="s">
        <v>2856</v>
      </c>
      <c r="E120" s="175" t="s">
        <v>2863</v>
      </c>
      <c r="F120" s="175" t="s">
        <v>2504</v>
      </c>
      <c r="G120" s="175" t="s">
        <v>2671</v>
      </c>
      <c r="H120" t="s">
        <v>3479</v>
      </c>
      <c r="I120" t="s">
        <v>3591</v>
      </c>
    </row>
    <row r="121" spans="2:9" x14ac:dyDescent="0.35">
      <c r="B121" s="174" t="s">
        <v>2864</v>
      </c>
      <c r="C121" s="175" t="s">
        <v>2662</v>
      </c>
      <c r="D121" s="175" t="s">
        <v>2856</v>
      </c>
      <c r="E121" s="175" t="s">
        <v>2865</v>
      </c>
      <c r="F121" s="175" t="s">
        <v>2504</v>
      </c>
      <c r="G121" s="175" t="s">
        <v>2671</v>
      </c>
      <c r="H121" t="s">
        <v>3479</v>
      </c>
      <c r="I121" t="s">
        <v>3591</v>
      </c>
    </row>
    <row r="122" spans="2:9" x14ac:dyDescent="0.35">
      <c r="B122" s="174" t="s">
        <v>2866</v>
      </c>
      <c r="C122" s="175" t="s">
        <v>2662</v>
      </c>
      <c r="D122" s="175" t="s">
        <v>2856</v>
      </c>
      <c r="E122" s="175" t="s">
        <v>2867</v>
      </c>
      <c r="F122" s="175" t="s">
        <v>2504</v>
      </c>
      <c r="G122" s="175" t="s">
        <v>2671</v>
      </c>
      <c r="H122" t="s">
        <v>3479</v>
      </c>
      <c r="I122" t="s">
        <v>3591</v>
      </c>
    </row>
    <row r="123" spans="2:9" x14ac:dyDescent="0.35">
      <c r="B123" s="174" t="s">
        <v>2868</v>
      </c>
      <c r="C123" s="175" t="s">
        <v>2662</v>
      </c>
      <c r="D123" s="175" t="s">
        <v>2856</v>
      </c>
      <c r="E123" s="175" t="s">
        <v>2869</v>
      </c>
      <c r="F123" s="175" t="s">
        <v>2504</v>
      </c>
      <c r="G123" s="175" t="s">
        <v>2671</v>
      </c>
      <c r="H123" t="s">
        <v>3479</v>
      </c>
      <c r="I123" t="s">
        <v>3591</v>
      </c>
    </row>
    <row r="124" spans="2:9" x14ac:dyDescent="0.35">
      <c r="B124" s="174" t="s">
        <v>2870</v>
      </c>
      <c r="C124" s="175" t="s">
        <v>2662</v>
      </c>
      <c r="D124" s="175" t="s">
        <v>2856</v>
      </c>
      <c r="E124" s="175" t="s">
        <v>2871</v>
      </c>
      <c r="F124" s="175" t="s">
        <v>2504</v>
      </c>
      <c r="G124" s="175" t="s">
        <v>2671</v>
      </c>
      <c r="H124" t="s">
        <v>3479</v>
      </c>
      <c r="I124" t="s">
        <v>3591</v>
      </c>
    </row>
    <row r="125" spans="2:9" x14ac:dyDescent="0.35">
      <c r="B125" s="174" t="s">
        <v>2872</v>
      </c>
      <c r="C125" s="175" t="s">
        <v>2662</v>
      </c>
      <c r="D125" s="175" t="s">
        <v>2856</v>
      </c>
      <c r="E125" s="175" t="s">
        <v>2873</v>
      </c>
      <c r="F125" s="175" t="s">
        <v>2504</v>
      </c>
      <c r="G125" s="175" t="s">
        <v>2671</v>
      </c>
      <c r="H125" t="s">
        <v>3479</v>
      </c>
      <c r="I125" t="s">
        <v>3591</v>
      </c>
    </row>
    <row r="126" spans="2:9" x14ac:dyDescent="0.35">
      <c r="B126" s="174" t="s">
        <v>2874</v>
      </c>
      <c r="C126" s="175" t="s">
        <v>2662</v>
      </c>
      <c r="D126" s="175" t="s">
        <v>2856</v>
      </c>
      <c r="E126" s="175" t="s">
        <v>2875</v>
      </c>
      <c r="F126" s="175" t="s">
        <v>2504</v>
      </c>
      <c r="G126" s="175" t="s">
        <v>2671</v>
      </c>
      <c r="H126" t="s">
        <v>3479</v>
      </c>
      <c r="I126" t="s">
        <v>3591</v>
      </c>
    </row>
    <row r="127" spans="2:9" x14ac:dyDescent="0.35">
      <c r="B127" s="174" t="s">
        <v>2876</v>
      </c>
      <c r="C127" s="175" t="s">
        <v>2662</v>
      </c>
      <c r="D127" s="175" t="s">
        <v>2856</v>
      </c>
      <c r="E127" s="175" t="s">
        <v>2877</v>
      </c>
      <c r="F127" s="175" t="s">
        <v>2504</v>
      </c>
      <c r="G127" s="175" t="s">
        <v>2671</v>
      </c>
      <c r="H127" t="s">
        <v>3479</v>
      </c>
      <c r="I127" t="s">
        <v>3591</v>
      </c>
    </row>
    <row r="128" spans="2:9" x14ac:dyDescent="0.35">
      <c r="B128" s="174" t="s">
        <v>2878</v>
      </c>
      <c r="C128" s="175" t="s">
        <v>2662</v>
      </c>
      <c r="D128" s="175" t="s">
        <v>2856</v>
      </c>
      <c r="E128" s="175" t="s">
        <v>2879</v>
      </c>
      <c r="F128" s="175" t="s">
        <v>2504</v>
      </c>
      <c r="G128" s="175" t="s">
        <v>2671</v>
      </c>
      <c r="H128" t="s">
        <v>3479</v>
      </c>
      <c r="I128" t="s">
        <v>3591</v>
      </c>
    </row>
    <row r="129" spans="2:9" x14ac:dyDescent="0.35">
      <c r="B129" s="174" t="s">
        <v>2880</v>
      </c>
      <c r="C129" s="175" t="s">
        <v>2662</v>
      </c>
      <c r="D129" s="175" t="s">
        <v>2856</v>
      </c>
      <c r="E129" s="175" t="s">
        <v>2881</v>
      </c>
      <c r="F129" s="175" t="s">
        <v>2504</v>
      </c>
      <c r="G129" s="175" t="s">
        <v>2671</v>
      </c>
      <c r="H129" t="s">
        <v>3479</v>
      </c>
      <c r="I129" t="s">
        <v>3591</v>
      </c>
    </row>
    <row r="130" spans="2:9" x14ac:dyDescent="0.35">
      <c r="B130" s="174" t="s">
        <v>2882</v>
      </c>
      <c r="C130" s="175" t="s">
        <v>2662</v>
      </c>
      <c r="D130" s="175" t="s">
        <v>2856</v>
      </c>
      <c r="E130" s="175" t="s">
        <v>2883</v>
      </c>
      <c r="F130" s="175" t="s">
        <v>2504</v>
      </c>
      <c r="G130" s="175" t="s">
        <v>2671</v>
      </c>
      <c r="H130" t="s">
        <v>3479</v>
      </c>
      <c r="I130" t="s">
        <v>3591</v>
      </c>
    </row>
    <row r="131" spans="2:9" x14ac:dyDescent="0.35">
      <c r="B131" s="174" t="s">
        <v>2884</v>
      </c>
      <c r="C131" s="175" t="s">
        <v>2662</v>
      </c>
      <c r="D131" s="175" t="s">
        <v>2856</v>
      </c>
      <c r="E131" s="175" t="s">
        <v>2885</v>
      </c>
      <c r="F131" s="175" t="s">
        <v>2504</v>
      </c>
      <c r="G131" s="175" t="s">
        <v>2671</v>
      </c>
      <c r="H131" t="s">
        <v>3479</v>
      </c>
      <c r="I131" t="s">
        <v>3591</v>
      </c>
    </row>
    <row r="132" spans="2:9" x14ac:dyDescent="0.35">
      <c r="B132" s="174" t="s">
        <v>2886</v>
      </c>
      <c r="C132" s="175" t="s">
        <v>2662</v>
      </c>
      <c r="D132" s="175" t="s">
        <v>2856</v>
      </c>
      <c r="E132" s="175" t="s">
        <v>2887</v>
      </c>
      <c r="F132" s="175" t="s">
        <v>2504</v>
      </c>
      <c r="G132" s="175" t="s">
        <v>2671</v>
      </c>
      <c r="H132" t="s">
        <v>3479</v>
      </c>
      <c r="I132" t="s">
        <v>3591</v>
      </c>
    </row>
    <row r="133" spans="2:9" x14ac:dyDescent="0.35">
      <c r="B133" s="174" t="s">
        <v>2888</v>
      </c>
      <c r="C133" s="175" t="s">
        <v>2662</v>
      </c>
      <c r="D133" s="175" t="s">
        <v>2856</v>
      </c>
      <c r="E133" s="175" t="s">
        <v>2889</v>
      </c>
      <c r="F133" s="175" t="s">
        <v>2504</v>
      </c>
      <c r="G133" s="175" t="s">
        <v>2671</v>
      </c>
      <c r="H133" t="s">
        <v>3479</v>
      </c>
      <c r="I133" t="s">
        <v>3591</v>
      </c>
    </row>
    <row r="134" spans="2:9" x14ac:dyDescent="0.35">
      <c r="B134" s="174" t="s">
        <v>2890</v>
      </c>
      <c r="C134" s="175" t="s">
        <v>2662</v>
      </c>
      <c r="D134" s="175" t="s">
        <v>2856</v>
      </c>
      <c r="E134" s="175" t="s">
        <v>2891</v>
      </c>
      <c r="F134" s="175" t="s">
        <v>2504</v>
      </c>
      <c r="G134" s="175" t="s">
        <v>2671</v>
      </c>
      <c r="H134" t="s">
        <v>3479</v>
      </c>
      <c r="I134" t="s">
        <v>3591</v>
      </c>
    </row>
    <row r="135" spans="2:9" x14ac:dyDescent="0.35">
      <c r="B135" s="174" t="s">
        <v>2892</v>
      </c>
      <c r="C135" s="175" t="s">
        <v>2662</v>
      </c>
      <c r="D135" s="175" t="s">
        <v>2856</v>
      </c>
      <c r="E135" s="175" t="s">
        <v>2893</v>
      </c>
      <c r="F135" s="175" t="s">
        <v>2504</v>
      </c>
      <c r="G135" s="175" t="s">
        <v>2671</v>
      </c>
      <c r="H135" t="s">
        <v>3479</v>
      </c>
      <c r="I135" t="s">
        <v>3591</v>
      </c>
    </row>
    <row r="136" spans="2:9" x14ac:dyDescent="0.35">
      <c r="B136" s="174" t="s">
        <v>2894</v>
      </c>
      <c r="C136" s="175" t="s">
        <v>2662</v>
      </c>
      <c r="D136" s="175" t="s">
        <v>2856</v>
      </c>
      <c r="E136" s="175" t="s">
        <v>2895</v>
      </c>
      <c r="F136" s="175" t="s">
        <v>2504</v>
      </c>
      <c r="G136" s="175" t="s">
        <v>2671</v>
      </c>
      <c r="H136" t="s">
        <v>3479</v>
      </c>
      <c r="I136" t="s">
        <v>3591</v>
      </c>
    </row>
    <row r="137" spans="2:9" x14ac:dyDescent="0.35">
      <c r="B137" s="174" t="s">
        <v>2896</v>
      </c>
      <c r="C137" s="175" t="s">
        <v>2662</v>
      </c>
      <c r="D137" s="175" t="s">
        <v>2731</v>
      </c>
      <c r="E137" s="175" t="s">
        <v>2897</v>
      </c>
      <c r="F137" s="175" t="s">
        <v>2504</v>
      </c>
      <c r="G137" s="175" t="s">
        <v>2710</v>
      </c>
      <c r="H137" s="321" t="s">
        <v>3479</v>
      </c>
      <c r="I137" s="20" t="s">
        <v>3583</v>
      </c>
    </row>
    <row r="138" spans="2:9" x14ac:dyDescent="0.35">
      <c r="B138" s="174" t="s">
        <v>2898</v>
      </c>
      <c r="C138" s="175" t="s">
        <v>2662</v>
      </c>
      <c r="D138" s="175" t="s">
        <v>2731</v>
      </c>
      <c r="E138" s="175" t="s">
        <v>2899</v>
      </c>
      <c r="F138" s="175" t="s">
        <v>2504</v>
      </c>
      <c r="G138" s="175" t="s">
        <v>2710</v>
      </c>
      <c r="H138" s="321" t="s">
        <v>3479</v>
      </c>
      <c r="I138" s="20" t="s">
        <v>3583</v>
      </c>
    </row>
    <row r="139" spans="2:9" x14ac:dyDescent="0.35">
      <c r="B139" s="174" t="s">
        <v>2900</v>
      </c>
      <c r="C139" s="175" t="s">
        <v>2662</v>
      </c>
      <c r="D139" s="175" t="s">
        <v>2731</v>
      </c>
      <c r="E139" s="175" t="s">
        <v>2901</v>
      </c>
      <c r="F139" s="175" t="s">
        <v>2504</v>
      </c>
      <c r="G139" s="175" t="s">
        <v>2710</v>
      </c>
      <c r="H139" s="321" t="s">
        <v>3479</v>
      </c>
      <c r="I139" s="20" t="s">
        <v>3583</v>
      </c>
    </row>
    <row r="140" spans="2:9" x14ac:dyDescent="0.35">
      <c r="B140" s="174" t="s">
        <v>2902</v>
      </c>
      <c r="C140" s="175" t="s">
        <v>2662</v>
      </c>
      <c r="D140" s="175" t="s">
        <v>2731</v>
      </c>
      <c r="E140" s="175" t="s">
        <v>2903</v>
      </c>
      <c r="F140" s="175" t="s">
        <v>2504</v>
      </c>
      <c r="G140" s="175" t="s">
        <v>2710</v>
      </c>
      <c r="H140" s="321" t="s">
        <v>3479</v>
      </c>
      <c r="I140" s="20" t="s">
        <v>3583</v>
      </c>
    </row>
    <row r="141" spans="2:9" x14ac:dyDescent="0.35">
      <c r="B141" s="174" t="s">
        <v>2904</v>
      </c>
      <c r="C141" s="175" t="s">
        <v>2662</v>
      </c>
      <c r="D141" s="175" t="s">
        <v>2731</v>
      </c>
      <c r="E141" s="175" t="s">
        <v>2905</v>
      </c>
      <c r="F141" s="175" t="s">
        <v>2504</v>
      </c>
      <c r="G141" s="175" t="s">
        <v>2710</v>
      </c>
      <c r="H141" s="321" t="s">
        <v>3479</v>
      </c>
      <c r="I141" s="20" t="s">
        <v>3583</v>
      </c>
    </row>
    <row r="142" spans="2:9" x14ac:dyDescent="0.35">
      <c r="B142" s="174" t="s">
        <v>2906</v>
      </c>
      <c r="C142" s="175" t="s">
        <v>2662</v>
      </c>
      <c r="D142" s="175" t="s">
        <v>2731</v>
      </c>
      <c r="E142" s="175" t="s">
        <v>2907</v>
      </c>
      <c r="F142" s="175" t="s">
        <v>2504</v>
      </c>
      <c r="G142" s="175" t="s">
        <v>2710</v>
      </c>
      <c r="H142" s="321" t="s">
        <v>3479</v>
      </c>
      <c r="I142" s="20" t="s">
        <v>3583</v>
      </c>
    </row>
    <row r="143" spans="2:9" x14ac:dyDescent="0.35">
      <c r="B143" s="174" t="s">
        <v>2908</v>
      </c>
      <c r="C143" s="175" t="s">
        <v>2662</v>
      </c>
      <c r="D143" s="175" t="s">
        <v>2731</v>
      </c>
      <c r="E143" s="175" t="s">
        <v>2909</v>
      </c>
      <c r="F143" s="175" t="s">
        <v>2504</v>
      </c>
      <c r="G143" s="175" t="s">
        <v>2710</v>
      </c>
      <c r="H143" s="321" t="s">
        <v>3479</v>
      </c>
      <c r="I143" s="20" t="s">
        <v>3583</v>
      </c>
    </row>
    <row r="144" spans="2:9" x14ac:dyDescent="0.35">
      <c r="B144" s="174" t="s">
        <v>2910</v>
      </c>
      <c r="C144" s="175" t="s">
        <v>2662</v>
      </c>
      <c r="D144" s="175" t="s">
        <v>2731</v>
      </c>
      <c r="E144" s="175" t="s">
        <v>2911</v>
      </c>
      <c r="F144" s="175" t="s">
        <v>2504</v>
      </c>
      <c r="G144" s="175" t="s">
        <v>2710</v>
      </c>
      <c r="H144" s="321" t="s">
        <v>3479</v>
      </c>
      <c r="I144" s="20" t="s">
        <v>3583</v>
      </c>
    </row>
    <row r="145" spans="2:9" x14ac:dyDescent="0.35">
      <c r="B145" s="174" t="s">
        <v>2912</v>
      </c>
      <c r="C145" s="175" t="s">
        <v>2662</v>
      </c>
      <c r="D145" s="175" t="s">
        <v>2913</v>
      </c>
      <c r="E145" s="175" t="s">
        <v>2914</v>
      </c>
      <c r="F145" s="175" t="s">
        <v>2504</v>
      </c>
      <c r="G145" s="175" t="s">
        <v>2671</v>
      </c>
      <c r="H145" s="320" t="s">
        <v>3479</v>
      </c>
      <c r="I145" t="s">
        <v>3592</v>
      </c>
    </row>
    <row r="146" spans="2:9" x14ac:dyDescent="0.35">
      <c r="B146" s="174" t="s">
        <v>2915</v>
      </c>
      <c r="C146" s="175" t="s">
        <v>2662</v>
      </c>
      <c r="D146" s="175" t="s">
        <v>2913</v>
      </c>
      <c r="E146" s="175" t="s">
        <v>2916</v>
      </c>
      <c r="F146" s="175" t="s">
        <v>2504</v>
      </c>
      <c r="G146" s="175" t="s">
        <v>2671</v>
      </c>
      <c r="H146" s="320" t="s">
        <v>3479</v>
      </c>
      <c r="I146" t="s">
        <v>3592</v>
      </c>
    </row>
    <row r="147" spans="2:9" x14ac:dyDescent="0.35">
      <c r="B147" s="174" t="s">
        <v>2917</v>
      </c>
      <c r="C147" s="175" t="s">
        <v>2662</v>
      </c>
      <c r="D147" s="175" t="s">
        <v>2844</v>
      </c>
      <c r="E147" s="175" t="s">
        <v>2918</v>
      </c>
      <c r="F147" s="175" t="s">
        <v>2504</v>
      </c>
      <c r="G147" s="175" t="s">
        <v>2671</v>
      </c>
      <c r="H147" s="320" t="s">
        <v>3479</v>
      </c>
      <c r="I147" t="s">
        <v>3589</v>
      </c>
    </row>
    <row r="148" spans="2:9" x14ac:dyDescent="0.35">
      <c r="B148" s="174" t="s">
        <v>2919</v>
      </c>
      <c r="C148" s="175" t="s">
        <v>2662</v>
      </c>
      <c r="D148" s="175" t="s">
        <v>2789</v>
      </c>
      <c r="E148" s="175" t="s">
        <v>2920</v>
      </c>
      <c r="F148" s="175" t="s">
        <v>2504</v>
      </c>
      <c r="G148" s="175" t="s">
        <v>2671</v>
      </c>
      <c r="H148" s="319" t="s">
        <v>3479</v>
      </c>
      <c r="I148" t="s">
        <v>3586</v>
      </c>
    </row>
    <row r="149" spans="2:9" x14ac:dyDescent="0.35">
      <c r="B149" s="174" t="s">
        <v>2921</v>
      </c>
      <c r="C149" s="175" t="s">
        <v>2662</v>
      </c>
      <c r="D149" s="317" t="s">
        <v>2922</v>
      </c>
      <c r="E149" s="175" t="s">
        <v>2923</v>
      </c>
      <c r="F149" s="175" t="s">
        <v>2504</v>
      </c>
      <c r="G149" s="175" t="s">
        <v>2665</v>
      </c>
      <c r="H149" s="319" t="s">
        <v>3479</v>
      </c>
      <c r="I149" t="s">
        <v>3593</v>
      </c>
    </row>
    <row r="150" spans="2:9" x14ac:dyDescent="0.35">
      <c r="B150" s="174" t="s">
        <v>2924</v>
      </c>
      <c r="C150" s="175" t="s">
        <v>2662</v>
      </c>
      <c r="D150" s="175" t="s">
        <v>2703</v>
      </c>
      <c r="E150" s="175" t="s">
        <v>2925</v>
      </c>
      <c r="F150" s="175" t="s">
        <v>2504</v>
      </c>
      <c r="G150" s="175" t="s">
        <v>2671</v>
      </c>
      <c r="H150" s="319" t="s">
        <v>3479</v>
      </c>
      <c r="I150" t="s">
        <v>3578</v>
      </c>
    </row>
    <row r="151" spans="2:9" x14ac:dyDescent="0.35">
      <c r="B151" s="174" t="s">
        <v>2926</v>
      </c>
      <c r="C151" s="175" t="s">
        <v>2662</v>
      </c>
      <c r="D151" s="175" t="s">
        <v>2927</v>
      </c>
      <c r="E151" s="175" t="s">
        <v>2928</v>
      </c>
      <c r="F151" s="175" t="s">
        <v>2504</v>
      </c>
      <c r="G151" s="175" t="s">
        <v>3613</v>
      </c>
      <c r="H151" s="319" t="s">
        <v>3479</v>
      </c>
      <c r="I151" t="s">
        <v>3594</v>
      </c>
    </row>
    <row r="152" spans="2:9" x14ac:dyDescent="0.35">
      <c r="B152" s="174" t="s">
        <v>2929</v>
      </c>
      <c r="C152" s="175" t="s">
        <v>2662</v>
      </c>
      <c r="D152" s="175" t="s">
        <v>2930</v>
      </c>
      <c r="E152" s="175" t="s">
        <v>2931</v>
      </c>
      <c r="F152" s="175" t="s">
        <v>2675</v>
      </c>
      <c r="G152" s="175" t="s">
        <v>2671</v>
      </c>
      <c r="H152" s="319" t="s">
        <v>3479</v>
      </c>
      <c r="I152" t="s">
        <v>3595</v>
      </c>
    </row>
    <row r="153" spans="2:9" x14ac:dyDescent="0.35">
      <c r="B153" s="174" t="s">
        <v>2932</v>
      </c>
      <c r="C153" s="175" t="s">
        <v>2662</v>
      </c>
      <c r="D153" s="175" t="s">
        <v>2703</v>
      </c>
      <c r="E153" s="175" t="s">
        <v>2933</v>
      </c>
      <c r="F153" s="175" t="s">
        <v>2675</v>
      </c>
      <c r="G153" s="175" t="s">
        <v>2671</v>
      </c>
      <c r="H153" s="319" t="s">
        <v>3479</v>
      </c>
      <c r="I153" t="s">
        <v>3578</v>
      </c>
    </row>
    <row r="154" spans="2:9" x14ac:dyDescent="0.35">
      <c r="B154" s="174" t="s">
        <v>2934</v>
      </c>
      <c r="C154" s="175" t="s">
        <v>2662</v>
      </c>
      <c r="D154" s="175" t="s">
        <v>2703</v>
      </c>
      <c r="E154" s="175" t="s">
        <v>2935</v>
      </c>
      <c r="F154" s="175" t="s">
        <v>2675</v>
      </c>
      <c r="G154" s="175" t="s">
        <v>2671</v>
      </c>
      <c r="H154" s="319" t="s">
        <v>3479</v>
      </c>
      <c r="I154" t="s">
        <v>3578</v>
      </c>
    </row>
    <row r="155" spans="2:9" x14ac:dyDescent="0.35">
      <c r="B155" s="174" t="s">
        <v>2936</v>
      </c>
      <c r="C155" s="175" t="s">
        <v>2662</v>
      </c>
      <c r="D155" s="175" t="s">
        <v>2703</v>
      </c>
      <c r="E155" s="175" t="s">
        <v>2937</v>
      </c>
      <c r="F155" s="175" t="s">
        <v>2675</v>
      </c>
      <c r="G155" s="175" t="s">
        <v>2671</v>
      </c>
      <c r="H155" s="319" t="s">
        <v>3479</v>
      </c>
      <c r="I155" t="s">
        <v>3578</v>
      </c>
    </row>
    <row r="156" spans="2:9" x14ac:dyDescent="0.35">
      <c r="B156" s="174" t="s">
        <v>2938</v>
      </c>
      <c r="C156" s="175" t="s">
        <v>2662</v>
      </c>
      <c r="D156" s="175" t="s">
        <v>2930</v>
      </c>
      <c r="E156" s="175" t="s">
        <v>2939</v>
      </c>
      <c r="F156" s="175" t="s">
        <v>2675</v>
      </c>
      <c r="G156" s="175" t="s">
        <v>2671</v>
      </c>
      <c r="H156" s="319" t="s">
        <v>3479</v>
      </c>
      <c r="I156" t="s">
        <v>3595</v>
      </c>
    </row>
    <row r="157" spans="2:9" x14ac:dyDescent="0.35">
      <c r="B157" s="174" t="s">
        <v>2940</v>
      </c>
      <c r="C157" s="175" t="s">
        <v>2662</v>
      </c>
      <c r="D157" s="317" t="s">
        <v>2922</v>
      </c>
      <c r="E157" s="175" t="s">
        <v>2941</v>
      </c>
      <c r="F157" s="175" t="s">
        <v>2675</v>
      </c>
      <c r="G157" s="175" t="s">
        <v>2665</v>
      </c>
      <c r="H157" s="319" t="s">
        <v>3479</v>
      </c>
      <c r="I157" t="s">
        <v>3593</v>
      </c>
    </row>
    <row r="158" spans="2:9" x14ac:dyDescent="0.35">
      <c r="B158" s="174" t="s">
        <v>2942</v>
      </c>
      <c r="C158" s="175" t="s">
        <v>2662</v>
      </c>
      <c r="D158" s="317" t="s">
        <v>2922</v>
      </c>
      <c r="E158" s="175" t="s">
        <v>2943</v>
      </c>
      <c r="F158" s="175" t="s">
        <v>2675</v>
      </c>
      <c r="G158" s="175" t="s">
        <v>2665</v>
      </c>
      <c r="H158" s="319" t="s">
        <v>3479</v>
      </c>
      <c r="I158" t="s">
        <v>3593</v>
      </c>
    </row>
    <row r="159" spans="2:9" x14ac:dyDescent="0.35">
      <c r="B159" s="174" t="s">
        <v>2944</v>
      </c>
      <c r="C159" s="175" t="s">
        <v>2662</v>
      </c>
      <c r="D159" s="175" t="s">
        <v>2708</v>
      </c>
      <c r="E159" s="175" t="s">
        <v>2945</v>
      </c>
      <c r="F159" s="175" t="s">
        <v>2675</v>
      </c>
      <c r="G159" s="175" t="s">
        <v>2710</v>
      </c>
      <c r="H159" s="321" t="s">
        <v>3479</v>
      </c>
      <c r="I159" s="20" t="s">
        <v>3579</v>
      </c>
    </row>
    <row r="160" spans="2:9" x14ac:dyDescent="0.35">
      <c r="B160" s="174" t="s">
        <v>2946</v>
      </c>
      <c r="C160" s="175" t="s">
        <v>2662</v>
      </c>
      <c r="D160" s="175" t="s">
        <v>2708</v>
      </c>
      <c r="E160" s="175" t="s">
        <v>2947</v>
      </c>
      <c r="F160" s="175" t="s">
        <v>2675</v>
      </c>
      <c r="G160" s="175" t="s">
        <v>2710</v>
      </c>
      <c r="H160" s="321" t="s">
        <v>3479</v>
      </c>
      <c r="I160" s="20" t="s">
        <v>3579</v>
      </c>
    </row>
    <row r="161" spans="2:9" x14ac:dyDescent="0.35">
      <c r="B161" s="174" t="s">
        <v>2948</v>
      </c>
      <c r="C161" s="175" t="s">
        <v>2662</v>
      </c>
      <c r="D161" s="175" t="s">
        <v>2708</v>
      </c>
      <c r="E161" s="175" t="s">
        <v>2949</v>
      </c>
      <c r="F161" s="175" t="s">
        <v>2675</v>
      </c>
      <c r="G161" s="175" t="s">
        <v>2710</v>
      </c>
      <c r="H161" s="321" t="s">
        <v>3479</v>
      </c>
      <c r="I161" s="20" t="s">
        <v>3579</v>
      </c>
    </row>
    <row r="162" spans="2:9" x14ac:dyDescent="0.35">
      <c r="B162" s="174" t="s">
        <v>2950</v>
      </c>
      <c r="C162" s="175" t="s">
        <v>2662</v>
      </c>
      <c r="D162" s="175" t="s">
        <v>2951</v>
      </c>
      <c r="E162" s="175" t="s">
        <v>2952</v>
      </c>
      <c r="F162" s="175" t="s">
        <v>1377</v>
      </c>
      <c r="G162" s="175" t="s">
        <v>2671</v>
      </c>
      <c r="H162" s="319" t="s">
        <v>3479</v>
      </c>
      <c r="I162" t="s">
        <v>3596</v>
      </c>
    </row>
    <row r="163" spans="2:9" x14ac:dyDescent="0.35">
      <c r="B163" s="174" t="s">
        <v>2953</v>
      </c>
      <c r="C163" s="175" t="s">
        <v>2662</v>
      </c>
      <c r="D163" s="175" t="s">
        <v>2951</v>
      </c>
      <c r="E163" s="175" t="s">
        <v>2954</v>
      </c>
      <c r="F163" s="175" t="s">
        <v>1377</v>
      </c>
      <c r="G163" s="175" t="s">
        <v>2671</v>
      </c>
      <c r="H163" s="319" t="s">
        <v>3479</v>
      </c>
      <c r="I163" t="s">
        <v>3596</v>
      </c>
    </row>
    <row r="164" spans="2:9" x14ac:dyDescent="0.35">
      <c r="B164" s="174" t="s">
        <v>2955</v>
      </c>
      <c r="C164" s="175" t="s">
        <v>2662</v>
      </c>
      <c r="D164" s="175" t="s">
        <v>2712</v>
      </c>
      <c r="E164" s="175" t="s">
        <v>2956</v>
      </c>
      <c r="F164" s="175" t="s">
        <v>1377</v>
      </c>
      <c r="G164" s="175" t="s">
        <v>2710</v>
      </c>
      <c r="H164" s="321" t="s">
        <v>3479</v>
      </c>
      <c r="I164" t="s">
        <v>3580</v>
      </c>
    </row>
    <row r="165" spans="2:9" x14ac:dyDescent="0.35">
      <c r="B165" s="174" t="s">
        <v>2957</v>
      </c>
      <c r="C165" s="175" t="s">
        <v>2662</v>
      </c>
      <c r="D165" s="175" t="s">
        <v>2712</v>
      </c>
      <c r="E165" s="175" t="s">
        <v>2958</v>
      </c>
      <c r="F165" s="175" t="s">
        <v>1377</v>
      </c>
      <c r="G165" s="175" t="s">
        <v>2710</v>
      </c>
      <c r="H165" s="321" t="s">
        <v>3479</v>
      </c>
      <c r="I165" t="s">
        <v>3580</v>
      </c>
    </row>
    <row r="166" spans="2:9" x14ac:dyDescent="0.35">
      <c r="B166" s="174" t="s">
        <v>2959</v>
      </c>
      <c r="C166" s="175" t="s">
        <v>2662</v>
      </c>
      <c r="D166" s="317" t="s">
        <v>2922</v>
      </c>
      <c r="E166" s="175" t="s">
        <v>2960</v>
      </c>
      <c r="F166" s="175" t="s">
        <v>1377</v>
      </c>
      <c r="G166" s="175" t="s">
        <v>2665</v>
      </c>
      <c r="H166" s="319" t="s">
        <v>3479</v>
      </c>
      <c r="I166" t="s">
        <v>3593</v>
      </c>
    </row>
    <row r="167" spans="2:9" x14ac:dyDescent="0.35">
      <c r="B167" s="174" t="s">
        <v>2961</v>
      </c>
      <c r="C167" s="175" t="s">
        <v>2662</v>
      </c>
      <c r="D167" s="317" t="s">
        <v>2922</v>
      </c>
      <c r="E167" s="175" t="s">
        <v>2962</v>
      </c>
      <c r="F167" s="175" t="s">
        <v>1377</v>
      </c>
      <c r="G167" s="175" t="s">
        <v>2665</v>
      </c>
      <c r="H167" s="319" t="s">
        <v>3479</v>
      </c>
      <c r="I167" t="s">
        <v>3593</v>
      </c>
    </row>
    <row r="168" spans="2:9" x14ac:dyDescent="0.35">
      <c r="B168" s="174" t="s">
        <v>2963</v>
      </c>
      <c r="C168" s="175" t="s">
        <v>2662</v>
      </c>
      <c r="D168" s="175" t="s">
        <v>2964</v>
      </c>
      <c r="E168" s="175" t="s">
        <v>2965</v>
      </c>
      <c r="F168" s="175" t="s">
        <v>1377</v>
      </c>
      <c r="G168" s="175" t="s">
        <v>2671</v>
      </c>
      <c r="H168" s="319" t="s">
        <v>3479</v>
      </c>
      <c r="I168" t="s">
        <v>3597</v>
      </c>
    </row>
    <row r="169" spans="2:9" x14ac:dyDescent="0.35">
      <c r="B169" s="174" t="s">
        <v>2966</v>
      </c>
      <c r="C169" s="175" t="s">
        <v>2662</v>
      </c>
      <c r="D169" s="175" t="s">
        <v>2967</v>
      </c>
      <c r="E169" s="175" t="s">
        <v>2968</v>
      </c>
      <c r="F169" s="175" t="s">
        <v>1377</v>
      </c>
      <c r="G169" s="175" t="s">
        <v>2671</v>
      </c>
      <c r="H169" s="319" t="s">
        <v>3479</v>
      </c>
      <c r="I169" t="s">
        <v>3598</v>
      </c>
    </row>
    <row r="170" spans="2:9" x14ac:dyDescent="0.35">
      <c r="B170" s="174" t="s">
        <v>2969</v>
      </c>
      <c r="C170" s="175" t="s">
        <v>2662</v>
      </c>
      <c r="D170" s="175" t="s">
        <v>2967</v>
      </c>
      <c r="E170" s="175" t="s">
        <v>2970</v>
      </c>
      <c r="F170" s="175" t="s">
        <v>1377</v>
      </c>
      <c r="G170" s="175" t="s">
        <v>2671</v>
      </c>
      <c r="H170" s="320" t="s">
        <v>3479</v>
      </c>
      <c r="I170" t="s">
        <v>3598</v>
      </c>
    </row>
    <row r="171" spans="2:9" x14ac:dyDescent="0.35">
      <c r="B171" s="174" t="s">
        <v>2971</v>
      </c>
      <c r="C171" s="175" t="s">
        <v>2662</v>
      </c>
      <c r="D171" s="175" t="s">
        <v>2972</v>
      </c>
      <c r="E171" s="175" t="s">
        <v>2973</v>
      </c>
      <c r="F171" s="175" t="s">
        <v>1377</v>
      </c>
      <c r="G171" s="175" t="s">
        <v>3612</v>
      </c>
      <c r="H171" s="319" t="s">
        <v>3479</v>
      </c>
      <c r="I171" t="s">
        <v>3599</v>
      </c>
    </row>
    <row r="172" spans="2:9" x14ac:dyDescent="0.35">
      <c r="B172" s="174" t="s">
        <v>2974</v>
      </c>
      <c r="C172" s="175" t="s">
        <v>2662</v>
      </c>
      <c r="D172" s="175" t="s">
        <v>2972</v>
      </c>
      <c r="E172" s="175" t="s">
        <v>2975</v>
      </c>
      <c r="F172" s="175" t="s">
        <v>1377</v>
      </c>
      <c r="G172" s="175" t="s">
        <v>3612</v>
      </c>
      <c r="H172" s="320" t="s">
        <v>3479</v>
      </c>
      <c r="I172" t="s">
        <v>3599</v>
      </c>
    </row>
    <row r="173" spans="2:9" x14ac:dyDescent="0.35">
      <c r="B173" s="174" t="s">
        <v>2976</v>
      </c>
      <c r="C173" s="175" t="s">
        <v>2662</v>
      </c>
      <c r="D173" s="175" t="s">
        <v>2951</v>
      </c>
      <c r="E173" s="175" t="s">
        <v>2977</v>
      </c>
      <c r="F173" s="175" t="s">
        <v>1377</v>
      </c>
      <c r="G173" s="175" t="s">
        <v>2671</v>
      </c>
      <c r="H173" s="320" t="s">
        <v>3479</v>
      </c>
      <c r="I173" t="s">
        <v>3596</v>
      </c>
    </row>
    <row r="174" spans="2:9" x14ac:dyDescent="0.35">
      <c r="B174" s="174" t="s">
        <v>2978</v>
      </c>
      <c r="C174" s="175" t="s">
        <v>2662</v>
      </c>
      <c r="D174" s="175" t="s">
        <v>2979</v>
      </c>
      <c r="E174" s="175" t="s">
        <v>2980</v>
      </c>
      <c r="F174" s="175" t="s">
        <v>1377</v>
      </c>
      <c r="G174" s="175" t="s">
        <v>2671</v>
      </c>
      <c r="H174" s="320" t="s">
        <v>3479</v>
      </c>
      <c r="I174" t="s">
        <v>3600</v>
      </c>
    </row>
    <row r="175" spans="2:9" x14ac:dyDescent="0.35">
      <c r="B175" s="174" t="s">
        <v>2981</v>
      </c>
      <c r="C175" s="175" t="s">
        <v>2662</v>
      </c>
      <c r="D175" s="175" t="s">
        <v>2979</v>
      </c>
      <c r="E175" s="175" t="s">
        <v>2982</v>
      </c>
      <c r="F175" s="175" t="s">
        <v>1377</v>
      </c>
      <c r="G175" s="175" t="s">
        <v>2671</v>
      </c>
      <c r="H175" s="320" t="s">
        <v>3479</v>
      </c>
      <c r="I175" t="s">
        <v>3600</v>
      </c>
    </row>
    <row r="176" spans="2:9" x14ac:dyDescent="0.35">
      <c r="B176" s="174" t="s">
        <v>2983</v>
      </c>
      <c r="C176" s="175" t="s">
        <v>2662</v>
      </c>
      <c r="D176" s="175" t="s">
        <v>2686</v>
      </c>
      <c r="E176" s="175" t="s">
        <v>2984</v>
      </c>
      <c r="F176" s="175" t="s">
        <v>1377</v>
      </c>
      <c r="G176" s="175" t="s">
        <v>2671</v>
      </c>
      <c r="H176" s="320" t="s">
        <v>3479</v>
      </c>
      <c r="I176" t="s">
        <v>3574</v>
      </c>
    </row>
    <row r="177" spans="2:9" x14ac:dyDescent="0.35">
      <c r="B177" s="174" t="s">
        <v>2985</v>
      </c>
      <c r="C177" s="175" t="s">
        <v>2662</v>
      </c>
      <c r="D177" s="175" t="s">
        <v>2922</v>
      </c>
      <c r="E177" s="175" t="s">
        <v>2986</v>
      </c>
      <c r="F177" s="175" t="s">
        <v>1377</v>
      </c>
      <c r="G177" s="175" t="s">
        <v>2665</v>
      </c>
      <c r="H177" s="321" t="s">
        <v>3479</v>
      </c>
      <c r="I177" t="s">
        <v>3593</v>
      </c>
    </row>
    <row r="178" spans="2:9" s="20" customFormat="1" x14ac:dyDescent="0.35">
      <c r="B178" s="548" t="s">
        <v>2987</v>
      </c>
      <c r="C178" s="317" t="s">
        <v>2662</v>
      </c>
      <c r="D178" s="317" t="s">
        <v>2988</v>
      </c>
      <c r="E178" s="317" t="s">
        <v>2989</v>
      </c>
      <c r="F178" s="317" t="s">
        <v>1377</v>
      </c>
      <c r="G178" s="317" t="s">
        <v>2665</v>
      </c>
      <c r="H178" s="549" t="s">
        <v>3479</v>
      </c>
      <c r="I178" s="20" t="s">
        <v>3601</v>
      </c>
    </row>
    <row r="179" spans="2:9" x14ac:dyDescent="0.35">
      <c r="B179" s="174" t="s">
        <v>2990</v>
      </c>
      <c r="C179" s="175" t="s">
        <v>2662</v>
      </c>
      <c r="D179" s="175" t="s">
        <v>2991</v>
      </c>
      <c r="E179" s="175" t="s">
        <v>2992</v>
      </c>
      <c r="F179" s="175" t="s">
        <v>1377</v>
      </c>
      <c r="G179" s="175" t="s">
        <v>2671</v>
      </c>
      <c r="H179" s="320" t="s">
        <v>3479</v>
      </c>
      <c r="I179" t="s">
        <v>3602</v>
      </c>
    </row>
    <row r="180" spans="2:9" x14ac:dyDescent="0.35">
      <c r="B180" s="174" t="s">
        <v>2993</v>
      </c>
      <c r="C180" s="175" t="s">
        <v>2662</v>
      </c>
      <c r="D180" s="175" t="s">
        <v>2967</v>
      </c>
      <c r="E180" s="175" t="s">
        <v>2994</v>
      </c>
      <c r="F180" s="175" t="s">
        <v>1377</v>
      </c>
      <c r="G180" s="175" t="s">
        <v>2671</v>
      </c>
      <c r="H180" s="320" t="s">
        <v>3479</v>
      </c>
      <c r="I180" t="s">
        <v>3598</v>
      </c>
    </row>
    <row r="181" spans="2:9" x14ac:dyDescent="0.35">
      <c r="B181" s="174" t="s">
        <v>2995</v>
      </c>
      <c r="C181" s="175" t="s">
        <v>2662</v>
      </c>
      <c r="D181" s="175" t="s">
        <v>2996</v>
      </c>
      <c r="E181" s="175" t="s">
        <v>2997</v>
      </c>
      <c r="F181" s="175" t="s">
        <v>1377</v>
      </c>
      <c r="G181" s="175" t="s">
        <v>2671</v>
      </c>
      <c r="H181" s="320" t="s">
        <v>3479</v>
      </c>
      <c r="I181" t="s">
        <v>3603</v>
      </c>
    </row>
    <row r="182" spans="2:9" x14ac:dyDescent="0.35">
      <c r="B182" s="174" t="s">
        <v>2998</v>
      </c>
      <c r="C182" s="175" t="s">
        <v>2662</v>
      </c>
      <c r="D182" s="175" t="s">
        <v>2999</v>
      </c>
      <c r="E182" s="175" t="s">
        <v>3000</v>
      </c>
      <c r="F182" s="175" t="s">
        <v>1377</v>
      </c>
      <c r="G182" s="175" t="s">
        <v>2671</v>
      </c>
      <c r="H182" s="320" t="s">
        <v>3479</v>
      </c>
      <c r="I182" t="s">
        <v>3604</v>
      </c>
    </row>
    <row r="183" spans="2:9" x14ac:dyDescent="0.35">
      <c r="B183" s="174" t="s">
        <v>3001</v>
      </c>
      <c r="C183" s="175" t="s">
        <v>2662</v>
      </c>
      <c r="D183" s="175" t="s">
        <v>2967</v>
      </c>
      <c r="E183" s="175" t="s">
        <v>3002</v>
      </c>
      <c r="F183" s="175" t="s">
        <v>1377</v>
      </c>
      <c r="G183" s="175" t="s">
        <v>2671</v>
      </c>
      <c r="H183" s="320" t="s">
        <v>3479</v>
      </c>
      <c r="I183" t="s">
        <v>3598</v>
      </c>
    </row>
    <row r="184" spans="2:9" x14ac:dyDescent="0.35">
      <c r="B184" s="174" t="s">
        <v>3003</v>
      </c>
      <c r="C184" s="175" t="s">
        <v>2662</v>
      </c>
      <c r="D184" s="175" t="s">
        <v>2967</v>
      </c>
      <c r="E184" s="175" t="s">
        <v>3004</v>
      </c>
      <c r="F184" s="175" t="s">
        <v>1377</v>
      </c>
      <c r="G184" s="175" t="s">
        <v>2671</v>
      </c>
      <c r="H184" s="320" t="s">
        <v>3479</v>
      </c>
      <c r="I184" t="s">
        <v>3598</v>
      </c>
    </row>
    <row r="185" spans="2:9" x14ac:dyDescent="0.35">
      <c r="B185" s="174" t="s">
        <v>3005</v>
      </c>
      <c r="C185" s="175" t="s">
        <v>2662</v>
      </c>
      <c r="D185" s="175" t="s">
        <v>2996</v>
      </c>
      <c r="E185" s="175" t="s">
        <v>3006</v>
      </c>
      <c r="F185" s="175" t="s">
        <v>1377</v>
      </c>
      <c r="G185" s="175" t="s">
        <v>2671</v>
      </c>
      <c r="H185" s="320" t="s">
        <v>3479</v>
      </c>
      <c r="I185" t="s">
        <v>3603</v>
      </c>
    </row>
    <row r="186" spans="2:9" x14ac:dyDescent="0.35">
      <c r="B186" s="174" t="s">
        <v>3007</v>
      </c>
      <c r="C186" s="175" t="s">
        <v>2662</v>
      </c>
      <c r="D186" s="175" t="s">
        <v>2967</v>
      </c>
      <c r="E186" s="175" t="s">
        <v>3008</v>
      </c>
      <c r="F186" s="175" t="s">
        <v>1377</v>
      </c>
      <c r="G186" s="175" t="s">
        <v>2671</v>
      </c>
      <c r="H186" s="320" t="s">
        <v>3479</v>
      </c>
      <c r="I186" t="s">
        <v>3598</v>
      </c>
    </row>
    <row r="187" spans="2:9" x14ac:dyDescent="0.35">
      <c r="B187" s="174" t="s">
        <v>3009</v>
      </c>
      <c r="C187" s="175" t="s">
        <v>2662</v>
      </c>
      <c r="D187" s="175" t="s">
        <v>3010</v>
      </c>
      <c r="E187" s="175" t="s">
        <v>3011</v>
      </c>
      <c r="F187" s="175" t="s">
        <v>1377</v>
      </c>
      <c r="G187" s="175" t="s">
        <v>2665</v>
      </c>
      <c r="H187" s="321" t="s">
        <v>3479</v>
      </c>
      <c r="I187" t="s">
        <v>3605</v>
      </c>
    </row>
    <row r="188" spans="2:9" x14ac:dyDescent="0.35">
      <c r="B188" s="174" t="s">
        <v>3012</v>
      </c>
      <c r="C188" s="175" t="s">
        <v>2662</v>
      </c>
      <c r="D188" s="175" t="s">
        <v>2967</v>
      </c>
      <c r="E188" s="175" t="s">
        <v>3013</v>
      </c>
      <c r="F188" s="175" t="s">
        <v>1377</v>
      </c>
      <c r="G188" s="175" t="s">
        <v>2671</v>
      </c>
      <c r="H188" s="320" t="s">
        <v>3479</v>
      </c>
      <c r="I188" t="s">
        <v>3598</v>
      </c>
    </row>
    <row r="189" spans="2:9" x14ac:dyDescent="0.35">
      <c r="B189" s="174" t="s">
        <v>3014</v>
      </c>
      <c r="C189" s="175" t="s">
        <v>2662</v>
      </c>
      <c r="D189" s="175" t="s">
        <v>2967</v>
      </c>
      <c r="E189" s="175" t="s">
        <v>3015</v>
      </c>
      <c r="F189" s="175" t="s">
        <v>1377</v>
      </c>
      <c r="G189" s="175" t="s">
        <v>2671</v>
      </c>
      <c r="H189" s="320" t="s">
        <v>3479</v>
      </c>
      <c r="I189" t="s">
        <v>3598</v>
      </c>
    </row>
    <row r="190" spans="2:9" x14ac:dyDescent="0.35">
      <c r="B190" s="174" t="s">
        <v>3016</v>
      </c>
      <c r="C190" s="175" t="s">
        <v>2662</v>
      </c>
      <c r="D190" s="175" t="s">
        <v>2967</v>
      </c>
      <c r="E190" s="175" t="s">
        <v>3017</v>
      </c>
      <c r="F190" s="175" t="s">
        <v>1377</v>
      </c>
      <c r="G190" s="175" t="s">
        <v>2671</v>
      </c>
      <c r="H190" s="320" t="s">
        <v>3479</v>
      </c>
      <c r="I190" t="s">
        <v>3598</v>
      </c>
    </row>
    <row r="191" spans="2:9" x14ac:dyDescent="0.35">
      <c r="B191" s="174" t="s">
        <v>3018</v>
      </c>
      <c r="C191" s="175" t="s">
        <v>2662</v>
      </c>
      <c r="D191" s="175" t="s">
        <v>2996</v>
      </c>
      <c r="E191" s="175" t="s">
        <v>3019</v>
      </c>
      <c r="F191" s="175" t="s">
        <v>1377</v>
      </c>
      <c r="G191" s="175" t="s">
        <v>2671</v>
      </c>
      <c r="H191" s="320" t="s">
        <v>3479</v>
      </c>
      <c r="I191" t="s">
        <v>3603</v>
      </c>
    </row>
    <row r="192" spans="2:9" x14ac:dyDescent="0.35">
      <c r="B192" s="174" t="s">
        <v>3020</v>
      </c>
      <c r="C192" s="175" t="s">
        <v>2662</v>
      </c>
      <c r="D192" s="175" t="s">
        <v>2967</v>
      </c>
      <c r="E192" s="175" t="s">
        <v>3021</v>
      </c>
      <c r="F192" s="175" t="s">
        <v>1377</v>
      </c>
      <c r="G192" s="175" t="s">
        <v>2671</v>
      </c>
      <c r="H192" s="320" t="s">
        <v>3479</v>
      </c>
      <c r="I192" t="s">
        <v>3598</v>
      </c>
    </row>
    <row r="193" spans="2:9" x14ac:dyDescent="0.35">
      <c r="B193" s="174" t="s">
        <v>3022</v>
      </c>
      <c r="C193" s="175" t="s">
        <v>2662</v>
      </c>
      <c r="D193" s="175" t="s">
        <v>2967</v>
      </c>
      <c r="E193" s="175" t="s">
        <v>3023</v>
      </c>
      <c r="F193" s="175" t="s">
        <v>1377</v>
      </c>
      <c r="G193" s="175" t="s">
        <v>2671</v>
      </c>
      <c r="H193" s="320" t="s">
        <v>3479</v>
      </c>
      <c r="I193" t="s">
        <v>3598</v>
      </c>
    </row>
    <row r="194" spans="2:9" x14ac:dyDescent="0.35">
      <c r="B194" s="174" t="s">
        <v>3024</v>
      </c>
      <c r="C194" s="175" t="s">
        <v>2662</v>
      </c>
      <c r="D194" s="175" t="s">
        <v>3025</v>
      </c>
      <c r="E194" s="175" t="s">
        <v>3026</v>
      </c>
      <c r="F194" s="175" t="s">
        <v>1377</v>
      </c>
      <c r="G194" s="175" t="s">
        <v>2710</v>
      </c>
      <c r="H194" s="321" t="s">
        <v>3479</v>
      </c>
      <c r="I194" t="s">
        <v>3606</v>
      </c>
    </row>
    <row r="195" spans="2:9" x14ac:dyDescent="0.35">
      <c r="B195" s="174" t="s">
        <v>3027</v>
      </c>
      <c r="C195" s="175" t="s">
        <v>2662</v>
      </c>
      <c r="D195" s="175" t="s">
        <v>3028</v>
      </c>
      <c r="E195" s="175" t="s">
        <v>3029</v>
      </c>
      <c r="F195" s="175" t="s">
        <v>2504</v>
      </c>
      <c r="G195" s="175" t="s">
        <v>2710</v>
      </c>
      <c r="H195" s="321" t="s">
        <v>3479</v>
      </c>
      <c r="I195" t="s">
        <v>3607</v>
      </c>
    </row>
    <row r="196" spans="2:9" x14ac:dyDescent="0.35">
      <c r="B196" s="174" t="s">
        <v>3030</v>
      </c>
      <c r="C196" s="175" t="s">
        <v>2662</v>
      </c>
      <c r="D196" s="175" t="s">
        <v>2708</v>
      </c>
      <c r="E196" s="175" t="s">
        <v>3031</v>
      </c>
      <c r="F196" s="175" t="s">
        <v>2504</v>
      </c>
      <c r="G196" s="175" t="s">
        <v>2710</v>
      </c>
      <c r="H196" s="321" t="s">
        <v>3479</v>
      </c>
      <c r="I196" t="s">
        <v>3579</v>
      </c>
    </row>
    <row r="197" spans="2:9" x14ac:dyDescent="0.35">
      <c r="B197" s="174" t="s">
        <v>3032</v>
      </c>
      <c r="C197" s="175" t="s">
        <v>2662</v>
      </c>
      <c r="D197" s="175" t="s">
        <v>3033</v>
      </c>
      <c r="E197" s="175" t="s">
        <v>3034</v>
      </c>
      <c r="F197" s="175" t="s">
        <v>2701</v>
      </c>
      <c r="G197" s="175" t="s">
        <v>2665</v>
      </c>
      <c r="H197" s="321" t="s">
        <v>3479</v>
      </c>
      <c r="I197" t="s">
        <v>3608</v>
      </c>
    </row>
    <row r="198" spans="2:9" x14ac:dyDescent="0.35">
      <c r="B198" s="174" t="s">
        <v>3035</v>
      </c>
      <c r="C198" s="175" t="s">
        <v>2662</v>
      </c>
      <c r="D198" s="175" t="s">
        <v>2708</v>
      </c>
      <c r="E198" s="175" t="s">
        <v>3036</v>
      </c>
      <c r="F198" s="175" t="s">
        <v>2701</v>
      </c>
      <c r="G198" s="175" t="s">
        <v>2710</v>
      </c>
      <c r="H198" s="321" t="s">
        <v>3479</v>
      </c>
      <c r="I198" t="s">
        <v>3579</v>
      </c>
    </row>
    <row r="199" spans="2:9" x14ac:dyDescent="0.35">
      <c r="B199" s="174" t="s">
        <v>3037</v>
      </c>
      <c r="C199" s="175" t="s">
        <v>2662</v>
      </c>
      <c r="D199" s="175" t="s">
        <v>3038</v>
      </c>
      <c r="E199" s="175" t="s">
        <v>3039</v>
      </c>
      <c r="F199" s="175" t="s">
        <v>2701</v>
      </c>
      <c r="G199" s="175" t="s">
        <v>2671</v>
      </c>
      <c r="H199" s="320" t="s">
        <v>3479</v>
      </c>
      <c r="I199" t="s">
        <v>3609</v>
      </c>
    </row>
    <row r="200" spans="2:9" x14ac:dyDescent="0.35">
      <c r="B200" s="174" t="s">
        <v>3040</v>
      </c>
      <c r="C200" s="175" t="s">
        <v>2662</v>
      </c>
      <c r="D200" s="175" t="s">
        <v>2708</v>
      </c>
      <c r="E200" s="175" t="s">
        <v>3041</v>
      </c>
      <c r="F200" s="175" t="s">
        <v>2701</v>
      </c>
      <c r="G200" s="175" t="s">
        <v>2710</v>
      </c>
      <c r="H200" s="321" t="s">
        <v>3479</v>
      </c>
      <c r="I200" t="s">
        <v>3579</v>
      </c>
    </row>
    <row r="201" spans="2:9" x14ac:dyDescent="0.35">
      <c r="B201" s="174" t="s">
        <v>3042</v>
      </c>
      <c r="C201" s="175" t="s">
        <v>2662</v>
      </c>
      <c r="D201" s="175" t="s">
        <v>3033</v>
      </c>
      <c r="E201" s="175" t="s">
        <v>3043</v>
      </c>
      <c r="F201" s="175" t="s">
        <v>2701</v>
      </c>
      <c r="G201" s="175" t="s">
        <v>2665</v>
      </c>
      <c r="H201" s="321" t="s">
        <v>3479</v>
      </c>
      <c r="I201" t="s">
        <v>3608</v>
      </c>
    </row>
    <row r="202" spans="2:9" x14ac:dyDescent="0.35">
      <c r="B202" s="174" t="s">
        <v>3044</v>
      </c>
      <c r="C202" s="175" t="s">
        <v>2662</v>
      </c>
      <c r="D202" s="175" t="s">
        <v>3045</v>
      </c>
      <c r="E202" s="175" t="s">
        <v>3046</v>
      </c>
      <c r="F202" s="175" t="s">
        <v>2701</v>
      </c>
      <c r="G202" s="175" t="s">
        <v>2665</v>
      </c>
      <c r="H202" s="321" t="s">
        <v>3479</v>
      </c>
      <c r="I202" t="s">
        <v>3610</v>
      </c>
    </row>
    <row r="203" spans="2:9" ht="20.25" customHeight="1" x14ac:dyDescent="0.35">
      <c r="B203" s="332" t="s">
        <v>3625</v>
      </c>
      <c r="C203" s="321" t="s">
        <v>2662</v>
      </c>
      <c r="D203" s="321" t="s">
        <v>3629</v>
      </c>
      <c r="E203" s="321" t="s">
        <v>3614</v>
      </c>
      <c r="F203" s="175" t="s">
        <v>2504</v>
      </c>
      <c r="G203" s="321" t="s">
        <v>2665</v>
      </c>
      <c r="H203" s="321"/>
    </row>
    <row r="204" spans="2:9" x14ac:dyDescent="0.35">
      <c r="B204" s="332" t="s">
        <v>2655</v>
      </c>
      <c r="C204" s="321" t="s">
        <v>2662</v>
      </c>
      <c r="D204" s="321" t="s">
        <v>3630</v>
      </c>
      <c r="E204" s="321" t="s">
        <v>3615</v>
      </c>
      <c r="F204" s="175" t="s">
        <v>2504</v>
      </c>
      <c r="G204" s="321" t="s">
        <v>2665</v>
      </c>
      <c r="H204" s="321"/>
    </row>
    <row r="205" spans="2:9" x14ac:dyDescent="0.35">
      <c r="B205" s="332" t="s">
        <v>2651</v>
      </c>
      <c r="C205" s="321" t="s">
        <v>2662</v>
      </c>
      <c r="D205" s="321" t="s">
        <v>3630</v>
      </c>
      <c r="E205" s="321" t="s">
        <v>3616</v>
      </c>
      <c r="F205" s="175" t="s">
        <v>2504</v>
      </c>
      <c r="G205" s="321" t="s">
        <v>2665</v>
      </c>
      <c r="H205" s="321"/>
    </row>
    <row r="206" spans="2:9" x14ac:dyDescent="0.35">
      <c r="B206" s="332" t="s">
        <v>2695</v>
      </c>
      <c r="C206" s="321" t="s">
        <v>2692</v>
      </c>
      <c r="D206" s="321" t="s">
        <v>2693</v>
      </c>
      <c r="E206" s="333">
        <v>16201047122</v>
      </c>
      <c r="F206" s="175" t="s">
        <v>2504</v>
      </c>
      <c r="G206" s="321" t="s">
        <v>2694</v>
      </c>
      <c r="H206" s="321"/>
    </row>
    <row r="207" spans="2:9" x14ac:dyDescent="0.35">
      <c r="B207" s="332" t="s">
        <v>2691</v>
      </c>
      <c r="C207" s="321" t="s">
        <v>2692</v>
      </c>
      <c r="D207" s="321" t="s">
        <v>3631</v>
      </c>
      <c r="E207" s="333">
        <v>16201047147</v>
      </c>
      <c r="F207" s="175" t="s">
        <v>2504</v>
      </c>
      <c r="G207" s="321" t="s">
        <v>2694</v>
      </c>
      <c r="H207" s="321"/>
    </row>
    <row r="208" spans="2:9" x14ac:dyDescent="0.35">
      <c r="B208" s="332" t="s">
        <v>3626</v>
      </c>
      <c r="C208" s="321" t="s">
        <v>3622</v>
      </c>
      <c r="D208" s="321" t="s">
        <v>3632</v>
      </c>
      <c r="E208" s="321" t="s">
        <v>3617</v>
      </c>
      <c r="F208" s="175" t="s">
        <v>2504</v>
      </c>
      <c r="G208" s="321" t="s">
        <v>2665</v>
      </c>
      <c r="H208" s="321"/>
    </row>
    <row r="209" spans="2:8" s="331" customFormat="1" x14ac:dyDescent="0.35">
      <c r="B209" s="334" t="s">
        <v>3627</v>
      </c>
      <c r="C209" s="335" t="s">
        <v>3623</v>
      </c>
      <c r="D209" s="335" t="s">
        <v>3633</v>
      </c>
      <c r="E209" s="335" t="s">
        <v>3618</v>
      </c>
      <c r="F209" s="336" t="s">
        <v>2504</v>
      </c>
      <c r="G209" s="335" t="s">
        <v>3620</v>
      </c>
      <c r="H209" s="335" t="s">
        <v>3634</v>
      </c>
    </row>
    <row r="210" spans="2:8" x14ac:dyDescent="0.35">
      <c r="B210" s="332" t="s">
        <v>3628</v>
      </c>
      <c r="C210" s="321" t="s">
        <v>3624</v>
      </c>
      <c r="D210" s="321" t="s">
        <v>3635</v>
      </c>
      <c r="E210" s="321" t="s">
        <v>3619</v>
      </c>
      <c r="F210" s="175" t="s">
        <v>2504</v>
      </c>
      <c r="G210" s="321" t="s">
        <v>3621</v>
      </c>
      <c r="H210" s="321"/>
    </row>
    <row r="215" spans="2:8" x14ac:dyDescent="0.35">
      <c r="B215" s="140"/>
      <c r="C215" s="140" t="s">
        <v>6122</v>
      </c>
    </row>
    <row r="216" spans="2:8" x14ac:dyDescent="0.35">
      <c r="B216" s="140"/>
    </row>
    <row r="217" spans="2:8" x14ac:dyDescent="0.35">
      <c r="C217" s="861" t="s">
        <v>6357</v>
      </c>
      <c r="D217" s="861" t="s">
        <v>6358</v>
      </c>
      <c r="E217" s="861" t="s">
        <v>6359</v>
      </c>
    </row>
    <row r="218" spans="2:8" x14ac:dyDescent="0.35">
      <c r="C218" s="861" t="s">
        <v>6360</v>
      </c>
      <c r="D218" s="861" t="s">
        <v>6358</v>
      </c>
      <c r="E218" s="861" t="s">
        <v>6361</v>
      </c>
    </row>
    <row r="219" spans="2:8" x14ac:dyDescent="0.35">
      <c r="C219" s="861" t="s">
        <v>6362</v>
      </c>
      <c r="D219" s="861" t="s">
        <v>2665</v>
      </c>
      <c r="E219" s="861" t="s">
        <v>6363</v>
      </c>
    </row>
    <row r="220" spans="2:8" x14ac:dyDescent="0.35">
      <c r="C220" s="861" t="s">
        <v>6364</v>
      </c>
      <c r="D220" s="861" t="s">
        <v>6358</v>
      </c>
      <c r="E220" s="861" t="s">
        <v>6365</v>
      </c>
    </row>
    <row r="221" spans="2:8" x14ac:dyDescent="0.35">
      <c r="C221" s="861" t="s">
        <v>6366</v>
      </c>
      <c r="D221" s="861" t="s">
        <v>2671</v>
      </c>
      <c r="E221" s="861" t="s">
        <v>6367</v>
      </c>
    </row>
    <row r="222" spans="2:8" x14ac:dyDescent="0.35">
      <c r="C222" s="861" t="s">
        <v>6368</v>
      </c>
      <c r="D222" s="861" t="s">
        <v>2671</v>
      </c>
      <c r="E222" s="194">
        <v>1216330263</v>
      </c>
    </row>
    <row r="223" spans="2:8" x14ac:dyDescent="0.35">
      <c r="C223" s="861" t="s">
        <v>6369</v>
      </c>
      <c r="D223" s="861" t="s">
        <v>2671</v>
      </c>
      <c r="E223" s="861" t="s">
        <v>6370</v>
      </c>
    </row>
    <row r="224" spans="2:8" x14ac:dyDescent="0.35">
      <c r="C224" s="861" t="s">
        <v>6371</v>
      </c>
      <c r="D224" s="861" t="s">
        <v>2665</v>
      </c>
      <c r="E224" s="861" t="s">
        <v>6372</v>
      </c>
    </row>
    <row r="225" spans="3:5" x14ac:dyDescent="0.35">
      <c r="C225" s="861" t="s">
        <v>6373</v>
      </c>
      <c r="D225" s="861" t="s">
        <v>2671</v>
      </c>
      <c r="E225" s="861" t="s">
        <v>6374</v>
      </c>
    </row>
    <row r="226" spans="3:5" x14ac:dyDescent="0.35">
      <c r="C226" s="861" t="s">
        <v>6375</v>
      </c>
      <c r="D226" s="861" t="s">
        <v>3612</v>
      </c>
      <c r="E226" s="861" t="s">
        <v>6376</v>
      </c>
    </row>
    <row r="227" spans="3:5" ht="15" thickBot="1" x14ac:dyDescent="0.4">
      <c r="C227" s="861" t="s">
        <v>6377</v>
      </c>
      <c r="D227" s="861" t="s">
        <v>6378</v>
      </c>
      <c r="E227" s="861" t="s">
        <v>6379</v>
      </c>
    </row>
    <row r="228" spans="3:5" ht="25.5" thickBot="1" x14ac:dyDescent="0.4">
      <c r="C228" s="873" t="s">
        <v>6380</v>
      </c>
      <c r="D228" s="863" t="s">
        <v>5204</v>
      </c>
      <c r="E228" s="873" t="s">
        <v>6381</v>
      </c>
    </row>
    <row r="229" spans="3:5" ht="38" thickBot="1" x14ac:dyDescent="0.4">
      <c r="C229" s="874" t="s">
        <v>6383</v>
      </c>
      <c r="D229" s="864" t="s">
        <v>6382</v>
      </c>
      <c r="E229" s="874" t="s">
        <v>6384</v>
      </c>
    </row>
    <row r="230" spans="3:5" ht="25.5" thickBot="1" x14ac:dyDescent="0.4">
      <c r="C230" s="874" t="s">
        <v>6385</v>
      </c>
      <c r="D230" s="864" t="s">
        <v>6382</v>
      </c>
      <c r="E230" s="874" t="s">
        <v>3013</v>
      </c>
    </row>
    <row r="231" spans="3:5" ht="38" thickBot="1" x14ac:dyDescent="0.4">
      <c r="C231" s="874" t="s">
        <v>6386</v>
      </c>
      <c r="D231" s="864" t="s">
        <v>5204</v>
      </c>
      <c r="E231" s="874" t="s">
        <v>6387</v>
      </c>
    </row>
    <row r="232" spans="3:5" ht="25.5" thickBot="1" x14ac:dyDescent="0.4">
      <c r="C232" s="874" t="s">
        <v>6388</v>
      </c>
      <c r="D232" s="864" t="s">
        <v>6382</v>
      </c>
      <c r="E232" s="874" t="s">
        <v>2954</v>
      </c>
    </row>
    <row r="233" spans="3:5" ht="25.5" thickBot="1" x14ac:dyDescent="0.4">
      <c r="C233" s="874" t="s">
        <v>6389</v>
      </c>
      <c r="D233" s="864" t="s">
        <v>6382</v>
      </c>
      <c r="E233" s="874" t="s">
        <v>2965</v>
      </c>
    </row>
    <row r="234" spans="3:5" ht="25.5" thickBot="1" x14ac:dyDescent="0.4">
      <c r="C234" s="874" t="s">
        <v>6390</v>
      </c>
      <c r="D234" s="864" t="s">
        <v>6382</v>
      </c>
      <c r="E234" s="874" t="s">
        <v>6391</v>
      </c>
    </row>
    <row r="235" spans="3:5" ht="25.5" thickBot="1" x14ac:dyDescent="0.4">
      <c r="C235" s="874" t="s">
        <v>6392</v>
      </c>
      <c r="D235" s="864" t="s">
        <v>6382</v>
      </c>
      <c r="E235" s="874" t="s">
        <v>6393</v>
      </c>
    </row>
    <row r="236" spans="3:5" ht="25.5" thickBot="1" x14ac:dyDescent="0.4">
      <c r="C236" s="874" t="s">
        <v>6395</v>
      </c>
      <c r="D236" s="864" t="s">
        <v>6394</v>
      </c>
      <c r="E236" s="874" t="s">
        <v>3000</v>
      </c>
    </row>
    <row r="237" spans="3:5" ht="25.5" thickBot="1" x14ac:dyDescent="0.4">
      <c r="C237" s="874" t="s">
        <v>6395</v>
      </c>
      <c r="D237" s="864" t="s">
        <v>6394</v>
      </c>
      <c r="E237" s="874" t="s">
        <v>2992</v>
      </c>
    </row>
    <row r="238" spans="3:5" ht="15" thickBot="1" x14ac:dyDescent="0.4">
      <c r="C238" s="874" t="s">
        <v>6396</v>
      </c>
      <c r="D238" s="864" t="s">
        <v>6382</v>
      </c>
      <c r="E238" s="874" t="s">
        <v>6397</v>
      </c>
    </row>
  </sheetData>
  <autoFilter ref="B29:H202" xr:uid="{4BF56CE5-B344-4493-ABC0-F08245D6BD85}"/>
  <conditionalFormatting sqref="B29:B216 C217">
    <cfRule type="duplicateValues" dxfId="184" priority="4"/>
  </conditionalFormatting>
  <conditionalFormatting sqref="E1:E216 E239:E1048576">
    <cfRule type="duplicateValues" dxfId="183" priority="3"/>
  </conditionalFormatting>
  <conditionalFormatting sqref="E34:E42">
    <cfRule type="duplicateValues" dxfId="182" priority="5"/>
  </conditionalFormatting>
  <conditionalFormatting sqref="E1:E1048576">
    <cfRule type="duplicateValues" dxfId="181" priority="2"/>
  </conditionalFormatting>
  <conditionalFormatting sqref="C215">
    <cfRule type="duplicateValues" dxfId="3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00A8A-C2CD-40C1-A73D-4F0E6066E996}">
  <sheetPr>
    <tabColor rgb="FFFFFF00"/>
  </sheetPr>
  <dimension ref="A1:D13"/>
  <sheetViews>
    <sheetView workbookViewId="0">
      <pane ySplit="1" topLeftCell="A2" activePane="bottomLeft" state="frozen"/>
      <selection pane="bottomLeft" activeCell="A57" sqref="A57"/>
    </sheetView>
  </sheetViews>
  <sheetFormatPr defaultRowHeight="14.5" x14ac:dyDescent="0.35"/>
  <cols>
    <col min="1" max="1" width="35" bestFit="1" customWidth="1"/>
    <col min="2" max="2" width="19.1796875" bestFit="1" customWidth="1"/>
    <col min="3" max="3" width="25.81640625" bestFit="1" customWidth="1"/>
  </cols>
  <sheetData>
    <row r="1" spans="1:4" x14ac:dyDescent="0.35">
      <c r="A1" s="314" t="s">
        <v>739</v>
      </c>
      <c r="B1" s="314" t="s">
        <v>3537</v>
      </c>
      <c r="C1" s="314" t="s">
        <v>3538</v>
      </c>
      <c r="D1" s="314" t="s">
        <v>3478</v>
      </c>
    </row>
    <row r="2" spans="1:4" x14ac:dyDescent="0.35">
      <c r="A2" s="315" t="s">
        <v>3539</v>
      </c>
      <c r="B2" s="315" t="s">
        <v>3540</v>
      </c>
      <c r="C2" s="315" t="s">
        <v>3541</v>
      </c>
      <c r="D2" s="315" t="s">
        <v>3479</v>
      </c>
    </row>
    <row r="3" spans="1:4" x14ac:dyDescent="0.35">
      <c r="A3" s="315" t="s">
        <v>3542</v>
      </c>
      <c r="B3" s="315" t="s">
        <v>3540</v>
      </c>
      <c r="C3" s="315" t="s">
        <v>3543</v>
      </c>
      <c r="D3" s="315" t="s">
        <v>3479</v>
      </c>
    </row>
    <row r="4" spans="1:4" x14ac:dyDescent="0.35">
      <c r="A4" s="315" t="s">
        <v>3544</v>
      </c>
      <c r="B4" s="315" t="s">
        <v>3545</v>
      </c>
      <c r="C4" s="315" t="s">
        <v>3546</v>
      </c>
      <c r="D4" s="315" t="s">
        <v>3479</v>
      </c>
    </row>
    <row r="5" spans="1:4" x14ac:dyDescent="0.35">
      <c r="A5" s="315" t="s">
        <v>3547</v>
      </c>
      <c r="B5" s="315" t="s">
        <v>3545</v>
      </c>
      <c r="C5" s="315" t="s">
        <v>3548</v>
      </c>
      <c r="D5" s="315" t="s">
        <v>3479</v>
      </c>
    </row>
    <row r="6" spans="1:4" x14ac:dyDescent="0.35">
      <c r="A6" s="315" t="s">
        <v>3549</v>
      </c>
      <c r="B6" s="315" t="s">
        <v>3545</v>
      </c>
      <c r="C6" s="315" t="s">
        <v>3550</v>
      </c>
      <c r="D6" s="315" t="s">
        <v>3479</v>
      </c>
    </row>
    <row r="7" spans="1:4" x14ac:dyDescent="0.35">
      <c r="A7" s="315" t="s">
        <v>3551</v>
      </c>
      <c r="B7" s="315" t="s">
        <v>3540</v>
      </c>
      <c r="C7" s="315" t="s">
        <v>3552</v>
      </c>
      <c r="D7" s="315" t="s">
        <v>3479</v>
      </c>
    </row>
    <row r="8" spans="1:4" x14ac:dyDescent="0.35">
      <c r="A8" s="315" t="s">
        <v>3553</v>
      </c>
      <c r="B8" s="315" t="s">
        <v>3540</v>
      </c>
      <c r="C8" s="322" t="s">
        <v>3560</v>
      </c>
      <c r="D8" t="s">
        <v>3479</v>
      </c>
    </row>
    <row r="9" spans="1:4" x14ac:dyDescent="0.35">
      <c r="A9" s="315" t="s">
        <v>3554</v>
      </c>
      <c r="B9" s="315" t="s">
        <v>3540</v>
      </c>
      <c r="C9" s="315" t="s">
        <v>3555</v>
      </c>
      <c r="D9" s="315" t="s">
        <v>3479</v>
      </c>
    </row>
    <row r="10" spans="1:4" x14ac:dyDescent="0.35">
      <c r="A10" s="315" t="s">
        <v>3556</v>
      </c>
      <c r="B10" s="315" t="s">
        <v>3557</v>
      </c>
      <c r="C10" s="315" t="s">
        <v>3558</v>
      </c>
      <c r="D10" s="315" t="s">
        <v>3479</v>
      </c>
    </row>
    <row r="11" spans="1:4" x14ac:dyDescent="0.35">
      <c r="A11" s="316" t="s">
        <v>3559</v>
      </c>
      <c r="B11" s="316" t="s">
        <v>3545</v>
      </c>
      <c r="C11" s="315" t="s">
        <v>6450</v>
      </c>
      <c r="D11" s="20"/>
    </row>
    <row r="12" spans="1:4" x14ac:dyDescent="0.35">
      <c r="A12" s="315" t="s">
        <v>3561</v>
      </c>
      <c r="B12" s="315" t="s">
        <v>3562</v>
      </c>
      <c r="C12" s="315" t="s">
        <v>3563</v>
      </c>
      <c r="D12" s="315" t="s">
        <v>3479</v>
      </c>
    </row>
    <row r="13" spans="1:4" x14ac:dyDescent="0.35">
      <c r="A13" s="315" t="s">
        <v>3564</v>
      </c>
      <c r="B13" s="315" t="s">
        <v>3565</v>
      </c>
      <c r="C13" s="315" t="s">
        <v>3566</v>
      </c>
      <c r="D13" s="315" t="s">
        <v>3479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B8700-FC57-4E6B-BE3C-1679CE57BC2C}">
  <sheetPr>
    <tabColor rgb="FFFFFF00"/>
  </sheetPr>
  <dimension ref="A1:G26"/>
  <sheetViews>
    <sheetView workbookViewId="0">
      <pane ySplit="1" topLeftCell="A2" activePane="bottomLeft" state="frozen"/>
      <selection pane="bottomLeft" activeCell="C25" sqref="C25"/>
    </sheetView>
  </sheetViews>
  <sheetFormatPr defaultRowHeight="14.5" x14ac:dyDescent="0.35"/>
  <cols>
    <col min="1" max="1" width="29.1796875" bestFit="1" customWidth="1"/>
    <col min="2" max="2" width="27.81640625" bestFit="1" customWidth="1"/>
    <col min="3" max="3" width="13.453125" bestFit="1" customWidth="1"/>
    <col min="4" max="4" width="29.1796875" bestFit="1" customWidth="1"/>
    <col min="5" max="5" width="18.7265625" bestFit="1" customWidth="1"/>
    <col min="6" max="6" width="30.81640625" bestFit="1" customWidth="1"/>
  </cols>
  <sheetData>
    <row r="1" spans="1:7" x14ac:dyDescent="0.35">
      <c r="A1" s="314" t="s">
        <v>3048</v>
      </c>
      <c r="B1" s="314" t="s">
        <v>735</v>
      </c>
      <c r="C1" s="314" t="s">
        <v>3489</v>
      </c>
      <c r="D1" s="314" t="s">
        <v>3490</v>
      </c>
      <c r="E1" s="314" t="s">
        <v>738</v>
      </c>
      <c r="F1" s="314" t="s">
        <v>739</v>
      </c>
      <c r="G1" s="314" t="s">
        <v>3478</v>
      </c>
    </row>
    <row r="2" spans="1:7" x14ac:dyDescent="0.35">
      <c r="A2" s="315" t="s">
        <v>3491</v>
      </c>
      <c r="B2" s="315" t="s">
        <v>1977</v>
      </c>
      <c r="C2" s="315" t="s">
        <v>3492</v>
      </c>
      <c r="D2" s="315" t="s">
        <v>3491</v>
      </c>
      <c r="E2" s="315" t="s">
        <v>3493</v>
      </c>
      <c r="F2" s="315" t="s">
        <v>3494</v>
      </c>
      <c r="G2" s="315" t="s">
        <v>3479</v>
      </c>
    </row>
    <row r="3" spans="1:7" x14ac:dyDescent="0.35">
      <c r="A3" s="315" t="s">
        <v>3495</v>
      </c>
      <c r="B3" s="315" t="s">
        <v>1977</v>
      </c>
      <c r="C3" s="315" t="s">
        <v>3492</v>
      </c>
      <c r="D3" s="315" t="s">
        <v>3495</v>
      </c>
      <c r="E3" s="315" t="s">
        <v>3496</v>
      </c>
      <c r="F3" s="315" t="s">
        <v>3497</v>
      </c>
      <c r="G3" s="315" t="s">
        <v>3479</v>
      </c>
    </row>
    <row r="4" spans="1:7" x14ac:dyDescent="0.35">
      <c r="A4" s="315" t="s">
        <v>3498</v>
      </c>
      <c r="B4" s="315" t="s">
        <v>1977</v>
      </c>
      <c r="C4" s="315" t="s">
        <v>3492</v>
      </c>
      <c r="D4" s="315" t="s">
        <v>3498</v>
      </c>
      <c r="E4" s="315" t="s">
        <v>3499</v>
      </c>
      <c r="F4" s="315" t="s">
        <v>3500</v>
      </c>
      <c r="G4" s="315" t="s">
        <v>3479</v>
      </c>
    </row>
    <row r="5" spans="1:7" x14ac:dyDescent="0.35">
      <c r="A5" s="315" t="s">
        <v>3501</v>
      </c>
      <c r="B5" s="315" t="s">
        <v>1977</v>
      </c>
      <c r="C5" s="315" t="s">
        <v>3492</v>
      </c>
      <c r="D5" s="315" t="s">
        <v>3501</v>
      </c>
      <c r="E5" s="315" t="s">
        <v>3502</v>
      </c>
      <c r="F5" s="315" t="s">
        <v>3503</v>
      </c>
      <c r="G5" s="315" t="s">
        <v>3479</v>
      </c>
    </row>
    <row r="6" spans="1:7" x14ac:dyDescent="0.35">
      <c r="A6" s="315" t="s">
        <v>3495</v>
      </c>
      <c r="B6" s="315" t="s">
        <v>1977</v>
      </c>
      <c r="C6" s="315" t="s">
        <v>3492</v>
      </c>
      <c r="D6" s="315" t="s">
        <v>3495</v>
      </c>
      <c r="E6" s="315" t="s">
        <v>3504</v>
      </c>
      <c r="F6" s="315" t="s">
        <v>3505</v>
      </c>
      <c r="G6" s="315" t="s">
        <v>3479</v>
      </c>
    </row>
    <row r="7" spans="1:7" x14ac:dyDescent="0.35">
      <c r="A7" s="315" t="s">
        <v>3506</v>
      </c>
      <c r="B7" s="315" t="s">
        <v>1977</v>
      </c>
      <c r="C7" s="315" t="s">
        <v>3492</v>
      </c>
      <c r="D7" s="315" t="s">
        <v>3506</v>
      </c>
      <c r="E7" s="315" t="s">
        <v>3507</v>
      </c>
      <c r="F7" s="315" t="s">
        <v>3508</v>
      </c>
      <c r="G7" s="315" t="s">
        <v>3479</v>
      </c>
    </row>
    <row r="8" spans="1:7" x14ac:dyDescent="0.35">
      <c r="A8" s="315" t="s">
        <v>3495</v>
      </c>
      <c r="B8" s="315" t="s">
        <v>1977</v>
      </c>
      <c r="C8" s="315" t="s">
        <v>3492</v>
      </c>
      <c r="D8" s="315" t="s">
        <v>3495</v>
      </c>
      <c r="E8" s="315" t="s">
        <v>3509</v>
      </c>
      <c r="F8" s="315" t="s">
        <v>3510</v>
      </c>
      <c r="G8" s="315" t="s">
        <v>3479</v>
      </c>
    </row>
    <row r="9" spans="1:7" x14ac:dyDescent="0.35">
      <c r="A9" s="315" t="s">
        <v>3495</v>
      </c>
      <c r="B9" s="315" t="s">
        <v>1977</v>
      </c>
      <c r="C9" s="315" t="s">
        <v>3492</v>
      </c>
      <c r="D9" s="315" t="s">
        <v>3495</v>
      </c>
      <c r="E9" s="315" t="s">
        <v>3511</v>
      </c>
      <c r="F9" s="315" t="s">
        <v>3512</v>
      </c>
      <c r="G9" s="315" t="s">
        <v>3479</v>
      </c>
    </row>
    <row r="10" spans="1:7" x14ac:dyDescent="0.35">
      <c r="A10" s="315"/>
      <c r="B10" s="765"/>
      <c r="C10" s="765"/>
      <c r="D10" s="315"/>
      <c r="E10" s="315"/>
      <c r="F10" s="315"/>
    </row>
    <row r="11" spans="1:7" x14ac:dyDescent="0.35">
      <c r="A11" s="315"/>
      <c r="B11" s="765"/>
      <c r="C11" s="765"/>
      <c r="D11" s="315"/>
      <c r="E11" s="315"/>
      <c r="F11" s="315"/>
    </row>
    <row r="12" spans="1:7" x14ac:dyDescent="0.35">
      <c r="A12" s="314" t="s">
        <v>3475</v>
      </c>
      <c r="B12" s="765"/>
      <c r="C12" s="765"/>
      <c r="D12" s="315"/>
      <c r="E12" s="315"/>
      <c r="F12" s="315"/>
    </row>
    <row r="13" spans="1:7" x14ac:dyDescent="0.35">
      <c r="A13" s="315" t="s">
        <v>3513</v>
      </c>
      <c r="B13" s="315" t="s">
        <v>1977</v>
      </c>
      <c r="C13" s="315" t="s">
        <v>3492</v>
      </c>
      <c r="D13" s="315" t="s">
        <v>3513</v>
      </c>
      <c r="E13" s="315" t="s">
        <v>3514</v>
      </c>
      <c r="F13" s="315" t="s">
        <v>3515</v>
      </c>
      <c r="G13" s="315" t="s">
        <v>3479</v>
      </c>
    </row>
    <row r="14" spans="1:7" x14ac:dyDescent="0.35">
      <c r="A14" s="315" t="s">
        <v>3495</v>
      </c>
      <c r="B14" s="315" t="s">
        <v>1977</v>
      </c>
      <c r="C14" s="315" t="s">
        <v>3492</v>
      </c>
      <c r="D14" s="315" t="s">
        <v>3495</v>
      </c>
      <c r="E14" s="315" t="s">
        <v>3516</v>
      </c>
      <c r="F14" s="315" t="s">
        <v>3517</v>
      </c>
      <c r="G14" s="315" t="s">
        <v>3479</v>
      </c>
    </row>
    <row r="15" spans="1:7" x14ac:dyDescent="0.35">
      <c r="A15" s="315" t="s">
        <v>3513</v>
      </c>
      <c r="B15" s="315" t="s">
        <v>1977</v>
      </c>
      <c r="C15" s="315" t="s">
        <v>3492</v>
      </c>
      <c r="D15" s="315" t="s">
        <v>3513</v>
      </c>
      <c r="E15" s="315" t="s">
        <v>3518</v>
      </c>
      <c r="F15" s="315" t="s">
        <v>3519</v>
      </c>
      <c r="G15" s="315" t="s">
        <v>3479</v>
      </c>
    </row>
    <row r="16" spans="1:7" x14ac:dyDescent="0.35">
      <c r="A16" s="315" t="s">
        <v>3513</v>
      </c>
      <c r="B16" s="315" t="s">
        <v>1977</v>
      </c>
      <c r="C16" s="315" t="s">
        <v>3492</v>
      </c>
      <c r="D16" s="315" t="s">
        <v>3513</v>
      </c>
      <c r="E16" s="315" t="s">
        <v>3520</v>
      </c>
      <c r="F16" s="315" t="s">
        <v>3521</v>
      </c>
      <c r="G16" s="315" t="s">
        <v>3479</v>
      </c>
    </row>
    <row r="17" spans="1:7" x14ac:dyDescent="0.35">
      <c r="A17" s="315" t="s">
        <v>3513</v>
      </c>
      <c r="B17" s="315" t="s">
        <v>1977</v>
      </c>
      <c r="C17" s="315" t="s">
        <v>3492</v>
      </c>
      <c r="D17" s="315" t="s">
        <v>3513</v>
      </c>
      <c r="E17" s="315" t="s">
        <v>3522</v>
      </c>
      <c r="F17" s="315" t="s">
        <v>3523</v>
      </c>
      <c r="G17" s="315" t="s">
        <v>3479</v>
      </c>
    </row>
    <row r="18" spans="1:7" x14ac:dyDescent="0.35">
      <c r="A18" s="315" t="s">
        <v>3498</v>
      </c>
      <c r="B18" s="315" t="s">
        <v>1977</v>
      </c>
      <c r="C18" s="315" t="s">
        <v>3492</v>
      </c>
      <c r="D18" s="315" t="s">
        <v>3498</v>
      </c>
      <c r="E18" s="315" t="s">
        <v>3524</v>
      </c>
      <c r="F18" s="315" t="s">
        <v>3525</v>
      </c>
      <c r="G18" s="315" t="s">
        <v>3479</v>
      </c>
    </row>
    <row r="19" spans="1:7" x14ac:dyDescent="0.35">
      <c r="A19" s="315" t="s">
        <v>3498</v>
      </c>
      <c r="B19" s="315" t="s">
        <v>1977</v>
      </c>
      <c r="C19" s="315" t="s">
        <v>3492</v>
      </c>
      <c r="D19" s="315" t="s">
        <v>3498</v>
      </c>
      <c r="E19" s="315" t="s">
        <v>3526</v>
      </c>
      <c r="F19" s="315" t="s">
        <v>3527</v>
      </c>
      <c r="G19" s="315" t="s">
        <v>3479</v>
      </c>
    </row>
    <row r="22" spans="1:7" x14ac:dyDescent="0.35">
      <c r="A22" s="315" t="s">
        <v>1664</v>
      </c>
    </row>
    <row r="24" spans="1:7" x14ac:dyDescent="0.35">
      <c r="A24" s="6" t="s">
        <v>6398</v>
      </c>
      <c r="B24" s="6" t="s">
        <v>737</v>
      </c>
      <c r="C24" t="s">
        <v>1</v>
      </c>
      <c r="D24" t="s">
        <v>6399</v>
      </c>
    </row>
    <row r="25" spans="1:7" x14ac:dyDescent="0.35">
      <c r="A25" s="6">
        <v>1</v>
      </c>
      <c r="B25" t="s">
        <v>6400</v>
      </c>
      <c r="C25" t="s">
        <v>3520</v>
      </c>
      <c r="D25" t="s">
        <v>6401</v>
      </c>
    </row>
    <row r="26" spans="1:7" x14ac:dyDescent="0.35">
      <c r="A26" s="6">
        <v>2</v>
      </c>
      <c r="B26" t="s">
        <v>6400</v>
      </c>
      <c r="C26" t="s">
        <v>6402</v>
      </c>
      <c r="D26" t="s">
        <v>6403</v>
      </c>
    </row>
  </sheetData>
  <mergeCells count="3">
    <mergeCell ref="B10:C10"/>
    <mergeCell ref="B11:C11"/>
    <mergeCell ref="B12:C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70C89-4899-4618-AE1B-F7B10DA6D0E4}">
  <dimension ref="A2:F155"/>
  <sheetViews>
    <sheetView topLeftCell="A17" workbookViewId="0">
      <selection activeCell="C42" sqref="C42"/>
    </sheetView>
  </sheetViews>
  <sheetFormatPr defaultRowHeight="14.5" x14ac:dyDescent="0.35"/>
  <cols>
    <col min="1" max="1" width="23.1796875" style="6" customWidth="1"/>
    <col min="2" max="2" width="26.81640625" customWidth="1"/>
    <col min="3" max="3" width="55.26953125" bestFit="1" customWidth="1"/>
    <col min="4" max="4" width="35.453125" bestFit="1" customWidth="1"/>
    <col min="5" max="5" width="22.453125" bestFit="1" customWidth="1"/>
    <col min="6" max="6" width="21.7265625" bestFit="1" customWidth="1"/>
  </cols>
  <sheetData>
    <row r="2" spans="1:6" x14ac:dyDescent="0.35">
      <c r="A2" s="183" t="s">
        <v>3047</v>
      </c>
      <c r="B2" s="184" t="s">
        <v>3048</v>
      </c>
      <c r="C2" s="184" t="s">
        <v>3049</v>
      </c>
      <c r="D2" s="184" t="s">
        <v>3050</v>
      </c>
      <c r="E2" s="184" t="s">
        <v>3051</v>
      </c>
      <c r="F2" s="218" t="s">
        <v>3052</v>
      </c>
    </row>
    <row r="3" spans="1:6" ht="18.75" customHeight="1" x14ac:dyDescent="0.35">
      <c r="A3" s="6" t="s">
        <v>6412</v>
      </c>
      <c r="B3" s="8" t="s">
        <v>6414</v>
      </c>
      <c r="C3" s="8"/>
      <c r="D3" s="15" t="s">
        <v>6413</v>
      </c>
      <c r="E3" s="8" t="s">
        <v>3174</v>
      </c>
    </row>
    <row r="4" spans="1:6" ht="16" x14ac:dyDescent="0.4">
      <c r="A4" s="878">
        <v>531024784</v>
      </c>
      <c r="B4" s="884" t="s">
        <v>6285</v>
      </c>
      <c r="C4" s="159" t="s">
        <v>3102</v>
      </c>
      <c r="D4" s="159" t="s">
        <v>1026</v>
      </c>
      <c r="E4" s="885" t="s">
        <v>6408</v>
      </c>
    </row>
    <row r="5" spans="1:6" x14ac:dyDescent="0.35">
      <c r="A5" s="877">
        <v>531028780</v>
      </c>
      <c r="B5" s="879" t="s">
        <v>6409</v>
      </c>
      <c r="C5" s="15" t="s">
        <v>6410</v>
      </c>
      <c r="D5" s="15" t="s">
        <v>1026</v>
      </c>
      <c r="E5" s="882" t="s">
        <v>6408</v>
      </c>
    </row>
    <row r="6" spans="1:6" x14ac:dyDescent="0.35">
      <c r="A6" s="17">
        <v>531029422</v>
      </c>
      <c r="B6" s="880" t="s">
        <v>6207</v>
      </c>
      <c r="C6" s="15" t="s">
        <v>6406</v>
      </c>
      <c r="D6" s="15" t="s">
        <v>6407</v>
      </c>
      <c r="E6" s="16" t="s">
        <v>3067</v>
      </c>
    </row>
    <row r="7" spans="1:6" x14ac:dyDescent="0.35">
      <c r="A7" s="18">
        <v>531031941</v>
      </c>
      <c r="B7" s="8" t="s">
        <v>6213</v>
      </c>
      <c r="C7" s="414" t="s">
        <v>6405</v>
      </c>
      <c r="D7" t="s">
        <v>1026</v>
      </c>
      <c r="E7" s="881" t="s">
        <v>6404</v>
      </c>
    </row>
    <row r="8" spans="1:6" x14ac:dyDescent="0.35">
      <c r="A8" s="217" t="s">
        <v>3054</v>
      </c>
      <c r="B8" s="215" t="s">
        <v>729</v>
      </c>
      <c r="C8" s="113" t="s">
        <v>3055</v>
      </c>
      <c r="D8" s="113" t="s">
        <v>1026</v>
      </c>
      <c r="E8" s="23" t="s">
        <v>3056</v>
      </c>
      <c r="F8" s="216"/>
    </row>
    <row r="9" spans="1:6" x14ac:dyDescent="0.35">
      <c r="A9" s="211">
        <v>593847743</v>
      </c>
      <c r="B9" s="50" t="s">
        <v>1313</v>
      </c>
      <c r="C9" s="219" t="s">
        <v>3057</v>
      </c>
      <c r="D9" s="220" t="s">
        <v>1306</v>
      </c>
      <c r="E9" s="50" t="s">
        <v>3058</v>
      </c>
      <c r="F9" s="221">
        <v>2025</v>
      </c>
    </row>
    <row r="10" spans="1:6" x14ac:dyDescent="0.35">
      <c r="A10" s="212">
        <v>556592707</v>
      </c>
      <c r="B10" s="23" t="s">
        <v>1935</v>
      </c>
      <c r="C10" s="185" t="s">
        <v>3059</v>
      </c>
      <c r="D10" s="186" t="s">
        <v>1306</v>
      </c>
      <c r="E10" s="23" t="s">
        <v>3058</v>
      </c>
      <c r="F10" s="187">
        <v>2025</v>
      </c>
    </row>
    <row r="11" spans="1:6" x14ac:dyDescent="0.35">
      <c r="A11" s="213">
        <v>531015639</v>
      </c>
      <c r="B11" s="48" t="s">
        <v>1059</v>
      </c>
      <c r="C11" s="185" t="s">
        <v>3060</v>
      </c>
      <c r="D11" s="186" t="s">
        <v>2240</v>
      </c>
      <c r="E11" s="23" t="s">
        <v>3058</v>
      </c>
      <c r="F11" s="187">
        <v>2025</v>
      </c>
    </row>
    <row r="12" spans="1:6" x14ac:dyDescent="0.35">
      <c r="A12" s="6">
        <v>256062287</v>
      </c>
      <c r="B12" s="23" t="s">
        <v>3061</v>
      </c>
      <c r="C12" s="185" t="s">
        <v>3062</v>
      </c>
      <c r="D12" s="188" t="s">
        <v>1201</v>
      </c>
      <c r="E12" s="23" t="s">
        <v>3063</v>
      </c>
      <c r="F12" s="187">
        <v>2025</v>
      </c>
    </row>
    <row r="13" spans="1:6" x14ac:dyDescent="0.35">
      <c r="A13" s="189" t="s">
        <v>3064</v>
      </c>
      <c r="B13" s="190" t="s">
        <v>705</v>
      </c>
      <c r="C13" s="191" t="s">
        <v>3065</v>
      </c>
      <c r="D13" s="191" t="s">
        <v>3066</v>
      </c>
      <c r="E13" s="192" t="s">
        <v>3067</v>
      </c>
      <c r="F13" s="8">
        <v>2024</v>
      </c>
    </row>
    <row r="14" spans="1:6" x14ac:dyDescent="0.35">
      <c r="A14" s="189" t="s">
        <v>3068</v>
      </c>
      <c r="B14" s="193" t="s">
        <v>3069</v>
      </c>
      <c r="C14" s="191" t="s">
        <v>3070</v>
      </c>
      <c r="D14" s="191" t="s">
        <v>3071</v>
      </c>
      <c r="E14" s="193" t="s">
        <v>3072</v>
      </c>
      <c r="F14" s="8">
        <v>2024</v>
      </c>
    </row>
    <row r="15" spans="1:6" x14ac:dyDescent="0.35">
      <c r="A15" s="189" t="s">
        <v>3073</v>
      </c>
      <c r="B15" s="193" t="s">
        <v>3074</v>
      </c>
      <c r="C15" s="191" t="s">
        <v>3075</v>
      </c>
      <c r="D15" s="191" t="s">
        <v>3076</v>
      </c>
      <c r="E15" s="193" t="s">
        <v>3072</v>
      </c>
      <c r="F15" s="8">
        <v>2024</v>
      </c>
    </row>
    <row r="16" spans="1:6" x14ac:dyDescent="0.35">
      <c r="A16" s="189" t="s">
        <v>3077</v>
      </c>
      <c r="B16" s="193" t="s">
        <v>3078</v>
      </c>
      <c r="C16" s="191" t="s">
        <v>3079</v>
      </c>
      <c r="D16" s="191" t="s">
        <v>3080</v>
      </c>
      <c r="E16" s="194" t="s">
        <v>3058</v>
      </c>
      <c r="F16" s="8">
        <v>2024</v>
      </c>
    </row>
    <row r="17" spans="1:6" x14ac:dyDescent="0.35">
      <c r="A17" s="8" t="s">
        <v>3081</v>
      </c>
      <c r="B17" s="193" t="s">
        <v>3082</v>
      </c>
      <c r="C17" s="191" t="s">
        <v>3083</v>
      </c>
      <c r="D17" s="191" t="s">
        <v>3084</v>
      </c>
      <c r="E17" s="193" t="s">
        <v>3085</v>
      </c>
      <c r="F17" s="8">
        <v>2024</v>
      </c>
    </row>
    <row r="18" spans="1:6" x14ac:dyDescent="0.35">
      <c r="A18" s="189" t="s">
        <v>3086</v>
      </c>
      <c r="B18" s="193" t="s">
        <v>3087</v>
      </c>
      <c r="C18" s="191" t="s">
        <v>3088</v>
      </c>
      <c r="D18" s="191" t="s">
        <v>3089</v>
      </c>
      <c r="E18" s="194" t="s">
        <v>3058</v>
      </c>
      <c r="F18" s="8">
        <v>2024</v>
      </c>
    </row>
    <row r="19" spans="1:6" x14ac:dyDescent="0.35">
      <c r="A19" s="189">
        <v>531027671</v>
      </c>
      <c r="B19" s="191" t="s">
        <v>727</v>
      </c>
      <c r="C19" s="191" t="s">
        <v>3092</v>
      </c>
      <c r="D19" s="191" t="s">
        <v>744</v>
      </c>
      <c r="E19" s="191" t="s">
        <v>3093</v>
      </c>
      <c r="F19" s="8">
        <v>2024</v>
      </c>
    </row>
    <row r="20" spans="1:6" x14ac:dyDescent="0.35">
      <c r="A20" s="189" t="s">
        <v>3094</v>
      </c>
      <c r="B20" s="193" t="s">
        <v>3095</v>
      </c>
      <c r="C20" s="191" t="s">
        <v>3096</v>
      </c>
      <c r="D20" s="191" t="s">
        <v>3097</v>
      </c>
      <c r="E20" s="193" t="s">
        <v>3072</v>
      </c>
      <c r="F20" s="8">
        <v>2024</v>
      </c>
    </row>
    <row r="21" spans="1:6" x14ac:dyDescent="0.35">
      <c r="A21" s="189" t="s">
        <v>3098</v>
      </c>
      <c r="B21" s="193" t="s">
        <v>927</v>
      </c>
      <c r="C21" s="191" t="s">
        <v>3099</v>
      </c>
      <c r="D21" s="191" t="s">
        <v>3097</v>
      </c>
      <c r="E21" s="193" t="s">
        <v>3091</v>
      </c>
      <c r="F21" s="8">
        <v>2024</v>
      </c>
    </row>
    <row r="22" spans="1:6" x14ac:dyDescent="0.35">
      <c r="A22" s="189" t="s">
        <v>3100</v>
      </c>
      <c r="B22" s="193" t="s">
        <v>3101</v>
      </c>
      <c r="C22" s="191" t="s">
        <v>3102</v>
      </c>
      <c r="D22" s="191" t="s">
        <v>3103</v>
      </c>
      <c r="E22" s="194" t="s">
        <v>3058</v>
      </c>
      <c r="F22" s="8">
        <v>2024</v>
      </c>
    </row>
    <row r="23" spans="1:6" x14ac:dyDescent="0.35">
      <c r="A23" s="8" t="s">
        <v>3106</v>
      </c>
      <c r="B23" s="191" t="s">
        <v>3107</v>
      </c>
      <c r="C23" s="191" t="s">
        <v>3108</v>
      </c>
      <c r="D23" s="191" t="s">
        <v>3109</v>
      </c>
      <c r="E23" s="191" t="s">
        <v>3110</v>
      </c>
      <c r="F23" s="8">
        <v>2024</v>
      </c>
    </row>
    <row r="24" spans="1:6" x14ac:dyDescent="0.35">
      <c r="A24" s="8" t="s">
        <v>3111</v>
      </c>
      <c r="B24" s="193" t="s">
        <v>3112</v>
      </c>
      <c r="C24" s="191" t="s">
        <v>3113</v>
      </c>
      <c r="D24" s="191" t="s">
        <v>1201</v>
      </c>
      <c r="E24" s="193" t="s">
        <v>3058</v>
      </c>
      <c r="F24" s="8">
        <v>2023</v>
      </c>
    </row>
    <row r="25" spans="1:6" x14ac:dyDescent="0.35">
      <c r="A25" s="189" t="s">
        <v>3114</v>
      </c>
      <c r="B25" s="193" t="s">
        <v>3115</v>
      </c>
      <c r="C25" s="191" t="s">
        <v>3116</v>
      </c>
      <c r="D25" s="191" t="s">
        <v>3117</v>
      </c>
      <c r="E25" s="193" t="s">
        <v>3118</v>
      </c>
      <c r="F25" s="8">
        <v>2023</v>
      </c>
    </row>
    <row r="26" spans="1:6" x14ac:dyDescent="0.35">
      <c r="A26" s="189" t="s">
        <v>3119</v>
      </c>
      <c r="B26" s="193" t="s">
        <v>3120</v>
      </c>
      <c r="C26" s="191" t="s">
        <v>3121</v>
      </c>
      <c r="D26" s="191" t="s">
        <v>3117</v>
      </c>
      <c r="E26" s="193" t="s">
        <v>3122</v>
      </c>
      <c r="F26" s="8">
        <v>2023</v>
      </c>
    </row>
    <row r="27" spans="1:6" x14ac:dyDescent="0.35">
      <c r="A27" s="189" t="s">
        <v>3123</v>
      </c>
      <c r="B27" s="193" t="s">
        <v>3124</v>
      </c>
      <c r="C27" s="191" t="s">
        <v>3125</v>
      </c>
      <c r="D27" s="191" t="s">
        <v>3117</v>
      </c>
      <c r="E27" s="193" t="s">
        <v>3122</v>
      </c>
      <c r="F27" s="8">
        <v>2023</v>
      </c>
    </row>
    <row r="28" spans="1:6" x14ac:dyDescent="0.35">
      <c r="A28" s="189" t="s">
        <v>3126</v>
      </c>
      <c r="B28" s="193" t="s">
        <v>3127</v>
      </c>
      <c r="C28" s="193" t="s">
        <v>3128</v>
      </c>
      <c r="D28" s="191" t="s">
        <v>3128</v>
      </c>
      <c r="E28" s="194" t="s">
        <v>3058</v>
      </c>
      <c r="F28" s="8">
        <v>2023</v>
      </c>
    </row>
    <row r="29" spans="1:6" x14ac:dyDescent="0.35">
      <c r="A29" s="189" t="s">
        <v>3129</v>
      </c>
      <c r="B29" s="193" t="s">
        <v>3130</v>
      </c>
      <c r="C29" s="191" t="s">
        <v>3131</v>
      </c>
      <c r="D29" s="191" t="s">
        <v>773</v>
      </c>
      <c r="E29" s="193" t="s">
        <v>3132</v>
      </c>
      <c r="F29" s="8">
        <v>2023</v>
      </c>
    </row>
    <row r="30" spans="1:6" x14ac:dyDescent="0.35">
      <c r="A30" s="189" t="s">
        <v>3133</v>
      </c>
      <c r="B30" s="193" t="s">
        <v>3134</v>
      </c>
      <c r="C30" s="191" t="s">
        <v>3135</v>
      </c>
      <c r="D30" s="191" t="s">
        <v>3136</v>
      </c>
      <c r="E30" s="193" t="s">
        <v>3058</v>
      </c>
      <c r="F30" s="8">
        <v>2023</v>
      </c>
    </row>
    <row r="31" spans="1:6" x14ac:dyDescent="0.35">
      <c r="A31" s="189" t="s">
        <v>3137</v>
      </c>
      <c r="B31" s="193" t="s">
        <v>3138</v>
      </c>
      <c r="C31" s="191" t="s">
        <v>3139</v>
      </c>
      <c r="D31" s="191" t="s">
        <v>3097</v>
      </c>
      <c r="E31" s="193" t="s">
        <v>3140</v>
      </c>
      <c r="F31" s="8">
        <v>2023</v>
      </c>
    </row>
    <row r="32" spans="1:6" x14ac:dyDescent="0.35">
      <c r="A32" s="189" t="s">
        <v>3141</v>
      </c>
      <c r="B32" s="193" t="s">
        <v>3142</v>
      </c>
      <c r="C32" s="193" t="s">
        <v>3142</v>
      </c>
      <c r="D32" s="191" t="s">
        <v>3103</v>
      </c>
      <c r="E32" s="193" t="s">
        <v>3143</v>
      </c>
      <c r="F32" s="8">
        <v>2023</v>
      </c>
    </row>
    <row r="33" spans="1:6" x14ac:dyDescent="0.35">
      <c r="A33" s="189" t="s">
        <v>3144</v>
      </c>
      <c r="B33" s="193" t="s">
        <v>3145</v>
      </c>
      <c r="C33" s="191" t="s">
        <v>3146</v>
      </c>
      <c r="D33" s="191" t="s">
        <v>3103</v>
      </c>
      <c r="E33" s="194" t="s">
        <v>3058</v>
      </c>
      <c r="F33" s="8">
        <v>2023</v>
      </c>
    </row>
    <row r="34" spans="1:6" x14ac:dyDescent="0.35">
      <c r="A34" s="189" t="s">
        <v>3147</v>
      </c>
      <c r="B34" s="193" t="s">
        <v>3148</v>
      </c>
      <c r="C34" s="193" t="s">
        <v>3149</v>
      </c>
      <c r="D34" s="191" t="s">
        <v>3109</v>
      </c>
      <c r="E34" s="193" t="s">
        <v>3072</v>
      </c>
      <c r="F34" s="8">
        <v>2023</v>
      </c>
    </row>
    <row r="35" spans="1:6" x14ac:dyDescent="0.35">
      <c r="A35" s="189" t="s">
        <v>3150</v>
      </c>
      <c r="B35" s="193" t="s">
        <v>3151</v>
      </c>
      <c r="C35" s="191" t="s">
        <v>3152</v>
      </c>
      <c r="D35" s="191" t="s">
        <v>3153</v>
      </c>
      <c r="E35" s="193" t="s">
        <v>3072</v>
      </c>
      <c r="F35" s="8">
        <v>2023</v>
      </c>
    </row>
    <row r="36" spans="1:6" x14ac:dyDescent="0.35">
      <c r="A36" s="189" t="s">
        <v>3154</v>
      </c>
      <c r="B36" s="193" t="s">
        <v>1164</v>
      </c>
      <c r="C36" s="191" t="s">
        <v>3155</v>
      </c>
      <c r="D36" s="191" t="s">
        <v>3153</v>
      </c>
      <c r="E36" s="194" t="s">
        <v>3058</v>
      </c>
      <c r="F36" s="8">
        <v>2023</v>
      </c>
    </row>
    <row r="37" spans="1:6" x14ac:dyDescent="0.35">
      <c r="A37" s="189" t="s">
        <v>3156</v>
      </c>
      <c r="B37" s="193" t="s">
        <v>3157</v>
      </c>
      <c r="C37" s="191" t="s">
        <v>3158</v>
      </c>
      <c r="D37" s="191" t="s">
        <v>3066</v>
      </c>
      <c r="E37" s="193" t="s">
        <v>3159</v>
      </c>
      <c r="F37" s="8">
        <v>2022</v>
      </c>
    </row>
    <row r="38" spans="1:6" x14ac:dyDescent="0.35">
      <c r="A38" s="189" t="s">
        <v>3160</v>
      </c>
      <c r="B38" s="193" t="s">
        <v>3161</v>
      </c>
      <c r="C38" s="191" t="s">
        <v>3162</v>
      </c>
      <c r="D38" s="191" t="s">
        <v>3066</v>
      </c>
      <c r="E38" s="193" t="s">
        <v>3143</v>
      </c>
      <c r="F38" s="8">
        <v>2022</v>
      </c>
    </row>
    <row r="39" spans="1:6" x14ac:dyDescent="0.35">
      <c r="A39" s="8" t="s">
        <v>3163</v>
      </c>
      <c r="B39" s="193" t="s">
        <v>3164</v>
      </c>
      <c r="C39" s="191" t="s">
        <v>3165</v>
      </c>
      <c r="D39" s="191" t="s">
        <v>1201</v>
      </c>
      <c r="E39" s="193" t="s">
        <v>3166</v>
      </c>
      <c r="F39" s="8">
        <v>2022</v>
      </c>
    </row>
    <row r="40" spans="1:6" x14ac:dyDescent="0.35">
      <c r="A40" s="189" t="s">
        <v>3167</v>
      </c>
      <c r="B40" s="193" t="s">
        <v>3168</v>
      </c>
      <c r="C40" s="191" t="s">
        <v>3169</v>
      </c>
      <c r="D40" s="191" t="s">
        <v>1201</v>
      </c>
      <c r="E40" s="193" t="s">
        <v>3166</v>
      </c>
      <c r="F40" s="8">
        <v>2022</v>
      </c>
    </row>
    <row r="41" spans="1:6" x14ac:dyDescent="0.35">
      <c r="A41" s="8" t="s">
        <v>3170</v>
      </c>
      <c r="B41" s="193" t="s">
        <v>3171</v>
      </c>
      <c r="C41" s="191" t="s">
        <v>3172</v>
      </c>
      <c r="D41" s="191" t="s">
        <v>3173</v>
      </c>
      <c r="E41" s="193" t="s">
        <v>3174</v>
      </c>
      <c r="F41" s="8">
        <v>2022</v>
      </c>
    </row>
    <row r="42" spans="1:6" x14ac:dyDescent="0.35">
      <c r="A42" s="189" t="s">
        <v>3175</v>
      </c>
      <c r="B42" s="193" t="s">
        <v>670</v>
      </c>
      <c r="C42" s="191" t="s">
        <v>3176</v>
      </c>
      <c r="D42" s="191" t="s">
        <v>3177</v>
      </c>
      <c r="E42" s="191" t="s">
        <v>3174</v>
      </c>
      <c r="F42" s="8">
        <v>2022</v>
      </c>
    </row>
    <row r="43" spans="1:6" x14ac:dyDescent="0.35">
      <c r="A43" s="189" t="s">
        <v>3178</v>
      </c>
      <c r="B43" s="193" t="s">
        <v>3179</v>
      </c>
      <c r="C43" s="191" t="s">
        <v>3180</v>
      </c>
      <c r="D43" s="191" t="s">
        <v>3181</v>
      </c>
      <c r="E43" s="193" t="s">
        <v>3143</v>
      </c>
      <c r="F43" s="8">
        <v>2022</v>
      </c>
    </row>
    <row r="44" spans="1:6" x14ac:dyDescent="0.35">
      <c r="A44" s="189" t="s">
        <v>3182</v>
      </c>
      <c r="B44" s="193" t="s">
        <v>3183</v>
      </c>
      <c r="C44" s="191" t="s">
        <v>3057</v>
      </c>
      <c r="D44" s="191" t="s">
        <v>3184</v>
      </c>
      <c r="E44" s="193" t="s">
        <v>3174</v>
      </c>
      <c r="F44" s="8">
        <v>2022</v>
      </c>
    </row>
    <row r="45" spans="1:6" x14ac:dyDescent="0.35">
      <c r="A45" s="189" t="s">
        <v>3185</v>
      </c>
      <c r="B45" s="193" t="s">
        <v>3186</v>
      </c>
      <c r="C45" s="191" t="s">
        <v>3059</v>
      </c>
      <c r="D45" s="191" t="s">
        <v>3184</v>
      </c>
      <c r="E45" s="193" t="s">
        <v>3159</v>
      </c>
      <c r="F45" s="8">
        <v>2022</v>
      </c>
    </row>
    <row r="46" spans="1:6" x14ac:dyDescent="0.35">
      <c r="A46" s="8" t="s">
        <v>3187</v>
      </c>
      <c r="B46" s="193" t="s">
        <v>3188</v>
      </c>
      <c r="C46" s="191" t="s">
        <v>3189</v>
      </c>
      <c r="D46" s="191" t="s">
        <v>3184</v>
      </c>
      <c r="E46" s="193" t="s">
        <v>3159</v>
      </c>
      <c r="F46" s="8">
        <v>2022</v>
      </c>
    </row>
    <row r="47" spans="1:6" x14ac:dyDescent="0.35">
      <c r="A47" s="189" t="s">
        <v>3190</v>
      </c>
      <c r="B47" s="193" t="s">
        <v>3191</v>
      </c>
      <c r="C47" s="191" t="s">
        <v>3192</v>
      </c>
      <c r="D47" s="191" t="s">
        <v>3184</v>
      </c>
      <c r="E47" s="193" t="s">
        <v>3143</v>
      </c>
      <c r="F47" s="8">
        <v>2022</v>
      </c>
    </row>
    <row r="48" spans="1:6" x14ac:dyDescent="0.35">
      <c r="A48" s="189" t="s">
        <v>3193</v>
      </c>
      <c r="B48" s="193" t="s">
        <v>3194</v>
      </c>
      <c r="C48" s="193" t="s">
        <v>3195</v>
      </c>
      <c r="D48" s="191" t="s">
        <v>3184</v>
      </c>
      <c r="E48" s="193" t="s">
        <v>3166</v>
      </c>
      <c r="F48" s="8">
        <v>2022</v>
      </c>
    </row>
    <row r="49" spans="1:6" x14ac:dyDescent="0.35">
      <c r="A49" s="8" t="s">
        <v>3196</v>
      </c>
      <c r="B49" s="193" t="s">
        <v>3197</v>
      </c>
      <c r="C49" s="191" t="s">
        <v>3057</v>
      </c>
      <c r="D49" s="191" t="s">
        <v>3184</v>
      </c>
      <c r="E49" s="193" t="s">
        <v>3143</v>
      </c>
      <c r="F49" s="8">
        <v>2022</v>
      </c>
    </row>
    <row r="50" spans="1:6" x14ac:dyDescent="0.35">
      <c r="A50" s="189" t="s">
        <v>3198</v>
      </c>
      <c r="B50" s="193" t="s">
        <v>3199</v>
      </c>
      <c r="C50" s="193" t="s">
        <v>3128</v>
      </c>
      <c r="D50" s="191" t="s">
        <v>3128</v>
      </c>
      <c r="E50" s="194" t="s">
        <v>3166</v>
      </c>
      <c r="F50" s="8">
        <v>2022</v>
      </c>
    </row>
    <row r="51" spans="1:6" x14ac:dyDescent="0.35">
      <c r="A51" s="189" t="s">
        <v>3200</v>
      </c>
      <c r="B51" s="193" t="s">
        <v>1334</v>
      </c>
      <c r="C51" s="191" t="s">
        <v>3201</v>
      </c>
      <c r="D51" s="191" t="s">
        <v>3084</v>
      </c>
      <c r="E51" s="193" t="s">
        <v>3202</v>
      </c>
      <c r="F51" s="8">
        <v>2022</v>
      </c>
    </row>
    <row r="52" spans="1:6" x14ac:dyDescent="0.35">
      <c r="A52" s="8" t="s">
        <v>3203</v>
      </c>
      <c r="B52" s="193" t="s">
        <v>3204</v>
      </c>
      <c r="C52" s="191" t="s">
        <v>3201</v>
      </c>
      <c r="D52" s="191" t="s">
        <v>3084</v>
      </c>
      <c r="E52" s="194" t="s">
        <v>3143</v>
      </c>
      <c r="F52" s="8">
        <v>2022</v>
      </c>
    </row>
    <row r="53" spans="1:6" x14ac:dyDescent="0.35">
      <c r="A53" s="189" t="s">
        <v>3205</v>
      </c>
      <c r="B53" s="193" t="s">
        <v>3206</v>
      </c>
      <c r="C53" s="191" t="s">
        <v>3207</v>
      </c>
      <c r="D53" s="191" t="s">
        <v>3089</v>
      </c>
      <c r="E53" s="193" t="s">
        <v>3159</v>
      </c>
      <c r="F53" s="8">
        <v>2022</v>
      </c>
    </row>
    <row r="54" spans="1:6" x14ac:dyDescent="0.35">
      <c r="A54" s="189" t="s">
        <v>3208</v>
      </c>
      <c r="B54" s="193" t="s">
        <v>3209</v>
      </c>
      <c r="C54" s="191" t="s">
        <v>3210</v>
      </c>
      <c r="D54" s="191" t="s">
        <v>3090</v>
      </c>
      <c r="E54" s="193" t="s">
        <v>3143</v>
      </c>
      <c r="F54" s="8">
        <v>2022</v>
      </c>
    </row>
    <row r="55" spans="1:6" x14ac:dyDescent="0.35">
      <c r="A55" s="189" t="s">
        <v>3211</v>
      </c>
      <c r="B55" s="193" t="s">
        <v>3212</v>
      </c>
      <c r="C55" s="191" t="s">
        <v>3213</v>
      </c>
      <c r="D55" s="191" t="s">
        <v>3090</v>
      </c>
      <c r="E55" s="193" t="s">
        <v>3143</v>
      </c>
      <c r="F55" s="8">
        <v>2022</v>
      </c>
    </row>
    <row r="56" spans="1:6" x14ac:dyDescent="0.35">
      <c r="A56" s="189" t="s">
        <v>3214</v>
      </c>
      <c r="B56" s="193" t="s">
        <v>3215</v>
      </c>
      <c r="C56" s="191" t="s">
        <v>3216</v>
      </c>
      <c r="D56" s="191" t="s">
        <v>3090</v>
      </c>
      <c r="E56" s="194" t="s">
        <v>3166</v>
      </c>
      <c r="F56" s="8">
        <v>2022</v>
      </c>
    </row>
    <row r="57" spans="1:6" x14ac:dyDescent="0.35">
      <c r="A57" s="189" t="s">
        <v>3217</v>
      </c>
      <c r="B57" s="193" t="s">
        <v>3218</v>
      </c>
      <c r="C57" s="191" t="s">
        <v>3219</v>
      </c>
      <c r="D57" s="191" t="s">
        <v>3090</v>
      </c>
      <c r="E57" s="194" t="s">
        <v>3166</v>
      </c>
      <c r="F57" s="8">
        <v>2022</v>
      </c>
    </row>
    <row r="58" spans="1:6" x14ac:dyDescent="0.35">
      <c r="A58" s="189" t="s">
        <v>3220</v>
      </c>
      <c r="B58" s="193" t="s">
        <v>3221</v>
      </c>
      <c r="C58" s="191" t="s">
        <v>3222</v>
      </c>
      <c r="D58" s="191" t="s">
        <v>3090</v>
      </c>
      <c r="E58" s="194" t="s">
        <v>3143</v>
      </c>
      <c r="F58" s="8">
        <v>2022</v>
      </c>
    </row>
    <row r="59" spans="1:6" x14ac:dyDescent="0.35">
      <c r="A59" s="189" t="s">
        <v>3223</v>
      </c>
      <c r="B59" s="193" t="s">
        <v>190</v>
      </c>
      <c r="C59" s="191" t="s">
        <v>3224</v>
      </c>
      <c r="D59" s="191" t="s">
        <v>3090</v>
      </c>
      <c r="E59" s="193" t="s">
        <v>3159</v>
      </c>
      <c r="F59" s="8">
        <v>2022</v>
      </c>
    </row>
    <row r="60" spans="1:6" x14ac:dyDescent="0.35">
      <c r="A60" s="189" t="s">
        <v>3225</v>
      </c>
      <c r="B60" s="193" t="s">
        <v>3226</v>
      </c>
      <c r="C60" s="191" t="s">
        <v>3227</v>
      </c>
      <c r="D60" s="191" t="s">
        <v>773</v>
      </c>
      <c r="E60" s="193" t="s">
        <v>3143</v>
      </c>
      <c r="F60" s="8">
        <v>2022</v>
      </c>
    </row>
    <row r="61" spans="1:6" x14ac:dyDescent="0.35">
      <c r="A61" s="189" t="s">
        <v>3228</v>
      </c>
      <c r="B61" s="193" t="s">
        <v>3229</v>
      </c>
      <c r="C61" s="191" t="s">
        <v>3230</v>
      </c>
      <c r="D61" s="191" t="s">
        <v>3136</v>
      </c>
      <c r="E61" s="193" t="s">
        <v>3174</v>
      </c>
      <c r="F61" s="8">
        <v>2022</v>
      </c>
    </row>
    <row r="62" spans="1:6" x14ac:dyDescent="0.35">
      <c r="A62" s="8" t="s">
        <v>3231</v>
      </c>
      <c r="B62" s="193" t="s">
        <v>3232</v>
      </c>
      <c r="C62" s="102" t="s">
        <v>3135</v>
      </c>
      <c r="D62" s="191" t="s">
        <v>3136</v>
      </c>
      <c r="E62" s="193" t="s">
        <v>3143</v>
      </c>
      <c r="F62" s="8">
        <v>2022</v>
      </c>
    </row>
    <row r="63" spans="1:6" x14ac:dyDescent="0.35">
      <c r="A63" s="189" t="s">
        <v>3233</v>
      </c>
      <c r="B63" s="193" t="s">
        <v>3234</v>
      </c>
      <c r="C63" s="191" t="s">
        <v>3235</v>
      </c>
      <c r="D63" s="191" t="s">
        <v>3136</v>
      </c>
      <c r="E63" s="194" t="s">
        <v>3166</v>
      </c>
      <c r="F63" s="8">
        <v>2022</v>
      </c>
    </row>
    <row r="64" spans="1:6" x14ac:dyDescent="0.35">
      <c r="A64" s="189" t="s">
        <v>3236</v>
      </c>
      <c r="B64" s="193" t="s">
        <v>3237</v>
      </c>
      <c r="C64" s="191" t="s">
        <v>3235</v>
      </c>
      <c r="D64" s="191" t="s">
        <v>3136</v>
      </c>
      <c r="E64" s="194" t="s">
        <v>3166</v>
      </c>
      <c r="F64" s="8">
        <v>2022</v>
      </c>
    </row>
    <row r="65" spans="1:6" x14ac:dyDescent="0.35">
      <c r="A65" s="189" t="s">
        <v>3238</v>
      </c>
      <c r="B65" s="193" t="s">
        <v>3239</v>
      </c>
      <c r="C65" s="191" t="s">
        <v>3240</v>
      </c>
      <c r="D65" s="191" t="s">
        <v>3136</v>
      </c>
      <c r="E65" s="193" t="s">
        <v>3174</v>
      </c>
      <c r="F65" s="8">
        <v>2022</v>
      </c>
    </row>
    <row r="66" spans="1:6" x14ac:dyDescent="0.35">
      <c r="A66" s="8" t="s">
        <v>3241</v>
      </c>
      <c r="B66" s="193" t="s">
        <v>3242</v>
      </c>
      <c r="C66" s="191" t="s">
        <v>3243</v>
      </c>
      <c r="D66" s="191" t="s">
        <v>3097</v>
      </c>
      <c r="E66" s="193" t="s">
        <v>3174</v>
      </c>
      <c r="F66" s="8">
        <v>2022</v>
      </c>
    </row>
    <row r="67" spans="1:6" x14ac:dyDescent="0.35">
      <c r="A67" s="8" t="s">
        <v>3244</v>
      </c>
      <c r="B67" s="193" t="s">
        <v>3245</v>
      </c>
      <c r="C67" s="191" t="s">
        <v>3246</v>
      </c>
      <c r="D67" s="191" t="s">
        <v>3097</v>
      </c>
      <c r="E67" s="193" t="s">
        <v>3247</v>
      </c>
      <c r="F67" s="8">
        <v>2022</v>
      </c>
    </row>
    <row r="68" spans="1:6" x14ac:dyDescent="0.35">
      <c r="A68" s="8" t="s">
        <v>3248</v>
      </c>
      <c r="B68" s="193" t="s">
        <v>434</v>
      </c>
      <c r="C68" s="191" t="s">
        <v>3249</v>
      </c>
      <c r="D68" s="191" t="s">
        <v>3097</v>
      </c>
      <c r="E68" s="193" t="s">
        <v>3174</v>
      </c>
      <c r="F68" s="8">
        <v>2022</v>
      </c>
    </row>
    <row r="69" spans="1:6" x14ac:dyDescent="0.35">
      <c r="A69" s="189" t="s">
        <v>3250</v>
      </c>
      <c r="B69" s="193" t="s">
        <v>3251</v>
      </c>
      <c r="C69" s="191" t="s">
        <v>3252</v>
      </c>
      <c r="D69" s="191" t="s">
        <v>1026</v>
      </c>
      <c r="E69" s="193" t="s">
        <v>3143</v>
      </c>
      <c r="F69" s="8">
        <v>2022</v>
      </c>
    </row>
    <row r="70" spans="1:6" x14ac:dyDescent="0.35">
      <c r="A70" s="189" t="s">
        <v>3253</v>
      </c>
      <c r="B70" s="193" t="s">
        <v>3254</v>
      </c>
      <c r="C70" s="191" t="s">
        <v>3255</v>
      </c>
      <c r="D70" s="191" t="s">
        <v>1026</v>
      </c>
      <c r="E70" s="193" t="s">
        <v>3174</v>
      </c>
      <c r="F70" s="8">
        <v>2022</v>
      </c>
    </row>
    <row r="71" spans="1:6" x14ac:dyDescent="0.35">
      <c r="A71" s="189" t="s">
        <v>3256</v>
      </c>
      <c r="B71" s="193" t="s">
        <v>3257</v>
      </c>
      <c r="C71" s="191" t="s">
        <v>3258</v>
      </c>
      <c r="D71" s="191" t="s">
        <v>1026</v>
      </c>
      <c r="E71" s="193" t="s">
        <v>3174</v>
      </c>
      <c r="F71" s="8">
        <v>2022</v>
      </c>
    </row>
    <row r="72" spans="1:6" x14ac:dyDescent="0.35">
      <c r="A72" s="189" t="s">
        <v>3259</v>
      </c>
      <c r="B72" s="193" t="s">
        <v>3260</v>
      </c>
      <c r="C72" s="191" t="s">
        <v>3261</v>
      </c>
      <c r="D72" s="191" t="s">
        <v>3262</v>
      </c>
      <c r="E72" s="193" t="s">
        <v>3143</v>
      </c>
      <c r="F72" s="8">
        <v>2022</v>
      </c>
    </row>
    <row r="73" spans="1:6" x14ac:dyDescent="0.35">
      <c r="A73" s="189" t="s">
        <v>3263</v>
      </c>
      <c r="B73" s="193" t="s">
        <v>3264</v>
      </c>
      <c r="C73" s="191" t="s">
        <v>3265</v>
      </c>
      <c r="D73" s="191" t="s">
        <v>3103</v>
      </c>
      <c r="E73" s="193" t="s">
        <v>3174</v>
      </c>
      <c r="F73" s="8">
        <v>2022</v>
      </c>
    </row>
    <row r="74" spans="1:6" x14ac:dyDescent="0.35">
      <c r="A74" s="189" t="s">
        <v>3266</v>
      </c>
      <c r="B74" s="193" t="s">
        <v>3267</v>
      </c>
      <c r="C74" s="191" t="s">
        <v>3268</v>
      </c>
      <c r="D74" s="191" t="s">
        <v>3103</v>
      </c>
      <c r="E74" s="193" t="s">
        <v>3247</v>
      </c>
      <c r="F74" s="8">
        <v>2022</v>
      </c>
    </row>
    <row r="75" spans="1:6" x14ac:dyDescent="0.35">
      <c r="A75" s="189" t="s">
        <v>3269</v>
      </c>
      <c r="B75" s="193" t="s">
        <v>3270</v>
      </c>
      <c r="C75" s="191" t="s">
        <v>3271</v>
      </c>
      <c r="D75" s="191" t="s">
        <v>3103</v>
      </c>
      <c r="E75" s="193" t="s">
        <v>3143</v>
      </c>
      <c r="F75" s="8">
        <v>2022</v>
      </c>
    </row>
    <row r="76" spans="1:6" x14ac:dyDescent="0.35">
      <c r="A76" s="189" t="s">
        <v>3272</v>
      </c>
      <c r="B76" s="193" t="s">
        <v>3273</v>
      </c>
      <c r="C76" s="193" t="s">
        <v>3274</v>
      </c>
      <c r="D76" s="191" t="s">
        <v>3103</v>
      </c>
      <c r="E76" s="194" t="s">
        <v>3166</v>
      </c>
      <c r="F76" s="8">
        <v>2022</v>
      </c>
    </row>
    <row r="77" spans="1:6" x14ac:dyDescent="0.35">
      <c r="A77" s="189" t="s">
        <v>3275</v>
      </c>
      <c r="B77" s="193" t="s">
        <v>3276</v>
      </c>
      <c r="C77" s="191" t="s">
        <v>3277</v>
      </c>
      <c r="D77" s="191" t="s">
        <v>3105</v>
      </c>
      <c r="E77" s="193" t="s">
        <v>3159</v>
      </c>
      <c r="F77" s="8">
        <v>2022</v>
      </c>
    </row>
    <row r="78" spans="1:6" x14ac:dyDescent="0.35">
      <c r="A78" s="189" t="s">
        <v>3278</v>
      </c>
      <c r="B78" s="193" t="s">
        <v>3279</v>
      </c>
      <c r="C78" s="191" t="s">
        <v>3280</v>
      </c>
      <c r="D78" s="191" t="s">
        <v>3281</v>
      </c>
      <c r="E78" s="193" t="s">
        <v>3143</v>
      </c>
      <c r="F78" s="8">
        <v>2022</v>
      </c>
    </row>
    <row r="79" spans="1:6" x14ac:dyDescent="0.35">
      <c r="A79" s="189" t="s">
        <v>3282</v>
      </c>
      <c r="B79" s="193" t="s">
        <v>3283</v>
      </c>
      <c r="C79" s="191" t="s">
        <v>3284</v>
      </c>
      <c r="D79" s="191" t="s">
        <v>3109</v>
      </c>
      <c r="E79" s="193" t="s">
        <v>3174</v>
      </c>
      <c r="F79" s="8">
        <v>2022</v>
      </c>
    </row>
    <row r="80" spans="1:6" x14ac:dyDescent="0.35">
      <c r="A80" s="189" t="s">
        <v>3285</v>
      </c>
      <c r="B80" s="193" t="s">
        <v>3286</v>
      </c>
      <c r="C80" s="191" t="s">
        <v>3287</v>
      </c>
      <c r="D80" s="191" t="s">
        <v>3109</v>
      </c>
      <c r="E80" s="193" t="s">
        <v>3143</v>
      </c>
      <c r="F80" s="8">
        <v>2022</v>
      </c>
    </row>
    <row r="81" spans="1:6" x14ac:dyDescent="0.35">
      <c r="A81" s="189" t="s">
        <v>3288</v>
      </c>
      <c r="B81" s="193" t="s">
        <v>3289</v>
      </c>
      <c r="C81" s="191" t="s">
        <v>3290</v>
      </c>
      <c r="D81" s="191" t="s">
        <v>3109</v>
      </c>
      <c r="E81" s="193" t="s">
        <v>3143</v>
      </c>
      <c r="F81" s="8">
        <v>2022</v>
      </c>
    </row>
    <row r="82" spans="1:6" x14ac:dyDescent="0.35">
      <c r="A82" s="189" t="s">
        <v>3291</v>
      </c>
      <c r="B82" s="193" t="s">
        <v>365</v>
      </c>
      <c r="C82" s="191" t="s">
        <v>3292</v>
      </c>
      <c r="D82" s="191" t="s">
        <v>3109</v>
      </c>
      <c r="E82" s="191" t="s">
        <v>3143</v>
      </c>
      <c r="F82" s="8">
        <v>2022</v>
      </c>
    </row>
    <row r="83" spans="1:6" x14ac:dyDescent="0.35">
      <c r="A83" s="189" t="s">
        <v>3293</v>
      </c>
      <c r="B83" s="193" t="s">
        <v>3294</v>
      </c>
      <c r="C83" s="191" t="s">
        <v>3295</v>
      </c>
      <c r="D83" s="191" t="s">
        <v>3109</v>
      </c>
      <c r="E83" s="193" t="s">
        <v>3296</v>
      </c>
      <c r="F83" s="8">
        <v>2022</v>
      </c>
    </row>
    <row r="84" spans="1:6" x14ac:dyDescent="0.35">
      <c r="A84" s="189" t="s">
        <v>3297</v>
      </c>
      <c r="B84" s="193" t="s">
        <v>3298</v>
      </c>
      <c r="C84" s="191" t="s">
        <v>3299</v>
      </c>
      <c r="D84" s="191" t="s">
        <v>3153</v>
      </c>
      <c r="E84" s="194" t="s">
        <v>3143</v>
      </c>
      <c r="F84" s="8">
        <v>2022</v>
      </c>
    </row>
    <row r="85" spans="1:6" x14ac:dyDescent="0.35">
      <c r="A85" s="189" t="s">
        <v>3300</v>
      </c>
      <c r="B85" s="193" t="s">
        <v>3301</v>
      </c>
      <c r="C85" s="191" t="s">
        <v>3302</v>
      </c>
      <c r="D85" s="191" t="s">
        <v>3153</v>
      </c>
      <c r="E85" s="193" t="s">
        <v>3166</v>
      </c>
      <c r="F85" s="8">
        <v>2022</v>
      </c>
    </row>
    <row r="86" spans="1:6" x14ac:dyDescent="0.35">
      <c r="A86" s="189" t="s">
        <v>3303</v>
      </c>
      <c r="B86" s="193" t="s">
        <v>3304</v>
      </c>
      <c r="C86" s="191" t="s">
        <v>3305</v>
      </c>
      <c r="D86" s="191" t="s">
        <v>3306</v>
      </c>
      <c r="E86" s="193" t="s">
        <v>3174</v>
      </c>
      <c r="F86" s="8">
        <v>2022</v>
      </c>
    </row>
    <row r="87" spans="1:6" x14ac:dyDescent="0.35">
      <c r="A87" s="189" t="s">
        <v>3307</v>
      </c>
      <c r="B87" s="193" t="s">
        <v>3308</v>
      </c>
      <c r="C87" s="191" t="s">
        <v>3309</v>
      </c>
      <c r="D87" s="191" t="s">
        <v>3306</v>
      </c>
      <c r="E87" s="193" t="s">
        <v>3174</v>
      </c>
      <c r="F87" s="8">
        <v>2022</v>
      </c>
    </row>
    <row r="88" spans="1:6" x14ac:dyDescent="0.35">
      <c r="A88" s="189" t="s">
        <v>3310</v>
      </c>
      <c r="B88" s="193" t="s">
        <v>3311</v>
      </c>
      <c r="C88" s="191" t="s">
        <v>3312</v>
      </c>
      <c r="D88" s="191" t="s">
        <v>3306</v>
      </c>
      <c r="E88" s="193" t="s">
        <v>3159</v>
      </c>
      <c r="F88" s="8">
        <v>2022</v>
      </c>
    </row>
    <row r="89" spans="1:6" x14ac:dyDescent="0.35">
      <c r="A89" s="189" t="s">
        <v>3313</v>
      </c>
      <c r="B89" s="193" t="s">
        <v>3314</v>
      </c>
      <c r="C89" s="191" t="s">
        <v>3315</v>
      </c>
      <c r="D89" s="191" t="s">
        <v>3066</v>
      </c>
      <c r="E89" s="193" t="s">
        <v>3316</v>
      </c>
      <c r="F89" s="8">
        <v>2021</v>
      </c>
    </row>
    <row r="90" spans="1:6" x14ac:dyDescent="0.35">
      <c r="A90" s="189" t="s">
        <v>3317</v>
      </c>
      <c r="B90" s="193" t="s">
        <v>3318</v>
      </c>
      <c r="C90" s="191" t="s">
        <v>3319</v>
      </c>
      <c r="D90" s="191" t="s">
        <v>3320</v>
      </c>
      <c r="E90" s="193" t="s">
        <v>3316</v>
      </c>
      <c r="F90" s="8">
        <v>2021</v>
      </c>
    </row>
    <row r="91" spans="1:6" x14ac:dyDescent="0.35">
      <c r="A91" s="189" t="s">
        <v>3321</v>
      </c>
      <c r="B91" s="193" t="s">
        <v>3322</v>
      </c>
      <c r="C91" s="191" t="s">
        <v>3323</v>
      </c>
      <c r="D91" s="191" t="s">
        <v>3184</v>
      </c>
      <c r="E91" s="193" t="s">
        <v>3316</v>
      </c>
      <c r="F91" s="8">
        <v>2021</v>
      </c>
    </row>
    <row r="92" spans="1:6" x14ac:dyDescent="0.35">
      <c r="A92" s="189" t="s">
        <v>3324</v>
      </c>
      <c r="B92" s="193" t="s">
        <v>602</v>
      </c>
      <c r="C92" s="191" t="s">
        <v>3325</v>
      </c>
      <c r="D92" s="191" t="s">
        <v>3084</v>
      </c>
      <c r="E92" s="193" t="s">
        <v>3316</v>
      </c>
      <c r="F92" s="8">
        <v>2021</v>
      </c>
    </row>
    <row r="93" spans="1:6" x14ac:dyDescent="0.35">
      <c r="A93" s="189" t="s">
        <v>3326</v>
      </c>
      <c r="B93" s="193" t="s">
        <v>3327</v>
      </c>
      <c r="C93" s="191" t="s">
        <v>3224</v>
      </c>
      <c r="D93" s="191" t="s">
        <v>3090</v>
      </c>
      <c r="E93" s="193" t="s">
        <v>3328</v>
      </c>
      <c r="F93" s="8">
        <v>2021</v>
      </c>
    </row>
    <row r="94" spans="1:6" x14ac:dyDescent="0.35">
      <c r="A94" s="189" t="s">
        <v>3329</v>
      </c>
      <c r="B94" s="193" t="s">
        <v>3330</v>
      </c>
      <c r="C94" s="193" t="s">
        <v>3330</v>
      </c>
      <c r="D94" s="191" t="s">
        <v>3136</v>
      </c>
      <c r="E94" s="193" t="s">
        <v>3316</v>
      </c>
      <c r="F94" s="8">
        <v>2021</v>
      </c>
    </row>
    <row r="95" spans="1:6" x14ac:dyDescent="0.35">
      <c r="A95" s="189" t="s">
        <v>3331</v>
      </c>
      <c r="B95" s="193" t="s">
        <v>3332</v>
      </c>
      <c r="C95" s="191" t="s">
        <v>3333</v>
      </c>
      <c r="D95" s="191" t="s">
        <v>3136</v>
      </c>
      <c r="E95" s="194" t="s">
        <v>3328</v>
      </c>
      <c r="F95" s="8">
        <v>2021</v>
      </c>
    </row>
    <row r="96" spans="1:6" x14ac:dyDescent="0.35">
      <c r="A96" s="189" t="s">
        <v>3334</v>
      </c>
      <c r="B96" s="193" t="s">
        <v>3335</v>
      </c>
      <c r="C96" s="191" t="s">
        <v>3336</v>
      </c>
      <c r="D96" s="191" t="s">
        <v>3097</v>
      </c>
      <c r="E96" s="191" t="s">
        <v>3316</v>
      </c>
      <c r="F96" s="8">
        <v>2021</v>
      </c>
    </row>
    <row r="97" spans="1:6" x14ac:dyDescent="0.35">
      <c r="A97" s="189" t="s">
        <v>3337</v>
      </c>
      <c r="B97" s="193" t="s">
        <v>3338</v>
      </c>
      <c r="C97" s="191" t="s">
        <v>3146</v>
      </c>
      <c r="D97" s="191" t="s">
        <v>3103</v>
      </c>
      <c r="E97" s="193" t="s">
        <v>3316</v>
      </c>
      <c r="F97" s="8">
        <v>2021</v>
      </c>
    </row>
    <row r="98" spans="1:6" x14ac:dyDescent="0.35">
      <c r="A98" s="189" t="s">
        <v>3339</v>
      </c>
      <c r="B98" s="193" t="s">
        <v>1038</v>
      </c>
      <c r="C98" s="191" t="s">
        <v>3340</v>
      </c>
      <c r="D98" s="191" t="s">
        <v>3281</v>
      </c>
      <c r="E98" s="193" t="s">
        <v>3316</v>
      </c>
      <c r="F98" s="8">
        <v>2021</v>
      </c>
    </row>
    <row r="99" spans="1:6" x14ac:dyDescent="0.35">
      <c r="A99" s="189" t="s">
        <v>3341</v>
      </c>
      <c r="B99" s="193" t="s">
        <v>3342</v>
      </c>
      <c r="C99" s="191" t="s">
        <v>3343</v>
      </c>
      <c r="D99" s="191" t="s">
        <v>3109</v>
      </c>
      <c r="E99" s="193" t="s">
        <v>3316</v>
      </c>
      <c r="F99" s="8">
        <v>2021</v>
      </c>
    </row>
    <row r="100" spans="1:6" x14ac:dyDescent="0.35">
      <c r="A100" s="189" t="s">
        <v>3344</v>
      </c>
      <c r="B100" s="193" t="s">
        <v>3345</v>
      </c>
      <c r="C100" s="191" t="s">
        <v>3346</v>
      </c>
      <c r="D100" s="191" t="s">
        <v>3347</v>
      </c>
      <c r="E100" s="193" t="s">
        <v>3316</v>
      </c>
      <c r="F100" s="8">
        <v>2021</v>
      </c>
    </row>
    <row r="101" spans="1:6" x14ac:dyDescent="0.35">
      <c r="A101" s="8" t="s">
        <v>3348</v>
      </c>
      <c r="B101" s="193" t="s">
        <v>538</v>
      </c>
      <c r="C101" s="191" t="s">
        <v>3346</v>
      </c>
      <c r="D101" s="191" t="s">
        <v>3347</v>
      </c>
      <c r="E101" s="193" t="s">
        <v>3316</v>
      </c>
      <c r="F101" s="8">
        <v>2021</v>
      </c>
    </row>
    <row r="102" spans="1:6" x14ac:dyDescent="0.35">
      <c r="A102" s="189" t="s">
        <v>3349</v>
      </c>
      <c r="B102" s="193" t="s">
        <v>3350</v>
      </c>
      <c r="C102" s="191" t="s">
        <v>3351</v>
      </c>
      <c r="D102" s="191" t="s">
        <v>3053</v>
      </c>
      <c r="E102" s="193" t="s">
        <v>3352</v>
      </c>
      <c r="F102" s="8">
        <v>2020</v>
      </c>
    </row>
    <row r="103" spans="1:6" x14ac:dyDescent="0.35">
      <c r="A103" s="189" t="s">
        <v>3353</v>
      </c>
      <c r="B103" s="193" t="s">
        <v>3354</v>
      </c>
      <c r="C103" s="191" t="s">
        <v>3355</v>
      </c>
      <c r="D103" s="191" t="s">
        <v>3177</v>
      </c>
      <c r="E103" s="193" t="s">
        <v>3356</v>
      </c>
      <c r="F103" s="8">
        <v>2020</v>
      </c>
    </row>
    <row r="104" spans="1:6" x14ac:dyDescent="0.35">
      <c r="A104" s="189" t="s">
        <v>3357</v>
      </c>
      <c r="B104" s="193" t="s">
        <v>3358</v>
      </c>
      <c r="C104" s="191" t="s">
        <v>3359</v>
      </c>
      <c r="D104" s="191" t="s">
        <v>3177</v>
      </c>
      <c r="E104" s="193" t="s">
        <v>3356</v>
      </c>
      <c r="F104" s="8">
        <v>2020</v>
      </c>
    </row>
    <row r="105" spans="1:6" x14ac:dyDescent="0.35">
      <c r="A105" s="189" t="s">
        <v>3360</v>
      </c>
      <c r="B105" s="193" t="s">
        <v>3361</v>
      </c>
      <c r="C105" s="191" t="s">
        <v>3362</v>
      </c>
      <c r="D105" s="191" t="s">
        <v>3184</v>
      </c>
      <c r="E105" s="193" t="s">
        <v>3356</v>
      </c>
      <c r="F105" s="8">
        <v>2020</v>
      </c>
    </row>
    <row r="106" spans="1:6" x14ac:dyDescent="0.35">
      <c r="A106" s="189" t="s">
        <v>3363</v>
      </c>
      <c r="B106" s="193" t="s">
        <v>3364</v>
      </c>
      <c r="C106" s="191" t="s">
        <v>3365</v>
      </c>
      <c r="D106" s="191" t="s">
        <v>3084</v>
      </c>
      <c r="E106" s="193" t="s">
        <v>3352</v>
      </c>
      <c r="F106" s="8">
        <v>2020</v>
      </c>
    </row>
    <row r="107" spans="1:6" x14ac:dyDescent="0.35">
      <c r="A107" s="8" t="s">
        <v>3366</v>
      </c>
      <c r="B107" s="193" t="s">
        <v>3367</v>
      </c>
      <c r="C107" s="191" t="s">
        <v>3216</v>
      </c>
      <c r="D107" s="191" t="s">
        <v>1240</v>
      </c>
      <c r="E107" s="193" t="s">
        <v>3356</v>
      </c>
      <c r="F107" s="8">
        <v>2020</v>
      </c>
    </row>
    <row r="108" spans="1:6" x14ac:dyDescent="0.35">
      <c r="A108" s="189" t="s">
        <v>3368</v>
      </c>
      <c r="B108" s="193" t="s">
        <v>3369</v>
      </c>
      <c r="C108" s="191" t="s">
        <v>3370</v>
      </c>
      <c r="D108" s="191" t="s">
        <v>744</v>
      </c>
      <c r="E108" s="193" t="s">
        <v>3356</v>
      </c>
      <c r="F108" s="8">
        <v>2020</v>
      </c>
    </row>
    <row r="109" spans="1:6" x14ac:dyDescent="0.35">
      <c r="A109" s="189" t="s">
        <v>3371</v>
      </c>
      <c r="B109" s="193" t="s">
        <v>3372</v>
      </c>
      <c r="C109" s="191" t="s">
        <v>3373</v>
      </c>
      <c r="D109" s="191" t="s">
        <v>3105</v>
      </c>
      <c r="E109" s="193" t="s">
        <v>3352</v>
      </c>
      <c r="F109" s="8">
        <v>2020</v>
      </c>
    </row>
    <row r="110" spans="1:6" x14ac:dyDescent="0.35">
      <c r="A110" s="189" t="s">
        <v>3374</v>
      </c>
      <c r="B110" s="193" t="s">
        <v>3375</v>
      </c>
      <c r="C110" s="191" t="s">
        <v>3376</v>
      </c>
      <c r="D110" s="191" t="s">
        <v>3377</v>
      </c>
      <c r="E110" s="193" t="s">
        <v>3356</v>
      </c>
      <c r="F110" s="8">
        <v>2020</v>
      </c>
    </row>
    <row r="111" spans="1:6" x14ac:dyDescent="0.35">
      <c r="A111" s="189" t="s">
        <v>3378</v>
      </c>
      <c r="B111" s="193" t="s">
        <v>372</v>
      </c>
      <c r="C111" s="191" t="s">
        <v>3379</v>
      </c>
      <c r="D111" s="191" t="s">
        <v>3347</v>
      </c>
      <c r="E111" s="193" t="s">
        <v>3356</v>
      </c>
      <c r="F111" s="8">
        <v>2020</v>
      </c>
    </row>
    <row r="112" spans="1:6" x14ac:dyDescent="0.35">
      <c r="A112" s="8" t="s">
        <v>3380</v>
      </c>
      <c r="B112" s="193" t="s">
        <v>442</v>
      </c>
      <c r="C112" s="191" t="s">
        <v>3381</v>
      </c>
      <c r="D112" s="191" t="s">
        <v>3136</v>
      </c>
      <c r="E112" s="193" t="s">
        <v>3382</v>
      </c>
      <c r="F112" s="8">
        <v>2019</v>
      </c>
    </row>
    <row r="113" spans="1:6" x14ac:dyDescent="0.35">
      <c r="A113" s="189" t="s">
        <v>3383</v>
      </c>
      <c r="B113" s="193" t="s">
        <v>3384</v>
      </c>
      <c r="C113" s="191" t="s">
        <v>3385</v>
      </c>
      <c r="D113" s="191" t="s">
        <v>3262</v>
      </c>
      <c r="E113" s="193" t="s">
        <v>3382</v>
      </c>
      <c r="F113" s="8">
        <v>2019</v>
      </c>
    </row>
    <row r="114" spans="1:6" x14ac:dyDescent="0.35">
      <c r="A114" s="189" t="s">
        <v>3386</v>
      </c>
      <c r="B114" s="193" t="s">
        <v>765</v>
      </c>
      <c r="C114" s="191" t="s">
        <v>3387</v>
      </c>
      <c r="D114" s="191" t="s">
        <v>3066</v>
      </c>
      <c r="E114" s="195" t="s">
        <v>3388</v>
      </c>
      <c r="F114" s="8">
        <v>2018</v>
      </c>
    </row>
    <row r="115" spans="1:6" x14ac:dyDescent="0.35">
      <c r="A115" s="189" t="s">
        <v>3389</v>
      </c>
      <c r="B115" s="193" t="s">
        <v>3390</v>
      </c>
      <c r="C115" s="191" t="s">
        <v>3391</v>
      </c>
      <c r="D115" s="191" t="s">
        <v>3320</v>
      </c>
      <c r="E115" s="193" t="s">
        <v>3392</v>
      </c>
      <c r="F115" s="8">
        <v>2018</v>
      </c>
    </row>
    <row r="116" spans="1:6" x14ac:dyDescent="0.35">
      <c r="A116" s="189" t="s">
        <v>3393</v>
      </c>
      <c r="B116" s="193" t="s">
        <v>3394</v>
      </c>
      <c r="C116" s="193" t="s">
        <v>3128</v>
      </c>
      <c r="D116" s="191" t="s">
        <v>3128</v>
      </c>
      <c r="E116" s="193" t="s">
        <v>3395</v>
      </c>
      <c r="F116" s="8">
        <v>2018</v>
      </c>
    </row>
    <row r="117" spans="1:6" x14ac:dyDescent="0.35">
      <c r="A117" s="189" t="s">
        <v>3396</v>
      </c>
      <c r="B117" s="193" t="s">
        <v>3397</v>
      </c>
      <c r="C117" s="193" t="s">
        <v>3398</v>
      </c>
      <c r="D117" s="191" t="s">
        <v>3090</v>
      </c>
      <c r="E117" s="193" t="s">
        <v>3399</v>
      </c>
      <c r="F117" s="8">
        <v>2018</v>
      </c>
    </row>
    <row r="118" spans="1:6" x14ac:dyDescent="0.35">
      <c r="A118" s="189" t="s">
        <v>3400</v>
      </c>
      <c r="B118" s="193" t="s">
        <v>3401</v>
      </c>
      <c r="C118" s="191" t="s">
        <v>3402</v>
      </c>
      <c r="D118" s="191" t="s">
        <v>3136</v>
      </c>
      <c r="E118" s="193" t="s">
        <v>3388</v>
      </c>
      <c r="F118" s="8">
        <v>2018</v>
      </c>
    </row>
    <row r="119" spans="1:6" x14ac:dyDescent="0.35">
      <c r="A119" s="189" t="s">
        <v>3403</v>
      </c>
      <c r="B119" s="193" t="s">
        <v>3404</v>
      </c>
      <c r="C119" s="193" t="s">
        <v>3405</v>
      </c>
      <c r="D119" s="191" t="s">
        <v>3097</v>
      </c>
      <c r="E119" s="193" t="s">
        <v>3395</v>
      </c>
      <c r="F119" s="8">
        <v>2018</v>
      </c>
    </row>
    <row r="120" spans="1:6" x14ac:dyDescent="0.35">
      <c r="A120" s="189" t="s">
        <v>3406</v>
      </c>
      <c r="B120" s="193" t="s">
        <v>3407</v>
      </c>
      <c r="C120" s="193" t="s">
        <v>1110</v>
      </c>
      <c r="D120" s="191" t="s">
        <v>3109</v>
      </c>
      <c r="E120" s="193" t="s">
        <v>3392</v>
      </c>
      <c r="F120" s="8">
        <v>2018</v>
      </c>
    </row>
    <row r="121" spans="1:6" x14ac:dyDescent="0.35">
      <c r="A121" s="189" t="s">
        <v>3408</v>
      </c>
      <c r="B121" s="193" t="s">
        <v>3148</v>
      </c>
      <c r="C121" s="193" t="s">
        <v>1110</v>
      </c>
      <c r="D121" s="191" t="s">
        <v>3109</v>
      </c>
      <c r="E121" s="193" t="s">
        <v>3395</v>
      </c>
      <c r="F121" s="8">
        <v>2018</v>
      </c>
    </row>
    <row r="122" spans="1:6" x14ac:dyDescent="0.35">
      <c r="A122" s="189" t="s">
        <v>3409</v>
      </c>
      <c r="B122" s="193" t="s">
        <v>3410</v>
      </c>
      <c r="C122" s="193" t="s">
        <v>1301</v>
      </c>
      <c r="D122" s="193" t="s">
        <v>1321</v>
      </c>
      <c r="E122" s="193" t="s">
        <v>3395</v>
      </c>
      <c r="F122" s="8">
        <v>2018</v>
      </c>
    </row>
    <row r="123" spans="1:6" x14ac:dyDescent="0.35">
      <c r="A123" s="189" t="s">
        <v>3411</v>
      </c>
      <c r="B123" s="193" t="s">
        <v>3410</v>
      </c>
      <c r="C123" s="193" t="s">
        <v>1301</v>
      </c>
      <c r="D123" s="193" t="s">
        <v>1321</v>
      </c>
      <c r="E123" s="193" t="s">
        <v>3395</v>
      </c>
      <c r="F123" s="8">
        <v>2018</v>
      </c>
    </row>
    <row r="124" spans="1:6" x14ac:dyDescent="0.35">
      <c r="A124" s="189" t="s">
        <v>3412</v>
      </c>
      <c r="B124" s="193" t="s">
        <v>3410</v>
      </c>
      <c r="C124" s="193" t="s">
        <v>1301</v>
      </c>
      <c r="D124" s="193" t="s">
        <v>1321</v>
      </c>
      <c r="E124" s="193" t="s">
        <v>3395</v>
      </c>
      <c r="F124" s="8">
        <v>2018</v>
      </c>
    </row>
    <row r="125" spans="1:6" x14ac:dyDescent="0.35">
      <c r="A125" s="189" t="s">
        <v>3413</v>
      </c>
      <c r="B125" s="193" t="s">
        <v>3410</v>
      </c>
      <c r="C125" s="193" t="s">
        <v>1301</v>
      </c>
      <c r="D125" s="193" t="s">
        <v>1321</v>
      </c>
      <c r="E125" s="193" t="s">
        <v>3395</v>
      </c>
      <c r="F125" s="8">
        <v>2018</v>
      </c>
    </row>
    <row r="126" spans="1:6" x14ac:dyDescent="0.35">
      <c r="A126" s="189" t="s">
        <v>3414</v>
      </c>
      <c r="B126" s="193" t="s">
        <v>3415</v>
      </c>
      <c r="C126" s="193" t="s">
        <v>3416</v>
      </c>
      <c r="D126" s="191" t="s">
        <v>3105</v>
      </c>
      <c r="E126" s="883" t="s">
        <v>6411</v>
      </c>
      <c r="F126" s="8">
        <v>2018</v>
      </c>
    </row>
    <row r="127" spans="1:6" x14ac:dyDescent="0.35">
      <c r="A127" s="189" t="s">
        <v>3417</v>
      </c>
      <c r="B127" s="193" t="s">
        <v>3418</v>
      </c>
      <c r="C127" s="193" t="s">
        <v>1131</v>
      </c>
      <c r="D127" s="191" t="s">
        <v>3103</v>
      </c>
      <c r="E127" s="193" t="s">
        <v>3395</v>
      </c>
      <c r="F127" s="8">
        <v>2018</v>
      </c>
    </row>
    <row r="128" spans="1:6" x14ac:dyDescent="0.35">
      <c r="A128" s="189">
        <v>242568194</v>
      </c>
      <c r="B128" s="137" t="s">
        <v>3419</v>
      </c>
      <c r="C128" s="137" t="s">
        <v>3420</v>
      </c>
      <c r="D128" s="137" t="s">
        <v>2240</v>
      </c>
      <c r="E128" s="137" t="s">
        <v>3058</v>
      </c>
      <c r="F128" s="196">
        <v>2024</v>
      </c>
    </row>
    <row r="129" spans="1:6" x14ac:dyDescent="0.35">
      <c r="A129" s="197" t="s">
        <v>3421</v>
      </c>
      <c r="B129" s="198" t="s">
        <v>3422</v>
      </c>
      <c r="C129" s="199" t="s">
        <v>3423</v>
      </c>
      <c r="D129" s="199" t="s">
        <v>3103</v>
      </c>
      <c r="E129" s="200" t="s">
        <v>3058</v>
      </c>
      <c r="F129" s="201">
        <v>2024</v>
      </c>
    </row>
    <row r="130" spans="1:6" x14ac:dyDescent="0.35">
      <c r="A130" s="189">
        <v>243724481</v>
      </c>
      <c r="B130" s="137" t="s">
        <v>3424</v>
      </c>
      <c r="C130" s="137" t="s">
        <v>3323</v>
      </c>
      <c r="D130" s="137" t="s">
        <v>1301</v>
      </c>
      <c r="E130" s="137" t="s">
        <v>3058</v>
      </c>
      <c r="F130" s="196">
        <v>2024</v>
      </c>
    </row>
    <row r="131" spans="1:6" x14ac:dyDescent="0.35">
      <c r="A131" s="202" t="s">
        <v>3425</v>
      </c>
      <c r="B131" s="203" t="s">
        <v>3426</v>
      </c>
      <c r="C131" s="204" t="s">
        <v>3104</v>
      </c>
      <c r="D131" s="204" t="s">
        <v>1166</v>
      </c>
      <c r="E131" s="204" t="s">
        <v>3058</v>
      </c>
      <c r="F131" s="205">
        <v>2025</v>
      </c>
    </row>
    <row r="132" spans="1:6" x14ac:dyDescent="0.35">
      <c r="A132" s="189"/>
      <c r="B132" s="206" t="s">
        <v>3427</v>
      </c>
      <c r="C132" s="206"/>
      <c r="D132" s="206" t="s">
        <v>509</v>
      </c>
      <c r="E132" s="206" t="s">
        <v>3058</v>
      </c>
      <c r="F132" s="207"/>
    </row>
    <row r="133" spans="1:6" x14ac:dyDescent="0.35">
      <c r="A133" s="189"/>
      <c r="B133" s="137" t="s">
        <v>3428</v>
      </c>
      <c r="C133" s="137"/>
      <c r="D133" s="137" t="s">
        <v>509</v>
      </c>
      <c r="E133" s="137" t="s">
        <v>3058</v>
      </c>
      <c r="F133" s="196"/>
    </row>
    <row r="134" spans="1:6" x14ac:dyDescent="0.35">
      <c r="A134" s="189"/>
      <c r="B134" s="137" t="s">
        <v>3429</v>
      </c>
      <c r="C134" s="137"/>
      <c r="D134" s="137" t="s">
        <v>509</v>
      </c>
      <c r="E134" s="137" t="s">
        <v>3058</v>
      </c>
      <c r="F134" s="196"/>
    </row>
    <row r="135" spans="1:6" x14ac:dyDescent="0.35">
      <c r="A135" s="189"/>
      <c r="B135" s="137" t="s">
        <v>3430</v>
      </c>
      <c r="C135" s="137"/>
      <c r="D135" s="137" t="s">
        <v>509</v>
      </c>
      <c r="E135" s="137" t="s">
        <v>3091</v>
      </c>
      <c r="F135" s="196"/>
    </row>
    <row r="136" spans="1:6" x14ac:dyDescent="0.35">
      <c r="A136" s="189"/>
      <c r="B136" s="137" t="s">
        <v>3431</v>
      </c>
      <c r="C136" s="137"/>
      <c r="D136" s="137" t="s">
        <v>509</v>
      </c>
      <c r="E136" s="137" t="s">
        <v>3091</v>
      </c>
      <c r="F136" s="196"/>
    </row>
    <row r="137" spans="1:6" x14ac:dyDescent="0.35">
      <c r="A137" s="189"/>
      <c r="B137" s="137" t="s">
        <v>3432</v>
      </c>
      <c r="C137" s="137"/>
      <c r="D137" s="137" t="s">
        <v>509</v>
      </c>
      <c r="E137" s="137" t="s">
        <v>3091</v>
      </c>
      <c r="F137" s="196"/>
    </row>
    <row r="138" spans="1:6" x14ac:dyDescent="0.35">
      <c r="A138" s="189"/>
      <c r="B138" s="137" t="s">
        <v>3433</v>
      </c>
      <c r="C138" s="137"/>
      <c r="D138" s="137" t="s">
        <v>509</v>
      </c>
      <c r="E138" s="137" t="s">
        <v>3091</v>
      </c>
      <c r="F138" s="196"/>
    </row>
    <row r="139" spans="1:6" x14ac:dyDescent="0.35">
      <c r="A139" s="189"/>
      <c r="B139" s="137" t="s">
        <v>3434</v>
      </c>
      <c r="C139" s="137"/>
      <c r="D139" s="137" t="s">
        <v>509</v>
      </c>
      <c r="E139" s="137" t="s">
        <v>3435</v>
      </c>
      <c r="F139" s="196"/>
    </row>
    <row r="140" spans="1:6" x14ac:dyDescent="0.35">
      <c r="A140" s="208"/>
      <c r="B140" s="96" t="s">
        <v>3436</v>
      </c>
      <c r="C140" s="96" t="s">
        <v>3437</v>
      </c>
      <c r="D140" s="96" t="s">
        <v>3437</v>
      </c>
      <c r="E140" s="96" t="s">
        <v>3063</v>
      </c>
      <c r="F140" s="24">
        <v>2025</v>
      </c>
    </row>
    <row r="141" spans="1:6" x14ac:dyDescent="0.35">
      <c r="A141" s="8"/>
      <c r="B141" s="99" t="s">
        <v>3438</v>
      </c>
      <c r="C141" s="51"/>
      <c r="D141" s="51" t="s">
        <v>509</v>
      </c>
      <c r="E141" s="51" t="s">
        <v>3439</v>
      </c>
      <c r="F141" s="18"/>
    </row>
    <row r="142" spans="1:6" x14ac:dyDescent="0.35">
      <c r="B142" s="102"/>
      <c r="C142" s="102"/>
      <c r="D142" s="102"/>
      <c r="E142" s="102"/>
      <c r="F142" s="6"/>
    </row>
    <row r="143" spans="1:6" x14ac:dyDescent="0.35">
      <c r="B143" s="214" t="s">
        <v>57</v>
      </c>
      <c r="C143" s="51">
        <v>17</v>
      </c>
      <c r="D143" s="102"/>
      <c r="E143" s="102"/>
      <c r="F143" s="6"/>
    </row>
    <row r="145" spans="2:6" x14ac:dyDescent="0.35">
      <c r="B145" s="209" t="s">
        <v>3440</v>
      </c>
      <c r="C145" s="102"/>
      <c r="D145" s="102"/>
      <c r="E145" s="209" t="s">
        <v>3441</v>
      </c>
      <c r="F145" s="6"/>
    </row>
    <row r="146" spans="2:6" x14ac:dyDescent="0.35">
      <c r="B146" s="51" t="s">
        <v>3442</v>
      </c>
      <c r="C146" s="51" t="s">
        <v>3443</v>
      </c>
      <c r="D146" s="102"/>
      <c r="E146" s="193" t="s">
        <v>3422</v>
      </c>
      <c r="F146" s="137" t="s">
        <v>3058</v>
      </c>
    </row>
    <row r="147" spans="2:6" x14ac:dyDescent="0.35">
      <c r="B147" s="210" t="s">
        <v>3444</v>
      </c>
      <c r="C147" s="132" t="s">
        <v>3445</v>
      </c>
      <c r="D147" s="102"/>
      <c r="E147" s="102"/>
      <c r="F147" s="6"/>
    </row>
    <row r="148" spans="2:6" x14ac:dyDescent="0.35">
      <c r="B148" s="210" t="s">
        <v>3446</v>
      </c>
      <c r="C148" s="132" t="s">
        <v>3091</v>
      </c>
      <c r="D148" s="102"/>
      <c r="E148" s="102"/>
      <c r="F148" s="6"/>
    </row>
    <row r="149" spans="2:6" x14ac:dyDescent="0.35">
      <c r="B149" s="210" t="s">
        <v>3447</v>
      </c>
      <c r="C149" s="210" t="s">
        <v>3174</v>
      </c>
      <c r="D149" s="102"/>
      <c r="E149" s="102"/>
      <c r="F149" s="6"/>
    </row>
    <row r="150" spans="2:6" x14ac:dyDescent="0.35">
      <c r="B150" s="210" t="s">
        <v>3448</v>
      </c>
      <c r="C150" s="210" t="s">
        <v>3449</v>
      </c>
      <c r="D150" s="102"/>
      <c r="E150" s="102"/>
      <c r="F150" s="6"/>
    </row>
    <row r="151" spans="2:6" x14ac:dyDescent="0.35">
      <c r="B151" s="210" t="s">
        <v>3450</v>
      </c>
      <c r="C151" s="132" t="s">
        <v>3451</v>
      </c>
      <c r="D151" s="102"/>
      <c r="E151" s="102"/>
      <c r="F151" s="6"/>
    </row>
    <row r="152" spans="2:6" x14ac:dyDescent="0.35">
      <c r="B152" s="210" t="s">
        <v>3452</v>
      </c>
      <c r="C152" s="210" t="s">
        <v>3352</v>
      </c>
      <c r="D152" s="102"/>
      <c r="E152" s="102"/>
      <c r="F152" s="6"/>
    </row>
    <row r="153" spans="2:6" x14ac:dyDescent="0.35">
      <c r="B153" s="193" t="s">
        <v>3453</v>
      </c>
      <c r="C153" s="193" t="s">
        <v>3072</v>
      </c>
      <c r="D153" s="102"/>
      <c r="E153" s="102"/>
      <c r="F153" s="6"/>
    </row>
    <row r="154" spans="2:6" x14ac:dyDescent="0.35">
      <c r="B154" s="193" t="s">
        <v>3454</v>
      </c>
      <c r="C154" s="193" t="s">
        <v>3352</v>
      </c>
      <c r="D154" s="102"/>
      <c r="E154" s="102"/>
      <c r="F154" s="6"/>
    </row>
    <row r="155" spans="2:6" x14ac:dyDescent="0.35">
      <c r="B155" s="193" t="s">
        <v>3452</v>
      </c>
      <c r="C155" s="193" t="s">
        <v>3352</v>
      </c>
      <c r="D155" s="102"/>
      <c r="E155" s="102"/>
      <c r="F155" s="6"/>
    </row>
  </sheetData>
  <conditionalFormatting sqref="A143:A155 A11:A141 A2 A8">
    <cfRule type="duplicateValues" dxfId="180" priority="5"/>
  </conditionalFormatting>
  <conditionalFormatting sqref="B7">
    <cfRule type="duplicateValues" dxfId="179" priority="4"/>
  </conditionalFormatting>
  <conditionalFormatting sqref="B6">
    <cfRule type="duplicateValues" dxfId="178" priority="3"/>
  </conditionalFormatting>
  <conditionalFormatting sqref="B4:B5">
    <cfRule type="duplicateValues" dxfId="177" priority="10622"/>
  </conditionalFormatting>
  <conditionalFormatting sqref="B3">
    <cfRule type="duplicateValues" dxfId="176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F7A27-7EDE-4082-B8B3-881B716F6344}">
  <sheetPr>
    <tabColor rgb="FFFFFF00"/>
  </sheetPr>
  <dimension ref="B1:E4"/>
  <sheetViews>
    <sheetView workbookViewId="0">
      <selection activeCell="C4" sqref="C4"/>
    </sheetView>
  </sheetViews>
  <sheetFormatPr defaultRowHeight="14.5" x14ac:dyDescent="0.35"/>
  <cols>
    <col min="2" max="2" width="34.54296875" bestFit="1" customWidth="1"/>
    <col min="3" max="3" width="15.26953125" bestFit="1" customWidth="1"/>
  </cols>
  <sheetData>
    <row r="1" spans="2:5" x14ac:dyDescent="0.35">
      <c r="B1" s="13" t="s">
        <v>0</v>
      </c>
      <c r="C1" s="13" t="s">
        <v>1</v>
      </c>
      <c r="D1" s="13" t="s">
        <v>2</v>
      </c>
    </row>
    <row r="2" spans="2:5" x14ac:dyDescent="0.35">
      <c r="B2" s="1" t="s">
        <v>3455</v>
      </c>
      <c r="C2" s="9" t="s">
        <v>3456</v>
      </c>
      <c r="D2" s="3" t="s">
        <v>197</v>
      </c>
      <c r="E2" t="s">
        <v>3479</v>
      </c>
    </row>
    <row r="3" spans="2:5" x14ac:dyDescent="0.35">
      <c r="B3" s="1" t="s">
        <v>3455</v>
      </c>
      <c r="C3" s="3"/>
      <c r="D3" s="10" t="s">
        <v>197</v>
      </c>
      <c r="E3" t="s">
        <v>3479</v>
      </c>
    </row>
    <row r="4" spans="2:5" x14ac:dyDescent="0.35">
      <c r="B4" t="s">
        <v>6415</v>
      </c>
      <c r="C4" t="s">
        <v>6416</v>
      </c>
      <c r="D4" s="6">
        <v>2025</v>
      </c>
      <c r="E4" s="23" t="s">
        <v>2504</v>
      </c>
    </row>
  </sheetData>
  <conditionalFormatting sqref="C2:C3">
    <cfRule type="duplicateValues" dxfId="175" priority="2"/>
    <cfRule type="duplicateValues" dxfId="174" priority="3"/>
    <cfRule type="duplicateValues" dxfId="173" priority="4"/>
  </conditionalFormatting>
  <conditionalFormatting sqref="C3">
    <cfRule type="duplicateValues" dxfId="172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13B53-3197-4845-BB6F-72EA98344974}">
  <sheetPr>
    <tabColor rgb="FFFFFF00"/>
  </sheetPr>
  <dimension ref="B1:D7"/>
  <sheetViews>
    <sheetView workbookViewId="0">
      <selection activeCell="H23" sqref="H23"/>
    </sheetView>
  </sheetViews>
  <sheetFormatPr defaultRowHeight="14.5" x14ac:dyDescent="0.35"/>
  <cols>
    <col min="2" max="2" width="35.81640625" bestFit="1" customWidth="1"/>
  </cols>
  <sheetData>
    <row r="1" spans="2:4" x14ac:dyDescent="0.35">
      <c r="B1" s="14" t="s">
        <v>0</v>
      </c>
      <c r="C1" s="14" t="s">
        <v>2</v>
      </c>
      <c r="D1" t="s">
        <v>3478</v>
      </c>
    </row>
    <row r="2" spans="2:4" x14ac:dyDescent="0.35">
      <c r="B2" s="1" t="s">
        <v>3457</v>
      </c>
      <c r="C2" s="3" t="s">
        <v>16</v>
      </c>
      <c r="D2" t="s">
        <v>3479</v>
      </c>
    </row>
    <row r="3" spans="2:4" x14ac:dyDescent="0.35">
      <c r="B3" s="1" t="s">
        <v>3457</v>
      </c>
      <c r="C3" s="3" t="s">
        <v>16</v>
      </c>
      <c r="D3" t="s">
        <v>3479</v>
      </c>
    </row>
    <row r="4" spans="2:4" x14ac:dyDescent="0.35">
      <c r="B4" s="1" t="s">
        <v>3457</v>
      </c>
      <c r="C4" s="3" t="s">
        <v>16</v>
      </c>
      <c r="D4" t="s">
        <v>3479</v>
      </c>
    </row>
    <row r="5" spans="2:4" x14ac:dyDescent="0.35">
      <c r="B5" s="1" t="s">
        <v>3458</v>
      </c>
      <c r="C5" s="3" t="s">
        <v>16</v>
      </c>
      <c r="D5" t="s">
        <v>3479</v>
      </c>
    </row>
    <row r="6" spans="2:4" x14ac:dyDescent="0.35">
      <c r="B6" s="1" t="s">
        <v>3459</v>
      </c>
      <c r="C6" s="3" t="s">
        <v>16</v>
      </c>
      <c r="D6" t="s">
        <v>3479</v>
      </c>
    </row>
    <row r="7" spans="2:4" x14ac:dyDescent="0.35">
      <c r="B7" s="1" t="s">
        <v>3460</v>
      </c>
      <c r="C7" s="3" t="s">
        <v>16</v>
      </c>
      <c r="D7" t="s">
        <v>3479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5BBD3-7B8F-4C80-8B03-394B52F19079}">
  <sheetPr>
    <tabColor rgb="FFFFFF00"/>
  </sheetPr>
  <dimension ref="B1:D2"/>
  <sheetViews>
    <sheetView workbookViewId="0">
      <selection activeCell="D3" sqref="D3"/>
    </sheetView>
  </sheetViews>
  <sheetFormatPr defaultRowHeight="14.5" x14ac:dyDescent="0.35"/>
  <cols>
    <col min="2" max="2" width="16.453125" bestFit="1" customWidth="1"/>
  </cols>
  <sheetData>
    <row r="1" spans="2:4" x14ac:dyDescent="0.35">
      <c r="B1" s="14" t="s">
        <v>0</v>
      </c>
      <c r="C1" s="14" t="s">
        <v>2</v>
      </c>
    </row>
    <row r="2" spans="2:4" x14ac:dyDescent="0.35">
      <c r="B2" s="2" t="s">
        <v>3461</v>
      </c>
      <c r="C2" s="4" t="s">
        <v>197</v>
      </c>
      <c r="D2" t="s">
        <v>3479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27F3-B039-4B5A-9627-CCCB75224277}">
  <sheetPr>
    <tabColor rgb="FFFFFF00"/>
  </sheetPr>
  <dimension ref="B1:D2"/>
  <sheetViews>
    <sheetView workbookViewId="0">
      <selection activeCell="D2" sqref="D2"/>
    </sheetView>
  </sheetViews>
  <sheetFormatPr defaultRowHeight="14.5" x14ac:dyDescent="0.35"/>
  <cols>
    <col min="2" max="2" width="30.453125" bestFit="1" customWidth="1"/>
  </cols>
  <sheetData>
    <row r="1" spans="2:4" x14ac:dyDescent="0.35">
      <c r="B1" s="14" t="s">
        <v>0</v>
      </c>
      <c r="C1" s="14" t="s">
        <v>2</v>
      </c>
      <c r="D1" t="s">
        <v>3478</v>
      </c>
    </row>
    <row r="2" spans="2:4" x14ac:dyDescent="0.35">
      <c r="B2" s="11" t="s">
        <v>3462</v>
      </c>
      <c r="C2" s="12" t="s">
        <v>16</v>
      </c>
      <c r="D2" t="s">
        <v>3483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362D0-EEE5-44F5-BBD8-44BD28F2B94F}">
  <sheetPr>
    <tabColor rgb="FFFFFF00"/>
  </sheetPr>
  <dimension ref="B1:D2"/>
  <sheetViews>
    <sheetView workbookViewId="0">
      <selection activeCell="D3" sqref="D3"/>
    </sheetView>
  </sheetViews>
  <sheetFormatPr defaultRowHeight="14.5" x14ac:dyDescent="0.35"/>
  <cols>
    <col min="2" max="2" width="30.7265625" bestFit="1" customWidth="1"/>
  </cols>
  <sheetData>
    <row r="1" spans="2:4" x14ac:dyDescent="0.35">
      <c r="B1" s="14" t="s">
        <v>0</v>
      </c>
      <c r="C1" s="14" t="s">
        <v>2</v>
      </c>
    </row>
    <row r="2" spans="2:4" x14ac:dyDescent="0.35">
      <c r="B2" s="2" t="s">
        <v>3463</v>
      </c>
      <c r="C2" s="4" t="s">
        <v>197</v>
      </c>
      <c r="D2" t="s">
        <v>3479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782D0-6C93-440A-B15C-C7A351C63E0D}">
  <sheetPr>
    <tabColor rgb="FFFFFF00"/>
  </sheetPr>
  <dimension ref="B1:C6"/>
  <sheetViews>
    <sheetView workbookViewId="0">
      <selection activeCell="D21" sqref="D21"/>
    </sheetView>
  </sheetViews>
  <sheetFormatPr defaultRowHeight="14.5" x14ac:dyDescent="0.35"/>
  <cols>
    <col min="2" max="2" width="46.54296875" bestFit="1" customWidth="1"/>
  </cols>
  <sheetData>
    <row r="1" spans="2:3" x14ac:dyDescent="0.35">
      <c r="B1" s="13" t="s">
        <v>0</v>
      </c>
      <c r="C1" s="13" t="s">
        <v>2</v>
      </c>
    </row>
    <row r="2" spans="2:3" x14ac:dyDescent="0.35">
      <c r="B2" s="327" t="s">
        <v>3468</v>
      </c>
      <c r="C2" s="15">
        <v>2015</v>
      </c>
    </row>
    <row r="3" spans="2:3" x14ac:dyDescent="0.35">
      <c r="B3" s="325" t="s">
        <v>3469</v>
      </c>
      <c r="C3" s="15">
        <v>2017</v>
      </c>
    </row>
    <row r="4" spans="2:3" x14ac:dyDescent="0.35">
      <c r="B4" s="326" t="s">
        <v>3470</v>
      </c>
      <c r="C4" s="15">
        <v>2023</v>
      </c>
    </row>
    <row r="5" spans="2:3" x14ac:dyDescent="0.35">
      <c r="B5" s="328" t="s">
        <v>3471</v>
      </c>
      <c r="C5" s="15"/>
    </row>
    <row r="6" spans="2:3" x14ac:dyDescent="0.35">
      <c r="B6" s="329" t="s">
        <v>3472</v>
      </c>
      <c r="C6" s="15">
        <v>2022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40CFE-A90F-4EC6-BE6C-6F371E5C2B5E}">
  <sheetPr>
    <tabColor rgb="FFFFFF00"/>
  </sheetPr>
  <dimension ref="B1:D7"/>
  <sheetViews>
    <sheetView workbookViewId="0">
      <selection activeCell="B44" sqref="B44"/>
    </sheetView>
  </sheetViews>
  <sheetFormatPr defaultRowHeight="14.5" x14ac:dyDescent="0.35"/>
  <cols>
    <col min="2" max="2" width="53.26953125" bestFit="1" customWidth="1"/>
  </cols>
  <sheetData>
    <row r="1" spans="2:4" x14ac:dyDescent="0.35">
      <c r="B1" s="14" t="s">
        <v>0</v>
      </c>
      <c r="C1" s="14" t="s">
        <v>2</v>
      </c>
    </row>
    <row r="2" spans="2:4" x14ac:dyDescent="0.35">
      <c r="B2" s="11" t="s">
        <v>3464</v>
      </c>
      <c r="C2" s="4" t="s">
        <v>46</v>
      </c>
      <c r="D2" t="s">
        <v>3479</v>
      </c>
    </row>
    <row r="3" spans="2:4" x14ac:dyDescent="0.35">
      <c r="B3" s="11" t="s">
        <v>3465</v>
      </c>
      <c r="C3" s="4" t="s">
        <v>46</v>
      </c>
      <c r="D3" t="s">
        <v>3479</v>
      </c>
    </row>
    <row r="4" spans="2:4" x14ac:dyDescent="0.35">
      <c r="B4" s="11" t="s">
        <v>3466</v>
      </c>
      <c r="C4" s="4" t="s">
        <v>46</v>
      </c>
      <c r="D4" t="s">
        <v>3479</v>
      </c>
    </row>
    <row r="5" spans="2:4" x14ac:dyDescent="0.35">
      <c r="B5" s="11" t="s">
        <v>3467</v>
      </c>
      <c r="C5" s="4" t="s">
        <v>46</v>
      </c>
      <c r="D5" t="s">
        <v>3479</v>
      </c>
    </row>
    <row r="6" spans="2:4" x14ac:dyDescent="0.35">
      <c r="B6" s="11" t="s">
        <v>3467</v>
      </c>
      <c r="C6" s="4" t="s">
        <v>46</v>
      </c>
      <c r="D6" t="s">
        <v>3479</v>
      </c>
    </row>
    <row r="7" spans="2:4" x14ac:dyDescent="0.35">
      <c r="B7" s="11" t="s">
        <v>3467</v>
      </c>
      <c r="C7" s="4" t="s">
        <v>46</v>
      </c>
      <c r="D7" t="s">
        <v>3479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958D6-90E1-45B4-BDFE-5034DE07E461}">
  <sheetPr filterMode="1">
    <tabColor rgb="FF00B0F0"/>
  </sheetPr>
  <dimension ref="A1:U3020"/>
  <sheetViews>
    <sheetView tabSelected="1" topLeftCell="D1" workbookViewId="0">
      <pane ySplit="1" topLeftCell="A2191" activePane="bottomLeft" state="frozen"/>
      <selection pane="bottomLeft" activeCell="J2245" sqref="J2245"/>
    </sheetView>
  </sheetViews>
  <sheetFormatPr defaultRowHeight="14.5" x14ac:dyDescent="0.35"/>
  <cols>
    <col min="1" max="1" width="17.81640625" style="337" customWidth="1"/>
    <col min="2" max="2" width="72.453125" style="9" customWidth="1"/>
    <col min="3" max="3" width="17.1796875" style="415" customWidth="1"/>
    <col min="4" max="4" width="17.54296875" style="9" customWidth="1"/>
    <col min="5" max="5" width="23.26953125" style="415" customWidth="1"/>
    <col min="6" max="6" width="17.26953125" style="337" customWidth="1"/>
    <col min="7" max="7" width="34.7265625" style="415" bestFit="1" customWidth="1"/>
    <col min="8" max="8" width="27.26953125" style="9" customWidth="1"/>
    <col min="9" max="9" width="16.81640625" style="9" customWidth="1"/>
    <col min="10" max="10" width="15" style="338" customWidth="1"/>
    <col min="11" max="13" width="14.54296875" style="9" customWidth="1"/>
    <col min="14" max="14" width="30.453125" style="9" customWidth="1"/>
    <col min="15" max="15" width="16.54296875" style="9" customWidth="1"/>
    <col min="16" max="16" width="19.453125" style="9" customWidth="1"/>
    <col min="17" max="17" width="13.81640625" style="9" customWidth="1"/>
    <col min="18" max="18" width="19.7265625" style="361" customWidth="1"/>
    <col min="19" max="19" width="34.1796875" style="9" customWidth="1"/>
    <col min="20" max="20" width="9.1796875" style="9"/>
    <col min="21" max="21" width="33.1796875" style="9" bestFit="1" customWidth="1"/>
    <col min="22" max="253" width="9.1796875" style="9"/>
    <col min="254" max="254" width="17.81640625" style="9" customWidth="1"/>
    <col min="255" max="255" width="50" style="9" customWidth="1"/>
    <col min="256" max="256" width="17.1796875" style="9" customWidth="1"/>
    <col min="257" max="257" width="17.54296875" style="9" customWidth="1"/>
    <col min="258" max="258" width="17.26953125" style="9" bestFit="1" customWidth="1"/>
    <col min="259" max="259" width="18" style="9" customWidth="1"/>
    <col min="260" max="260" width="16.81640625" style="9" customWidth="1"/>
    <col min="261" max="261" width="15" style="9" customWidth="1"/>
    <col min="262" max="262" width="14.54296875" style="9" bestFit="1" customWidth="1"/>
    <col min="263" max="263" width="14.54296875" style="9" customWidth="1"/>
    <col min="264" max="264" width="28" style="9" customWidth="1"/>
    <col min="265" max="265" width="34.81640625" style="9" bestFit="1" customWidth="1"/>
    <col min="266" max="266" width="16" style="9" customWidth="1"/>
    <col min="267" max="267" width="13.81640625" style="9" customWidth="1"/>
    <col min="268" max="268" width="13" style="9" customWidth="1"/>
    <col min="269" max="269" width="17" style="9" customWidth="1"/>
    <col min="270" max="270" width="14" style="9" bestFit="1" customWidth="1"/>
    <col min="271" max="271" width="38" style="9" bestFit="1" customWidth="1"/>
    <col min="272" max="272" width="31.453125" style="9" bestFit="1" customWidth="1"/>
    <col min="273" max="273" width="37" style="9" bestFit="1" customWidth="1"/>
    <col min="274" max="274" width="44.7265625" style="9" bestFit="1" customWidth="1"/>
    <col min="275" max="275" width="32.1796875" style="9" bestFit="1" customWidth="1"/>
    <col min="276" max="509" width="9.1796875" style="9"/>
    <col min="510" max="510" width="17.81640625" style="9" customWidth="1"/>
    <col min="511" max="511" width="50" style="9" customWidth="1"/>
    <col min="512" max="512" width="17.1796875" style="9" customWidth="1"/>
    <col min="513" max="513" width="17.54296875" style="9" customWidth="1"/>
    <col min="514" max="514" width="17.26953125" style="9" bestFit="1" customWidth="1"/>
    <col min="515" max="515" width="18" style="9" customWidth="1"/>
    <col min="516" max="516" width="16.81640625" style="9" customWidth="1"/>
    <col min="517" max="517" width="15" style="9" customWidth="1"/>
    <col min="518" max="518" width="14.54296875" style="9" bestFit="1" customWidth="1"/>
    <col min="519" max="519" width="14.54296875" style="9" customWidth="1"/>
    <col min="520" max="520" width="28" style="9" customWidth="1"/>
    <col min="521" max="521" width="34.81640625" style="9" bestFit="1" customWidth="1"/>
    <col min="522" max="522" width="16" style="9" customWidth="1"/>
    <col min="523" max="523" width="13.81640625" style="9" customWidth="1"/>
    <col min="524" max="524" width="13" style="9" customWidth="1"/>
    <col min="525" max="525" width="17" style="9" customWidth="1"/>
    <col min="526" max="526" width="14" style="9" bestFit="1" customWidth="1"/>
    <col min="527" max="527" width="38" style="9" bestFit="1" customWidth="1"/>
    <col min="528" max="528" width="31.453125" style="9" bestFit="1" customWidth="1"/>
    <col min="529" max="529" width="37" style="9" bestFit="1" customWidth="1"/>
    <col min="530" max="530" width="44.7265625" style="9" bestFit="1" customWidth="1"/>
    <col min="531" max="531" width="32.1796875" style="9" bestFit="1" customWidth="1"/>
    <col min="532" max="765" width="9.1796875" style="9"/>
    <col min="766" max="766" width="17.81640625" style="9" customWidth="1"/>
    <col min="767" max="767" width="50" style="9" customWidth="1"/>
    <col min="768" max="768" width="17.1796875" style="9" customWidth="1"/>
    <col min="769" max="769" width="17.54296875" style="9" customWidth="1"/>
    <col min="770" max="770" width="17.26953125" style="9" bestFit="1" customWidth="1"/>
    <col min="771" max="771" width="18" style="9" customWidth="1"/>
    <col min="772" max="772" width="16.81640625" style="9" customWidth="1"/>
    <col min="773" max="773" width="15" style="9" customWidth="1"/>
    <col min="774" max="774" width="14.54296875" style="9" bestFit="1" customWidth="1"/>
    <col min="775" max="775" width="14.54296875" style="9" customWidth="1"/>
    <col min="776" max="776" width="28" style="9" customWidth="1"/>
    <col min="777" max="777" width="34.81640625" style="9" bestFit="1" customWidth="1"/>
    <col min="778" max="778" width="16" style="9" customWidth="1"/>
    <col min="779" max="779" width="13.81640625" style="9" customWidth="1"/>
    <col min="780" max="780" width="13" style="9" customWidth="1"/>
    <col min="781" max="781" width="17" style="9" customWidth="1"/>
    <col min="782" max="782" width="14" style="9" bestFit="1" customWidth="1"/>
    <col min="783" max="783" width="38" style="9" bestFit="1" customWidth="1"/>
    <col min="784" max="784" width="31.453125" style="9" bestFit="1" customWidth="1"/>
    <col min="785" max="785" width="37" style="9" bestFit="1" customWidth="1"/>
    <col min="786" max="786" width="44.7265625" style="9" bestFit="1" customWidth="1"/>
    <col min="787" max="787" width="32.1796875" style="9" bestFit="1" customWidth="1"/>
    <col min="788" max="1021" width="9.1796875" style="9"/>
    <col min="1022" max="1022" width="17.81640625" style="9" customWidth="1"/>
    <col min="1023" max="1023" width="50" style="9" customWidth="1"/>
    <col min="1024" max="1024" width="17.1796875" style="9" customWidth="1"/>
    <col min="1025" max="1025" width="17.54296875" style="9" customWidth="1"/>
    <col min="1026" max="1026" width="17.26953125" style="9" bestFit="1" customWidth="1"/>
    <col min="1027" max="1027" width="18" style="9" customWidth="1"/>
    <col min="1028" max="1028" width="16.81640625" style="9" customWidth="1"/>
    <col min="1029" max="1029" width="15" style="9" customWidth="1"/>
    <col min="1030" max="1030" width="14.54296875" style="9" bestFit="1" customWidth="1"/>
    <col min="1031" max="1031" width="14.54296875" style="9" customWidth="1"/>
    <col min="1032" max="1032" width="28" style="9" customWidth="1"/>
    <col min="1033" max="1033" width="34.81640625" style="9" bestFit="1" customWidth="1"/>
    <col min="1034" max="1034" width="16" style="9" customWidth="1"/>
    <col min="1035" max="1035" width="13.81640625" style="9" customWidth="1"/>
    <col min="1036" max="1036" width="13" style="9" customWidth="1"/>
    <col min="1037" max="1037" width="17" style="9" customWidth="1"/>
    <col min="1038" max="1038" width="14" style="9" bestFit="1" customWidth="1"/>
    <col min="1039" max="1039" width="38" style="9" bestFit="1" customWidth="1"/>
    <col min="1040" max="1040" width="31.453125" style="9" bestFit="1" customWidth="1"/>
    <col min="1041" max="1041" width="37" style="9" bestFit="1" customWidth="1"/>
    <col min="1042" max="1042" width="44.7265625" style="9" bestFit="1" customWidth="1"/>
    <col min="1043" max="1043" width="32.1796875" style="9" bestFit="1" customWidth="1"/>
    <col min="1044" max="1277" width="9.1796875" style="9"/>
    <col min="1278" max="1278" width="17.81640625" style="9" customWidth="1"/>
    <col min="1279" max="1279" width="50" style="9" customWidth="1"/>
    <col min="1280" max="1280" width="17.1796875" style="9" customWidth="1"/>
    <col min="1281" max="1281" width="17.54296875" style="9" customWidth="1"/>
    <col min="1282" max="1282" width="17.26953125" style="9" bestFit="1" customWidth="1"/>
    <col min="1283" max="1283" width="18" style="9" customWidth="1"/>
    <col min="1284" max="1284" width="16.81640625" style="9" customWidth="1"/>
    <col min="1285" max="1285" width="15" style="9" customWidth="1"/>
    <col min="1286" max="1286" width="14.54296875" style="9" bestFit="1" customWidth="1"/>
    <col min="1287" max="1287" width="14.54296875" style="9" customWidth="1"/>
    <col min="1288" max="1288" width="28" style="9" customWidth="1"/>
    <col min="1289" max="1289" width="34.81640625" style="9" bestFit="1" customWidth="1"/>
    <col min="1290" max="1290" width="16" style="9" customWidth="1"/>
    <col min="1291" max="1291" width="13.81640625" style="9" customWidth="1"/>
    <col min="1292" max="1292" width="13" style="9" customWidth="1"/>
    <col min="1293" max="1293" width="17" style="9" customWidth="1"/>
    <col min="1294" max="1294" width="14" style="9" bestFit="1" customWidth="1"/>
    <col min="1295" max="1295" width="38" style="9" bestFit="1" customWidth="1"/>
    <col min="1296" max="1296" width="31.453125" style="9" bestFit="1" customWidth="1"/>
    <col min="1297" max="1297" width="37" style="9" bestFit="1" customWidth="1"/>
    <col min="1298" max="1298" width="44.7265625" style="9" bestFit="1" customWidth="1"/>
    <col min="1299" max="1299" width="32.1796875" style="9" bestFit="1" customWidth="1"/>
    <col min="1300" max="1533" width="9.1796875" style="9"/>
    <col min="1534" max="1534" width="17.81640625" style="9" customWidth="1"/>
    <col min="1535" max="1535" width="50" style="9" customWidth="1"/>
    <col min="1536" max="1536" width="17.1796875" style="9" customWidth="1"/>
    <col min="1537" max="1537" width="17.54296875" style="9" customWidth="1"/>
    <col min="1538" max="1538" width="17.26953125" style="9" bestFit="1" customWidth="1"/>
    <col min="1539" max="1539" width="18" style="9" customWidth="1"/>
    <col min="1540" max="1540" width="16.81640625" style="9" customWidth="1"/>
    <col min="1541" max="1541" width="15" style="9" customWidth="1"/>
    <col min="1542" max="1542" width="14.54296875" style="9" bestFit="1" customWidth="1"/>
    <col min="1543" max="1543" width="14.54296875" style="9" customWidth="1"/>
    <col min="1544" max="1544" width="28" style="9" customWidth="1"/>
    <col min="1545" max="1545" width="34.81640625" style="9" bestFit="1" customWidth="1"/>
    <col min="1546" max="1546" width="16" style="9" customWidth="1"/>
    <col min="1547" max="1547" width="13.81640625" style="9" customWidth="1"/>
    <col min="1548" max="1548" width="13" style="9" customWidth="1"/>
    <col min="1549" max="1549" width="17" style="9" customWidth="1"/>
    <col min="1550" max="1550" width="14" style="9" bestFit="1" customWidth="1"/>
    <col min="1551" max="1551" width="38" style="9" bestFit="1" customWidth="1"/>
    <col min="1552" max="1552" width="31.453125" style="9" bestFit="1" customWidth="1"/>
    <col min="1553" max="1553" width="37" style="9" bestFit="1" customWidth="1"/>
    <col min="1554" max="1554" width="44.7265625" style="9" bestFit="1" customWidth="1"/>
    <col min="1555" max="1555" width="32.1796875" style="9" bestFit="1" customWidth="1"/>
    <col min="1556" max="1789" width="9.1796875" style="9"/>
    <col min="1790" max="1790" width="17.81640625" style="9" customWidth="1"/>
    <col min="1791" max="1791" width="50" style="9" customWidth="1"/>
    <col min="1792" max="1792" width="17.1796875" style="9" customWidth="1"/>
    <col min="1793" max="1793" width="17.54296875" style="9" customWidth="1"/>
    <col min="1794" max="1794" width="17.26953125" style="9" bestFit="1" customWidth="1"/>
    <col min="1795" max="1795" width="18" style="9" customWidth="1"/>
    <col min="1796" max="1796" width="16.81640625" style="9" customWidth="1"/>
    <col min="1797" max="1797" width="15" style="9" customWidth="1"/>
    <col min="1798" max="1798" width="14.54296875" style="9" bestFit="1" customWidth="1"/>
    <col min="1799" max="1799" width="14.54296875" style="9" customWidth="1"/>
    <col min="1800" max="1800" width="28" style="9" customWidth="1"/>
    <col min="1801" max="1801" width="34.81640625" style="9" bestFit="1" customWidth="1"/>
    <col min="1802" max="1802" width="16" style="9" customWidth="1"/>
    <col min="1803" max="1803" width="13.81640625" style="9" customWidth="1"/>
    <col min="1804" max="1804" width="13" style="9" customWidth="1"/>
    <col min="1805" max="1805" width="17" style="9" customWidth="1"/>
    <col min="1806" max="1806" width="14" style="9" bestFit="1" customWidth="1"/>
    <col min="1807" max="1807" width="38" style="9" bestFit="1" customWidth="1"/>
    <col min="1808" max="1808" width="31.453125" style="9" bestFit="1" customWidth="1"/>
    <col min="1809" max="1809" width="37" style="9" bestFit="1" customWidth="1"/>
    <col min="1810" max="1810" width="44.7265625" style="9" bestFit="1" customWidth="1"/>
    <col min="1811" max="1811" width="32.1796875" style="9" bestFit="1" customWidth="1"/>
    <col min="1812" max="2045" width="9.1796875" style="9"/>
    <col min="2046" max="2046" width="17.81640625" style="9" customWidth="1"/>
    <col min="2047" max="2047" width="50" style="9" customWidth="1"/>
    <col min="2048" max="2048" width="17.1796875" style="9" customWidth="1"/>
    <col min="2049" max="2049" width="17.54296875" style="9" customWidth="1"/>
    <col min="2050" max="2050" width="17.26953125" style="9" bestFit="1" customWidth="1"/>
    <col min="2051" max="2051" width="18" style="9" customWidth="1"/>
    <col min="2052" max="2052" width="16.81640625" style="9" customWidth="1"/>
    <col min="2053" max="2053" width="15" style="9" customWidth="1"/>
    <col min="2054" max="2054" width="14.54296875" style="9" bestFit="1" customWidth="1"/>
    <col min="2055" max="2055" width="14.54296875" style="9" customWidth="1"/>
    <col min="2056" max="2056" width="28" style="9" customWidth="1"/>
    <col min="2057" max="2057" width="34.81640625" style="9" bestFit="1" customWidth="1"/>
    <col min="2058" max="2058" width="16" style="9" customWidth="1"/>
    <col min="2059" max="2059" width="13.81640625" style="9" customWidth="1"/>
    <col min="2060" max="2060" width="13" style="9" customWidth="1"/>
    <col min="2061" max="2061" width="17" style="9" customWidth="1"/>
    <col min="2062" max="2062" width="14" style="9" bestFit="1" customWidth="1"/>
    <col min="2063" max="2063" width="38" style="9" bestFit="1" customWidth="1"/>
    <col min="2064" max="2064" width="31.453125" style="9" bestFit="1" customWidth="1"/>
    <col min="2065" max="2065" width="37" style="9" bestFit="1" customWidth="1"/>
    <col min="2066" max="2066" width="44.7265625" style="9" bestFit="1" customWidth="1"/>
    <col min="2067" max="2067" width="32.1796875" style="9" bestFit="1" customWidth="1"/>
    <col min="2068" max="2301" width="9.1796875" style="9"/>
    <col min="2302" max="2302" width="17.81640625" style="9" customWidth="1"/>
    <col min="2303" max="2303" width="50" style="9" customWidth="1"/>
    <col min="2304" max="2304" width="17.1796875" style="9" customWidth="1"/>
    <col min="2305" max="2305" width="17.54296875" style="9" customWidth="1"/>
    <col min="2306" max="2306" width="17.26953125" style="9" bestFit="1" customWidth="1"/>
    <col min="2307" max="2307" width="18" style="9" customWidth="1"/>
    <col min="2308" max="2308" width="16.81640625" style="9" customWidth="1"/>
    <col min="2309" max="2309" width="15" style="9" customWidth="1"/>
    <col min="2310" max="2310" width="14.54296875" style="9" bestFit="1" customWidth="1"/>
    <col min="2311" max="2311" width="14.54296875" style="9" customWidth="1"/>
    <col min="2312" max="2312" width="28" style="9" customWidth="1"/>
    <col min="2313" max="2313" width="34.81640625" style="9" bestFit="1" customWidth="1"/>
    <col min="2314" max="2314" width="16" style="9" customWidth="1"/>
    <col min="2315" max="2315" width="13.81640625" style="9" customWidth="1"/>
    <col min="2316" max="2316" width="13" style="9" customWidth="1"/>
    <col min="2317" max="2317" width="17" style="9" customWidth="1"/>
    <col min="2318" max="2318" width="14" style="9" bestFit="1" customWidth="1"/>
    <col min="2319" max="2319" width="38" style="9" bestFit="1" customWidth="1"/>
    <col min="2320" max="2320" width="31.453125" style="9" bestFit="1" customWidth="1"/>
    <col min="2321" max="2321" width="37" style="9" bestFit="1" customWidth="1"/>
    <col min="2322" max="2322" width="44.7265625" style="9" bestFit="1" customWidth="1"/>
    <col min="2323" max="2323" width="32.1796875" style="9" bestFit="1" customWidth="1"/>
    <col min="2324" max="2557" width="9.1796875" style="9"/>
    <col min="2558" max="2558" width="17.81640625" style="9" customWidth="1"/>
    <col min="2559" max="2559" width="50" style="9" customWidth="1"/>
    <col min="2560" max="2560" width="17.1796875" style="9" customWidth="1"/>
    <col min="2561" max="2561" width="17.54296875" style="9" customWidth="1"/>
    <col min="2562" max="2562" width="17.26953125" style="9" bestFit="1" customWidth="1"/>
    <col min="2563" max="2563" width="18" style="9" customWidth="1"/>
    <col min="2564" max="2564" width="16.81640625" style="9" customWidth="1"/>
    <col min="2565" max="2565" width="15" style="9" customWidth="1"/>
    <col min="2566" max="2566" width="14.54296875" style="9" bestFit="1" customWidth="1"/>
    <col min="2567" max="2567" width="14.54296875" style="9" customWidth="1"/>
    <col min="2568" max="2568" width="28" style="9" customWidth="1"/>
    <col min="2569" max="2569" width="34.81640625" style="9" bestFit="1" customWidth="1"/>
    <col min="2570" max="2570" width="16" style="9" customWidth="1"/>
    <col min="2571" max="2571" width="13.81640625" style="9" customWidth="1"/>
    <col min="2572" max="2572" width="13" style="9" customWidth="1"/>
    <col min="2573" max="2573" width="17" style="9" customWidth="1"/>
    <col min="2574" max="2574" width="14" style="9" bestFit="1" customWidth="1"/>
    <col min="2575" max="2575" width="38" style="9" bestFit="1" customWidth="1"/>
    <col min="2576" max="2576" width="31.453125" style="9" bestFit="1" customWidth="1"/>
    <col min="2577" max="2577" width="37" style="9" bestFit="1" customWidth="1"/>
    <col min="2578" max="2578" width="44.7265625" style="9" bestFit="1" customWidth="1"/>
    <col min="2579" max="2579" width="32.1796875" style="9" bestFit="1" customWidth="1"/>
    <col min="2580" max="2813" width="9.1796875" style="9"/>
    <col min="2814" max="2814" width="17.81640625" style="9" customWidth="1"/>
    <col min="2815" max="2815" width="50" style="9" customWidth="1"/>
    <col min="2816" max="2816" width="17.1796875" style="9" customWidth="1"/>
    <col min="2817" max="2817" width="17.54296875" style="9" customWidth="1"/>
    <col min="2818" max="2818" width="17.26953125" style="9" bestFit="1" customWidth="1"/>
    <col min="2819" max="2819" width="18" style="9" customWidth="1"/>
    <col min="2820" max="2820" width="16.81640625" style="9" customWidth="1"/>
    <col min="2821" max="2821" width="15" style="9" customWidth="1"/>
    <col min="2822" max="2822" width="14.54296875" style="9" bestFit="1" customWidth="1"/>
    <col min="2823" max="2823" width="14.54296875" style="9" customWidth="1"/>
    <col min="2824" max="2824" width="28" style="9" customWidth="1"/>
    <col min="2825" max="2825" width="34.81640625" style="9" bestFit="1" customWidth="1"/>
    <col min="2826" max="2826" width="16" style="9" customWidth="1"/>
    <col min="2827" max="2827" width="13.81640625" style="9" customWidth="1"/>
    <col min="2828" max="2828" width="13" style="9" customWidth="1"/>
    <col min="2829" max="2829" width="17" style="9" customWidth="1"/>
    <col min="2830" max="2830" width="14" style="9" bestFit="1" customWidth="1"/>
    <col min="2831" max="2831" width="38" style="9" bestFit="1" customWidth="1"/>
    <col min="2832" max="2832" width="31.453125" style="9" bestFit="1" customWidth="1"/>
    <col min="2833" max="2833" width="37" style="9" bestFit="1" customWidth="1"/>
    <col min="2834" max="2834" width="44.7265625" style="9" bestFit="1" customWidth="1"/>
    <col min="2835" max="2835" width="32.1796875" style="9" bestFit="1" customWidth="1"/>
    <col min="2836" max="3069" width="9.1796875" style="9"/>
    <col min="3070" max="3070" width="17.81640625" style="9" customWidth="1"/>
    <col min="3071" max="3071" width="50" style="9" customWidth="1"/>
    <col min="3072" max="3072" width="17.1796875" style="9" customWidth="1"/>
    <col min="3073" max="3073" width="17.54296875" style="9" customWidth="1"/>
    <col min="3074" max="3074" width="17.26953125" style="9" bestFit="1" customWidth="1"/>
    <col min="3075" max="3075" width="18" style="9" customWidth="1"/>
    <col min="3076" max="3076" width="16.81640625" style="9" customWidth="1"/>
    <col min="3077" max="3077" width="15" style="9" customWidth="1"/>
    <col min="3078" max="3078" width="14.54296875" style="9" bestFit="1" customWidth="1"/>
    <col min="3079" max="3079" width="14.54296875" style="9" customWidth="1"/>
    <col min="3080" max="3080" width="28" style="9" customWidth="1"/>
    <col min="3081" max="3081" width="34.81640625" style="9" bestFit="1" customWidth="1"/>
    <col min="3082" max="3082" width="16" style="9" customWidth="1"/>
    <col min="3083" max="3083" width="13.81640625" style="9" customWidth="1"/>
    <col min="3084" max="3084" width="13" style="9" customWidth="1"/>
    <col min="3085" max="3085" width="17" style="9" customWidth="1"/>
    <col min="3086" max="3086" width="14" style="9" bestFit="1" customWidth="1"/>
    <col min="3087" max="3087" width="38" style="9" bestFit="1" customWidth="1"/>
    <col min="3088" max="3088" width="31.453125" style="9" bestFit="1" customWidth="1"/>
    <col min="3089" max="3089" width="37" style="9" bestFit="1" customWidth="1"/>
    <col min="3090" max="3090" width="44.7265625" style="9" bestFit="1" customWidth="1"/>
    <col min="3091" max="3091" width="32.1796875" style="9" bestFit="1" customWidth="1"/>
    <col min="3092" max="3325" width="9.1796875" style="9"/>
    <col min="3326" max="3326" width="17.81640625" style="9" customWidth="1"/>
    <col min="3327" max="3327" width="50" style="9" customWidth="1"/>
    <col min="3328" max="3328" width="17.1796875" style="9" customWidth="1"/>
    <col min="3329" max="3329" width="17.54296875" style="9" customWidth="1"/>
    <col min="3330" max="3330" width="17.26953125" style="9" bestFit="1" customWidth="1"/>
    <col min="3331" max="3331" width="18" style="9" customWidth="1"/>
    <col min="3332" max="3332" width="16.81640625" style="9" customWidth="1"/>
    <col min="3333" max="3333" width="15" style="9" customWidth="1"/>
    <col min="3334" max="3334" width="14.54296875" style="9" bestFit="1" customWidth="1"/>
    <col min="3335" max="3335" width="14.54296875" style="9" customWidth="1"/>
    <col min="3336" max="3336" width="28" style="9" customWidth="1"/>
    <col min="3337" max="3337" width="34.81640625" style="9" bestFit="1" customWidth="1"/>
    <col min="3338" max="3338" width="16" style="9" customWidth="1"/>
    <col min="3339" max="3339" width="13.81640625" style="9" customWidth="1"/>
    <col min="3340" max="3340" width="13" style="9" customWidth="1"/>
    <col min="3341" max="3341" width="17" style="9" customWidth="1"/>
    <col min="3342" max="3342" width="14" style="9" bestFit="1" customWidth="1"/>
    <col min="3343" max="3343" width="38" style="9" bestFit="1" customWidth="1"/>
    <col min="3344" max="3344" width="31.453125" style="9" bestFit="1" customWidth="1"/>
    <col min="3345" max="3345" width="37" style="9" bestFit="1" customWidth="1"/>
    <col min="3346" max="3346" width="44.7265625" style="9" bestFit="1" customWidth="1"/>
    <col min="3347" max="3347" width="32.1796875" style="9" bestFit="1" customWidth="1"/>
    <col min="3348" max="3581" width="9.1796875" style="9"/>
    <col min="3582" max="3582" width="17.81640625" style="9" customWidth="1"/>
    <col min="3583" max="3583" width="50" style="9" customWidth="1"/>
    <col min="3584" max="3584" width="17.1796875" style="9" customWidth="1"/>
    <col min="3585" max="3585" width="17.54296875" style="9" customWidth="1"/>
    <col min="3586" max="3586" width="17.26953125" style="9" bestFit="1" customWidth="1"/>
    <col min="3587" max="3587" width="18" style="9" customWidth="1"/>
    <col min="3588" max="3588" width="16.81640625" style="9" customWidth="1"/>
    <col min="3589" max="3589" width="15" style="9" customWidth="1"/>
    <col min="3590" max="3590" width="14.54296875" style="9" bestFit="1" customWidth="1"/>
    <col min="3591" max="3591" width="14.54296875" style="9" customWidth="1"/>
    <col min="3592" max="3592" width="28" style="9" customWidth="1"/>
    <col min="3593" max="3593" width="34.81640625" style="9" bestFit="1" customWidth="1"/>
    <col min="3594" max="3594" width="16" style="9" customWidth="1"/>
    <col min="3595" max="3595" width="13.81640625" style="9" customWidth="1"/>
    <col min="3596" max="3596" width="13" style="9" customWidth="1"/>
    <col min="3597" max="3597" width="17" style="9" customWidth="1"/>
    <col min="3598" max="3598" width="14" style="9" bestFit="1" customWidth="1"/>
    <col min="3599" max="3599" width="38" style="9" bestFit="1" customWidth="1"/>
    <col min="3600" max="3600" width="31.453125" style="9" bestFit="1" customWidth="1"/>
    <col min="3601" max="3601" width="37" style="9" bestFit="1" customWidth="1"/>
    <col min="3602" max="3602" width="44.7265625" style="9" bestFit="1" customWidth="1"/>
    <col min="3603" max="3603" width="32.1796875" style="9" bestFit="1" customWidth="1"/>
    <col min="3604" max="3837" width="9.1796875" style="9"/>
    <col min="3838" max="3838" width="17.81640625" style="9" customWidth="1"/>
    <col min="3839" max="3839" width="50" style="9" customWidth="1"/>
    <col min="3840" max="3840" width="17.1796875" style="9" customWidth="1"/>
    <col min="3841" max="3841" width="17.54296875" style="9" customWidth="1"/>
    <col min="3842" max="3842" width="17.26953125" style="9" bestFit="1" customWidth="1"/>
    <col min="3843" max="3843" width="18" style="9" customWidth="1"/>
    <col min="3844" max="3844" width="16.81640625" style="9" customWidth="1"/>
    <col min="3845" max="3845" width="15" style="9" customWidth="1"/>
    <col min="3846" max="3846" width="14.54296875" style="9" bestFit="1" customWidth="1"/>
    <col min="3847" max="3847" width="14.54296875" style="9" customWidth="1"/>
    <col min="3848" max="3848" width="28" style="9" customWidth="1"/>
    <col min="3849" max="3849" width="34.81640625" style="9" bestFit="1" customWidth="1"/>
    <col min="3850" max="3850" width="16" style="9" customWidth="1"/>
    <col min="3851" max="3851" width="13.81640625" style="9" customWidth="1"/>
    <col min="3852" max="3852" width="13" style="9" customWidth="1"/>
    <col min="3853" max="3853" width="17" style="9" customWidth="1"/>
    <col min="3854" max="3854" width="14" style="9" bestFit="1" customWidth="1"/>
    <col min="3855" max="3855" width="38" style="9" bestFit="1" customWidth="1"/>
    <col min="3856" max="3856" width="31.453125" style="9" bestFit="1" customWidth="1"/>
    <col min="3857" max="3857" width="37" style="9" bestFit="1" customWidth="1"/>
    <col min="3858" max="3858" width="44.7265625" style="9" bestFit="1" customWidth="1"/>
    <col min="3859" max="3859" width="32.1796875" style="9" bestFit="1" customWidth="1"/>
    <col min="3860" max="4093" width="9.1796875" style="9"/>
    <col min="4094" max="4094" width="17.81640625" style="9" customWidth="1"/>
    <col min="4095" max="4095" width="50" style="9" customWidth="1"/>
    <col min="4096" max="4096" width="17.1796875" style="9" customWidth="1"/>
    <col min="4097" max="4097" width="17.54296875" style="9" customWidth="1"/>
    <col min="4098" max="4098" width="17.26953125" style="9" bestFit="1" customWidth="1"/>
    <col min="4099" max="4099" width="18" style="9" customWidth="1"/>
    <col min="4100" max="4100" width="16.81640625" style="9" customWidth="1"/>
    <col min="4101" max="4101" width="15" style="9" customWidth="1"/>
    <col min="4102" max="4102" width="14.54296875" style="9" bestFit="1" customWidth="1"/>
    <col min="4103" max="4103" width="14.54296875" style="9" customWidth="1"/>
    <col min="4104" max="4104" width="28" style="9" customWidth="1"/>
    <col min="4105" max="4105" width="34.81640625" style="9" bestFit="1" customWidth="1"/>
    <col min="4106" max="4106" width="16" style="9" customWidth="1"/>
    <col min="4107" max="4107" width="13.81640625" style="9" customWidth="1"/>
    <col min="4108" max="4108" width="13" style="9" customWidth="1"/>
    <col min="4109" max="4109" width="17" style="9" customWidth="1"/>
    <col min="4110" max="4110" width="14" style="9" bestFit="1" customWidth="1"/>
    <col min="4111" max="4111" width="38" style="9" bestFit="1" customWidth="1"/>
    <col min="4112" max="4112" width="31.453125" style="9" bestFit="1" customWidth="1"/>
    <col min="4113" max="4113" width="37" style="9" bestFit="1" customWidth="1"/>
    <col min="4114" max="4114" width="44.7265625" style="9" bestFit="1" customWidth="1"/>
    <col min="4115" max="4115" width="32.1796875" style="9" bestFit="1" customWidth="1"/>
    <col min="4116" max="4349" width="9.1796875" style="9"/>
    <col min="4350" max="4350" width="17.81640625" style="9" customWidth="1"/>
    <col min="4351" max="4351" width="50" style="9" customWidth="1"/>
    <col min="4352" max="4352" width="17.1796875" style="9" customWidth="1"/>
    <col min="4353" max="4353" width="17.54296875" style="9" customWidth="1"/>
    <col min="4354" max="4354" width="17.26953125" style="9" bestFit="1" customWidth="1"/>
    <col min="4355" max="4355" width="18" style="9" customWidth="1"/>
    <col min="4356" max="4356" width="16.81640625" style="9" customWidth="1"/>
    <col min="4357" max="4357" width="15" style="9" customWidth="1"/>
    <col min="4358" max="4358" width="14.54296875" style="9" bestFit="1" customWidth="1"/>
    <col min="4359" max="4359" width="14.54296875" style="9" customWidth="1"/>
    <col min="4360" max="4360" width="28" style="9" customWidth="1"/>
    <col min="4361" max="4361" width="34.81640625" style="9" bestFit="1" customWidth="1"/>
    <col min="4362" max="4362" width="16" style="9" customWidth="1"/>
    <col min="4363" max="4363" width="13.81640625" style="9" customWidth="1"/>
    <col min="4364" max="4364" width="13" style="9" customWidth="1"/>
    <col min="4365" max="4365" width="17" style="9" customWidth="1"/>
    <col min="4366" max="4366" width="14" style="9" bestFit="1" customWidth="1"/>
    <col min="4367" max="4367" width="38" style="9" bestFit="1" customWidth="1"/>
    <col min="4368" max="4368" width="31.453125" style="9" bestFit="1" customWidth="1"/>
    <col min="4369" max="4369" width="37" style="9" bestFit="1" customWidth="1"/>
    <col min="4370" max="4370" width="44.7265625" style="9" bestFit="1" customWidth="1"/>
    <col min="4371" max="4371" width="32.1796875" style="9" bestFit="1" customWidth="1"/>
    <col min="4372" max="4605" width="9.1796875" style="9"/>
    <col min="4606" max="4606" width="17.81640625" style="9" customWidth="1"/>
    <col min="4607" max="4607" width="50" style="9" customWidth="1"/>
    <col min="4608" max="4608" width="17.1796875" style="9" customWidth="1"/>
    <col min="4609" max="4609" width="17.54296875" style="9" customWidth="1"/>
    <col min="4610" max="4610" width="17.26953125" style="9" bestFit="1" customWidth="1"/>
    <col min="4611" max="4611" width="18" style="9" customWidth="1"/>
    <col min="4612" max="4612" width="16.81640625" style="9" customWidth="1"/>
    <col min="4613" max="4613" width="15" style="9" customWidth="1"/>
    <col min="4614" max="4614" width="14.54296875" style="9" bestFit="1" customWidth="1"/>
    <col min="4615" max="4615" width="14.54296875" style="9" customWidth="1"/>
    <col min="4616" max="4616" width="28" style="9" customWidth="1"/>
    <col min="4617" max="4617" width="34.81640625" style="9" bestFit="1" customWidth="1"/>
    <col min="4618" max="4618" width="16" style="9" customWidth="1"/>
    <col min="4619" max="4619" width="13.81640625" style="9" customWidth="1"/>
    <col min="4620" max="4620" width="13" style="9" customWidth="1"/>
    <col min="4621" max="4621" width="17" style="9" customWidth="1"/>
    <col min="4622" max="4622" width="14" style="9" bestFit="1" customWidth="1"/>
    <col min="4623" max="4623" width="38" style="9" bestFit="1" customWidth="1"/>
    <col min="4624" max="4624" width="31.453125" style="9" bestFit="1" customWidth="1"/>
    <col min="4625" max="4625" width="37" style="9" bestFit="1" customWidth="1"/>
    <col min="4626" max="4626" width="44.7265625" style="9" bestFit="1" customWidth="1"/>
    <col min="4627" max="4627" width="32.1796875" style="9" bestFit="1" customWidth="1"/>
    <col min="4628" max="4861" width="9.1796875" style="9"/>
    <col min="4862" max="4862" width="17.81640625" style="9" customWidth="1"/>
    <col min="4863" max="4863" width="50" style="9" customWidth="1"/>
    <col min="4864" max="4864" width="17.1796875" style="9" customWidth="1"/>
    <col min="4865" max="4865" width="17.54296875" style="9" customWidth="1"/>
    <col min="4866" max="4866" width="17.26953125" style="9" bestFit="1" customWidth="1"/>
    <col min="4867" max="4867" width="18" style="9" customWidth="1"/>
    <col min="4868" max="4868" width="16.81640625" style="9" customWidth="1"/>
    <col min="4869" max="4869" width="15" style="9" customWidth="1"/>
    <col min="4870" max="4870" width="14.54296875" style="9" bestFit="1" customWidth="1"/>
    <col min="4871" max="4871" width="14.54296875" style="9" customWidth="1"/>
    <col min="4872" max="4872" width="28" style="9" customWidth="1"/>
    <col min="4873" max="4873" width="34.81640625" style="9" bestFit="1" customWidth="1"/>
    <col min="4874" max="4874" width="16" style="9" customWidth="1"/>
    <col min="4875" max="4875" width="13.81640625" style="9" customWidth="1"/>
    <col min="4876" max="4876" width="13" style="9" customWidth="1"/>
    <col min="4877" max="4877" width="17" style="9" customWidth="1"/>
    <col min="4878" max="4878" width="14" style="9" bestFit="1" customWidth="1"/>
    <col min="4879" max="4879" width="38" style="9" bestFit="1" customWidth="1"/>
    <col min="4880" max="4880" width="31.453125" style="9" bestFit="1" customWidth="1"/>
    <col min="4881" max="4881" width="37" style="9" bestFit="1" customWidth="1"/>
    <col min="4882" max="4882" width="44.7265625" style="9" bestFit="1" customWidth="1"/>
    <col min="4883" max="4883" width="32.1796875" style="9" bestFit="1" customWidth="1"/>
    <col min="4884" max="5117" width="9.1796875" style="9"/>
    <col min="5118" max="5118" width="17.81640625" style="9" customWidth="1"/>
    <col min="5119" max="5119" width="50" style="9" customWidth="1"/>
    <col min="5120" max="5120" width="17.1796875" style="9" customWidth="1"/>
    <col min="5121" max="5121" width="17.54296875" style="9" customWidth="1"/>
    <col min="5122" max="5122" width="17.26953125" style="9" bestFit="1" customWidth="1"/>
    <col min="5123" max="5123" width="18" style="9" customWidth="1"/>
    <col min="5124" max="5124" width="16.81640625" style="9" customWidth="1"/>
    <col min="5125" max="5125" width="15" style="9" customWidth="1"/>
    <col min="5126" max="5126" width="14.54296875" style="9" bestFit="1" customWidth="1"/>
    <col min="5127" max="5127" width="14.54296875" style="9" customWidth="1"/>
    <col min="5128" max="5128" width="28" style="9" customWidth="1"/>
    <col min="5129" max="5129" width="34.81640625" style="9" bestFit="1" customWidth="1"/>
    <col min="5130" max="5130" width="16" style="9" customWidth="1"/>
    <col min="5131" max="5131" width="13.81640625" style="9" customWidth="1"/>
    <col min="5132" max="5132" width="13" style="9" customWidth="1"/>
    <col min="5133" max="5133" width="17" style="9" customWidth="1"/>
    <col min="5134" max="5134" width="14" style="9" bestFit="1" customWidth="1"/>
    <col min="5135" max="5135" width="38" style="9" bestFit="1" customWidth="1"/>
    <col min="5136" max="5136" width="31.453125" style="9" bestFit="1" customWidth="1"/>
    <col min="5137" max="5137" width="37" style="9" bestFit="1" customWidth="1"/>
    <col min="5138" max="5138" width="44.7265625" style="9" bestFit="1" customWidth="1"/>
    <col min="5139" max="5139" width="32.1796875" style="9" bestFit="1" customWidth="1"/>
    <col min="5140" max="5373" width="9.1796875" style="9"/>
    <col min="5374" max="5374" width="17.81640625" style="9" customWidth="1"/>
    <col min="5375" max="5375" width="50" style="9" customWidth="1"/>
    <col min="5376" max="5376" width="17.1796875" style="9" customWidth="1"/>
    <col min="5377" max="5377" width="17.54296875" style="9" customWidth="1"/>
    <col min="5378" max="5378" width="17.26953125" style="9" bestFit="1" customWidth="1"/>
    <col min="5379" max="5379" width="18" style="9" customWidth="1"/>
    <col min="5380" max="5380" width="16.81640625" style="9" customWidth="1"/>
    <col min="5381" max="5381" width="15" style="9" customWidth="1"/>
    <col min="5382" max="5382" width="14.54296875" style="9" bestFit="1" customWidth="1"/>
    <col min="5383" max="5383" width="14.54296875" style="9" customWidth="1"/>
    <col min="5384" max="5384" width="28" style="9" customWidth="1"/>
    <col min="5385" max="5385" width="34.81640625" style="9" bestFit="1" customWidth="1"/>
    <col min="5386" max="5386" width="16" style="9" customWidth="1"/>
    <col min="5387" max="5387" width="13.81640625" style="9" customWidth="1"/>
    <col min="5388" max="5388" width="13" style="9" customWidth="1"/>
    <col min="5389" max="5389" width="17" style="9" customWidth="1"/>
    <col min="5390" max="5390" width="14" style="9" bestFit="1" customWidth="1"/>
    <col min="5391" max="5391" width="38" style="9" bestFit="1" customWidth="1"/>
    <col min="5392" max="5392" width="31.453125" style="9" bestFit="1" customWidth="1"/>
    <col min="5393" max="5393" width="37" style="9" bestFit="1" customWidth="1"/>
    <col min="5394" max="5394" width="44.7265625" style="9" bestFit="1" customWidth="1"/>
    <col min="5395" max="5395" width="32.1796875" style="9" bestFit="1" customWidth="1"/>
    <col min="5396" max="5629" width="9.1796875" style="9"/>
    <col min="5630" max="5630" width="17.81640625" style="9" customWidth="1"/>
    <col min="5631" max="5631" width="50" style="9" customWidth="1"/>
    <col min="5632" max="5632" width="17.1796875" style="9" customWidth="1"/>
    <col min="5633" max="5633" width="17.54296875" style="9" customWidth="1"/>
    <col min="5634" max="5634" width="17.26953125" style="9" bestFit="1" customWidth="1"/>
    <col min="5635" max="5635" width="18" style="9" customWidth="1"/>
    <col min="5636" max="5636" width="16.81640625" style="9" customWidth="1"/>
    <col min="5637" max="5637" width="15" style="9" customWidth="1"/>
    <col min="5638" max="5638" width="14.54296875" style="9" bestFit="1" customWidth="1"/>
    <col min="5639" max="5639" width="14.54296875" style="9" customWidth="1"/>
    <col min="5640" max="5640" width="28" style="9" customWidth="1"/>
    <col min="5641" max="5641" width="34.81640625" style="9" bestFit="1" customWidth="1"/>
    <col min="5642" max="5642" width="16" style="9" customWidth="1"/>
    <col min="5643" max="5643" width="13.81640625" style="9" customWidth="1"/>
    <col min="5644" max="5644" width="13" style="9" customWidth="1"/>
    <col min="5645" max="5645" width="17" style="9" customWidth="1"/>
    <col min="5646" max="5646" width="14" style="9" bestFit="1" customWidth="1"/>
    <col min="5647" max="5647" width="38" style="9" bestFit="1" customWidth="1"/>
    <col min="5648" max="5648" width="31.453125" style="9" bestFit="1" customWidth="1"/>
    <col min="5649" max="5649" width="37" style="9" bestFit="1" customWidth="1"/>
    <col min="5650" max="5650" width="44.7265625" style="9" bestFit="1" customWidth="1"/>
    <col min="5651" max="5651" width="32.1796875" style="9" bestFit="1" customWidth="1"/>
    <col min="5652" max="5885" width="9.1796875" style="9"/>
    <col min="5886" max="5886" width="17.81640625" style="9" customWidth="1"/>
    <col min="5887" max="5887" width="50" style="9" customWidth="1"/>
    <col min="5888" max="5888" width="17.1796875" style="9" customWidth="1"/>
    <col min="5889" max="5889" width="17.54296875" style="9" customWidth="1"/>
    <col min="5890" max="5890" width="17.26953125" style="9" bestFit="1" customWidth="1"/>
    <col min="5891" max="5891" width="18" style="9" customWidth="1"/>
    <col min="5892" max="5892" width="16.81640625" style="9" customWidth="1"/>
    <col min="5893" max="5893" width="15" style="9" customWidth="1"/>
    <col min="5894" max="5894" width="14.54296875" style="9" bestFit="1" customWidth="1"/>
    <col min="5895" max="5895" width="14.54296875" style="9" customWidth="1"/>
    <col min="5896" max="5896" width="28" style="9" customWidth="1"/>
    <col min="5897" max="5897" width="34.81640625" style="9" bestFit="1" customWidth="1"/>
    <col min="5898" max="5898" width="16" style="9" customWidth="1"/>
    <col min="5899" max="5899" width="13.81640625" style="9" customWidth="1"/>
    <col min="5900" max="5900" width="13" style="9" customWidth="1"/>
    <col min="5901" max="5901" width="17" style="9" customWidth="1"/>
    <col min="5902" max="5902" width="14" style="9" bestFit="1" customWidth="1"/>
    <col min="5903" max="5903" width="38" style="9" bestFit="1" customWidth="1"/>
    <col min="5904" max="5904" width="31.453125" style="9" bestFit="1" customWidth="1"/>
    <col min="5905" max="5905" width="37" style="9" bestFit="1" customWidth="1"/>
    <col min="5906" max="5906" width="44.7265625" style="9" bestFit="1" customWidth="1"/>
    <col min="5907" max="5907" width="32.1796875" style="9" bestFit="1" customWidth="1"/>
    <col min="5908" max="6141" width="9.1796875" style="9"/>
    <col min="6142" max="6142" width="17.81640625" style="9" customWidth="1"/>
    <col min="6143" max="6143" width="50" style="9" customWidth="1"/>
    <col min="6144" max="6144" width="17.1796875" style="9" customWidth="1"/>
    <col min="6145" max="6145" width="17.54296875" style="9" customWidth="1"/>
    <col min="6146" max="6146" width="17.26953125" style="9" bestFit="1" customWidth="1"/>
    <col min="6147" max="6147" width="18" style="9" customWidth="1"/>
    <col min="6148" max="6148" width="16.81640625" style="9" customWidth="1"/>
    <col min="6149" max="6149" width="15" style="9" customWidth="1"/>
    <col min="6150" max="6150" width="14.54296875" style="9" bestFit="1" customWidth="1"/>
    <col min="6151" max="6151" width="14.54296875" style="9" customWidth="1"/>
    <col min="6152" max="6152" width="28" style="9" customWidth="1"/>
    <col min="6153" max="6153" width="34.81640625" style="9" bestFit="1" customWidth="1"/>
    <col min="6154" max="6154" width="16" style="9" customWidth="1"/>
    <col min="6155" max="6155" width="13.81640625" style="9" customWidth="1"/>
    <col min="6156" max="6156" width="13" style="9" customWidth="1"/>
    <col min="6157" max="6157" width="17" style="9" customWidth="1"/>
    <col min="6158" max="6158" width="14" style="9" bestFit="1" customWidth="1"/>
    <col min="6159" max="6159" width="38" style="9" bestFit="1" customWidth="1"/>
    <col min="6160" max="6160" width="31.453125" style="9" bestFit="1" customWidth="1"/>
    <col min="6161" max="6161" width="37" style="9" bestFit="1" customWidth="1"/>
    <col min="6162" max="6162" width="44.7265625" style="9" bestFit="1" customWidth="1"/>
    <col min="6163" max="6163" width="32.1796875" style="9" bestFit="1" customWidth="1"/>
    <col min="6164" max="6397" width="9.1796875" style="9"/>
    <col min="6398" max="6398" width="17.81640625" style="9" customWidth="1"/>
    <col min="6399" max="6399" width="50" style="9" customWidth="1"/>
    <col min="6400" max="6400" width="17.1796875" style="9" customWidth="1"/>
    <col min="6401" max="6401" width="17.54296875" style="9" customWidth="1"/>
    <col min="6402" max="6402" width="17.26953125" style="9" bestFit="1" customWidth="1"/>
    <col min="6403" max="6403" width="18" style="9" customWidth="1"/>
    <col min="6404" max="6404" width="16.81640625" style="9" customWidth="1"/>
    <col min="6405" max="6405" width="15" style="9" customWidth="1"/>
    <col min="6406" max="6406" width="14.54296875" style="9" bestFit="1" customWidth="1"/>
    <col min="6407" max="6407" width="14.54296875" style="9" customWidth="1"/>
    <col min="6408" max="6408" width="28" style="9" customWidth="1"/>
    <col min="6409" max="6409" width="34.81640625" style="9" bestFit="1" customWidth="1"/>
    <col min="6410" max="6410" width="16" style="9" customWidth="1"/>
    <col min="6411" max="6411" width="13.81640625" style="9" customWidth="1"/>
    <col min="6412" max="6412" width="13" style="9" customWidth="1"/>
    <col min="6413" max="6413" width="17" style="9" customWidth="1"/>
    <col min="6414" max="6414" width="14" style="9" bestFit="1" customWidth="1"/>
    <col min="6415" max="6415" width="38" style="9" bestFit="1" customWidth="1"/>
    <col min="6416" max="6416" width="31.453125" style="9" bestFit="1" customWidth="1"/>
    <col min="6417" max="6417" width="37" style="9" bestFit="1" customWidth="1"/>
    <col min="6418" max="6418" width="44.7265625" style="9" bestFit="1" customWidth="1"/>
    <col min="6419" max="6419" width="32.1796875" style="9" bestFit="1" customWidth="1"/>
    <col min="6420" max="6653" width="9.1796875" style="9"/>
    <col min="6654" max="6654" width="17.81640625" style="9" customWidth="1"/>
    <col min="6655" max="6655" width="50" style="9" customWidth="1"/>
    <col min="6656" max="6656" width="17.1796875" style="9" customWidth="1"/>
    <col min="6657" max="6657" width="17.54296875" style="9" customWidth="1"/>
    <col min="6658" max="6658" width="17.26953125" style="9" bestFit="1" customWidth="1"/>
    <col min="6659" max="6659" width="18" style="9" customWidth="1"/>
    <col min="6660" max="6660" width="16.81640625" style="9" customWidth="1"/>
    <col min="6661" max="6661" width="15" style="9" customWidth="1"/>
    <col min="6662" max="6662" width="14.54296875" style="9" bestFit="1" customWidth="1"/>
    <col min="6663" max="6663" width="14.54296875" style="9" customWidth="1"/>
    <col min="6664" max="6664" width="28" style="9" customWidth="1"/>
    <col min="6665" max="6665" width="34.81640625" style="9" bestFit="1" customWidth="1"/>
    <col min="6666" max="6666" width="16" style="9" customWidth="1"/>
    <col min="6667" max="6667" width="13.81640625" style="9" customWidth="1"/>
    <col min="6668" max="6668" width="13" style="9" customWidth="1"/>
    <col min="6669" max="6669" width="17" style="9" customWidth="1"/>
    <col min="6670" max="6670" width="14" style="9" bestFit="1" customWidth="1"/>
    <col min="6671" max="6671" width="38" style="9" bestFit="1" customWidth="1"/>
    <col min="6672" max="6672" width="31.453125" style="9" bestFit="1" customWidth="1"/>
    <col min="6673" max="6673" width="37" style="9" bestFit="1" customWidth="1"/>
    <col min="6674" max="6674" width="44.7265625" style="9" bestFit="1" customWidth="1"/>
    <col min="6675" max="6675" width="32.1796875" style="9" bestFit="1" customWidth="1"/>
    <col min="6676" max="6909" width="9.1796875" style="9"/>
    <col min="6910" max="6910" width="17.81640625" style="9" customWidth="1"/>
    <col min="6911" max="6911" width="50" style="9" customWidth="1"/>
    <col min="6912" max="6912" width="17.1796875" style="9" customWidth="1"/>
    <col min="6913" max="6913" width="17.54296875" style="9" customWidth="1"/>
    <col min="6914" max="6914" width="17.26953125" style="9" bestFit="1" customWidth="1"/>
    <col min="6915" max="6915" width="18" style="9" customWidth="1"/>
    <col min="6916" max="6916" width="16.81640625" style="9" customWidth="1"/>
    <col min="6917" max="6917" width="15" style="9" customWidth="1"/>
    <col min="6918" max="6918" width="14.54296875" style="9" bestFit="1" customWidth="1"/>
    <col min="6919" max="6919" width="14.54296875" style="9" customWidth="1"/>
    <col min="6920" max="6920" width="28" style="9" customWidth="1"/>
    <col min="6921" max="6921" width="34.81640625" style="9" bestFit="1" customWidth="1"/>
    <col min="6922" max="6922" width="16" style="9" customWidth="1"/>
    <col min="6923" max="6923" width="13.81640625" style="9" customWidth="1"/>
    <col min="6924" max="6924" width="13" style="9" customWidth="1"/>
    <col min="6925" max="6925" width="17" style="9" customWidth="1"/>
    <col min="6926" max="6926" width="14" style="9" bestFit="1" customWidth="1"/>
    <col min="6927" max="6927" width="38" style="9" bestFit="1" customWidth="1"/>
    <col min="6928" max="6928" width="31.453125" style="9" bestFit="1" customWidth="1"/>
    <col min="6929" max="6929" width="37" style="9" bestFit="1" customWidth="1"/>
    <col min="6930" max="6930" width="44.7265625" style="9" bestFit="1" customWidth="1"/>
    <col min="6931" max="6931" width="32.1796875" style="9" bestFit="1" customWidth="1"/>
    <col min="6932" max="7165" width="9.1796875" style="9"/>
    <col min="7166" max="7166" width="17.81640625" style="9" customWidth="1"/>
    <col min="7167" max="7167" width="50" style="9" customWidth="1"/>
    <col min="7168" max="7168" width="17.1796875" style="9" customWidth="1"/>
    <col min="7169" max="7169" width="17.54296875" style="9" customWidth="1"/>
    <col min="7170" max="7170" width="17.26953125" style="9" bestFit="1" customWidth="1"/>
    <col min="7171" max="7171" width="18" style="9" customWidth="1"/>
    <col min="7172" max="7172" width="16.81640625" style="9" customWidth="1"/>
    <col min="7173" max="7173" width="15" style="9" customWidth="1"/>
    <col min="7174" max="7174" width="14.54296875" style="9" bestFit="1" customWidth="1"/>
    <col min="7175" max="7175" width="14.54296875" style="9" customWidth="1"/>
    <col min="7176" max="7176" width="28" style="9" customWidth="1"/>
    <col min="7177" max="7177" width="34.81640625" style="9" bestFit="1" customWidth="1"/>
    <col min="7178" max="7178" width="16" style="9" customWidth="1"/>
    <col min="7179" max="7179" width="13.81640625" style="9" customWidth="1"/>
    <col min="7180" max="7180" width="13" style="9" customWidth="1"/>
    <col min="7181" max="7181" width="17" style="9" customWidth="1"/>
    <col min="7182" max="7182" width="14" style="9" bestFit="1" customWidth="1"/>
    <col min="7183" max="7183" width="38" style="9" bestFit="1" customWidth="1"/>
    <col min="7184" max="7184" width="31.453125" style="9" bestFit="1" customWidth="1"/>
    <col min="7185" max="7185" width="37" style="9" bestFit="1" customWidth="1"/>
    <col min="7186" max="7186" width="44.7265625" style="9" bestFit="1" customWidth="1"/>
    <col min="7187" max="7187" width="32.1796875" style="9" bestFit="1" customWidth="1"/>
    <col min="7188" max="7421" width="9.1796875" style="9"/>
    <col min="7422" max="7422" width="17.81640625" style="9" customWidth="1"/>
    <col min="7423" max="7423" width="50" style="9" customWidth="1"/>
    <col min="7424" max="7424" width="17.1796875" style="9" customWidth="1"/>
    <col min="7425" max="7425" width="17.54296875" style="9" customWidth="1"/>
    <col min="7426" max="7426" width="17.26953125" style="9" bestFit="1" customWidth="1"/>
    <col min="7427" max="7427" width="18" style="9" customWidth="1"/>
    <col min="7428" max="7428" width="16.81640625" style="9" customWidth="1"/>
    <col min="7429" max="7429" width="15" style="9" customWidth="1"/>
    <col min="7430" max="7430" width="14.54296875" style="9" bestFit="1" customWidth="1"/>
    <col min="7431" max="7431" width="14.54296875" style="9" customWidth="1"/>
    <col min="7432" max="7432" width="28" style="9" customWidth="1"/>
    <col min="7433" max="7433" width="34.81640625" style="9" bestFit="1" customWidth="1"/>
    <col min="7434" max="7434" width="16" style="9" customWidth="1"/>
    <col min="7435" max="7435" width="13.81640625" style="9" customWidth="1"/>
    <col min="7436" max="7436" width="13" style="9" customWidth="1"/>
    <col min="7437" max="7437" width="17" style="9" customWidth="1"/>
    <col min="7438" max="7438" width="14" style="9" bestFit="1" customWidth="1"/>
    <col min="7439" max="7439" width="38" style="9" bestFit="1" customWidth="1"/>
    <col min="7440" max="7440" width="31.453125" style="9" bestFit="1" customWidth="1"/>
    <col min="7441" max="7441" width="37" style="9" bestFit="1" customWidth="1"/>
    <col min="7442" max="7442" width="44.7265625" style="9" bestFit="1" customWidth="1"/>
    <col min="7443" max="7443" width="32.1796875" style="9" bestFit="1" customWidth="1"/>
    <col min="7444" max="7677" width="9.1796875" style="9"/>
    <col min="7678" max="7678" width="17.81640625" style="9" customWidth="1"/>
    <col min="7679" max="7679" width="50" style="9" customWidth="1"/>
    <col min="7680" max="7680" width="17.1796875" style="9" customWidth="1"/>
    <col min="7681" max="7681" width="17.54296875" style="9" customWidth="1"/>
    <col min="7682" max="7682" width="17.26953125" style="9" bestFit="1" customWidth="1"/>
    <col min="7683" max="7683" width="18" style="9" customWidth="1"/>
    <col min="7684" max="7684" width="16.81640625" style="9" customWidth="1"/>
    <col min="7685" max="7685" width="15" style="9" customWidth="1"/>
    <col min="7686" max="7686" width="14.54296875" style="9" bestFit="1" customWidth="1"/>
    <col min="7687" max="7687" width="14.54296875" style="9" customWidth="1"/>
    <col min="7688" max="7688" width="28" style="9" customWidth="1"/>
    <col min="7689" max="7689" width="34.81640625" style="9" bestFit="1" customWidth="1"/>
    <col min="7690" max="7690" width="16" style="9" customWidth="1"/>
    <col min="7691" max="7691" width="13.81640625" style="9" customWidth="1"/>
    <col min="7692" max="7692" width="13" style="9" customWidth="1"/>
    <col min="7693" max="7693" width="17" style="9" customWidth="1"/>
    <col min="7694" max="7694" width="14" style="9" bestFit="1" customWidth="1"/>
    <col min="7695" max="7695" width="38" style="9" bestFit="1" customWidth="1"/>
    <col min="7696" max="7696" width="31.453125" style="9" bestFit="1" customWidth="1"/>
    <col min="7697" max="7697" width="37" style="9" bestFit="1" customWidth="1"/>
    <col min="7698" max="7698" width="44.7265625" style="9" bestFit="1" customWidth="1"/>
    <col min="7699" max="7699" width="32.1796875" style="9" bestFit="1" customWidth="1"/>
    <col min="7700" max="7933" width="9.1796875" style="9"/>
    <col min="7934" max="7934" width="17.81640625" style="9" customWidth="1"/>
    <col min="7935" max="7935" width="50" style="9" customWidth="1"/>
    <col min="7936" max="7936" width="17.1796875" style="9" customWidth="1"/>
    <col min="7937" max="7937" width="17.54296875" style="9" customWidth="1"/>
    <col min="7938" max="7938" width="17.26953125" style="9" bestFit="1" customWidth="1"/>
    <col min="7939" max="7939" width="18" style="9" customWidth="1"/>
    <col min="7940" max="7940" width="16.81640625" style="9" customWidth="1"/>
    <col min="7941" max="7941" width="15" style="9" customWidth="1"/>
    <col min="7942" max="7942" width="14.54296875" style="9" bestFit="1" customWidth="1"/>
    <col min="7943" max="7943" width="14.54296875" style="9" customWidth="1"/>
    <col min="7944" max="7944" width="28" style="9" customWidth="1"/>
    <col min="7945" max="7945" width="34.81640625" style="9" bestFit="1" customWidth="1"/>
    <col min="7946" max="7946" width="16" style="9" customWidth="1"/>
    <col min="7947" max="7947" width="13.81640625" style="9" customWidth="1"/>
    <col min="7948" max="7948" width="13" style="9" customWidth="1"/>
    <col min="7949" max="7949" width="17" style="9" customWidth="1"/>
    <col min="7950" max="7950" width="14" style="9" bestFit="1" customWidth="1"/>
    <col min="7951" max="7951" width="38" style="9" bestFit="1" customWidth="1"/>
    <col min="7952" max="7952" width="31.453125" style="9" bestFit="1" customWidth="1"/>
    <col min="7953" max="7953" width="37" style="9" bestFit="1" customWidth="1"/>
    <col min="7954" max="7954" width="44.7265625" style="9" bestFit="1" customWidth="1"/>
    <col min="7955" max="7955" width="32.1796875" style="9" bestFit="1" customWidth="1"/>
    <col min="7956" max="8189" width="9.1796875" style="9"/>
    <col min="8190" max="8190" width="17.81640625" style="9" customWidth="1"/>
    <col min="8191" max="8191" width="50" style="9" customWidth="1"/>
    <col min="8192" max="8192" width="17.1796875" style="9" customWidth="1"/>
    <col min="8193" max="8193" width="17.54296875" style="9" customWidth="1"/>
    <col min="8194" max="8194" width="17.26953125" style="9" bestFit="1" customWidth="1"/>
    <col min="8195" max="8195" width="18" style="9" customWidth="1"/>
    <col min="8196" max="8196" width="16.81640625" style="9" customWidth="1"/>
    <col min="8197" max="8197" width="15" style="9" customWidth="1"/>
    <col min="8198" max="8198" width="14.54296875" style="9" bestFit="1" customWidth="1"/>
    <col min="8199" max="8199" width="14.54296875" style="9" customWidth="1"/>
    <col min="8200" max="8200" width="28" style="9" customWidth="1"/>
    <col min="8201" max="8201" width="34.81640625" style="9" bestFit="1" customWidth="1"/>
    <col min="8202" max="8202" width="16" style="9" customWidth="1"/>
    <col min="8203" max="8203" width="13.81640625" style="9" customWidth="1"/>
    <col min="8204" max="8204" width="13" style="9" customWidth="1"/>
    <col min="8205" max="8205" width="17" style="9" customWidth="1"/>
    <col min="8206" max="8206" width="14" style="9" bestFit="1" customWidth="1"/>
    <col min="8207" max="8207" width="38" style="9" bestFit="1" customWidth="1"/>
    <col min="8208" max="8208" width="31.453125" style="9" bestFit="1" customWidth="1"/>
    <col min="8209" max="8209" width="37" style="9" bestFit="1" customWidth="1"/>
    <col min="8210" max="8210" width="44.7265625" style="9" bestFit="1" customWidth="1"/>
    <col min="8211" max="8211" width="32.1796875" style="9" bestFit="1" customWidth="1"/>
    <col min="8212" max="8445" width="9.1796875" style="9"/>
    <col min="8446" max="8446" width="17.81640625" style="9" customWidth="1"/>
    <col min="8447" max="8447" width="50" style="9" customWidth="1"/>
    <col min="8448" max="8448" width="17.1796875" style="9" customWidth="1"/>
    <col min="8449" max="8449" width="17.54296875" style="9" customWidth="1"/>
    <col min="8450" max="8450" width="17.26953125" style="9" bestFit="1" customWidth="1"/>
    <col min="8451" max="8451" width="18" style="9" customWidth="1"/>
    <col min="8452" max="8452" width="16.81640625" style="9" customWidth="1"/>
    <col min="8453" max="8453" width="15" style="9" customWidth="1"/>
    <col min="8454" max="8454" width="14.54296875" style="9" bestFit="1" customWidth="1"/>
    <col min="8455" max="8455" width="14.54296875" style="9" customWidth="1"/>
    <col min="8456" max="8456" width="28" style="9" customWidth="1"/>
    <col min="8457" max="8457" width="34.81640625" style="9" bestFit="1" customWidth="1"/>
    <col min="8458" max="8458" width="16" style="9" customWidth="1"/>
    <col min="8459" max="8459" width="13.81640625" style="9" customWidth="1"/>
    <col min="8460" max="8460" width="13" style="9" customWidth="1"/>
    <col min="8461" max="8461" width="17" style="9" customWidth="1"/>
    <col min="8462" max="8462" width="14" style="9" bestFit="1" customWidth="1"/>
    <col min="8463" max="8463" width="38" style="9" bestFit="1" customWidth="1"/>
    <col min="8464" max="8464" width="31.453125" style="9" bestFit="1" customWidth="1"/>
    <col min="8465" max="8465" width="37" style="9" bestFit="1" customWidth="1"/>
    <col min="8466" max="8466" width="44.7265625" style="9" bestFit="1" customWidth="1"/>
    <col min="8467" max="8467" width="32.1796875" style="9" bestFit="1" customWidth="1"/>
    <col min="8468" max="8701" width="9.1796875" style="9"/>
    <col min="8702" max="8702" width="17.81640625" style="9" customWidth="1"/>
    <col min="8703" max="8703" width="50" style="9" customWidth="1"/>
    <col min="8704" max="8704" width="17.1796875" style="9" customWidth="1"/>
    <col min="8705" max="8705" width="17.54296875" style="9" customWidth="1"/>
    <col min="8706" max="8706" width="17.26953125" style="9" bestFit="1" customWidth="1"/>
    <col min="8707" max="8707" width="18" style="9" customWidth="1"/>
    <col min="8708" max="8708" width="16.81640625" style="9" customWidth="1"/>
    <col min="8709" max="8709" width="15" style="9" customWidth="1"/>
    <col min="8710" max="8710" width="14.54296875" style="9" bestFit="1" customWidth="1"/>
    <col min="8711" max="8711" width="14.54296875" style="9" customWidth="1"/>
    <col min="8712" max="8712" width="28" style="9" customWidth="1"/>
    <col min="8713" max="8713" width="34.81640625" style="9" bestFit="1" customWidth="1"/>
    <col min="8714" max="8714" width="16" style="9" customWidth="1"/>
    <col min="8715" max="8715" width="13.81640625" style="9" customWidth="1"/>
    <col min="8716" max="8716" width="13" style="9" customWidth="1"/>
    <col min="8717" max="8717" width="17" style="9" customWidth="1"/>
    <col min="8718" max="8718" width="14" style="9" bestFit="1" customWidth="1"/>
    <col min="8719" max="8719" width="38" style="9" bestFit="1" customWidth="1"/>
    <col min="8720" max="8720" width="31.453125" style="9" bestFit="1" customWidth="1"/>
    <col min="8721" max="8721" width="37" style="9" bestFit="1" customWidth="1"/>
    <col min="8722" max="8722" width="44.7265625" style="9" bestFit="1" customWidth="1"/>
    <col min="8723" max="8723" width="32.1796875" style="9" bestFit="1" customWidth="1"/>
    <col min="8724" max="8957" width="9.1796875" style="9"/>
    <col min="8958" max="8958" width="17.81640625" style="9" customWidth="1"/>
    <col min="8959" max="8959" width="50" style="9" customWidth="1"/>
    <col min="8960" max="8960" width="17.1796875" style="9" customWidth="1"/>
    <col min="8961" max="8961" width="17.54296875" style="9" customWidth="1"/>
    <col min="8962" max="8962" width="17.26953125" style="9" bestFit="1" customWidth="1"/>
    <col min="8963" max="8963" width="18" style="9" customWidth="1"/>
    <col min="8964" max="8964" width="16.81640625" style="9" customWidth="1"/>
    <col min="8965" max="8965" width="15" style="9" customWidth="1"/>
    <col min="8966" max="8966" width="14.54296875" style="9" bestFit="1" customWidth="1"/>
    <col min="8967" max="8967" width="14.54296875" style="9" customWidth="1"/>
    <col min="8968" max="8968" width="28" style="9" customWidth="1"/>
    <col min="8969" max="8969" width="34.81640625" style="9" bestFit="1" customWidth="1"/>
    <col min="8970" max="8970" width="16" style="9" customWidth="1"/>
    <col min="8971" max="8971" width="13.81640625" style="9" customWidth="1"/>
    <col min="8972" max="8972" width="13" style="9" customWidth="1"/>
    <col min="8973" max="8973" width="17" style="9" customWidth="1"/>
    <col min="8974" max="8974" width="14" style="9" bestFit="1" customWidth="1"/>
    <col min="8975" max="8975" width="38" style="9" bestFit="1" customWidth="1"/>
    <col min="8976" max="8976" width="31.453125" style="9" bestFit="1" customWidth="1"/>
    <col min="8977" max="8977" width="37" style="9" bestFit="1" customWidth="1"/>
    <col min="8978" max="8978" width="44.7265625" style="9" bestFit="1" customWidth="1"/>
    <col min="8979" max="8979" width="32.1796875" style="9" bestFit="1" customWidth="1"/>
    <col min="8980" max="9213" width="9.1796875" style="9"/>
    <col min="9214" max="9214" width="17.81640625" style="9" customWidth="1"/>
    <col min="9215" max="9215" width="50" style="9" customWidth="1"/>
    <col min="9216" max="9216" width="17.1796875" style="9" customWidth="1"/>
    <col min="9217" max="9217" width="17.54296875" style="9" customWidth="1"/>
    <col min="9218" max="9218" width="17.26953125" style="9" bestFit="1" customWidth="1"/>
    <col min="9219" max="9219" width="18" style="9" customWidth="1"/>
    <col min="9220" max="9220" width="16.81640625" style="9" customWidth="1"/>
    <col min="9221" max="9221" width="15" style="9" customWidth="1"/>
    <col min="9222" max="9222" width="14.54296875" style="9" bestFit="1" customWidth="1"/>
    <col min="9223" max="9223" width="14.54296875" style="9" customWidth="1"/>
    <col min="9224" max="9224" width="28" style="9" customWidth="1"/>
    <col min="9225" max="9225" width="34.81640625" style="9" bestFit="1" customWidth="1"/>
    <col min="9226" max="9226" width="16" style="9" customWidth="1"/>
    <col min="9227" max="9227" width="13.81640625" style="9" customWidth="1"/>
    <col min="9228" max="9228" width="13" style="9" customWidth="1"/>
    <col min="9229" max="9229" width="17" style="9" customWidth="1"/>
    <col min="9230" max="9230" width="14" style="9" bestFit="1" customWidth="1"/>
    <col min="9231" max="9231" width="38" style="9" bestFit="1" customWidth="1"/>
    <col min="9232" max="9232" width="31.453125" style="9" bestFit="1" customWidth="1"/>
    <col min="9233" max="9233" width="37" style="9" bestFit="1" customWidth="1"/>
    <col min="9234" max="9234" width="44.7265625" style="9" bestFit="1" customWidth="1"/>
    <col min="9235" max="9235" width="32.1796875" style="9" bestFit="1" customWidth="1"/>
    <col min="9236" max="9469" width="9.1796875" style="9"/>
    <col min="9470" max="9470" width="17.81640625" style="9" customWidth="1"/>
    <col min="9471" max="9471" width="50" style="9" customWidth="1"/>
    <col min="9472" max="9472" width="17.1796875" style="9" customWidth="1"/>
    <col min="9473" max="9473" width="17.54296875" style="9" customWidth="1"/>
    <col min="9474" max="9474" width="17.26953125" style="9" bestFit="1" customWidth="1"/>
    <col min="9475" max="9475" width="18" style="9" customWidth="1"/>
    <col min="9476" max="9476" width="16.81640625" style="9" customWidth="1"/>
    <col min="9477" max="9477" width="15" style="9" customWidth="1"/>
    <col min="9478" max="9478" width="14.54296875" style="9" bestFit="1" customWidth="1"/>
    <col min="9479" max="9479" width="14.54296875" style="9" customWidth="1"/>
    <col min="9480" max="9480" width="28" style="9" customWidth="1"/>
    <col min="9481" max="9481" width="34.81640625" style="9" bestFit="1" customWidth="1"/>
    <col min="9482" max="9482" width="16" style="9" customWidth="1"/>
    <col min="9483" max="9483" width="13.81640625" style="9" customWidth="1"/>
    <col min="9484" max="9484" width="13" style="9" customWidth="1"/>
    <col min="9485" max="9485" width="17" style="9" customWidth="1"/>
    <col min="9486" max="9486" width="14" style="9" bestFit="1" customWidth="1"/>
    <col min="9487" max="9487" width="38" style="9" bestFit="1" customWidth="1"/>
    <col min="9488" max="9488" width="31.453125" style="9" bestFit="1" customWidth="1"/>
    <col min="9489" max="9489" width="37" style="9" bestFit="1" customWidth="1"/>
    <col min="9490" max="9490" width="44.7265625" style="9" bestFit="1" customWidth="1"/>
    <col min="9491" max="9491" width="32.1796875" style="9" bestFit="1" customWidth="1"/>
    <col min="9492" max="9725" width="9.1796875" style="9"/>
    <col min="9726" max="9726" width="17.81640625" style="9" customWidth="1"/>
    <col min="9727" max="9727" width="50" style="9" customWidth="1"/>
    <col min="9728" max="9728" width="17.1796875" style="9" customWidth="1"/>
    <col min="9729" max="9729" width="17.54296875" style="9" customWidth="1"/>
    <col min="9730" max="9730" width="17.26953125" style="9" bestFit="1" customWidth="1"/>
    <col min="9731" max="9731" width="18" style="9" customWidth="1"/>
    <col min="9732" max="9732" width="16.81640625" style="9" customWidth="1"/>
    <col min="9733" max="9733" width="15" style="9" customWidth="1"/>
    <col min="9734" max="9734" width="14.54296875" style="9" bestFit="1" customWidth="1"/>
    <col min="9735" max="9735" width="14.54296875" style="9" customWidth="1"/>
    <col min="9736" max="9736" width="28" style="9" customWidth="1"/>
    <col min="9737" max="9737" width="34.81640625" style="9" bestFit="1" customWidth="1"/>
    <col min="9738" max="9738" width="16" style="9" customWidth="1"/>
    <col min="9739" max="9739" width="13.81640625" style="9" customWidth="1"/>
    <col min="9740" max="9740" width="13" style="9" customWidth="1"/>
    <col min="9741" max="9741" width="17" style="9" customWidth="1"/>
    <col min="9742" max="9742" width="14" style="9" bestFit="1" customWidth="1"/>
    <col min="9743" max="9743" width="38" style="9" bestFit="1" customWidth="1"/>
    <col min="9744" max="9744" width="31.453125" style="9" bestFit="1" customWidth="1"/>
    <col min="9745" max="9745" width="37" style="9" bestFit="1" customWidth="1"/>
    <col min="9746" max="9746" width="44.7265625" style="9" bestFit="1" customWidth="1"/>
    <col min="9747" max="9747" width="32.1796875" style="9" bestFit="1" customWidth="1"/>
    <col min="9748" max="9981" width="9.1796875" style="9"/>
    <col min="9982" max="9982" width="17.81640625" style="9" customWidth="1"/>
    <col min="9983" max="9983" width="50" style="9" customWidth="1"/>
    <col min="9984" max="9984" width="17.1796875" style="9" customWidth="1"/>
    <col min="9985" max="9985" width="17.54296875" style="9" customWidth="1"/>
    <col min="9986" max="9986" width="17.26953125" style="9" bestFit="1" customWidth="1"/>
    <col min="9987" max="9987" width="18" style="9" customWidth="1"/>
    <col min="9988" max="9988" width="16.81640625" style="9" customWidth="1"/>
    <col min="9989" max="9989" width="15" style="9" customWidth="1"/>
    <col min="9990" max="9990" width="14.54296875" style="9" bestFit="1" customWidth="1"/>
    <col min="9991" max="9991" width="14.54296875" style="9" customWidth="1"/>
    <col min="9992" max="9992" width="28" style="9" customWidth="1"/>
    <col min="9993" max="9993" width="34.81640625" style="9" bestFit="1" customWidth="1"/>
    <col min="9994" max="9994" width="16" style="9" customWidth="1"/>
    <col min="9995" max="9995" width="13.81640625" style="9" customWidth="1"/>
    <col min="9996" max="9996" width="13" style="9" customWidth="1"/>
    <col min="9997" max="9997" width="17" style="9" customWidth="1"/>
    <col min="9998" max="9998" width="14" style="9" bestFit="1" customWidth="1"/>
    <col min="9999" max="9999" width="38" style="9" bestFit="1" customWidth="1"/>
    <col min="10000" max="10000" width="31.453125" style="9" bestFit="1" customWidth="1"/>
    <col min="10001" max="10001" width="37" style="9" bestFit="1" customWidth="1"/>
    <col min="10002" max="10002" width="44.7265625" style="9" bestFit="1" customWidth="1"/>
    <col min="10003" max="10003" width="32.1796875" style="9" bestFit="1" customWidth="1"/>
    <col min="10004" max="10237" width="9.1796875" style="9"/>
    <col min="10238" max="10238" width="17.81640625" style="9" customWidth="1"/>
    <col min="10239" max="10239" width="50" style="9" customWidth="1"/>
    <col min="10240" max="10240" width="17.1796875" style="9" customWidth="1"/>
    <col min="10241" max="10241" width="17.54296875" style="9" customWidth="1"/>
    <col min="10242" max="10242" width="17.26953125" style="9" bestFit="1" customWidth="1"/>
    <col min="10243" max="10243" width="18" style="9" customWidth="1"/>
    <col min="10244" max="10244" width="16.81640625" style="9" customWidth="1"/>
    <col min="10245" max="10245" width="15" style="9" customWidth="1"/>
    <col min="10246" max="10246" width="14.54296875" style="9" bestFit="1" customWidth="1"/>
    <col min="10247" max="10247" width="14.54296875" style="9" customWidth="1"/>
    <col min="10248" max="10248" width="28" style="9" customWidth="1"/>
    <col min="10249" max="10249" width="34.81640625" style="9" bestFit="1" customWidth="1"/>
    <col min="10250" max="10250" width="16" style="9" customWidth="1"/>
    <col min="10251" max="10251" width="13.81640625" style="9" customWidth="1"/>
    <col min="10252" max="10252" width="13" style="9" customWidth="1"/>
    <col min="10253" max="10253" width="17" style="9" customWidth="1"/>
    <col min="10254" max="10254" width="14" style="9" bestFit="1" customWidth="1"/>
    <col min="10255" max="10255" width="38" style="9" bestFit="1" customWidth="1"/>
    <col min="10256" max="10256" width="31.453125" style="9" bestFit="1" customWidth="1"/>
    <col min="10257" max="10257" width="37" style="9" bestFit="1" customWidth="1"/>
    <col min="10258" max="10258" width="44.7265625" style="9" bestFit="1" customWidth="1"/>
    <col min="10259" max="10259" width="32.1796875" style="9" bestFit="1" customWidth="1"/>
    <col min="10260" max="10493" width="9.1796875" style="9"/>
    <col min="10494" max="10494" width="17.81640625" style="9" customWidth="1"/>
    <col min="10495" max="10495" width="50" style="9" customWidth="1"/>
    <col min="10496" max="10496" width="17.1796875" style="9" customWidth="1"/>
    <col min="10497" max="10497" width="17.54296875" style="9" customWidth="1"/>
    <col min="10498" max="10498" width="17.26953125" style="9" bestFit="1" customWidth="1"/>
    <col min="10499" max="10499" width="18" style="9" customWidth="1"/>
    <col min="10500" max="10500" width="16.81640625" style="9" customWidth="1"/>
    <col min="10501" max="10501" width="15" style="9" customWidth="1"/>
    <col min="10502" max="10502" width="14.54296875" style="9" bestFit="1" customWidth="1"/>
    <col min="10503" max="10503" width="14.54296875" style="9" customWidth="1"/>
    <col min="10504" max="10504" width="28" style="9" customWidth="1"/>
    <col min="10505" max="10505" width="34.81640625" style="9" bestFit="1" customWidth="1"/>
    <col min="10506" max="10506" width="16" style="9" customWidth="1"/>
    <col min="10507" max="10507" width="13.81640625" style="9" customWidth="1"/>
    <col min="10508" max="10508" width="13" style="9" customWidth="1"/>
    <col min="10509" max="10509" width="17" style="9" customWidth="1"/>
    <col min="10510" max="10510" width="14" style="9" bestFit="1" customWidth="1"/>
    <col min="10511" max="10511" width="38" style="9" bestFit="1" customWidth="1"/>
    <col min="10512" max="10512" width="31.453125" style="9" bestFit="1" customWidth="1"/>
    <col min="10513" max="10513" width="37" style="9" bestFit="1" customWidth="1"/>
    <col min="10514" max="10514" width="44.7265625" style="9" bestFit="1" customWidth="1"/>
    <col min="10515" max="10515" width="32.1796875" style="9" bestFit="1" customWidth="1"/>
    <col min="10516" max="10749" width="9.1796875" style="9"/>
    <col min="10750" max="10750" width="17.81640625" style="9" customWidth="1"/>
    <col min="10751" max="10751" width="50" style="9" customWidth="1"/>
    <col min="10752" max="10752" width="17.1796875" style="9" customWidth="1"/>
    <col min="10753" max="10753" width="17.54296875" style="9" customWidth="1"/>
    <col min="10754" max="10754" width="17.26953125" style="9" bestFit="1" customWidth="1"/>
    <col min="10755" max="10755" width="18" style="9" customWidth="1"/>
    <col min="10756" max="10756" width="16.81640625" style="9" customWidth="1"/>
    <col min="10757" max="10757" width="15" style="9" customWidth="1"/>
    <col min="10758" max="10758" width="14.54296875" style="9" bestFit="1" customWidth="1"/>
    <col min="10759" max="10759" width="14.54296875" style="9" customWidth="1"/>
    <col min="10760" max="10760" width="28" style="9" customWidth="1"/>
    <col min="10761" max="10761" width="34.81640625" style="9" bestFit="1" customWidth="1"/>
    <col min="10762" max="10762" width="16" style="9" customWidth="1"/>
    <col min="10763" max="10763" width="13.81640625" style="9" customWidth="1"/>
    <col min="10764" max="10764" width="13" style="9" customWidth="1"/>
    <col min="10765" max="10765" width="17" style="9" customWidth="1"/>
    <col min="10766" max="10766" width="14" style="9" bestFit="1" customWidth="1"/>
    <col min="10767" max="10767" width="38" style="9" bestFit="1" customWidth="1"/>
    <col min="10768" max="10768" width="31.453125" style="9" bestFit="1" customWidth="1"/>
    <col min="10769" max="10769" width="37" style="9" bestFit="1" customWidth="1"/>
    <col min="10770" max="10770" width="44.7265625" style="9" bestFit="1" customWidth="1"/>
    <col min="10771" max="10771" width="32.1796875" style="9" bestFit="1" customWidth="1"/>
    <col min="10772" max="11005" width="9.1796875" style="9"/>
    <col min="11006" max="11006" width="17.81640625" style="9" customWidth="1"/>
    <col min="11007" max="11007" width="50" style="9" customWidth="1"/>
    <col min="11008" max="11008" width="17.1796875" style="9" customWidth="1"/>
    <col min="11009" max="11009" width="17.54296875" style="9" customWidth="1"/>
    <col min="11010" max="11010" width="17.26953125" style="9" bestFit="1" customWidth="1"/>
    <col min="11011" max="11011" width="18" style="9" customWidth="1"/>
    <col min="11012" max="11012" width="16.81640625" style="9" customWidth="1"/>
    <col min="11013" max="11013" width="15" style="9" customWidth="1"/>
    <col min="11014" max="11014" width="14.54296875" style="9" bestFit="1" customWidth="1"/>
    <col min="11015" max="11015" width="14.54296875" style="9" customWidth="1"/>
    <col min="11016" max="11016" width="28" style="9" customWidth="1"/>
    <col min="11017" max="11017" width="34.81640625" style="9" bestFit="1" customWidth="1"/>
    <col min="11018" max="11018" width="16" style="9" customWidth="1"/>
    <col min="11019" max="11019" width="13.81640625" style="9" customWidth="1"/>
    <col min="11020" max="11020" width="13" style="9" customWidth="1"/>
    <col min="11021" max="11021" width="17" style="9" customWidth="1"/>
    <col min="11022" max="11022" width="14" style="9" bestFit="1" customWidth="1"/>
    <col min="11023" max="11023" width="38" style="9" bestFit="1" customWidth="1"/>
    <col min="11024" max="11024" width="31.453125" style="9" bestFit="1" customWidth="1"/>
    <col min="11025" max="11025" width="37" style="9" bestFit="1" customWidth="1"/>
    <col min="11026" max="11026" width="44.7265625" style="9" bestFit="1" customWidth="1"/>
    <col min="11027" max="11027" width="32.1796875" style="9" bestFit="1" customWidth="1"/>
    <col min="11028" max="11261" width="9.1796875" style="9"/>
    <col min="11262" max="11262" width="17.81640625" style="9" customWidth="1"/>
    <col min="11263" max="11263" width="50" style="9" customWidth="1"/>
    <col min="11264" max="11264" width="17.1796875" style="9" customWidth="1"/>
    <col min="11265" max="11265" width="17.54296875" style="9" customWidth="1"/>
    <col min="11266" max="11266" width="17.26953125" style="9" bestFit="1" customWidth="1"/>
    <col min="11267" max="11267" width="18" style="9" customWidth="1"/>
    <col min="11268" max="11268" width="16.81640625" style="9" customWidth="1"/>
    <col min="11269" max="11269" width="15" style="9" customWidth="1"/>
    <col min="11270" max="11270" width="14.54296875" style="9" bestFit="1" customWidth="1"/>
    <col min="11271" max="11271" width="14.54296875" style="9" customWidth="1"/>
    <col min="11272" max="11272" width="28" style="9" customWidth="1"/>
    <col min="11273" max="11273" width="34.81640625" style="9" bestFit="1" customWidth="1"/>
    <col min="11274" max="11274" width="16" style="9" customWidth="1"/>
    <col min="11275" max="11275" width="13.81640625" style="9" customWidth="1"/>
    <col min="11276" max="11276" width="13" style="9" customWidth="1"/>
    <col min="11277" max="11277" width="17" style="9" customWidth="1"/>
    <col min="11278" max="11278" width="14" style="9" bestFit="1" customWidth="1"/>
    <col min="11279" max="11279" width="38" style="9" bestFit="1" customWidth="1"/>
    <col min="11280" max="11280" width="31.453125" style="9" bestFit="1" customWidth="1"/>
    <col min="11281" max="11281" width="37" style="9" bestFit="1" customWidth="1"/>
    <col min="11282" max="11282" width="44.7265625" style="9" bestFit="1" customWidth="1"/>
    <col min="11283" max="11283" width="32.1796875" style="9" bestFit="1" customWidth="1"/>
    <col min="11284" max="11517" width="9.1796875" style="9"/>
    <col min="11518" max="11518" width="17.81640625" style="9" customWidth="1"/>
    <col min="11519" max="11519" width="50" style="9" customWidth="1"/>
    <col min="11520" max="11520" width="17.1796875" style="9" customWidth="1"/>
    <col min="11521" max="11521" width="17.54296875" style="9" customWidth="1"/>
    <col min="11522" max="11522" width="17.26953125" style="9" bestFit="1" customWidth="1"/>
    <col min="11523" max="11523" width="18" style="9" customWidth="1"/>
    <col min="11524" max="11524" width="16.81640625" style="9" customWidth="1"/>
    <col min="11525" max="11525" width="15" style="9" customWidth="1"/>
    <col min="11526" max="11526" width="14.54296875" style="9" bestFit="1" customWidth="1"/>
    <col min="11527" max="11527" width="14.54296875" style="9" customWidth="1"/>
    <col min="11528" max="11528" width="28" style="9" customWidth="1"/>
    <col min="11529" max="11529" width="34.81640625" style="9" bestFit="1" customWidth="1"/>
    <col min="11530" max="11530" width="16" style="9" customWidth="1"/>
    <col min="11531" max="11531" width="13.81640625" style="9" customWidth="1"/>
    <col min="11532" max="11532" width="13" style="9" customWidth="1"/>
    <col min="11533" max="11533" width="17" style="9" customWidth="1"/>
    <col min="11534" max="11534" width="14" style="9" bestFit="1" customWidth="1"/>
    <col min="11535" max="11535" width="38" style="9" bestFit="1" customWidth="1"/>
    <col min="11536" max="11536" width="31.453125" style="9" bestFit="1" customWidth="1"/>
    <col min="11537" max="11537" width="37" style="9" bestFit="1" customWidth="1"/>
    <col min="11538" max="11538" width="44.7265625" style="9" bestFit="1" customWidth="1"/>
    <col min="11539" max="11539" width="32.1796875" style="9" bestFit="1" customWidth="1"/>
    <col min="11540" max="11773" width="9.1796875" style="9"/>
    <col min="11774" max="11774" width="17.81640625" style="9" customWidth="1"/>
    <col min="11775" max="11775" width="50" style="9" customWidth="1"/>
    <col min="11776" max="11776" width="17.1796875" style="9" customWidth="1"/>
    <col min="11777" max="11777" width="17.54296875" style="9" customWidth="1"/>
    <col min="11778" max="11778" width="17.26953125" style="9" bestFit="1" customWidth="1"/>
    <col min="11779" max="11779" width="18" style="9" customWidth="1"/>
    <col min="11780" max="11780" width="16.81640625" style="9" customWidth="1"/>
    <col min="11781" max="11781" width="15" style="9" customWidth="1"/>
    <col min="11782" max="11782" width="14.54296875" style="9" bestFit="1" customWidth="1"/>
    <col min="11783" max="11783" width="14.54296875" style="9" customWidth="1"/>
    <col min="11784" max="11784" width="28" style="9" customWidth="1"/>
    <col min="11785" max="11785" width="34.81640625" style="9" bestFit="1" customWidth="1"/>
    <col min="11786" max="11786" width="16" style="9" customWidth="1"/>
    <col min="11787" max="11787" width="13.81640625" style="9" customWidth="1"/>
    <col min="11788" max="11788" width="13" style="9" customWidth="1"/>
    <col min="11789" max="11789" width="17" style="9" customWidth="1"/>
    <col min="11790" max="11790" width="14" style="9" bestFit="1" customWidth="1"/>
    <col min="11791" max="11791" width="38" style="9" bestFit="1" customWidth="1"/>
    <col min="11792" max="11792" width="31.453125" style="9" bestFit="1" customWidth="1"/>
    <col min="11793" max="11793" width="37" style="9" bestFit="1" customWidth="1"/>
    <col min="11794" max="11794" width="44.7265625" style="9" bestFit="1" customWidth="1"/>
    <col min="11795" max="11795" width="32.1796875" style="9" bestFit="1" customWidth="1"/>
    <col min="11796" max="12029" width="9.1796875" style="9"/>
    <col min="12030" max="12030" width="17.81640625" style="9" customWidth="1"/>
    <col min="12031" max="12031" width="50" style="9" customWidth="1"/>
    <col min="12032" max="12032" width="17.1796875" style="9" customWidth="1"/>
    <col min="12033" max="12033" width="17.54296875" style="9" customWidth="1"/>
    <col min="12034" max="12034" width="17.26953125" style="9" bestFit="1" customWidth="1"/>
    <col min="12035" max="12035" width="18" style="9" customWidth="1"/>
    <col min="12036" max="12036" width="16.81640625" style="9" customWidth="1"/>
    <col min="12037" max="12037" width="15" style="9" customWidth="1"/>
    <col min="12038" max="12038" width="14.54296875" style="9" bestFit="1" customWidth="1"/>
    <col min="12039" max="12039" width="14.54296875" style="9" customWidth="1"/>
    <col min="12040" max="12040" width="28" style="9" customWidth="1"/>
    <col min="12041" max="12041" width="34.81640625" style="9" bestFit="1" customWidth="1"/>
    <col min="12042" max="12042" width="16" style="9" customWidth="1"/>
    <col min="12043" max="12043" width="13.81640625" style="9" customWidth="1"/>
    <col min="12044" max="12044" width="13" style="9" customWidth="1"/>
    <col min="12045" max="12045" width="17" style="9" customWidth="1"/>
    <col min="12046" max="12046" width="14" style="9" bestFit="1" customWidth="1"/>
    <col min="12047" max="12047" width="38" style="9" bestFit="1" customWidth="1"/>
    <col min="12048" max="12048" width="31.453125" style="9" bestFit="1" customWidth="1"/>
    <col min="12049" max="12049" width="37" style="9" bestFit="1" customWidth="1"/>
    <col min="12050" max="12050" width="44.7265625" style="9" bestFit="1" customWidth="1"/>
    <col min="12051" max="12051" width="32.1796875" style="9" bestFit="1" customWidth="1"/>
    <col min="12052" max="12285" width="9.1796875" style="9"/>
    <col min="12286" max="12286" width="17.81640625" style="9" customWidth="1"/>
    <col min="12287" max="12287" width="50" style="9" customWidth="1"/>
    <col min="12288" max="12288" width="17.1796875" style="9" customWidth="1"/>
    <col min="12289" max="12289" width="17.54296875" style="9" customWidth="1"/>
    <col min="12290" max="12290" width="17.26953125" style="9" bestFit="1" customWidth="1"/>
    <col min="12291" max="12291" width="18" style="9" customWidth="1"/>
    <col min="12292" max="12292" width="16.81640625" style="9" customWidth="1"/>
    <col min="12293" max="12293" width="15" style="9" customWidth="1"/>
    <col min="12294" max="12294" width="14.54296875" style="9" bestFit="1" customWidth="1"/>
    <col min="12295" max="12295" width="14.54296875" style="9" customWidth="1"/>
    <col min="12296" max="12296" width="28" style="9" customWidth="1"/>
    <col min="12297" max="12297" width="34.81640625" style="9" bestFit="1" customWidth="1"/>
    <col min="12298" max="12298" width="16" style="9" customWidth="1"/>
    <col min="12299" max="12299" width="13.81640625" style="9" customWidth="1"/>
    <col min="12300" max="12300" width="13" style="9" customWidth="1"/>
    <col min="12301" max="12301" width="17" style="9" customWidth="1"/>
    <col min="12302" max="12302" width="14" style="9" bestFit="1" customWidth="1"/>
    <col min="12303" max="12303" width="38" style="9" bestFit="1" customWidth="1"/>
    <col min="12304" max="12304" width="31.453125" style="9" bestFit="1" customWidth="1"/>
    <col min="12305" max="12305" width="37" style="9" bestFit="1" customWidth="1"/>
    <col min="12306" max="12306" width="44.7265625" style="9" bestFit="1" customWidth="1"/>
    <col min="12307" max="12307" width="32.1796875" style="9" bestFit="1" customWidth="1"/>
    <col min="12308" max="12541" width="9.1796875" style="9"/>
    <col min="12542" max="12542" width="17.81640625" style="9" customWidth="1"/>
    <col min="12543" max="12543" width="50" style="9" customWidth="1"/>
    <col min="12544" max="12544" width="17.1796875" style="9" customWidth="1"/>
    <col min="12545" max="12545" width="17.54296875" style="9" customWidth="1"/>
    <col min="12546" max="12546" width="17.26953125" style="9" bestFit="1" customWidth="1"/>
    <col min="12547" max="12547" width="18" style="9" customWidth="1"/>
    <col min="12548" max="12548" width="16.81640625" style="9" customWidth="1"/>
    <col min="12549" max="12549" width="15" style="9" customWidth="1"/>
    <col min="12550" max="12550" width="14.54296875" style="9" bestFit="1" customWidth="1"/>
    <col min="12551" max="12551" width="14.54296875" style="9" customWidth="1"/>
    <col min="12552" max="12552" width="28" style="9" customWidth="1"/>
    <col min="12553" max="12553" width="34.81640625" style="9" bestFit="1" customWidth="1"/>
    <col min="12554" max="12554" width="16" style="9" customWidth="1"/>
    <col min="12555" max="12555" width="13.81640625" style="9" customWidth="1"/>
    <col min="12556" max="12556" width="13" style="9" customWidth="1"/>
    <col min="12557" max="12557" width="17" style="9" customWidth="1"/>
    <col min="12558" max="12558" width="14" style="9" bestFit="1" customWidth="1"/>
    <col min="12559" max="12559" width="38" style="9" bestFit="1" customWidth="1"/>
    <col min="12560" max="12560" width="31.453125" style="9" bestFit="1" customWidth="1"/>
    <col min="12561" max="12561" width="37" style="9" bestFit="1" customWidth="1"/>
    <col min="12562" max="12562" width="44.7265625" style="9" bestFit="1" customWidth="1"/>
    <col min="12563" max="12563" width="32.1796875" style="9" bestFit="1" customWidth="1"/>
    <col min="12564" max="12797" width="9.1796875" style="9"/>
    <col min="12798" max="12798" width="17.81640625" style="9" customWidth="1"/>
    <col min="12799" max="12799" width="50" style="9" customWidth="1"/>
    <col min="12800" max="12800" width="17.1796875" style="9" customWidth="1"/>
    <col min="12801" max="12801" width="17.54296875" style="9" customWidth="1"/>
    <col min="12802" max="12802" width="17.26953125" style="9" bestFit="1" customWidth="1"/>
    <col min="12803" max="12803" width="18" style="9" customWidth="1"/>
    <col min="12804" max="12804" width="16.81640625" style="9" customWidth="1"/>
    <col min="12805" max="12805" width="15" style="9" customWidth="1"/>
    <col min="12806" max="12806" width="14.54296875" style="9" bestFit="1" customWidth="1"/>
    <col min="12807" max="12807" width="14.54296875" style="9" customWidth="1"/>
    <col min="12808" max="12808" width="28" style="9" customWidth="1"/>
    <col min="12809" max="12809" width="34.81640625" style="9" bestFit="1" customWidth="1"/>
    <col min="12810" max="12810" width="16" style="9" customWidth="1"/>
    <col min="12811" max="12811" width="13.81640625" style="9" customWidth="1"/>
    <col min="12812" max="12812" width="13" style="9" customWidth="1"/>
    <col min="12813" max="12813" width="17" style="9" customWidth="1"/>
    <col min="12814" max="12814" width="14" style="9" bestFit="1" customWidth="1"/>
    <col min="12815" max="12815" width="38" style="9" bestFit="1" customWidth="1"/>
    <col min="12816" max="12816" width="31.453125" style="9" bestFit="1" customWidth="1"/>
    <col min="12817" max="12817" width="37" style="9" bestFit="1" customWidth="1"/>
    <col min="12818" max="12818" width="44.7265625" style="9" bestFit="1" customWidth="1"/>
    <col min="12819" max="12819" width="32.1796875" style="9" bestFit="1" customWidth="1"/>
    <col min="12820" max="13053" width="9.1796875" style="9"/>
    <col min="13054" max="13054" width="17.81640625" style="9" customWidth="1"/>
    <col min="13055" max="13055" width="50" style="9" customWidth="1"/>
    <col min="13056" max="13056" width="17.1796875" style="9" customWidth="1"/>
    <col min="13057" max="13057" width="17.54296875" style="9" customWidth="1"/>
    <col min="13058" max="13058" width="17.26953125" style="9" bestFit="1" customWidth="1"/>
    <col min="13059" max="13059" width="18" style="9" customWidth="1"/>
    <col min="13060" max="13060" width="16.81640625" style="9" customWidth="1"/>
    <col min="13061" max="13061" width="15" style="9" customWidth="1"/>
    <col min="13062" max="13062" width="14.54296875" style="9" bestFit="1" customWidth="1"/>
    <col min="13063" max="13063" width="14.54296875" style="9" customWidth="1"/>
    <col min="13064" max="13064" width="28" style="9" customWidth="1"/>
    <col min="13065" max="13065" width="34.81640625" style="9" bestFit="1" customWidth="1"/>
    <col min="13066" max="13066" width="16" style="9" customWidth="1"/>
    <col min="13067" max="13067" width="13.81640625" style="9" customWidth="1"/>
    <col min="13068" max="13068" width="13" style="9" customWidth="1"/>
    <col min="13069" max="13069" width="17" style="9" customWidth="1"/>
    <col min="13070" max="13070" width="14" style="9" bestFit="1" customWidth="1"/>
    <col min="13071" max="13071" width="38" style="9" bestFit="1" customWidth="1"/>
    <col min="13072" max="13072" width="31.453125" style="9" bestFit="1" customWidth="1"/>
    <col min="13073" max="13073" width="37" style="9" bestFit="1" customWidth="1"/>
    <col min="13074" max="13074" width="44.7265625" style="9" bestFit="1" customWidth="1"/>
    <col min="13075" max="13075" width="32.1796875" style="9" bestFit="1" customWidth="1"/>
    <col min="13076" max="13309" width="9.1796875" style="9"/>
    <col min="13310" max="13310" width="17.81640625" style="9" customWidth="1"/>
    <col min="13311" max="13311" width="50" style="9" customWidth="1"/>
    <col min="13312" max="13312" width="17.1796875" style="9" customWidth="1"/>
    <col min="13313" max="13313" width="17.54296875" style="9" customWidth="1"/>
    <col min="13314" max="13314" width="17.26953125" style="9" bestFit="1" customWidth="1"/>
    <col min="13315" max="13315" width="18" style="9" customWidth="1"/>
    <col min="13316" max="13316" width="16.81640625" style="9" customWidth="1"/>
    <col min="13317" max="13317" width="15" style="9" customWidth="1"/>
    <col min="13318" max="13318" width="14.54296875" style="9" bestFit="1" customWidth="1"/>
    <col min="13319" max="13319" width="14.54296875" style="9" customWidth="1"/>
    <col min="13320" max="13320" width="28" style="9" customWidth="1"/>
    <col min="13321" max="13321" width="34.81640625" style="9" bestFit="1" customWidth="1"/>
    <col min="13322" max="13322" width="16" style="9" customWidth="1"/>
    <col min="13323" max="13323" width="13.81640625" style="9" customWidth="1"/>
    <col min="13324" max="13324" width="13" style="9" customWidth="1"/>
    <col min="13325" max="13325" width="17" style="9" customWidth="1"/>
    <col min="13326" max="13326" width="14" style="9" bestFit="1" customWidth="1"/>
    <col min="13327" max="13327" width="38" style="9" bestFit="1" customWidth="1"/>
    <col min="13328" max="13328" width="31.453125" style="9" bestFit="1" customWidth="1"/>
    <col min="13329" max="13329" width="37" style="9" bestFit="1" customWidth="1"/>
    <col min="13330" max="13330" width="44.7265625" style="9" bestFit="1" customWidth="1"/>
    <col min="13331" max="13331" width="32.1796875" style="9" bestFit="1" customWidth="1"/>
    <col min="13332" max="13565" width="9.1796875" style="9"/>
    <col min="13566" max="13566" width="17.81640625" style="9" customWidth="1"/>
    <col min="13567" max="13567" width="50" style="9" customWidth="1"/>
    <col min="13568" max="13568" width="17.1796875" style="9" customWidth="1"/>
    <col min="13569" max="13569" width="17.54296875" style="9" customWidth="1"/>
    <col min="13570" max="13570" width="17.26953125" style="9" bestFit="1" customWidth="1"/>
    <col min="13571" max="13571" width="18" style="9" customWidth="1"/>
    <col min="13572" max="13572" width="16.81640625" style="9" customWidth="1"/>
    <col min="13573" max="13573" width="15" style="9" customWidth="1"/>
    <col min="13574" max="13574" width="14.54296875" style="9" bestFit="1" customWidth="1"/>
    <col min="13575" max="13575" width="14.54296875" style="9" customWidth="1"/>
    <col min="13576" max="13576" width="28" style="9" customWidth="1"/>
    <col min="13577" max="13577" width="34.81640625" style="9" bestFit="1" customWidth="1"/>
    <col min="13578" max="13578" width="16" style="9" customWidth="1"/>
    <col min="13579" max="13579" width="13.81640625" style="9" customWidth="1"/>
    <col min="13580" max="13580" width="13" style="9" customWidth="1"/>
    <col min="13581" max="13581" width="17" style="9" customWidth="1"/>
    <col min="13582" max="13582" width="14" style="9" bestFit="1" customWidth="1"/>
    <col min="13583" max="13583" width="38" style="9" bestFit="1" customWidth="1"/>
    <col min="13584" max="13584" width="31.453125" style="9" bestFit="1" customWidth="1"/>
    <col min="13585" max="13585" width="37" style="9" bestFit="1" customWidth="1"/>
    <col min="13586" max="13586" width="44.7265625" style="9" bestFit="1" customWidth="1"/>
    <col min="13587" max="13587" width="32.1796875" style="9" bestFit="1" customWidth="1"/>
    <col min="13588" max="13821" width="9.1796875" style="9"/>
    <col min="13822" max="13822" width="17.81640625" style="9" customWidth="1"/>
    <col min="13823" max="13823" width="50" style="9" customWidth="1"/>
    <col min="13824" max="13824" width="17.1796875" style="9" customWidth="1"/>
    <col min="13825" max="13825" width="17.54296875" style="9" customWidth="1"/>
    <col min="13826" max="13826" width="17.26953125" style="9" bestFit="1" customWidth="1"/>
    <col min="13827" max="13827" width="18" style="9" customWidth="1"/>
    <col min="13828" max="13828" width="16.81640625" style="9" customWidth="1"/>
    <col min="13829" max="13829" width="15" style="9" customWidth="1"/>
    <col min="13830" max="13830" width="14.54296875" style="9" bestFit="1" customWidth="1"/>
    <col min="13831" max="13831" width="14.54296875" style="9" customWidth="1"/>
    <col min="13832" max="13832" width="28" style="9" customWidth="1"/>
    <col min="13833" max="13833" width="34.81640625" style="9" bestFit="1" customWidth="1"/>
    <col min="13834" max="13834" width="16" style="9" customWidth="1"/>
    <col min="13835" max="13835" width="13.81640625" style="9" customWidth="1"/>
    <col min="13836" max="13836" width="13" style="9" customWidth="1"/>
    <col min="13837" max="13837" width="17" style="9" customWidth="1"/>
    <col min="13838" max="13838" width="14" style="9" bestFit="1" customWidth="1"/>
    <col min="13839" max="13839" width="38" style="9" bestFit="1" customWidth="1"/>
    <col min="13840" max="13840" width="31.453125" style="9" bestFit="1" customWidth="1"/>
    <col min="13841" max="13841" width="37" style="9" bestFit="1" customWidth="1"/>
    <col min="13842" max="13842" width="44.7265625" style="9" bestFit="1" customWidth="1"/>
    <col min="13843" max="13843" width="32.1796875" style="9" bestFit="1" customWidth="1"/>
    <col min="13844" max="14077" width="9.1796875" style="9"/>
    <col min="14078" max="14078" width="17.81640625" style="9" customWidth="1"/>
    <col min="14079" max="14079" width="50" style="9" customWidth="1"/>
    <col min="14080" max="14080" width="17.1796875" style="9" customWidth="1"/>
    <col min="14081" max="14081" width="17.54296875" style="9" customWidth="1"/>
    <col min="14082" max="14082" width="17.26953125" style="9" bestFit="1" customWidth="1"/>
    <col min="14083" max="14083" width="18" style="9" customWidth="1"/>
    <col min="14084" max="14084" width="16.81640625" style="9" customWidth="1"/>
    <col min="14085" max="14085" width="15" style="9" customWidth="1"/>
    <col min="14086" max="14086" width="14.54296875" style="9" bestFit="1" customWidth="1"/>
    <col min="14087" max="14087" width="14.54296875" style="9" customWidth="1"/>
    <col min="14088" max="14088" width="28" style="9" customWidth="1"/>
    <col min="14089" max="14089" width="34.81640625" style="9" bestFit="1" customWidth="1"/>
    <col min="14090" max="14090" width="16" style="9" customWidth="1"/>
    <col min="14091" max="14091" width="13.81640625" style="9" customWidth="1"/>
    <col min="14092" max="14092" width="13" style="9" customWidth="1"/>
    <col min="14093" max="14093" width="17" style="9" customWidth="1"/>
    <col min="14094" max="14094" width="14" style="9" bestFit="1" customWidth="1"/>
    <col min="14095" max="14095" width="38" style="9" bestFit="1" customWidth="1"/>
    <col min="14096" max="14096" width="31.453125" style="9" bestFit="1" customWidth="1"/>
    <col min="14097" max="14097" width="37" style="9" bestFit="1" customWidth="1"/>
    <col min="14098" max="14098" width="44.7265625" style="9" bestFit="1" customWidth="1"/>
    <col min="14099" max="14099" width="32.1796875" style="9" bestFit="1" customWidth="1"/>
    <col min="14100" max="14333" width="9.1796875" style="9"/>
    <col min="14334" max="14334" width="17.81640625" style="9" customWidth="1"/>
    <col min="14335" max="14335" width="50" style="9" customWidth="1"/>
    <col min="14336" max="14336" width="17.1796875" style="9" customWidth="1"/>
    <col min="14337" max="14337" width="17.54296875" style="9" customWidth="1"/>
    <col min="14338" max="14338" width="17.26953125" style="9" bestFit="1" customWidth="1"/>
    <col min="14339" max="14339" width="18" style="9" customWidth="1"/>
    <col min="14340" max="14340" width="16.81640625" style="9" customWidth="1"/>
    <col min="14341" max="14341" width="15" style="9" customWidth="1"/>
    <col min="14342" max="14342" width="14.54296875" style="9" bestFit="1" customWidth="1"/>
    <col min="14343" max="14343" width="14.54296875" style="9" customWidth="1"/>
    <col min="14344" max="14344" width="28" style="9" customWidth="1"/>
    <col min="14345" max="14345" width="34.81640625" style="9" bestFit="1" customWidth="1"/>
    <col min="14346" max="14346" width="16" style="9" customWidth="1"/>
    <col min="14347" max="14347" width="13.81640625" style="9" customWidth="1"/>
    <col min="14348" max="14348" width="13" style="9" customWidth="1"/>
    <col min="14349" max="14349" width="17" style="9" customWidth="1"/>
    <col min="14350" max="14350" width="14" style="9" bestFit="1" customWidth="1"/>
    <col min="14351" max="14351" width="38" style="9" bestFit="1" customWidth="1"/>
    <col min="14352" max="14352" width="31.453125" style="9" bestFit="1" customWidth="1"/>
    <col min="14353" max="14353" width="37" style="9" bestFit="1" customWidth="1"/>
    <col min="14354" max="14354" width="44.7265625" style="9" bestFit="1" customWidth="1"/>
    <col min="14355" max="14355" width="32.1796875" style="9" bestFit="1" customWidth="1"/>
    <col min="14356" max="14589" width="9.1796875" style="9"/>
    <col min="14590" max="14590" width="17.81640625" style="9" customWidth="1"/>
    <col min="14591" max="14591" width="50" style="9" customWidth="1"/>
    <col min="14592" max="14592" width="17.1796875" style="9" customWidth="1"/>
    <col min="14593" max="14593" width="17.54296875" style="9" customWidth="1"/>
    <col min="14594" max="14594" width="17.26953125" style="9" bestFit="1" customWidth="1"/>
    <col min="14595" max="14595" width="18" style="9" customWidth="1"/>
    <col min="14596" max="14596" width="16.81640625" style="9" customWidth="1"/>
    <col min="14597" max="14597" width="15" style="9" customWidth="1"/>
    <col min="14598" max="14598" width="14.54296875" style="9" bestFit="1" customWidth="1"/>
    <col min="14599" max="14599" width="14.54296875" style="9" customWidth="1"/>
    <col min="14600" max="14600" width="28" style="9" customWidth="1"/>
    <col min="14601" max="14601" width="34.81640625" style="9" bestFit="1" customWidth="1"/>
    <col min="14602" max="14602" width="16" style="9" customWidth="1"/>
    <col min="14603" max="14603" width="13.81640625" style="9" customWidth="1"/>
    <col min="14604" max="14604" width="13" style="9" customWidth="1"/>
    <col min="14605" max="14605" width="17" style="9" customWidth="1"/>
    <col min="14606" max="14606" width="14" style="9" bestFit="1" customWidth="1"/>
    <col min="14607" max="14607" width="38" style="9" bestFit="1" customWidth="1"/>
    <col min="14608" max="14608" width="31.453125" style="9" bestFit="1" customWidth="1"/>
    <col min="14609" max="14609" width="37" style="9" bestFit="1" customWidth="1"/>
    <col min="14610" max="14610" width="44.7265625" style="9" bestFit="1" customWidth="1"/>
    <col min="14611" max="14611" width="32.1796875" style="9" bestFit="1" customWidth="1"/>
    <col min="14612" max="14845" width="9.1796875" style="9"/>
    <col min="14846" max="14846" width="17.81640625" style="9" customWidth="1"/>
    <col min="14847" max="14847" width="50" style="9" customWidth="1"/>
    <col min="14848" max="14848" width="17.1796875" style="9" customWidth="1"/>
    <col min="14849" max="14849" width="17.54296875" style="9" customWidth="1"/>
    <col min="14850" max="14850" width="17.26953125" style="9" bestFit="1" customWidth="1"/>
    <col min="14851" max="14851" width="18" style="9" customWidth="1"/>
    <col min="14852" max="14852" width="16.81640625" style="9" customWidth="1"/>
    <col min="14853" max="14853" width="15" style="9" customWidth="1"/>
    <col min="14854" max="14854" width="14.54296875" style="9" bestFit="1" customWidth="1"/>
    <col min="14855" max="14855" width="14.54296875" style="9" customWidth="1"/>
    <col min="14856" max="14856" width="28" style="9" customWidth="1"/>
    <col min="14857" max="14857" width="34.81640625" style="9" bestFit="1" customWidth="1"/>
    <col min="14858" max="14858" width="16" style="9" customWidth="1"/>
    <col min="14859" max="14859" width="13.81640625" style="9" customWidth="1"/>
    <col min="14860" max="14860" width="13" style="9" customWidth="1"/>
    <col min="14861" max="14861" width="17" style="9" customWidth="1"/>
    <col min="14862" max="14862" width="14" style="9" bestFit="1" customWidth="1"/>
    <col min="14863" max="14863" width="38" style="9" bestFit="1" customWidth="1"/>
    <col min="14864" max="14864" width="31.453125" style="9" bestFit="1" customWidth="1"/>
    <col min="14865" max="14865" width="37" style="9" bestFit="1" customWidth="1"/>
    <col min="14866" max="14866" width="44.7265625" style="9" bestFit="1" customWidth="1"/>
    <col min="14867" max="14867" width="32.1796875" style="9" bestFit="1" customWidth="1"/>
    <col min="14868" max="15101" width="9.1796875" style="9"/>
    <col min="15102" max="15102" width="17.81640625" style="9" customWidth="1"/>
    <col min="15103" max="15103" width="50" style="9" customWidth="1"/>
    <col min="15104" max="15104" width="17.1796875" style="9" customWidth="1"/>
    <col min="15105" max="15105" width="17.54296875" style="9" customWidth="1"/>
    <col min="15106" max="15106" width="17.26953125" style="9" bestFit="1" customWidth="1"/>
    <col min="15107" max="15107" width="18" style="9" customWidth="1"/>
    <col min="15108" max="15108" width="16.81640625" style="9" customWidth="1"/>
    <col min="15109" max="15109" width="15" style="9" customWidth="1"/>
    <col min="15110" max="15110" width="14.54296875" style="9" bestFit="1" customWidth="1"/>
    <col min="15111" max="15111" width="14.54296875" style="9" customWidth="1"/>
    <col min="15112" max="15112" width="28" style="9" customWidth="1"/>
    <col min="15113" max="15113" width="34.81640625" style="9" bestFit="1" customWidth="1"/>
    <col min="15114" max="15114" width="16" style="9" customWidth="1"/>
    <col min="15115" max="15115" width="13.81640625" style="9" customWidth="1"/>
    <col min="15116" max="15116" width="13" style="9" customWidth="1"/>
    <col min="15117" max="15117" width="17" style="9" customWidth="1"/>
    <col min="15118" max="15118" width="14" style="9" bestFit="1" customWidth="1"/>
    <col min="15119" max="15119" width="38" style="9" bestFit="1" customWidth="1"/>
    <col min="15120" max="15120" width="31.453125" style="9" bestFit="1" customWidth="1"/>
    <col min="15121" max="15121" width="37" style="9" bestFit="1" customWidth="1"/>
    <col min="15122" max="15122" width="44.7265625" style="9" bestFit="1" customWidth="1"/>
    <col min="15123" max="15123" width="32.1796875" style="9" bestFit="1" customWidth="1"/>
    <col min="15124" max="15357" width="9.1796875" style="9"/>
    <col min="15358" max="15358" width="17.81640625" style="9" customWidth="1"/>
    <col min="15359" max="15359" width="50" style="9" customWidth="1"/>
    <col min="15360" max="15360" width="17.1796875" style="9" customWidth="1"/>
    <col min="15361" max="15361" width="17.54296875" style="9" customWidth="1"/>
    <col min="15362" max="15362" width="17.26953125" style="9" bestFit="1" customWidth="1"/>
    <col min="15363" max="15363" width="18" style="9" customWidth="1"/>
    <col min="15364" max="15364" width="16.81640625" style="9" customWidth="1"/>
    <col min="15365" max="15365" width="15" style="9" customWidth="1"/>
    <col min="15366" max="15366" width="14.54296875" style="9" bestFit="1" customWidth="1"/>
    <col min="15367" max="15367" width="14.54296875" style="9" customWidth="1"/>
    <col min="15368" max="15368" width="28" style="9" customWidth="1"/>
    <col min="15369" max="15369" width="34.81640625" style="9" bestFit="1" customWidth="1"/>
    <col min="15370" max="15370" width="16" style="9" customWidth="1"/>
    <col min="15371" max="15371" width="13.81640625" style="9" customWidth="1"/>
    <col min="15372" max="15372" width="13" style="9" customWidth="1"/>
    <col min="15373" max="15373" width="17" style="9" customWidth="1"/>
    <col min="15374" max="15374" width="14" style="9" bestFit="1" customWidth="1"/>
    <col min="15375" max="15375" width="38" style="9" bestFit="1" customWidth="1"/>
    <col min="15376" max="15376" width="31.453125" style="9" bestFit="1" customWidth="1"/>
    <col min="15377" max="15377" width="37" style="9" bestFit="1" customWidth="1"/>
    <col min="15378" max="15378" width="44.7265625" style="9" bestFit="1" customWidth="1"/>
    <col min="15379" max="15379" width="32.1796875" style="9" bestFit="1" customWidth="1"/>
    <col min="15380" max="15613" width="9.1796875" style="9"/>
    <col min="15614" max="15614" width="17.81640625" style="9" customWidth="1"/>
    <col min="15615" max="15615" width="50" style="9" customWidth="1"/>
    <col min="15616" max="15616" width="17.1796875" style="9" customWidth="1"/>
    <col min="15617" max="15617" width="17.54296875" style="9" customWidth="1"/>
    <col min="15618" max="15618" width="17.26953125" style="9" bestFit="1" customWidth="1"/>
    <col min="15619" max="15619" width="18" style="9" customWidth="1"/>
    <col min="15620" max="15620" width="16.81640625" style="9" customWidth="1"/>
    <col min="15621" max="15621" width="15" style="9" customWidth="1"/>
    <col min="15622" max="15622" width="14.54296875" style="9" bestFit="1" customWidth="1"/>
    <col min="15623" max="15623" width="14.54296875" style="9" customWidth="1"/>
    <col min="15624" max="15624" width="28" style="9" customWidth="1"/>
    <col min="15625" max="15625" width="34.81640625" style="9" bestFit="1" customWidth="1"/>
    <col min="15626" max="15626" width="16" style="9" customWidth="1"/>
    <col min="15627" max="15627" width="13.81640625" style="9" customWidth="1"/>
    <col min="15628" max="15628" width="13" style="9" customWidth="1"/>
    <col min="15629" max="15629" width="17" style="9" customWidth="1"/>
    <col min="15630" max="15630" width="14" style="9" bestFit="1" customWidth="1"/>
    <col min="15631" max="15631" width="38" style="9" bestFit="1" customWidth="1"/>
    <col min="15632" max="15632" width="31.453125" style="9" bestFit="1" customWidth="1"/>
    <col min="15633" max="15633" width="37" style="9" bestFit="1" customWidth="1"/>
    <col min="15634" max="15634" width="44.7265625" style="9" bestFit="1" customWidth="1"/>
    <col min="15635" max="15635" width="32.1796875" style="9" bestFit="1" customWidth="1"/>
    <col min="15636" max="15869" width="9.1796875" style="9"/>
    <col min="15870" max="15870" width="17.81640625" style="9" customWidth="1"/>
    <col min="15871" max="15871" width="50" style="9" customWidth="1"/>
    <col min="15872" max="15872" width="17.1796875" style="9" customWidth="1"/>
    <col min="15873" max="15873" width="17.54296875" style="9" customWidth="1"/>
    <col min="15874" max="15874" width="17.26953125" style="9" bestFit="1" customWidth="1"/>
    <col min="15875" max="15875" width="18" style="9" customWidth="1"/>
    <col min="15876" max="15876" width="16.81640625" style="9" customWidth="1"/>
    <col min="15877" max="15877" width="15" style="9" customWidth="1"/>
    <col min="15878" max="15878" width="14.54296875" style="9" bestFit="1" customWidth="1"/>
    <col min="15879" max="15879" width="14.54296875" style="9" customWidth="1"/>
    <col min="15880" max="15880" width="28" style="9" customWidth="1"/>
    <col min="15881" max="15881" width="34.81640625" style="9" bestFit="1" customWidth="1"/>
    <col min="15882" max="15882" width="16" style="9" customWidth="1"/>
    <col min="15883" max="15883" width="13.81640625" style="9" customWidth="1"/>
    <col min="15884" max="15884" width="13" style="9" customWidth="1"/>
    <col min="15885" max="15885" width="17" style="9" customWidth="1"/>
    <col min="15886" max="15886" width="14" style="9" bestFit="1" customWidth="1"/>
    <col min="15887" max="15887" width="38" style="9" bestFit="1" customWidth="1"/>
    <col min="15888" max="15888" width="31.453125" style="9" bestFit="1" customWidth="1"/>
    <col min="15889" max="15889" width="37" style="9" bestFit="1" customWidth="1"/>
    <col min="15890" max="15890" width="44.7265625" style="9" bestFit="1" customWidth="1"/>
    <col min="15891" max="15891" width="32.1796875" style="9" bestFit="1" customWidth="1"/>
    <col min="15892" max="16125" width="9.1796875" style="9"/>
    <col min="16126" max="16126" width="17.81640625" style="9" customWidth="1"/>
    <col min="16127" max="16127" width="50" style="9" customWidth="1"/>
    <col min="16128" max="16128" width="17.1796875" style="9" customWidth="1"/>
    <col min="16129" max="16129" width="17.54296875" style="9" customWidth="1"/>
    <col min="16130" max="16130" width="17.26953125" style="9" bestFit="1" customWidth="1"/>
    <col min="16131" max="16131" width="18" style="9" customWidth="1"/>
    <col min="16132" max="16132" width="16.81640625" style="9" customWidth="1"/>
    <col min="16133" max="16133" width="15" style="9" customWidth="1"/>
    <col min="16134" max="16134" width="14.54296875" style="9" bestFit="1" customWidth="1"/>
    <col min="16135" max="16135" width="14.54296875" style="9" customWidth="1"/>
    <col min="16136" max="16136" width="28" style="9" customWidth="1"/>
    <col min="16137" max="16137" width="34.81640625" style="9" bestFit="1" customWidth="1"/>
    <col min="16138" max="16138" width="16" style="9" customWidth="1"/>
    <col min="16139" max="16139" width="13.81640625" style="9" customWidth="1"/>
    <col min="16140" max="16140" width="13" style="9" customWidth="1"/>
    <col min="16141" max="16141" width="17" style="9" customWidth="1"/>
    <col min="16142" max="16142" width="14" style="9" bestFit="1" customWidth="1"/>
    <col min="16143" max="16143" width="38" style="9" bestFit="1" customWidth="1"/>
    <col min="16144" max="16144" width="31.453125" style="9" bestFit="1" customWidth="1"/>
    <col min="16145" max="16145" width="37" style="9" bestFit="1" customWidth="1"/>
    <col min="16146" max="16146" width="44.7265625" style="9" bestFit="1" customWidth="1"/>
    <col min="16147" max="16147" width="32.1796875" style="9" bestFit="1" customWidth="1"/>
    <col min="16148" max="16384" width="9.1796875" style="9"/>
  </cols>
  <sheetData>
    <row r="1" spans="1:21" customFormat="1" ht="27" thickBot="1" x14ac:dyDescent="0.4">
      <c r="A1" s="339" t="s">
        <v>3636</v>
      </c>
      <c r="B1" s="340" t="s">
        <v>0</v>
      </c>
      <c r="C1" s="341" t="s">
        <v>3637</v>
      </c>
      <c r="D1" s="342" t="s">
        <v>3638</v>
      </c>
      <c r="E1" s="342" t="s">
        <v>1</v>
      </c>
      <c r="F1" s="341" t="s">
        <v>3639</v>
      </c>
      <c r="G1" s="341" t="s">
        <v>1483</v>
      </c>
      <c r="H1" s="341" t="s">
        <v>3640</v>
      </c>
      <c r="I1" s="343" t="s">
        <v>3641</v>
      </c>
      <c r="J1" s="343" t="s">
        <v>3642</v>
      </c>
      <c r="K1" s="344" t="s">
        <v>3643</v>
      </c>
      <c r="L1" s="340" t="s">
        <v>3644</v>
      </c>
      <c r="M1" s="631" t="s">
        <v>6170</v>
      </c>
      <c r="N1" s="383" t="s">
        <v>739</v>
      </c>
      <c r="O1" s="384" t="s">
        <v>3645</v>
      </c>
      <c r="P1" s="383" t="s">
        <v>3646</v>
      </c>
      <c r="Q1" s="383" t="s">
        <v>3647</v>
      </c>
      <c r="R1" s="383" t="s">
        <v>3648</v>
      </c>
      <c r="S1" s="383" t="s">
        <v>3649</v>
      </c>
      <c r="T1" s="385" t="s">
        <v>3478</v>
      </c>
      <c r="U1" s="382" t="s">
        <v>5916</v>
      </c>
    </row>
    <row r="2" spans="1:21" s="594" customFormat="1" hidden="1" x14ac:dyDescent="0.35">
      <c r="A2" s="592" t="s">
        <v>3650</v>
      </c>
      <c r="B2" s="588" t="s">
        <v>3651</v>
      </c>
      <c r="C2" s="797" t="s">
        <v>3652</v>
      </c>
      <c r="D2" s="387" t="s">
        <v>3653</v>
      </c>
      <c r="E2" s="797"/>
      <c r="F2" s="386" t="s">
        <v>3654</v>
      </c>
      <c r="G2" s="592" t="s">
        <v>3655</v>
      </c>
      <c r="H2" s="2" t="s">
        <v>3656</v>
      </c>
      <c r="I2" s="345">
        <v>4048</v>
      </c>
      <c r="J2" s="346">
        <v>2771.7</v>
      </c>
      <c r="K2" s="345">
        <f>+J2*0.5556</f>
        <v>1539.95652</v>
      </c>
      <c r="L2" s="345">
        <f>+K2*Q2</f>
        <v>307.99130400000001</v>
      </c>
      <c r="M2" s="345" t="s">
        <v>6169</v>
      </c>
      <c r="N2" s="2" t="s">
        <v>3657</v>
      </c>
      <c r="O2" s="2" t="s">
        <v>3658</v>
      </c>
      <c r="P2" s="387" t="s">
        <v>3659</v>
      </c>
      <c r="Q2" s="388">
        <v>0.2</v>
      </c>
      <c r="R2" s="389"/>
      <c r="S2" s="588" t="s">
        <v>3475</v>
      </c>
      <c r="T2" s="588" t="s">
        <v>5914</v>
      </c>
      <c r="U2" s="594" t="s">
        <v>3475</v>
      </c>
    </row>
    <row r="3" spans="1:21" s="594" customFormat="1" hidden="1" x14ac:dyDescent="0.35">
      <c r="A3" s="592" t="s">
        <v>3660</v>
      </c>
      <c r="B3" s="588" t="s">
        <v>3651</v>
      </c>
      <c r="C3" s="797" t="s">
        <v>3652</v>
      </c>
      <c r="D3" s="387" t="s">
        <v>3653</v>
      </c>
      <c r="E3" s="797"/>
      <c r="F3" s="386" t="s">
        <v>3654</v>
      </c>
      <c r="G3" s="592" t="s">
        <v>3655</v>
      </c>
      <c r="H3" s="2" t="s">
        <v>3656</v>
      </c>
      <c r="I3" s="345">
        <v>4048</v>
      </c>
      <c r="J3" s="346">
        <v>2771.7</v>
      </c>
      <c r="K3" s="345">
        <f>+J3*0.5556</f>
        <v>1539.95652</v>
      </c>
      <c r="L3" s="345">
        <f>+K3*Q3</f>
        <v>307.99130400000001</v>
      </c>
      <c r="M3" s="345" t="s">
        <v>6169</v>
      </c>
      <c r="N3" s="2" t="s">
        <v>3661</v>
      </c>
      <c r="O3" s="2" t="s">
        <v>3658</v>
      </c>
      <c r="P3" s="387" t="s">
        <v>3659</v>
      </c>
      <c r="Q3" s="388">
        <v>0.2</v>
      </c>
      <c r="R3" s="389"/>
      <c r="S3" s="588" t="s">
        <v>3475</v>
      </c>
      <c r="T3" s="588" t="s">
        <v>5914</v>
      </c>
      <c r="U3" s="594" t="s">
        <v>3475</v>
      </c>
    </row>
    <row r="4" spans="1:21" s="594" customFormat="1" hidden="1" x14ac:dyDescent="0.35">
      <c r="A4" s="592" t="s">
        <v>3662</v>
      </c>
      <c r="B4" s="588" t="s">
        <v>3651</v>
      </c>
      <c r="C4" s="797" t="s">
        <v>3652</v>
      </c>
      <c r="D4" s="387" t="s">
        <v>3653</v>
      </c>
      <c r="E4" s="797"/>
      <c r="F4" s="386" t="s">
        <v>3654</v>
      </c>
      <c r="G4" s="592" t="s">
        <v>3655</v>
      </c>
      <c r="H4" s="2" t="s">
        <v>3656</v>
      </c>
      <c r="I4" s="345">
        <v>4048</v>
      </c>
      <c r="J4" s="346">
        <v>2771.7</v>
      </c>
      <c r="K4" s="345">
        <f>+J4*0.5556</f>
        <v>1539.95652</v>
      </c>
      <c r="L4" s="345">
        <f>+K4*Q4</f>
        <v>307.99130400000001</v>
      </c>
      <c r="M4" s="345" t="s">
        <v>6169</v>
      </c>
      <c r="N4" s="2" t="s">
        <v>3663</v>
      </c>
      <c r="O4" s="2" t="s">
        <v>3658</v>
      </c>
      <c r="P4" s="387" t="s">
        <v>3659</v>
      </c>
      <c r="Q4" s="388">
        <v>0.2</v>
      </c>
      <c r="R4" s="389"/>
      <c r="S4" s="588" t="s">
        <v>3475</v>
      </c>
      <c r="T4" s="588" t="s">
        <v>5914</v>
      </c>
      <c r="U4" s="594" t="s">
        <v>3475</v>
      </c>
    </row>
    <row r="5" spans="1:21" s="594" customFormat="1" hidden="1" x14ac:dyDescent="0.35">
      <c r="A5" s="592" t="s">
        <v>3664</v>
      </c>
      <c r="B5" s="588" t="s">
        <v>3651</v>
      </c>
      <c r="C5" s="797" t="s">
        <v>3652</v>
      </c>
      <c r="D5" s="387" t="s">
        <v>3653</v>
      </c>
      <c r="E5" s="797"/>
      <c r="F5" s="386" t="s">
        <v>3654</v>
      </c>
      <c r="G5" s="592" t="s">
        <v>3655</v>
      </c>
      <c r="H5" s="2" t="s">
        <v>3656</v>
      </c>
      <c r="I5" s="345">
        <v>4048</v>
      </c>
      <c r="J5" s="346">
        <v>2771.7</v>
      </c>
      <c r="K5" s="345">
        <f>+J5*0.5556</f>
        <v>1539.95652</v>
      </c>
      <c r="L5" s="345">
        <f>+K5*Q5</f>
        <v>307.99130400000001</v>
      </c>
      <c r="M5" s="345" t="s">
        <v>6169</v>
      </c>
      <c r="N5" s="2" t="s">
        <v>3665</v>
      </c>
      <c r="O5" s="2" t="s">
        <v>3658</v>
      </c>
      <c r="P5" s="387" t="s">
        <v>3659</v>
      </c>
      <c r="Q5" s="388">
        <v>0.2</v>
      </c>
      <c r="R5" s="389"/>
      <c r="S5" s="588" t="s">
        <v>3475</v>
      </c>
      <c r="T5" s="588" t="s">
        <v>5914</v>
      </c>
      <c r="U5" s="594" t="s">
        <v>3475</v>
      </c>
    </row>
    <row r="6" spans="1:21" s="594" customFormat="1" hidden="1" x14ac:dyDescent="0.35">
      <c r="A6" s="592" t="s">
        <v>3666</v>
      </c>
      <c r="B6" s="588" t="s">
        <v>3651</v>
      </c>
      <c r="C6" s="797" t="s">
        <v>3652</v>
      </c>
      <c r="D6" s="387" t="s">
        <v>3653</v>
      </c>
      <c r="E6" s="797"/>
      <c r="F6" s="386" t="s">
        <v>3654</v>
      </c>
      <c r="G6" s="592" t="s">
        <v>3655</v>
      </c>
      <c r="H6" s="2" t="s">
        <v>3656</v>
      </c>
      <c r="I6" s="345">
        <v>4048</v>
      </c>
      <c r="J6" s="346">
        <v>2771.7</v>
      </c>
      <c r="K6" s="345">
        <f>+J6*0.5556</f>
        <v>1539.95652</v>
      </c>
      <c r="L6" s="345">
        <f>+K6*Q6</f>
        <v>307.99130400000001</v>
      </c>
      <c r="M6" s="345" t="s">
        <v>6169</v>
      </c>
      <c r="N6" s="2" t="s">
        <v>3667</v>
      </c>
      <c r="O6" s="2" t="s">
        <v>3658</v>
      </c>
      <c r="P6" s="387" t="s">
        <v>3659</v>
      </c>
      <c r="Q6" s="388">
        <v>0.2</v>
      </c>
      <c r="R6" s="389"/>
      <c r="S6" s="588" t="s">
        <v>3475</v>
      </c>
      <c r="T6" s="588" t="s">
        <v>5914</v>
      </c>
      <c r="U6" s="594" t="s">
        <v>3475</v>
      </c>
    </row>
    <row r="7" spans="1:21" s="594" customFormat="1" hidden="1" x14ac:dyDescent="0.35">
      <c r="A7" s="592" t="s">
        <v>3668</v>
      </c>
      <c r="B7" s="588" t="s">
        <v>3651</v>
      </c>
      <c r="C7" s="797" t="s">
        <v>3652</v>
      </c>
      <c r="D7" s="387" t="s">
        <v>3653</v>
      </c>
      <c r="E7" s="797"/>
      <c r="F7" s="386" t="s">
        <v>3654</v>
      </c>
      <c r="G7" s="592" t="s">
        <v>3655</v>
      </c>
      <c r="H7" s="2" t="s">
        <v>3656</v>
      </c>
      <c r="I7" s="345">
        <v>4048</v>
      </c>
      <c r="J7" s="346">
        <v>2771.7</v>
      </c>
      <c r="K7" s="345">
        <f>+J7*0.5556</f>
        <v>1539.95652</v>
      </c>
      <c r="L7" s="345">
        <f>+K7*Q7</f>
        <v>307.99130400000001</v>
      </c>
      <c r="M7" s="345" t="s">
        <v>6169</v>
      </c>
      <c r="N7" s="2" t="s">
        <v>3669</v>
      </c>
      <c r="O7" s="2" t="s">
        <v>3658</v>
      </c>
      <c r="P7" s="387" t="s">
        <v>3659</v>
      </c>
      <c r="Q7" s="388">
        <v>0.2</v>
      </c>
      <c r="R7" s="389"/>
      <c r="S7" s="588" t="s">
        <v>3475</v>
      </c>
      <c r="T7" s="588" t="s">
        <v>5914</v>
      </c>
      <c r="U7" s="594" t="s">
        <v>3475</v>
      </c>
    </row>
    <row r="8" spans="1:21" s="594" customFormat="1" hidden="1" x14ac:dyDescent="0.35">
      <c r="A8" s="592" t="s">
        <v>3670</v>
      </c>
      <c r="B8" s="588" t="s">
        <v>3651</v>
      </c>
      <c r="C8" s="797" t="s">
        <v>3652</v>
      </c>
      <c r="D8" s="387" t="s">
        <v>3653</v>
      </c>
      <c r="E8" s="797"/>
      <c r="F8" s="386" t="s">
        <v>3654</v>
      </c>
      <c r="G8" s="592" t="s">
        <v>3655</v>
      </c>
      <c r="H8" s="2" t="s">
        <v>3656</v>
      </c>
      <c r="I8" s="345">
        <v>4048</v>
      </c>
      <c r="J8" s="346">
        <v>2771.7</v>
      </c>
      <c r="K8" s="345">
        <f>+J8*0.5556</f>
        <v>1539.95652</v>
      </c>
      <c r="L8" s="345">
        <f>+K8*Q8</f>
        <v>307.99130400000001</v>
      </c>
      <c r="M8" s="345" t="s">
        <v>6169</v>
      </c>
      <c r="N8" s="2" t="s">
        <v>3671</v>
      </c>
      <c r="O8" s="2" t="s">
        <v>3658</v>
      </c>
      <c r="P8" s="387" t="s">
        <v>3659</v>
      </c>
      <c r="Q8" s="388">
        <v>0.2</v>
      </c>
      <c r="R8" s="389"/>
      <c r="S8" s="588" t="s">
        <v>3475</v>
      </c>
      <c r="T8" s="588" t="s">
        <v>5914</v>
      </c>
      <c r="U8" s="594" t="s">
        <v>3475</v>
      </c>
    </row>
    <row r="9" spans="1:21" s="594" customFormat="1" hidden="1" x14ac:dyDescent="0.35">
      <c r="A9" s="592" t="s">
        <v>3672</v>
      </c>
      <c r="B9" s="588" t="s">
        <v>3651</v>
      </c>
      <c r="C9" s="797" t="s">
        <v>3652</v>
      </c>
      <c r="D9" s="387" t="s">
        <v>3653</v>
      </c>
      <c r="E9" s="797"/>
      <c r="F9" s="386" t="s">
        <v>3654</v>
      </c>
      <c r="G9" s="592" t="s">
        <v>3655</v>
      </c>
      <c r="H9" s="2" t="s">
        <v>3656</v>
      </c>
      <c r="I9" s="345">
        <v>4048</v>
      </c>
      <c r="J9" s="346">
        <v>2771.7</v>
      </c>
      <c r="K9" s="345">
        <f>+J9*0.5556</f>
        <v>1539.95652</v>
      </c>
      <c r="L9" s="345">
        <f>+K9*Q9</f>
        <v>307.99130400000001</v>
      </c>
      <c r="M9" s="345" t="s">
        <v>6169</v>
      </c>
      <c r="N9" s="2" t="s">
        <v>3673</v>
      </c>
      <c r="O9" s="2" t="s">
        <v>3658</v>
      </c>
      <c r="P9" s="387" t="s">
        <v>3659</v>
      </c>
      <c r="Q9" s="388">
        <v>0.2</v>
      </c>
      <c r="R9" s="389"/>
      <c r="S9" s="588" t="s">
        <v>3475</v>
      </c>
      <c r="T9" s="588" t="s">
        <v>5914</v>
      </c>
      <c r="U9" s="594" t="s">
        <v>3475</v>
      </c>
    </row>
    <row r="10" spans="1:21" s="594" customFormat="1" hidden="1" x14ac:dyDescent="0.35">
      <c r="A10" s="592" t="s">
        <v>3674</v>
      </c>
      <c r="B10" s="588" t="s">
        <v>3651</v>
      </c>
      <c r="C10" s="797" t="s">
        <v>3652</v>
      </c>
      <c r="D10" s="387" t="s">
        <v>3653</v>
      </c>
      <c r="E10" s="797"/>
      <c r="F10" s="386" t="s">
        <v>3654</v>
      </c>
      <c r="G10" s="592" t="s">
        <v>3655</v>
      </c>
      <c r="H10" s="2" t="s">
        <v>3656</v>
      </c>
      <c r="I10" s="345">
        <v>4048</v>
      </c>
      <c r="J10" s="346">
        <v>2771.7</v>
      </c>
      <c r="K10" s="345">
        <f>+J10*0.5556</f>
        <v>1539.95652</v>
      </c>
      <c r="L10" s="345">
        <f>+K10*Q10</f>
        <v>307.99130400000001</v>
      </c>
      <c r="M10" s="345" t="s">
        <v>6169</v>
      </c>
      <c r="N10" s="2" t="s">
        <v>3675</v>
      </c>
      <c r="O10" s="2" t="s">
        <v>3658</v>
      </c>
      <c r="P10" s="387" t="s">
        <v>3659</v>
      </c>
      <c r="Q10" s="388">
        <v>0.2</v>
      </c>
      <c r="R10" s="389"/>
      <c r="S10" s="798" t="s">
        <v>3475</v>
      </c>
      <c r="T10" s="798" t="s">
        <v>5914</v>
      </c>
      <c r="U10" s="594" t="s">
        <v>3475</v>
      </c>
    </row>
    <row r="11" spans="1:21" s="594" customFormat="1" hidden="1" x14ac:dyDescent="0.35">
      <c r="A11" s="592" t="s">
        <v>3676</v>
      </c>
      <c r="B11" s="588" t="s">
        <v>3677</v>
      </c>
      <c r="C11" s="591">
        <v>40155</v>
      </c>
      <c r="D11" s="4">
        <v>40155</v>
      </c>
      <c r="E11" s="591"/>
      <c r="F11" s="386" t="s">
        <v>3678</v>
      </c>
      <c r="G11" s="592" t="s">
        <v>3655</v>
      </c>
      <c r="H11" s="2" t="s">
        <v>3656</v>
      </c>
      <c r="I11" s="345">
        <v>4000</v>
      </c>
      <c r="J11" s="346">
        <v>2775.32</v>
      </c>
      <c r="K11" s="345">
        <f>+J11*0.5556</f>
        <v>1541.9677920000001</v>
      </c>
      <c r="L11" s="345">
        <f>+K11*Q11</f>
        <v>308.39355840000007</v>
      </c>
      <c r="M11" s="345" t="s">
        <v>6169</v>
      </c>
      <c r="N11" s="2" t="s">
        <v>3679</v>
      </c>
      <c r="O11" s="2" t="s">
        <v>3658</v>
      </c>
      <c r="P11" s="387" t="s">
        <v>3659</v>
      </c>
      <c r="Q11" s="388">
        <v>0.2</v>
      </c>
      <c r="R11" s="389"/>
      <c r="S11" s="588" t="s">
        <v>3475</v>
      </c>
      <c r="T11" s="588" t="s">
        <v>5914</v>
      </c>
      <c r="U11" s="588" t="s">
        <v>3475</v>
      </c>
    </row>
    <row r="12" spans="1:21" hidden="1" x14ac:dyDescent="0.35">
      <c r="A12" s="386" t="s">
        <v>3680</v>
      </c>
      <c r="B12" s="534" t="s">
        <v>3681</v>
      </c>
      <c r="C12" s="387" t="s">
        <v>3682</v>
      </c>
      <c r="D12" s="387" t="s">
        <v>3683</v>
      </c>
      <c r="E12" s="387"/>
      <c r="F12" s="386" t="s">
        <v>3678</v>
      </c>
      <c r="G12" s="386" t="s">
        <v>1486</v>
      </c>
      <c r="H12" s="2" t="s">
        <v>3656</v>
      </c>
      <c r="I12" s="345">
        <v>1637.7</v>
      </c>
      <c r="J12" s="346">
        <v>1126.8599999999999</v>
      </c>
      <c r="K12" s="345">
        <f>+J12*0.5556</f>
        <v>626.08341599999994</v>
      </c>
      <c r="L12" s="345">
        <f>+K12*Q12</f>
        <v>125.21668319999999</v>
      </c>
      <c r="M12" s="345" t="s">
        <v>6169</v>
      </c>
      <c r="N12" s="2" t="s">
        <v>3684</v>
      </c>
      <c r="O12" s="2" t="s">
        <v>3685</v>
      </c>
      <c r="P12" s="387" t="s">
        <v>3659</v>
      </c>
      <c r="Q12" s="388">
        <v>0.2</v>
      </c>
      <c r="R12" s="389"/>
      <c r="S12" s="527" t="s">
        <v>3475</v>
      </c>
      <c r="T12" s="527" t="s">
        <v>5914</v>
      </c>
      <c r="U12" s="9" t="s">
        <v>3475</v>
      </c>
    </row>
    <row r="13" spans="1:21" hidden="1" x14ac:dyDescent="0.35">
      <c r="A13" s="386" t="s">
        <v>3686</v>
      </c>
      <c r="B13" s="534" t="s">
        <v>3681</v>
      </c>
      <c r="C13" s="387" t="s">
        <v>3682</v>
      </c>
      <c r="D13" s="387" t="s">
        <v>3683</v>
      </c>
      <c r="E13" s="387"/>
      <c r="F13" s="386" t="s">
        <v>3678</v>
      </c>
      <c r="G13" s="386" t="s">
        <v>1486</v>
      </c>
      <c r="H13" s="2" t="s">
        <v>3656</v>
      </c>
      <c r="I13" s="345">
        <v>1637.7</v>
      </c>
      <c r="J13" s="346">
        <v>1126.8599999999999</v>
      </c>
      <c r="K13" s="345">
        <f>+J13*0.5556</f>
        <v>626.08341599999994</v>
      </c>
      <c r="L13" s="345">
        <f>+K13*Q13</f>
        <v>125.21668319999999</v>
      </c>
      <c r="M13" s="345" t="s">
        <v>6169</v>
      </c>
      <c r="N13" s="2" t="s">
        <v>3684</v>
      </c>
      <c r="O13" s="2" t="s">
        <v>3685</v>
      </c>
      <c r="P13" s="387" t="s">
        <v>3659</v>
      </c>
      <c r="Q13" s="388">
        <v>0.2</v>
      </c>
      <c r="R13" s="389"/>
      <c r="S13" s="2" t="s">
        <v>3475</v>
      </c>
      <c r="T13" s="2" t="s">
        <v>5914</v>
      </c>
      <c r="U13" s="9" t="s">
        <v>3475</v>
      </c>
    </row>
    <row r="14" spans="1:21" hidden="1" x14ac:dyDescent="0.35">
      <c r="A14" s="386" t="s">
        <v>3687</v>
      </c>
      <c r="B14" s="534" t="s">
        <v>3681</v>
      </c>
      <c r="C14" s="387" t="s">
        <v>3682</v>
      </c>
      <c r="D14" s="387" t="s">
        <v>3683</v>
      </c>
      <c r="E14" s="387"/>
      <c r="F14" s="386" t="s">
        <v>3678</v>
      </c>
      <c r="G14" s="386" t="s">
        <v>1486</v>
      </c>
      <c r="H14" s="2" t="s">
        <v>3656</v>
      </c>
      <c r="I14" s="345">
        <v>1637.7</v>
      </c>
      <c r="J14" s="346">
        <v>1126.8599999999999</v>
      </c>
      <c r="K14" s="345">
        <f>+J14*0.5556</f>
        <v>626.08341599999994</v>
      </c>
      <c r="L14" s="345">
        <f>+K14*Q14</f>
        <v>125.21668319999999</v>
      </c>
      <c r="M14" s="345" t="s">
        <v>6169</v>
      </c>
      <c r="N14" s="2" t="s">
        <v>3688</v>
      </c>
      <c r="O14" s="2" t="s">
        <v>3685</v>
      </c>
      <c r="P14" s="387" t="s">
        <v>3659</v>
      </c>
      <c r="Q14" s="388">
        <v>0.2</v>
      </c>
      <c r="R14" s="389"/>
      <c r="S14" s="2" t="s">
        <v>3475</v>
      </c>
      <c r="T14" s="2" t="s">
        <v>5914</v>
      </c>
      <c r="U14" s="9" t="s">
        <v>3475</v>
      </c>
    </row>
    <row r="15" spans="1:21" hidden="1" x14ac:dyDescent="0.35">
      <c r="A15" s="386" t="s">
        <v>3689</v>
      </c>
      <c r="B15" s="534" t="s">
        <v>3681</v>
      </c>
      <c r="C15" s="387" t="s">
        <v>3682</v>
      </c>
      <c r="D15" s="387" t="s">
        <v>3683</v>
      </c>
      <c r="E15" s="387"/>
      <c r="F15" s="386" t="s">
        <v>3678</v>
      </c>
      <c r="G15" s="386" t="s">
        <v>1486</v>
      </c>
      <c r="H15" s="2" t="s">
        <v>3656</v>
      </c>
      <c r="I15" s="345">
        <v>1637.7</v>
      </c>
      <c r="J15" s="346">
        <v>1126.8599999999999</v>
      </c>
      <c r="K15" s="345">
        <f>+J15*0.5556</f>
        <v>626.08341599999994</v>
      </c>
      <c r="L15" s="345">
        <f>+K15*Q15</f>
        <v>125.21668319999999</v>
      </c>
      <c r="M15" s="345" t="s">
        <v>6169</v>
      </c>
      <c r="N15" s="2" t="s">
        <v>1364</v>
      </c>
      <c r="O15" s="2" t="s">
        <v>3685</v>
      </c>
      <c r="P15" s="387" t="s">
        <v>3659</v>
      </c>
      <c r="Q15" s="388">
        <v>0.2</v>
      </c>
      <c r="R15" s="389"/>
      <c r="S15" s="2" t="s">
        <v>3475</v>
      </c>
      <c r="T15" s="2" t="s">
        <v>5914</v>
      </c>
      <c r="U15" s="9" t="s">
        <v>3475</v>
      </c>
    </row>
    <row r="16" spans="1:21" hidden="1" x14ac:dyDescent="0.35">
      <c r="A16" s="386" t="s">
        <v>3690</v>
      </c>
      <c r="B16" s="534" t="s">
        <v>3681</v>
      </c>
      <c r="C16" s="387" t="s">
        <v>3682</v>
      </c>
      <c r="D16" s="387" t="s">
        <v>3683</v>
      </c>
      <c r="E16" s="387"/>
      <c r="F16" s="386" t="s">
        <v>3678</v>
      </c>
      <c r="G16" s="386" t="s">
        <v>1486</v>
      </c>
      <c r="H16" s="2" t="s">
        <v>3656</v>
      </c>
      <c r="I16" s="345">
        <v>1637.7</v>
      </c>
      <c r="J16" s="346">
        <v>1126.8599999999999</v>
      </c>
      <c r="K16" s="345">
        <f>+J16*0.5556</f>
        <v>626.08341599999994</v>
      </c>
      <c r="L16" s="345">
        <f>+K16*Q16</f>
        <v>125.21668319999999</v>
      </c>
      <c r="M16" s="345" t="s">
        <v>6169</v>
      </c>
      <c r="N16" s="2" t="s">
        <v>3691</v>
      </c>
      <c r="O16" s="2" t="s">
        <v>3685</v>
      </c>
      <c r="P16" s="387" t="s">
        <v>3659</v>
      </c>
      <c r="Q16" s="388">
        <v>0.2</v>
      </c>
      <c r="R16" s="389"/>
      <c r="S16" s="2" t="s">
        <v>3475</v>
      </c>
      <c r="T16" s="2" t="s">
        <v>5914</v>
      </c>
      <c r="U16" s="9" t="s">
        <v>3475</v>
      </c>
    </row>
    <row r="17" spans="1:21" hidden="1" x14ac:dyDescent="0.35">
      <c r="A17" s="386" t="s">
        <v>3692</v>
      </c>
      <c r="B17" s="534" t="s">
        <v>3681</v>
      </c>
      <c r="C17" s="387" t="s">
        <v>3682</v>
      </c>
      <c r="D17" s="4">
        <v>40037</v>
      </c>
      <c r="E17" s="4"/>
      <c r="F17" s="386" t="s">
        <v>3678</v>
      </c>
      <c r="G17" s="386" t="s">
        <v>1486</v>
      </c>
      <c r="H17" s="2" t="s">
        <v>3656</v>
      </c>
      <c r="I17" s="345">
        <v>1637.7</v>
      </c>
      <c r="J17" s="346">
        <v>1126.8599999999999</v>
      </c>
      <c r="K17" s="345">
        <f>+J17*0.5556</f>
        <v>626.08341599999994</v>
      </c>
      <c r="L17" s="345">
        <f>+K17*Q17</f>
        <v>125.21668319999999</v>
      </c>
      <c r="M17" s="345" t="s">
        <v>6169</v>
      </c>
      <c r="N17" s="2" t="s">
        <v>3691</v>
      </c>
      <c r="O17" s="2" t="s">
        <v>3685</v>
      </c>
      <c r="P17" s="387" t="s">
        <v>3659</v>
      </c>
      <c r="Q17" s="388">
        <v>0.2</v>
      </c>
      <c r="R17" s="389"/>
      <c r="S17" s="524" t="s">
        <v>3475</v>
      </c>
      <c r="T17" s="524" t="s">
        <v>5914</v>
      </c>
      <c r="U17" s="9" t="s">
        <v>3475</v>
      </c>
    </row>
    <row r="18" spans="1:21" hidden="1" x14ac:dyDescent="0.35">
      <c r="A18" s="386" t="s">
        <v>3693</v>
      </c>
      <c r="B18" s="534" t="s">
        <v>3681</v>
      </c>
      <c r="C18" s="4">
        <v>40155</v>
      </c>
      <c r="D18" s="4">
        <v>40155</v>
      </c>
      <c r="E18" s="4"/>
      <c r="F18" s="386" t="s">
        <v>3678</v>
      </c>
      <c r="G18" s="386" t="s">
        <v>1486</v>
      </c>
      <c r="H18" s="2" t="s">
        <v>3656</v>
      </c>
      <c r="I18" s="345">
        <v>1450</v>
      </c>
      <c r="J18" s="346">
        <v>1006.05</v>
      </c>
      <c r="K18" s="345">
        <f>+J18*0.5556</f>
        <v>558.96137999999996</v>
      </c>
      <c r="L18" s="345">
        <f>+K18*Q18</f>
        <v>111.792276</v>
      </c>
      <c r="M18" s="345" t="s">
        <v>6169</v>
      </c>
      <c r="N18" s="2" t="s">
        <v>3679</v>
      </c>
      <c r="O18" s="2" t="s">
        <v>3658</v>
      </c>
      <c r="P18" s="387" t="s">
        <v>3659</v>
      </c>
      <c r="Q18" s="388">
        <v>0.2</v>
      </c>
      <c r="R18" s="389"/>
      <c r="S18" s="2" t="s">
        <v>3475</v>
      </c>
      <c r="T18" s="2" t="s">
        <v>5914</v>
      </c>
      <c r="U18" s="2" t="s">
        <v>3475</v>
      </c>
    </row>
    <row r="19" spans="1:21" hidden="1" x14ac:dyDescent="0.35">
      <c r="A19" s="386" t="s">
        <v>3694</v>
      </c>
      <c r="B19" s="534" t="s">
        <v>3681</v>
      </c>
      <c r="C19" s="387" t="s">
        <v>3682</v>
      </c>
      <c r="D19" s="4" t="s">
        <v>3695</v>
      </c>
      <c r="E19" s="4"/>
      <c r="F19" s="386" t="s">
        <v>3678</v>
      </c>
      <c r="G19" s="386" t="s">
        <v>1486</v>
      </c>
      <c r="H19" s="2" t="s">
        <v>3656</v>
      </c>
      <c r="I19" s="345">
        <v>1637.7</v>
      </c>
      <c r="J19" s="346">
        <v>1126.8599999999999</v>
      </c>
      <c r="K19" s="345">
        <f>+J19*0.5556</f>
        <v>626.08341599999994</v>
      </c>
      <c r="L19" s="345">
        <f>+K19*Q19</f>
        <v>125.21668319999999</v>
      </c>
      <c r="M19" s="345" t="s">
        <v>6169</v>
      </c>
      <c r="N19" s="2" t="s">
        <v>3684</v>
      </c>
      <c r="O19" s="2" t="s">
        <v>3685</v>
      </c>
      <c r="P19" s="387" t="s">
        <v>3659</v>
      </c>
      <c r="Q19" s="388">
        <v>0.2</v>
      </c>
      <c r="R19" s="389"/>
      <c r="S19" s="527" t="s">
        <v>3475</v>
      </c>
      <c r="T19" s="527" t="s">
        <v>5914</v>
      </c>
      <c r="U19" s="9" t="s">
        <v>3475</v>
      </c>
    </row>
    <row r="20" spans="1:21" hidden="1" x14ac:dyDescent="0.35">
      <c r="A20" s="386" t="s">
        <v>3696</v>
      </c>
      <c r="B20" s="534" t="s">
        <v>3681</v>
      </c>
      <c r="C20" s="387" t="s">
        <v>3682</v>
      </c>
      <c r="D20" s="4" t="s">
        <v>3695</v>
      </c>
      <c r="E20" s="4"/>
      <c r="F20" s="386" t="s">
        <v>3678</v>
      </c>
      <c r="G20" s="386" t="s">
        <v>1486</v>
      </c>
      <c r="H20" s="2" t="s">
        <v>3656</v>
      </c>
      <c r="I20" s="345">
        <v>1637.7</v>
      </c>
      <c r="J20" s="346">
        <v>1126.8599999999999</v>
      </c>
      <c r="K20" s="345">
        <f>+J20*0.5556</f>
        <v>626.08341599999994</v>
      </c>
      <c r="L20" s="345">
        <f>+K20*Q20</f>
        <v>125.21668319999999</v>
      </c>
      <c r="M20" s="345" t="s">
        <v>6169</v>
      </c>
      <c r="N20" s="2" t="s">
        <v>3697</v>
      </c>
      <c r="O20" s="2" t="s">
        <v>3685</v>
      </c>
      <c r="P20" s="387" t="s">
        <v>3659</v>
      </c>
      <c r="Q20" s="388">
        <v>0.2</v>
      </c>
      <c r="R20" s="389"/>
      <c r="S20" s="2" t="s">
        <v>3475</v>
      </c>
      <c r="T20" s="2" t="s">
        <v>5914</v>
      </c>
      <c r="U20" s="9" t="s">
        <v>3475</v>
      </c>
    </row>
    <row r="21" spans="1:21" hidden="1" x14ac:dyDescent="0.35">
      <c r="A21" s="386" t="s">
        <v>3698</v>
      </c>
      <c r="B21" s="534" t="s">
        <v>3681</v>
      </c>
      <c r="C21" s="387" t="s">
        <v>3682</v>
      </c>
      <c r="D21" s="4" t="s">
        <v>3695</v>
      </c>
      <c r="E21" s="4"/>
      <c r="F21" s="386" t="s">
        <v>3678</v>
      </c>
      <c r="G21" s="386" t="s">
        <v>1486</v>
      </c>
      <c r="H21" s="2" t="s">
        <v>3656</v>
      </c>
      <c r="I21" s="345">
        <v>1637.7</v>
      </c>
      <c r="J21" s="346">
        <v>1126.8599999999999</v>
      </c>
      <c r="K21" s="345">
        <f>+J21*0.5556</f>
        <v>626.08341599999994</v>
      </c>
      <c r="L21" s="345">
        <f>+K21*Q21</f>
        <v>125.21668319999999</v>
      </c>
      <c r="M21" s="345" t="s">
        <v>6169</v>
      </c>
      <c r="N21" s="2" t="s">
        <v>3697</v>
      </c>
      <c r="O21" s="2" t="s">
        <v>3685</v>
      </c>
      <c r="P21" s="387" t="s">
        <v>3659</v>
      </c>
      <c r="Q21" s="388">
        <v>0.2</v>
      </c>
      <c r="R21" s="389"/>
      <c r="S21" s="2" t="s">
        <v>3475</v>
      </c>
      <c r="T21" s="2" t="s">
        <v>5914</v>
      </c>
      <c r="U21" s="9" t="s">
        <v>3475</v>
      </c>
    </row>
    <row r="22" spans="1:21" hidden="1" x14ac:dyDescent="0.35">
      <c r="A22" s="386" t="s">
        <v>3699</v>
      </c>
      <c r="B22" s="534" t="s">
        <v>3681</v>
      </c>
      <c r="C22" s="387" t="s">
        <v>3682</v>
      </c>
      <c r="D22" s="4" t="s">
        <v>3695</v>
      </c>
      <c r="E22" s="4"/>
      <c r="F22" s="386" t="s">
        <v>3678</v>
      </c>
      <c r="G22" s="386" t="s">
        <v>1486</v>
      </c>
      <c r="H22" s="2" t="s">
        <v>3656</v>
      </c>
      <c r="I22" s="345">
        <v>1637.7</v>
      </c>
      <c r="J22" s="346">
        <v>1126.8599999999999</v>
      </c>
      <c r="K22" s="345">
        <f>+J22*0.5556</f>
        <v>626.08341599999994</v>
      </c>
      <c r="L22" s="345">
        <f>+K22*Q22</f>
        <v>125.21668319999999</v>
      </c>
      <c r="M22" s="345" t="s">
        <v>6169</v>
      </c>
      <c r="N22" s="2" t="s">
        <v>2701</v>
      </c>
      <c r="O22" s="2" t="s">
        <v>3685</v>
      </c>
      <c r="P22" s="387" t="s">
        <v>3659</v>
      </c>
      <c r="Q22" s="388">
        <v>0.2</v>
      </c>
      <c r="R22" s="389"/>
      <c r="S22" s="2" t="s">
        <v>3475</v>
      </c>
      <c r="T22" s="2" t="s">
        <v>5914</v>
      </c>
      <c r="U22" s="9" t="s">
        <v>3475</v>
      </c>
    </row>
    <row r="23" spans="1:21" hidden="1" x14ac:dyDescent="0.35">
      <c r="A23" s="386" t="s">
        <v>3700</v>
      </c>
      <c r="B23" s="534" t="s">
        <v>3681</v>
      </c>
      <c r="C23" s="387" t="s">
        <v>3682</v>
      </c>
      <c r="D23" s="4" t="s">
        <v>3695</v>
      </c>
      <c r="E23" s="4"/>
      <c r="F23" s="386" t="s">
        <v>3678</v>
      </c>
      <c r="G23" s="386" t="s">
        <v>1486</v>
      </c>
      <c r="H23" s="2" t="s">
        <v>3656</v>
      </c>
      <c r="I23" s="345">
        <v>1637.7</v>
      </c>
      <c r="J23" s="346">
        <v>1126.8599999999999</v>
      </c>
      <c r="K23" s="345">
        <f>+J23*0.5556</f>
        <v>626.08341599999994</v>
      </c>
      <c r="L23" s="345">
        <f>+K23*Q23</f>
        <v>125.21668319999999</v>
      </c>
      <c r="M23" s="345" t="s">
        <v>6169</v>
      </c>
      <c r="N23" s="2" t="s">
        <v>2701</v>
      </c>
      <c r="O23" s="2" t="s">
        <v>3685</v>
      </c>
      <c r="P23" s="387" t="s">
        <v>3659</v>
      </c>
      <c r="Q23" s="388">
        <v>0.2</v>
      </c>
      <c r="R23" s="389"/>
      <c r="S23" s="2" t="s">
        <v>3475</v>
      </c>
      <c r="T23" s="2" t="s">
        <v>5914</v>
      </c>
      <c r="U23" s="9" t="s">
        <v>3475</v>
      </c>
    </row>
    <row r="24" spans="1:21" s="594" customFormat="1" hidden="1" x14ac:dyDescent="0.35">
      <c r="A24" s="592" t="s">
        <v>3701</v>
      </c>
      <c r="B24" s="588" t="s">
        <v>3651</v>
      </c>
      <c r="C24" s="797" t="s">
        <v>3652</v>
      </c>
      <c r="D24" s="4" t="s">
        <v>3695</v>
      </c>
      <c r="E24" s="591"/>
      <c r="F24" s="386" t="s">
        <v>3654</v>
      </c>
      <c r="G24" s="592" t="s">
        <v>3655</v>
      </c>
      <c r="H24" s="2" t="s">
        <v>3656</v>
      </c>
      <c r="I24" s="345">
        <v>4048</v>
      </c>
      <c r="J24" s="346">
        <v>2771.7</v>
      </c>
      <c r="K24" s="345">
        <f>+J24*0.5556</f>
        <v>1539.95652</v>
      </c>
      <c r="L24" s="345">
        <f>+K24*Q24</f>
        <v>307.99130400000001</v>
      </c>
      <c r="M24" s="345" t="s">
        <v>6169</v>
      </c>
      <c r="N24" s="2" t="s">
        <v>3702</v>
      </c>
      <c r="O24" s="2" t="s">
        <v>3658</v>
      </c>
      <c r="P24" s="387" t="s">
        <v>3659</v>
      </c>
      <c r="Q24" s="388">
        <v>0.2</v>
      </c>
      <c r="R24" s="389"/>
      <c r="S24" s="588" t="s">
        <v>3475</v>
      </c>
      <c r="T24" s="588" t="s">
        <v>5914</v>
      </c>
      <c r="U24" s="594" t="s">
        <v>3475</v>
      </c>
    </row>
    <row r="25" spans="1:21" hidden="1" x14ac:dyDescent="0.35">
      <c r="A25" s="386" t="s">
        <v>3703</v>
      </c>
      <c r="B25" s="534" t="s">
        <v>3681</v>
      </c>
      <c r="C25" s="387" t="s">
        <v>3682</v>
      </c>
      <c r="D25" s="4" t="s">
        <v>3695</v>
      </c>
      <c r="E25" s="4"/>
      <c r="F25" s="386" t="s">
        <v>3678</v>
      </c>
      <c r="G25" s="386" t="s">
        <v>1486</v>
      </c>
      <c r="H25" s="2" t="s">
        <v>3656</v>
      </c>
      <c r="I25" s="345">
        <f>1637.7*1</f>
        <v>1637.7</v>
      </c>
      <c r="J25" s="346">
        <f>1126.86*1</f>
        <v>1126.8599999999999</v>
      </c>
      <c r="K25" s="345">
        <f>+J25*0.5556</f>
        <v>626.08341599999994</v>
      </c>
      <c r="L25" s="345">
        <f>+K25*Q25</f>
        <v>125.21668319999999</v>
      </c>
      <c r="M25" s="345" t="s">
        <v>6169</v>
      </c>
      <c r="N25" s="2" t="s">
        <v>3679</v>
      </c>
      <c r="O25" s="2" t="s">
        <v>3685</v>
      </c>
      <c r="P25" s="387" t="s">
        <v>3659</v>
      </c>
      <c r="Q25" s="388">
        <v>0.2</v>
      </c>
      <c r="R25" s="389"/>
      <c r="S25" s="2" t="s">
        <v>3475</v>
      </c>
      <c r="T25" s="2" t="s">
        <v>5914</v>
      </c>
      <c r="U25" s="9" t="s">
        <v>3475</v>
      </c>
    </row>
    <row r="26" spans="1:21" hidden="1" x14ac:dyDescent="0.35">
      <c r="A26" s="386" t="s">
        <v>3704</v>
      </c>
      <c r="B26" s="534" t="s">
        <v>3681</v>
      </c>
      <c r="C26" s="387" t="s">
        <v>3682</v>
      </c>
      <c r="D26" s="4" t="s">
        <v>3695</v>
      </c>
      <c r="E26" s="4"/>
      <c r="F26" s="386" t="s">
        <v>3678</v>
      </c>
      <c r="G26" s="386" t="s">
        <v>1486</v>
      </c>
      <c r="H26" s="2" t="s">
        <v>3656</v>
      </c>
      <c r="I26" s="345">
        <v>1637.7</v>
      </c>
      <c r="J26" s="346">
        <v>1126.8599999999999</v>
      </c>
      <c r="K26" s="345">
        <f>+J26*0.5556</f>
        <v>626.08341599999994</v>
      </c>
      <c r="L26" s="345">
        <f>+K26*Q26</f>
        <v>125.21668319999999</v>
      </c>
      <c r="M26" s="345" t="s">
        <v>6169</v>
      </c>
      <c r="N26" s="2" t="s">
        <v>3705</v>
      </c>
      <c r="O26" s="2" t="s">
        <v>3685</v>
      </c>
      <c r="P26" s="387" t="s">
        <v>3659</v>
      </c>
      <c r="Q26" s="388">
        <v>0.2</v>
      </c>
      <c r="R26" s="389"/>
      <c r="S26" s="2" t="s">
        <v>3475</v>
      </c>
      <c r="T26" s="2" t="s">
        <v>5914</v>
      </c>
      <c r="U26" s="9" t="s">
        <v>3475</v>
      </c>
    </row>
    <row r="27" spans="1:21" hidden="1" x14ac:dyDescent="0.35">
      <c r="A27" s="386" t="s">
        <v>3706</v>
      </c>
      <c r="B27" s="534" t="s">
        <v>3681</v>
      </c>
      <c r="C27" s="387" t="s">
        <v>3682</v>
      </c>
      <c r="D27" s="4" t="s">
        <v>3695</v>
      </c>
      <c r="E27" s="4"/>
      <c r="F27" s="386" t="s">
        <v>3678</v>
      </c>
      <c r="G27" s="386" t="s">
        <v>1486</v>
      </c>
      <c r="H27" s="2" t="s">
        <v>3656</v>
      </c>
      <c r="I27" s="345">
        <v>1637.7</v>
      </c>
      <c r="J27" s="346">
        <v>1126.8599999999999</v>
      </c>
      <c r="K27" s="345">
        <f>+J27*0.5556</f>
        <v>626.08341599999994</v>
      </c>
      <c r="L27" s="345">
        <f>+K27*Q27</f>
        <v>125.21668319999999</v>
      </c>
      <c r="M27" s="345" t="s">
        <v>6169</v>
      </c>
      <c r="N27" s="2" t="s">
        <v>3707</v>
      </c>
      <c r="O27" s="2" t="s">
        <v>3685</v>
      </c>
      <c r="P27" s="387" t="s">
        <v>3659</v>
      </c>
      <c r="Q27" s="388">
        <v>0.2</v>
      </c>
      <c r="R27" s="389"/>
      <c r="S27" s="2" t="s">
        <v>3475</v>
      </c>
      <c r="T27" s="2" t="s">
        <v>5914</v>
      </c>
      <c r="U27" s="9" t="s">
        <v>3475</v>
      </c>
    </row>
    <row r="28" spans="1:21" hidden="1" x14ac:dyDescent="0.35">
      <c r="A28" s="386" t="s">
        <v>3708</v>
      </c>
      <c r="B28" s="534" t="s">
        <v>3681</v>
      </c>
      <c r="C28" s="387" t="s">
        <v>3682</v>
      </c>
      <c r="D28" s="4" t="s">
        <v>3695</v>
      </c>
      <c r="E28" s="4"/>
      <c r="F28" s="386" t="s">
        <v>3678</v>
      </c>
      <c r="G28" s="386" t="s">
        <v>1486</v>
      </c>
      <c r="H28" s="2" t="s">
        <v>3656</v>
      </c>
      <c r="I28" s="345">
        <v>1637.7</v>
      </c>
      <c r="J28" s="346">
        <v>1126.8599999999999</v>
      </c>
      <c r="K28" s="345">
        <f>+J28*0.5556</f>
        <v>626.08341599999994</v>
      </c>
      <c r="L28" s="345">
        <f>+K28*Q28</f>
        <v>125.21668319999999</v>
      </c>
      <c r="M28" s="345" t="s">
        <v>6169</v>
      </c>
      <c r="N28" s="2" t="s">
        <v>3709</v>
      </c>
      <c r="O28" s="2" t="s">
        <v>3685</v>
      </c>
      <c r="P28" s="387" t="s">
        <v>3659</v>
      </c>
      <c r="Q28" s="388">
        <v>0.2</v>
      </c>
      <c r="R28" s="389"/>
      <c r="S28" s="2" t="s">
        <v>3475</v>
      </c>
      <c r="T28" s="2" t="s">
        <v>5914</v>
      </c>
      <c r="U28" s="9" t="s">
        <v>3475</v>
      </c>
    </row>
    <row r="29" spans="1:21" hidden="1" x14ac:dyDescent="0.35">
      <c r="A29" s="386" t="s">
        <v>3710</v>
      </c>
      <c r="B29" s="534" t="s">
        <v>3681</v>
      </c>
      <c r="C29" s="387" t="s">
        <v>3682</v>
      </c>
      <c r="D29" s="4" t="s">
        <v>3695</v>
      </c>
      <c r="E29" s="4"/>
      <c r="F29" s="386" t="s">
        <v>3678</v>
      </c>
      <c r="G29" s="386" t="s">
        <v>1486</v>
      </c>
      <c r="H29" s="2" t="s">
        <v>3656</v>
      </c>
      <c r="I29" s="345">
        <v>1637.7</v>
      </c>
      <c r="J29" s="346">
        <v>1126.8599999999999</v>
      </c>
      <c r="K29" s="345">
        <f>+J29*0.5556</f>
        <v>626.08341599999994</v>
      </c>
      <c r="L29" s="345">
        <f>+K29*Q29</f>
        <v>125.21668319999999</v>
      </c>
      <c r="M29" s="345" t="s">
        <v>6169</v>
      </c>
      <c r="N29" s="2" t="s">
        <v>3709</v>
      </c>
      <c r="O29" s="2" t="s">
        <v>3685</v>
      </c>
      <c r="P29" s="387" t="s">
        <v>3659</v>
      </c>
      <c r="Q29" s="388">
        <v>0.2</v>
      </c>
      <c r="R29" s="389"/>
      <c r="S29" s="2" t="s">
        <v>3475</v>
      </c>
      <c r="T29" s="2" t="s">
        <v>5914</v>
      </c>
      <c r="U29" s="9" t="s">
        <v>3475</v>
      </c>
    </row>
    <row r="30" spans="1:21" hidden="1" x14ac:dyDescent="0.35">
      <c r="A30" s="386" t="s">
        <v>3711</v>
      </c>
      <c r="B30" s="534" t="s">
        <v>3681</v>
      </c>
      <c r="C30" s="387" t="s">
        <v>3682</v>
      </c>
      <c r="D30" s="4" t="s">
        <v>3695</v>
      </c>
      <c r="E30" s="4"/>
      <c r="F30" s="386" t="s">
        <v>3678</v>
      </c>
      <c r="G30" s="386" t="s">
        <v>1486</v>
      </c>
      <c r="H30" s="2" t="s">
        <v>3656</v>
      </c>
      <c r="I30" s="345">
        <v>1637.7</v>
      </c>
      <c r="J30" s="346">
        <v>1126.8599999999999</v>
      </c>
      <c r="K30" s="345">
        <f>+J30*0.5556</f>
        <v>626.08341599999994</v>
      </c>
      <c r="L30" s="345">
        <f>+K30*Q30</f>
        <v>125.21668319999999</v>
      </c>
      <c r="M30" s="345" t="s">
        <v>6169</v>
      </c>
      <c r="N30" s="2" t="s">
        <v>3709</v>
      </c>
      <c r="O30" s="2" t="s">
        <v>3685</v>
      </c>
      <c r="P30" s="387" t="s">
        <v>3659</v>
      </c>
      <c r="Q30" s="388">
        <v>0.2</v>
      </c>
      <c r="R30" s="389"/>
      <c r="S30" s="2" t="s">
        <v>3475</v>
      </c>
      <c r="T30" s="2" t="s">
        <v>5914</v>
      </c>
      <c r="U30" s="9" t="s">
        <v>3475</v>
      </c>
    </row>
    <row r="31" spans="1:21" hidden="1" x14ac:dyDescent="0.35">
      <c r="A31" s="386" t="s">
        <v>3712</v>
      </c>
      <c r="B31" s="534" t="s">
        <v>3681</v>
      </c>
      <c r="C31" s="387" t="s">
        <v>3682</v>
      </c>
      <c r="D31" s="4" t="s">
        <v>3695</v>
      </c>
      <c r="E31" s="4"/>
      <c r="F31" s="386" t="s">
        <v>3678</v>
      </c>
      <c r="G31" s="386" t="s">
        <v>1486</v>
      </c>
      <c r="H31" s="2" t="s">
        <v>3656</v>
      </c>
      <c r="I31" s="345">
        <v>1637.7</v>
      </c>
      <c r="J31" s="346">
        <v>1126.8599999999999</v>
      </c>
      <c r="K31" s="345">
        <f>+J31*0.5556</f>
        <v>626.08341599999994</v>
      </c>
      <c r="L31" s="345">
        <f>+K31*Q31</f>
        <v>125.21668319999999</v>
      </c>
      <c r="M31" s="345" t="s">
        <v>6169</v>
      </c>
      <c r="N31" s="2" t="s">
        <v>3709</v>
      </c>
      <c r="O31" s="2" t="s">
        <v>3685</v>
      </c>
      <c r="P31" s="387" t="s">
        <v>3659</v>
      </c>
      <c r="Q31" s="388">
        <v>0.2</v>
      </c>
      <c r="R31" s="389"/>
      <c r="S31" s="2" t="s">
        <v>3475</v>
      </c>
      <c r="T31" s="2" t="s">
        <v>5914</v>
      </c>
      <c r="U31" s="9" t="s">
        <v>3475</v>
      </c>
    </row>
    <row r="32" spans="1:21" hidden="1" x14ac:dyDescent="0.35">
      <c r="A32" s="386" t="s">
        <v>3713</v>
      </c>
      <c r="B32" s="534" t="s">
        <v>3681</v>
      </c>
      <c r="C32" s="387" t="s">
        <v>3682</v>
      </c>
      <c r="D32" s="4" t="s">
        <v>3695</v>
      </c>
      <c r="E32" s="4"/>
      <c r="F32" s="386" t="s">
        <v>3678</v>
      </c>
      <c r="G32" s="386" t="s">
        <v>1486</v>
      </c>
      <c r="H32" s="2" t="s">
        <v>3656</v>
      </c>
      <c r="I32" s="345">
        <v>1637.7</v>
      </c>
      <c r="J32" s="346">
        <v>1126.8599999999999</v>
      </c>
      <c r="K32" s="345">
        <f>+J32*0.5556</f>
        <v>626.08341599999994</v>
      </c>
      <c r="L32" s="345">
        <f>+K32*Q32</f>
        <v>125.21668319999999</v>
      </c>
      <c r="M32" s="345" t="s">
        <v>6169</v>
      </c>
      <c r="N32" s="2" t="s">
        <v>3709</v>
      </c>
      <c r="O32" s="2" t="s">
        <v>3685</v>
      </c>
      <c r="P32" s="387" t="s">
        <v>3659</v>
      </c>
      <c r="Q32" s="388">
        <v>0.2</v>
      </c>
      <c r="R32" s="389"/>
      <c r="S32" s="2" t="s">
        <v>3475</v>
      </c>
      <c r="T32" s="2" t="s">
        <v>5914</v>
      </c>
      <c r="U32" s="9" t="s">
        <v>3475</v>
      </c>
    </row>
    <row r="33" spans="1:21" hidden="1" x14ac:dyDescent="0.35">
      <c r="A33" s="386" t="s">
        <v>3714</v>
      </c>
      <c r="B33" s="534" t="s">
        <v>3681</v>
      </c>
      <c r="C33" s="387" t="s">
        <v>3682</v>
      </c>
      <c r="D33" s="4" t="s">
        <v>3695</v>
      </c>
      <c r="E33" s="4"/>
      <c r="F33" s="386" t="s">
        <v>3678</v>
      </c>
      <c r="G33" s="386" t="s">
        <v>1486</v>
      </c>
      <c r="H33" s="2" t="s">
        <v>3656</v>
      </c>
      <c r="I33" s="345">
        <v>1637.7</v>
      </c>
      <c r="J33" s="346">
        <v>1126.8599999999999</v>
      </c>
      <c r="K33" s="345">
        <f>+J33*0.5556</f>
        <v>626.08341599999994</v>
      </c>
      <c r="L33" s="345">
        <f>+K33*Q33</f>
        <v>125.21668319999999</v>
      </c>
      <c r="M33" s="345" t="s">
        <v>6169</v>
      </c>
      <c r="N33" s="2" t="s">
        <v>3709</v>
      </c>
      <c r="O33" s="2" t="s">
        <v>3685</v>
      </c>
      <c r="P33" s="387" t="s">
        <v>3659</v>
      </c>
      <c r="Q33" s="388">
        <v>0.2</v>
      </c>
      <c r="R33" s="389"/>
      <c r="S33" s="524" t="s">
        <v>3475</v>
      </c>
      <c r="T33" s="524" t="s">
        <v>5914</v>
      </c>
      <c r="U33" s="9" t="s">
        <v>3475</v>
      </c>
    </row>
    <row r="34" spans="1:21" s="594" customFormat="1" hidden="1" x14ac:dyDescent="0.35">
      <c r="A34" s="592" t="s">
        <v>3715</v>
      </c>
      <c r="B34" s="588" t="s">
        <v>3655</v>
      </c>
      <c r="C34" s="591">
        <v>40602</v>
      </c>
      <c r="D34" s="4">
        <v>40602</v>
      </c>
      <c r="E34" s="591"/>
      <c r="F34" s="386">
        <v>4894890</v>
      </c>
      <c r="G34" s="592" t="s">
        <v>3655</v>
      </c>
      <c r="H34" s="2" t="s">
        <v>3656</v>
      </c>
      <c r="I34" s="345">
        <v>3141.5</v>
      </c>
      <c r="J34" s="346">
        <v>2080.7600000000002</v>
      </c>
      <c r="K34" s="345">
        <f>+J34*0.5556</f>
        <v>1156.070256</v>
      </c>
      <c r="L34" s="345">
        <f>+K34*Q34</f>
        <v>231.2140512</v>
      </c>
      <c r="M34" s="345" t="s">
        <v>6169</v>
      </c>
      <c r="N34" s="2" t="s">
        <v>3716</v>
      </c>
      <c r="O34" s="2" t="s">
        <v>3685</v>
      </c>
      <c r="P34" s="387" t="s">
        <v>3659</v>
      </c>
      <c r="Q34" s="388">
        <v>0.2</v>
      </c>
      <c r="R34" s="386"/>
      <c r="S34" s="588" t="s">
        <v>3475</v>
      </c>
      <c r="T34" s="588" t="s">
        <v>5914</v>
      </c>
      <c r="U34" s="588" t="s">
        <v>3475</v>
      </c>
    </row>
    <row r="35" spans="1:21" s="594" customFormat="1" hidden="1" x14ac:dyDescent="0.35">
      <c r="A35" s="592" t="s">
        <v>3717</v>
      </c>
      <c r="B35" s="588" t="s">
        <v>3655</v>
      </c>
      <c r="C35" s="591">
        <v>40602</v>
      </c>
      <c r="D35" s="4">
        <v>40602</v>
      </c>
      <c r="E35" s="591"/>
      <c r="F35" s="386">
        <v>4894890</v>
      </c>
      <c r="G35" s="592" t="s">
        <v>3655</v>
      </c>
      <c r="H35" s="2" t="s">
        <v>3656</v>
      </c>
      <c r="I35" s="345">
        <v>3141.5</v>
      </c>
      <c r="J35" s="346">
        <v>2080.7600000000002</v>
      </c>
      <c r="K35" s="345">
        <f>+J35*0.5556</f>
        <v>1156.070256</v>
      </c>
      <c r="L35" s="345">
        <f>+K35*Q35</f>
        <v>231.2140512</v>
      </c>
      <c r="M35" s="345" t="s">
        <v>6169</v>
      </c>
      <c r="N35" s="2" t="s">
        <v>3716</v>
      </c>
      <c r="O35" s="2" t="s">
        <v>3685</v>
      </c>
      <c r="P35" s="387" t="s">
        <v>3659</v>
      </c>
      <c r="Q35" s="388">
        <v>0.2</v>
      </c>
      <c r="R35" s="386"/>
      <c r="S35" s="588" t="s">
        <v>3475</v>
      </c>
      <c r="T35" s="588" t="s">
        <v>5914</v>
      </c>
      <c r="U35" s="588" t="s">
        <v>3475</v>
      </c>
    </row>
    <row r="36" spans="1:21" s="594" customFormat="1" hidden="1" x14ac:dyDescent="0.35">
      <c r="A36" s="592" t="s">
        <v>3718</v>
      </c>
      <c r="B36" s="588" t="s">
        <v>3655</v>
      </c>
      <c r="C36" s="591">
        <v>40602</v>
      </c>
      <c r="D36" s="4">
        <v>40602</v>
      </c>
      <c r="E36" s="591"/>
      <c r="F36" s="386">
        <v>4894890</v>
      </c>
      <c r="G36" s="592" t="s">
        <v>3655</v>
      </c>
      <c r="H36" s="2" t="s">
        <v>3656</v>
      </c>
      <c r="I36" s="345">
        <v>3141.5</v>
      </c>
      <c r="J36" s="346">
        <v>2080.7600000000002</v>
      </c>
      <c r="K36" s="345">
        <f>+J36*0.5556</f>
        <v>1156.070256</v>
      </c>
      <c r="L36" s="345">
        <f>+K36*Q36</f>
        <v>231.2140512</v>
      </c>
      <c r="M36" s="345" t="s">
        <v>6169</v>
      </c>
      <c r="N36" s="2" t="s">
        <v>3716</v>
      </c>
      <c r="O36" s="2" t="s">
        <v>3685</v>
      </c>
      <c r="P36" s="387" t="s">
        <v>3659</v>
      </c>
      <c r="Q36" s="388">
        <v>0.2</v>
      </c>
      <c r="R36" s="386"/>
      <c r="S36" s="588" t="s">
        <v>3475</v>
      </c>
      <c r="T36" s="588" t="s">
        <v>5914</v>
      </c>
      <c r="U36" s="588" t="s">
        <v>3475</v>
      </c>
    </row>
    <row r="37" spans="1:21" hidden="1" x14ac:dyDescent="0.35">
      <c r="A37" s="386" t="s">
        <v>3719</v>
      </c>
      <c r="B37" s="534" t="s">
        <v>3681</v>
      </c>
      <c r="C37" s="4">
        <v>40602</v>
      </c>
      <c r="D37" s="4">
        <v>40602</v>
      </c>
      <c r="E37" s="4"/>
      <c r="F37" s="386">
        <v>4894890</v>
      </c>
      <c r="G37" s="386" t="s">
        <v>1486</v>
      </c>
      <c r="H37" s="2" t="s">
        <v>3656</v>
      </c>
      <c r="I37" s="345">
        <v>1627.4</v>
      </c>
      <c r="J37" s="346">
        <v>1077.8900000000001</v>
      </c>
      <c r="K37" s="345">
        <f>+J37*0.5556</f>
        <v>598.87568400000009</v>
      </c>
      <c r="L37" s="345">
        <f>+K37*Q37</f>
        <v>119.77513680000003</v>
      </c>
      <c r="M37" s="345" t="s">
        <v>6169</v>
      </c>
      <c r="N37" s="2" t="s">
        <v>3691</v>
      </c>
      <c r="O37" s="2" t="s">
        <v>3685</v>
      </c>
      <c r="P37" s="387" t="s">
        <v>3659</v>
      </c>
      <c r="Q37" s="388">
        <v>0.2</v>
      </c>
      <c r="R37" s="386"/>
      <c r="S37" s="2" t="s">
        <v>3475</v>
      </c>
      <c r="T37" s="2" t="s">
        <v>5914</v>
      </c>
      <c r="U37" s="2" t="s">
        <v>3475</v>
      </c>
    </row>
    <row r="38" spans="1:21" hidden="1" x14ac:dyDescent="0.35">
      <c r="A38" s="386" t="s">
        <v>3720</v>
      </c>
      <c r="B38" s="534" t="s">
        <v>3681</v>
      </c>
      <c r="C38" s="4">
        <v>40602</v>
      </c>
      <c r="D38" s="4">
        <v>40602</v>
      </c>
      <c r="E38" s="4"/>
      <c r="F38" s="386">
        <v>4894890</v>
      </c>
      <c r="G38" s="386" t="s">
        <v>1486</v>
      </c>
      <c r="H38" s="2" t="s">
        <v>3656</v>
      </c>
      <c r="I38" s="345">
        <v>1627.4</v>
      </c>
      <c r="J38" s="346">
        <v>1077.9000000000001</v>
      </c>
      <c r="K38" s="345">
        <f>+J38*0.5556</f>
        <v>598.88124000000005</v>
      </c>
      <c r="L38" s="345">
        <f>+K38*Q38</f>
        <v>119.77624800000001</v>
      </c>
      <c r="M38" s="345" t="s">
        <v>6169</v>
      </c>
      <c r="N38" s="2" t="s">
        <v>3691</v>
      </c>
      <c r="O38" s="2" t="s">
        <v>3685</v>
      </c>
      <c r="P38" s="387" t="s">
        <v>3659</v>
      </c>
      <c r="Q38" s="388">
        <v>0.2</v>
      </c>
      <c r="R38" s="386"/>
      <c r="S38" s="2" t="s">
        <v>3475</v>
      </c>
      <c r="T38" s="2" t="s">
        <v>5914</v>
      </c>
      <c r="U38" s="2" t="s">
        <v>3475</v>
      </c>
    </row>
    <row r="39" spans="1:21" hidden="1" x14ac:dyDescent="0.35">
      <c r="A39" s="386" t="s">
        <v>3721</v>
      </c>
      <c r="B39" s="534" t="s">
        <v>3681</v>
      </c>
      <c r="C39" s="4">
        <v>40602</v>
      </c>
      <c r="D39" s="4">
        <v>40602</v>
      </c>
      <c r="E39" s="4"/>
      <c r="F39" s="386">
        <v>4894890</v>
      </c>
      <c r="G39" s="386" t="s">
        <v>1486</v>
      </c>
      <c r="H39" s="2" t="s">
        <v>3656</v>
      </c>
      <c r="I39" s="345">
        <v>1627.4</v>
      </c>
      <c r="J39" s="346">
        <v>1077.9000000000001</v>
      </c>
      <c r="K39" s="345">
        <f>+J39*0.5556</f>
        <v>598.88124000000005</v>
      </c>
      <c r="L39" s="345">
        <f>+K39*Q39</f>
        <v>119.77624800000001</v>
      </c>
      <c r="M39" s="345" t="s">
        <v>6169</v>
      </c>
      <c r="N39" s="2" t="s">
        <v>3691</v>
      </c>
      <c r="O39" s="2" t="s">
        <v>3685</v>
      </c>
      <c r="P39" s="387" t="s">
        <v>3659</v>
      </c>
      <c r="Q39" s="388">
        <v>0.2</v>
      </c>
      <c r="R39" s="386"/>
      <c r="S39" s="2" t="s">
        <v>3475</v>
      </c>
      <c r="T39" s="2" t="s">
        <v>5914</v>
      </c>
      <c r="U39" s="2" t="s">
        <v>3475</v>
      </c>
    </row>
    <row r="40" spans="1:21" hidden="1" x14ac:dyDescent="0.35">
      <c r="A40" s="386" t="s">
        <v>3722</v>
      </c>
      <c r="B40" s="534" t="s">
        <v>3681</v>
      </c>
      <c r="C40" s="4">
        <v>40602</v>
      </c>
      <c r="D40" s="4">
        <v>40602</v>
      </c>
      <c r="E40" s="4"/>
      <c r="F40" s="386">
        <v>4894890</v>
      </c>
      <c r="G40" s="386" t="s">
        <v>1486</v>
      </c>
      <c r="H40" s="2" t="s">
        <v>3656</v>
      </c>
      <c r="I40" s="345">
        <v>1627.4</v>
      </c>
      <c r="J40" s="346">
        <v>1077.9000000000001</v>
      </c>
      <c r="K40" s="345">
        <f>+J40*0.5556</f>
        <v>598.88124000000005</v>
      </c>
      <c r="L40" s="345">
        <f>+K40*Q40</f>
        <v>119.77624800000001</v>
      </c>
      <c r="M40" s="345" t="s">
        <v>6169</v>
      </c>
      <c r="N40" s="2" t="s">
        <v>3702</v>
      </c>
      <c r="O40" s="2" t="s">
        <v>3685</v>
      </c>
      <c r="P40" s="387" t="s">
        <v>3659</v>
      </c>
      <c r="Q40" s="388">
        <v>0.2</v>
      </c>
      <c r="R40" s="386"/>
      <c r="S40" s="2" t="s">
        <v>3475</v>
      </c>
      <c r="T40" s="2" t="s">
        <v>5914</v>
      </c>
      <c r="U40" s="2" t="s">
        <v>3475</v>
      </c>
    </row>
    <row r="41" spans="1:21" hidden="1" x14ac:dyDescent="0.35">
      <c r="A41" s="386" t="s">
        <v>3723</v>
      </c>
      <c r="B41" s="534" t="s">
        <v>3681</v>
      </c>
      <c r="C41" s="4">
        <v>40602</v>
      </c>
      <c r="D41" s="4">
        <v>40602</v>
      </c>
      <c r="E41" s="4"/>
      <c r="F41" s="386">
        <v>4894890</v>
      </c>
      <c r="G41" s="386" t="s">
        <v>1486</v>
      </c>
      <c r="H41" s="2" t="s">
        <v>3656</v>
      </c>
      <c r="I41" s="345">
        <v>1627.4</v>
      </c>
      <c r="J41" s="346">
        <v>1077.9000000000001</v>
      </c>
      <c r="K41" s="345">
        <f>+J41*0.5556</f>
        <v>598.88124000000005</v>
      </c>
      <c r="L41" s="345">
        <f>+K41*Q41</f>
        <v>119.77624800000001</v>
      </c>
      <c r="M41" s="345" t="s">
        <v>6169</v>
      </c>
      <c r="N41" s="2" t="s">
        <v>3724</v>
      </c>
      <c r="O41" s="2" t="s">
        <v>3685</v>
      </c>
      <c r="P41" s="387" t="s">
        <v>3659</v>
      </c>
      <c r="Q41" s="388">
        <v>0.2</v>
      </c>
      <c r="R41" s="386"/>
      <c r="S41" s="2" t="s">
        <v>3475</v>
      </c>
      <c r="T41" s="2" t="s">
        <v>5914</v>
      </c>
      <c r="U41" s="2" t="s">
        <v>3475</v>
      </c>
    </row>
    <row r="42" spans="1:21" s="594" customFormat="1" hidden="1" x14ac:dyDescent="0.35">
      <c r="A42" s="592" t="s">
        <v>3725</v>
      </c>
      <c r="B42" s="588" t="s">
        <v>3655</v>
      </c>
      <c r="C42" s="591">
        <v>40809</v>
      </c>
      <c r="D42" s="4">
        <v>40859</v>
      </c>
      <c r="E42" s="591"/>
      <c r="F42" s="386" t="s">
        <v>3726</v>
      </c>
      <c r="G42" s="592" t="s">
        <v>3655</v>
      </c>
      <c r="H42" s="2" t="s">
        <v>3656</v>
      </c>
      <c r="I42" s="345">
        <v>2896.85</v>
      </c>
      <c r="J42" s="346">
        <v>1871.45</v>
      </c>
      <c r="K42" s="345">
        <f>+J42*0.5556</f>
        <v>1039.7776200000001</v>
      </c>
      <c r="L42" s="345">
        <f>+K42*Q42</f>
        <v>207.95552400000003</v>
      </c>
      <c r="M42" s="345" t="s">
        <v>6169</v>
      </c>
      <c r="N42" s="2" t="s">
        <v>3716</v>
      </c>
      <c r="O42" s="2" t="s">
        <v>3727</v>
      </c>
      <c r="P42" s="387" t="s">
        <v>3659</v>
      </c>
      <c r="Q42" s="388">
        <v>0.2</v>
      </c>
      <c r="R42" s="386"/>
      <c r="S42" s="588" t="s">
        <v>3475</v>
      </c>
      <c r="T42" s="588" t="s">
        <v>5914</v>
      </c>
      <c r="U42" s="588" t="s">
        <v>3475</v>
      </c>
    </row>
    <row r="43" spans="1:21" s="594" customFormat="1" hidden="1" x14ac:dyDescent="0.35">
      <c r="A43" s="592" t="s">
        <v>3728</v>
      </c>
      <c r="B43" s="588" t="s">
        <v>3655</v>
      </c>
      <c r="C43" s="591">
        <v>40809</v>
      </c>
      <c r="D43" s="4">
        <v>40859</v>
      </c>
      <c r="E43" s="591"/>
      <c r="F43" s="386" t="s">
        <v>3726</v>
      </c>
      <c r="G43" s="592" t="s">
        <v>3655</v>
      </c>
      <c r="H43" s="2" t="s">
        <v>3656</v>
      </c>
      <c r="I43" s="345">
        <v>2896.85</v>
      </c>
      <c r="J43" s="346">
        <v>1871.45</v>
      </c>
      <c r="K43" s="345">
        <f>+J43*0.5556</f>
        <v>1039.7776200000001</v>
      </c>
      <c r="L43" s="345">
        <f>+K43*Q43</f>
        <v>207.95552400000003</v>
      </c>
      <c r="M43" s="345" t="s">
        <v>6169</v>
      </c>
      <c r="N43" s="2" t="s">
        <v>3716</v>
      </c>
      <c r="O43" s="2" t="s">
        <v>3727</v>
      </c>
      <c r="P43" s="387" t="s">
        <v>3659</v>
      </c>
      <c r="Q43" s="388">
        <v>0.2</v>
      </c>
      <c r="R43" s="386"/>
      <c r="S43" s="588" t="s">
        <v>3475</v>
      </c>
      <c r="T43" s="588" t="s">
        <v>5914</v>
      </c>
      <c r="U43" s="588" t="s">
        <v>3475</v>
      </c>
    </row>
    <row r="44" spans="1:21" s="594" customFormat="1" hidden="1" x14ac:dyDescent="0.35">
      <c r="A44" s="592" t="s">
        <v>3729</v>
      </c>
      <c r="B44" s="588" t="s">
        <v>3655</v>
      </c>
      <c r="C44" s="591">
        <v>40809</v>
      </c>
      <c r="D44" s="4">
        <v>40859</v>
      </c>
      <c r="E44" s="591"/>
      <c r="F44" s="386" t="s">
        <v>3726</v>
      </c>
      <c r="G44" s="592" t="s">
        <v>3655</v>
      </c>
      <c r="H44" s="2" t="s">
        <v>3656</v>
      </c>
      <c r="I44" s="345">
        <v>2896.85</v>
      </c>
      <c r="J44" s="346">
        <v>1871.45</v>
      </c>
      <c r="K44" s="345">
        <f>+J44*0.5556</f>
        <v>1039.7776200000001</v>
      </c>
      <c r="L44" s="345">
        <f>+K44*Q44</f>
        <v>207.95552400000003</v>
      </c>
      <c r="M44" s="345" t="s">
        <v>6169</v>
      </c>
      <c r="N44" s="2" t="s">
        <v>3716</v>
      </c>
      <c r="O44" s="2" t="s">
        <v>3727</v>
      </c>
      <c r="P44" s="387" t="s">
        <v>3659</v>
      </c>
      <c r="Q44" s="388">
        <v>0.2</v>
      </c>
      <c r="R44" s="386"/>
      <c r="S44" s="588" t="s">
        <v>3475</v>
      </c>
      <c r="T44" s="588" t="s">
        <v>5914</v>
      </c>
      <c r="U44" s="588" t="s">
        <v>3475</v>
      </c>
    </row>
    <row r="45" spans="1:21" s="594" customFormat="1" hidden="1" x14ac:dyDescent="0.35">
      <c r="A45" s="592" t="s">
        <v>3730</v>
      </c>
      <c r="B45" s="588" t="s">
        <v>3655</v>
      </c>
      <c r="C45" s="591">
        <v>40809</v>
      </c>
      <c r="D45" s="4">
        <v>40859</v>
      </c>
      <c r="E45" s="591"/>
      <c r="F45" s="386" t="s">
        <v>3726</v>
      </c>
      <c r="G45" s="592" t="s">
        <v>3655</v>
      </c>
      <c r="H45" s="2" t="s">
        <v>3656</v>
      </c>
      <c r="I45" s="345">
        <v>2896.85</v>
      </c>
      <c r="J45" s="346">
        <v>1871.45</v>
      </c>
      <c r="K45" s="345">
        <f>+J45*0.5556</f>
        <v>1039.7776200000001</v>
      </c>
      <c r="L45" s="345">
        <f>+K45*Q45</f>
        <v>207.95552400000003</v>
      </c>
      <c r="M45" s="345" t="s">
        <v>6169</v>
      </c>
      <c r="N45" s="2" t="s">
        <v>3716</v>
      </c>
      <c r="O45" s="2" t="s">
        <v>3727</v>
      </c>
      <c r="P45" s="387" t="s">
        <v>3659</v>
      </c>
      <c r="Q45" s="388">
        <v>0.2</v>
      </c>
      <c r="R45" s="386"/>
      <c r="S45" s="588" t="s">
        <v>3475</v>
      </c>
      <c r="T45" s="588" t="s">
        <v>5914</v>
      </c>
      <c r="U45" s="588" t="s">
        <v>3475</v>
      </c>
    </row>
    <row r="46" spans="1:21" s="594" customFormat="1" hidden="1" x14ac:dyDescent="0.35">
      <c r="A46" s="592" t="s">
        <v>3731</v>
      </c>
      <c r="B46" s="588" t="s">
        <v>3655</v>
      </c>
      <c r="C46" s="591">
        <v>40809</v>
      </c>
      <c r="D46" s="4">
        <v>40859</v>
      </c>
      <c r="E46" s="591"/>
      <c r="F46" s="386" t="s">
        <v>3726</v>
      </c>
      <c r="G46" s="592" t="s">
        <v>3655</v>
      </c>
      <c r="H46" s="2" t="s">
        <v>3656</v>
      </c>
      <c r="I46" s="345">
        <v>2896.85</v>
      </c>
      <c r="J46" s="346">
        <v>1871.45</v>
      </c>
      <c r="K46" s="345">
        <f>+J46*0.5556</f>
        <v>1039.7776200000001</v>
      </c>
      <c r="L46" s="345">
        <f>+K46*Q46</f>
        <v>207.95552400000003</v>
      </c>
      <c r="M46" s="345" t="s">
        <v>6169</v>
      </c>
      <c r="N46" s="2" t="s">
        <v>3716</v>
      </c>
      <c r="O46" s="2" t="s">
        <v>3727</v>
      </c>
      <c r="P46" s="387" t="s">
        <v>3659</v>
      </c>
      <c r="Q46" s="388">
        <v>0.2</v>
      </c>
      <c r="R46" s="386"/>
      <c r="S46" s="588" t="s">
        <v>3475</v>
      </c>
      <c r="T46" s="588" t="s">
        <v>5914</v>
      </c>
      <c r="U46" s="588" t="s">
        <v>3475</v>
      </c>
    </row>
    <row r="47" spans="1:21" hidden="1" x14ac:dyDescent="0.35">
      <c r="A47" s="386" t="s">
        <v>3732</v>
      </c>
      <c r="B47" s="534" t="s">
        <v>3681</v>
      </c>
      <c r="C47" s="4">
        <v>41024</v>
      </c>
      <c r="D47" s="390">
        <v>41024</v>
      </c>
      <c r="E47" s="4"/>
      <c r="F47" s="386" t="s">
        <v>3733</v>
      </c>
      <c r="G47" s="386" t="s">
        <v>1486</v>
      </c>
      <c r="H47" s="2" t="s">
        <v>3656</v>
      </c>
      <c r="I47" s="391">
        <v>9624.3799999999992</v>
      </c>
      <c r="J47" s="345">
        <v>5467.98</v>
      </c>
      <c r="K47" s="347">
        <f>+J47*0.5556</f>
        <v>3038.0096879999996</v>
      </c>
      <c r="L47" s="345">
        <f>+K47*Q47</f>
        <v>607.60193759999993</v>
      </c>
      <c r="M47" s="345" t="s">
        <v>6169</v>
      </c>
      <c r="N47" s="2" t="s">
        <v>3716</v>
      </c>
      <c r="O47" s="2" t="s">
        <v>3734</v>
      </c>
      <c r="P47" s="387" t="s">
        <v>3659</v>
      </c>
      <c r="Q47" s="388">
        <v>0.2</v>
      </c>
      <c r="R47" s="392" t="s">
        <v>3735</v>
      </c>
      <c r="S47" s="2" t="s">
        <v>3475</v>
      </c>
      <c r="T47" s="2" t="s">
        <v>5914</v>
      </c>
      <c r="U47" s="2" t="s">
        <v>3475</v>
      </c>
    </row>
    <row r="48" spans="1:21" hidden="1" x14ac:dyDescent="0.35">
      <c r="A48" s="386" t="s">
        <v>3736</v>
      </c>
      <c r="B48" s="534" t="s">
        <v>3681</v>
      </c>
      <c r="C48" s="4">
        <v>41024</v>
      </c>
      <c r="D48" s="390">
        <v>41024</v>
      </c>
      <c r="E48" s="4"/>
      <c r="F48" s="386" t="s">
        <v>3733</v>
      </c>
      <c r="G48" s="386" t="s">
        <v>1486</v>
      </c>
      <c r="H48" s="2" t="s">
        <v>3656</v>
      </c>
      <c r="I48" s="391">
        <v>43039.33</v>
      </c>
      <c r="J48" s="345">
        <v>24452.3</v>
      </c>
      <c r="K48" s="347">
        <f>+J48*0.5556</f>
        <v>13585.69788</v>
      </c>
      <c r="L48" s="345">
        <f>+K48*Q48</f>
        <v>2717.139576</v>
      </c>
      <c r="M48" s="345" t="s">
        <v>6169</v>
      </c>
      <c r="N48" s="2" t="s">
        <v>3716</v>
      </c>
      <c r="O48" s="2" t="s">
        <v>3734</v>
      </c>
      <c r="P48" s="387" t="s">
        <v>3659</v>
      </c>
      <c r="Q48" s="388">
        <v>0.2</v>
      </c>
      <c r="R48" s="392" t="s">
        <v>3735</v>
      </c>
      <c r="S48" s="2" t="s">
        <v>3475</v>
      </c>
      <c r="T48" s="2" t="s">
        <v>5914</v>
      </c>
      <c r="U48" s="2" t="s">
        <v>3475</v>
      </c>
    </row>
    <row r="49" spans="1:21" hidden="1" x14ac:dyDescent="0.35">
      <c r="A49" s="386" t="s">
        <v>3737</v>
      </c>
      <c r="B49" s="2" t="s">
        <v>3738</v>
      </c>
      <c r="C49" s="393">
        <v>41305</v>
      </c>
      <c r="D49" s="393">
        <v>41305</v>
      </c>
      <c r="E49" s="4" t="s">
        <v>1669</v>
      </c>
      <c r="F49" s="386">
        <v>745185</v>
      </c>
      <c r="G49" s="386" t="s">
        <v>1486</v>
      </c>
      <c r="H49" s="2" t="s">
        <v>3656</v>
      </c>
      <c r="I49" s="345">
        <v>2850</v>
      </c>
      <c r="J49" s="345">
        <v>1502.67</v>
      </c>
      <c r="K49" s="347">
        <f>+J49*0.5556</f>
        <v>834.88345200000003</v>
      </c>
      <c r="L49" s="345">
        <f>+K49*Q49</f>
        <v>166.97669040000002</v>
      </c>
      <c r="M49" s="345" t="s">
        <v>6169</v>
      </c>
      <c r="N49" s="2" t="s">
        <v>3716</v>
      </c>
      <c r="O49" s="2" t="s">
        <v>3739</v>
      </c>
      <c r="P49" s="387" t="s">
        <v>3659</v>
      </c>
      <c r="Q49" s="388">
        <v>0.2</v>
      </c>
      <c r="R49" s="386" t="s">
        <v>3740</v>
      </c>
      <c r="S49" s="528" t="s">
        <v>57</v>
      </c>
      <c r="T49" s="528" t="s">
        <v>5915</v>
      </c>
    </row>
    <row r="50" spans="1:21" s="594" customFormat="1" hidden="1" x14ac:dyDescent="0.35">
      <c r="A50" s="592" t="s">
        <v>3741</v>
      </c>
      <c r="B50" s="588" t="s">
        <v>3742</v>
      </c>
      <c r="C50" s="591">
        <v>41370</v>
      </c>
      <c r="D50" s="390">
        <v>41370</v>
      </c>
      <c r="E50" s="799"/>
      <c r="F50" s="386">
        <v>6783788</v>
      </c>
      <c r="G50" s="592" t="s">
        <v>3655</v>
      </c>
      <c r="H50" s="2" t="s">
        <v>3656</v>
      </c>
      <c r="I50" s="345">
        <v>2999</v>
      </c>
      <c r="J50" s="345">
        <v>1558.65</v>
      </c>
      <c r="K50" s="347">
        <f>+J50*0.5556</f>
        <v>865.98594000000003</v>
      </c>
      <c r="L50" s="345">
        <f>+K50*Q50</f>
        <v>173.19718800000001</v>
      </c>
      <c r="M50" s="345" t="s">
        <v>6169</v>
      </c>
      <c r="N50" s="2" t="s">
        <v>3716</v>
      </c>
      <c r="O50" s="2" t="s">
        <v>3739</v>
      </c>
      <c r="P50" s="387" t="s">
        <v>3659</v>
      </c>
      <c r="Q50" s="388">
        <v>0.2</v>
      </c>
      <c r="R50" s="386" t="s">
        <v>3743</v>
      </c>
      <c r="S50" s="588" t="s">
        <v>3475</v>
      </c>
      <c r="T50" s="588" t="s">
        <v>5914</v>
      </c>
      <c r="U50" s="612" t="s">
        <v>3475</v>
      </c>
    </row>
    <row r="51" spans="1:21" s="594" customFormat="1" hidden="1" x14ac:dyDescent="0.35">
      <c r="A51" s="592" t="s">
        <v>3744</v>
      </c>
      <c r="B51" s="588" t="s">
        <v>3745</v>
      </c>
      <c r="C51" s="591">
        <v>41445</v>
      </c>
      <c r="D51" s="393">
        <v>41445</v>
      </c>
      <c r="E51" s="800"/>
      <c r="F51" s="386">
        <v>46661</v>
      </c>
      <c r="G51" s="592" t="s">
        <v>3655</v>
      </c>
      <c r="H51" s="2" t="s">
        <v>3656</v>
      </c>
      <c r="I51" s="345">
        <v>3586.68</v>
      </c>
      <c r="J51" s="345">
        <f>1801.08-333.56</f>
        <v>1467.52</v>
      </c>
      <c r="K51" s="347">
        <f>+J51*0.5556</f>
        <v>815.35411199999999</v>
      </c>
      <c r="L51" s="345">
        <f>+K51*Q51</f>
        <v>163.0708224</v>
      </c>
      <c r="M51" s="345" t="s">
        <v>6169</v>
      </c>
      <c r="N51" s="2" t="s">
        <v>3716</v>
      </c>
      <c r="O51" s="2" t="s">
        <v>3739</v>
      </c>
      <c r="P51" s="387" t="s">
        <v>3659</v>
      </c>
      <c r="Q51" s="388">
        <v>0.2</v>
      </c>
      <c r="R51" s="386">
        <v>1900000237</v>
      </c>
      <c r="S51" s="588" t="s">
        <v>3475</v>
      </c>
      <c r="T51" s="588" t="s">
        <v>5914</v>
      </c>
      <c r="U51" s="612" t="s">
        <v>3475</v>
      </c>
    </row>
    <row r="52" spans="1:21" hidden="1" x14ac:dyDescent="0.35">
      <c r="A52" s="386" t="s">
        <v>3746</v>
      </c>
      <c r="B52" s="534" t="s">
        <v>3747</v>
      </c>
      <c r="C52" s="4">
        <v>41571</v>
      </c>
      <c r="D52" s="393">
        <v>41571</v>
      </c>
      <c r="E52" s="4"/>
      <c r="F52" s="386">
        <v>2863932</v>
      </c>
      <c r="G52" s="386" t="s">
        <v>1486</v>
      </c>
      <c r="H52" s="2" t="s">
        <v>3656</v>
      </c>
      <c r="I52" s="345">
        <v>4761</v>
      </c>
      <c r="J52" s="345">
        <v>2375.62</v>
      </c>
      <c r="K52" s="347">
        <f>+J52*0.5556</f>
        <v>1319.894472</v>
      </c>
      <c r="L52" s="345">
        <f>+K52*Q52</f>
        <v>263.9788944</v>
      </c>
      <c r="M52" s="345" t="s">
        <v>6169</v>
      </c>
      <c r="N52" s="2" t="s">
        <v>3716</v>
      </c>
      <c r="O52" s="2" t="s">
        <v>3739</v>
      </c>
      <c r="P52" s="387" t="s">
        <v>3659</v>
      </c>
      <c r="Q52" s="388">
        <v>0.2</v>
      </c>
      <c r="R52" s="386">
        <v>1900001218</v>
      </c>
      <c r="S52" s="2" t="s">
        <v>3475</v>
      </c>
      <c r="T52" s="2" t="s">
        <v>5914</v>
      </c>
      <c r="U52" s="444" t="s">
        <v>3475</v>
      </c>
    </row>
    <row r="53" spans="1:21" s="802" customFormat="1" hidden="1" x14ac:dyDescent="0.35">
      <c r="A53" s="601" t="s">
        <v>3748</v>
      </c>
      <c r="B53" s="596" t="s">
        <v>3749</v>
      </c>
      <c r="C53" s="583">
        <v>41850</v>
      </c>
      <c r="D53" s="395">
        <v>41850</v>
      </c>
      <c r="E53" s="801"/>
      <c r="F53" s="394">
        <v>1003813</v>
      </c>
      <c r="G53" s="601" t="s">
        <v>3655</v>
      </c>
      <c r="H53" s="1" t="s">
        <v>3656</v>
      </c>
      <c r="I53" s="348">
        <f>(59722.35*1.175)/15</f>
        <v>4678.2507500000002</v>
      </c>
      <c r="J53" s="349">
        <f>(20027.55*1.175)/15</f>
        <v>1568.82475</v>
      </c>
      <c r="K53" s="350">
        <f>+J53*0.5556</f>
        <v>871.63903110000001</v>
      </c>
      <c r="L53" s="345">
        <f>+K53*Q53</f>
        <v>174.32780622000001</v>
      </c>
      <c r="M53" s="345" t="s">
        <v>6169</v>
      </c>
      <c r="N53" s="350" t="s">
        <v>3716</v>
      </c>
      <c r="O53" s="1" t="s">
        <v>3750</v>
      </c>
      <c r="P53" s="396" t="s">
        <v>3659</v>
      </c>
      <c r="Q53" s="397">
        <v>0.2</v>
      </c>
      <c r="R53" s="398">
        <v>190001701</v>
      </c>
      <c r="S53" s="596" t="s">
        <v>3475</v>
      </c>
      <c r="T53" s="588" t="s">
        <v>5914</v>
      </c>
      <c r="U53" s="596" t="s">
        <v>3475</v>
      </c>
    </row>
    <row r="54" spans="1:21" s="802" customFormat="1" hidden="1" x14ac:dyDescent="0.35">
      <c r="A54" s="601" t="s">
        <v>3751</v>
      </c>
      <c r="B54" s="596" t="s">
        <v>3749</v>
      </c>
      <c r="C54" s="583">
        <v>41850</v>
      </c>
      <c r="D54" s="395">
        <v>41850</v>
      </c>
      <c r="E54" s="801"/>
      <c r="F54" s="394">
        <v>1003813</v>
      </c>
      <c r="G54" s="601" t="s">
        <v>3655</v>
      </c>
      <c r="H54" s="1" t="s">
        <v>3656</v>
      </c>
      <c r="I54" s="348">
        <f>(59722.35*1.175)/15</f>
        <v>4678.2507500000002</v>
      </c>
      <c r="J54" s="349">
        <f>(20027.55*1.175)/15</f>
        <v>1568.82475</v>
      </c>
      <c r="K54" s="350">
        <f>+J54*0.5556</f>
        <v>871.63903110000001</v>
      </c>
      <c r="L54" s="345">
        <f>+K54*Q54</f>
        <v>174.32780622000001</v>
      </c>
      <c r="M54" s="345" t="s">
        <v>6169</v>
      </c>
      <c r="N54" s="350" t="s">
        <v>3716</v>
      </c>
      <c r="O54" s="1" t="s">
        <v>3750</v>
      </c>
      <c r="P54" s="396" t="s">
        <v>3659</v>
      </c>
      <c r="Q54" s="397">
        <v>0.2</v>
      </c>
      <c r="R54" s="398">
        <v>190001701</v>
      </c>
      <c r="S54" s="596" t="s">
        <v>3475</v>
      </c>
      <c r="T54" s="588" t="s">
        <v>5914</v>
      </c>
      <c r="U54" s="596" t="s">
        <v>3475</v>
      </c>
    </row>
    <row r="55" spans="1:21" s="802" customFormat="1" hidden="1" x14ac:dyDescent="0.35">
      <c r="A55" s="601" t="s">
        <v>3752</v>
      </c>
      <c r="B55" s="596" t="s">
        <v>3749</v>
      </c>
      <c r="C55" s="583">
        <v>41850</v>
      </c>
      <c r="D55" s="395">
        <v>41850</v>
      </c>
      <c r="E55" s="801"/>
      <c r="F55" s="394">
        <v>1003813</v>
      </c>
      <c r="G55" s="601" t="s">
        <v>3655</v>
      </c>
      <c r="H55" s="1" t="s">
        <v>3656</v>
      </c>
      <c r="I55" s="348">
        <f t="shared" ref="I55:I60" si="0">(59722.35*1.175)/15</f>
        <v>4678.2507500000002</v>
      </c>
      <c r="J55" s="349">
        <f t="shared" ref="J55:J60" si="1">(20027.55*1.175)/15</f>
        <v>1568.82475</v>
      </c>
      <c r="K55" s="350">
        <f>+J55*0.5556</f>
        <v>871.63903110000001</v>
      </c>
      <c r="L55" s="345">
        <f>+K55*Q55</f>
        <v>174.32780622000001</v>
      </c>
      <c r="M55" s="345" t="s">
        <v>6169</v>
      </c>
      <c r="N55" s="350" t="s">
        <v>3716</v>
      </c>
      <c r="O55" s="1" t="s">
        <v>3750</v>
      </c>
      <c r="P55" s="396" t="s">
        <v>3659</v>
      </c>
      <c r="Q55" s="397">
        <v>0.2</v>
      </c>
      <c r="R55" s="398">
        <v>190001701</v>
      </c>
      <c r="S55" s="596" t="s">
        <v>3475</v>
      </c>
      <c r="T55" s="588" t="s">
        <v>5914</v>
      </c>
      <c r="U55" s="596" t="s">
        <v>3475</v>
      </c>
    </row>
    <row r="56" spans="1:21" s="802" customFormat="1" hidden="1" x14ac:dyDescent="0.35">
      <c r="A56" s="601" t="s">
        <v>3753</v>
      </c>
      <c r="B56" s="596" t="s">
        <v>3749</v>
      </c>
      <c r="C56" s="583">
        <v>41850</v>
      </c>
      <c r="D56" s="395">
        <v>41850</v>
      </c>
      <c r="E56" s="801"/>
      <c r="F56" s="394">
        <v>1003813</v>
      </c>
      <c r="G56" s="601" t="s">
        <v>3655</v>
      </c>
      <c r="H56" s="1" t="s">
        <v>3656</v>
      </c>
      <c r="I56" s="348">
        <f t="shared" si="0"/>
        <v>4678.2507500000002</v>
      </c>
      <c r="J56" s="349">
        <f t="shared" si="1"/>
        <v>1568.82475</v>
      </c>
      <c r="K56" s="350">
        <f>+J56*0.5556</f>
        <v>871.63903110000001</v>
      </c>
      <c r="L56" s="345">
        <f>+K56*Q56</f>
        <v>174.32780622000001</v>
      </c>
      <c r="M56" s="345" t="s">
        <v>6169</v>
      </c>
      <c r="N56" s="350" t="s">
        <v>3716</v>
      </c>
      <c r="O56" s="1" t="s">
        <v>3750</v>
      </c>
      <c r="P56" s="396" t="s">
        <v>3659</v>
      </c>
      <c r="Q56" s="397">
        <v>0.2</v>
      </c>
      <c r="R56" s="398">
        <v>190001701</v>
      </c>
      <c r="S56" s="596" t="s">
        <v>3475</v>
      </c>
      <c r="T56" s="588" t="s">
        <v>5914</v>
      </c>
      <c r="U56" s="596" t="s">
        <v>3475</v>
      </c>
    </row>
    <row r="57" spans="1:21" s="802" customFormat="1" hidden="1" x14ac:dyDescent="0.35">
      <c r="A57" s="601" t="s">
        <v>3754</v>
      </c>
      <c r="B57" s="596" t="s">
        <v>3749</v>
      </c>
      <c r="C57" s="583">
        <v>41850</v>
      </c>
      <c r="D57" s="395">
        <v>41850</v>
      </c>
      <c r="E57" s="801"/>
      <c r="F57" s="394">
        <v>1003813</v>
      </c>
      <c r="G57" s="601" t="s">
        <v>3655</v>
      </c>
      <c r="H57" s="1" t="s">
        <v>3656</v>
      </c>
      <c r="I57" s="348">
        <f t="shared" si="0"/>
        <v>4678.2507500000002</v>
      </c>
      <c r="J57" s="349">
        <f t="shared" si="1"/>
        <v>1568.82475</v>
      </c>
      <c r="K57" s="350">
        <f>+J57*0.5556</f>
        <v>871.63903110000001</v>
      </c>
      <c r="L57" s="345">
        <f>+K57*Q57</f>
        <v>174.32780622000001</v>
      </c>
      <c r="M57" s="345" t="s">
        <v>6169</v>
      </c>
      <c r="N57" s="350" t="s">
        <v>3716</v>
      </c>
      <c r="O57" s="1" t="s">
        <v>3750</v>
      </c>
      <c r="P57" s="396" t="s">
        <v>3659</v>
      </c>
      <c r="Q57" s="397">
        <v>0.2</v>
      </c>
      <c r="R57" s="398">
        <v>190001701</v>
      </c>
      <c r="S57" s="596" t="s">
        <v>3475</v>
      </c>
      <c r="T57" s="588" t="s">
        <v>5914</v>
      </c>
      <c r="U57" s="596" t="s">
        <v>3475</v>
      </c>
    </row>
    <row r="58" spans="1:21" s="802" customFormat="1" hidden="1" x14ac:dyDescent="0.35">
      <c r="A58" s="601" t="s">
        <v>3755</v>
      </c>
      <c r="B58" s="596" t="s">
        <v>3749</v>
      </c>
      <c r="C58" s="583">
        <v>41850</v>
      </c>
      <c r="D58" s="395">
        <v>41850</v>
      </c>
      <c r="E58" s="801"/>
      <c r="F58" s="394">
        <v>1003813</v>
      </c>
      <c r="G58" s="601" t="s">
        <v>3655</v>
      </c>
      <c r="H58" s="1" t="s">
        <v>3656</v>
      </c>
      <c r="I58" s="348">
        <f t="shared" si="0"/>
        <v>4678.2507500000002</v>
      </c>
      <c r="J58" s="349">
        <f t="shared" si="1"/>
        <v>1568.82475</v>
      </c>
      <c r="K58" s="350">
        <f>+J58*0.5556</f>
        <v>871.63903110000001</v>
      </c>
      <c r="L58" s="345">
        <f>+K58*Q58</f>
        <v>174.32780622000001</v>
      </c>
      <c r="M58" s="345" t="s">
        <v>6169</v>
      </c>
      <c r="N58" s="350" t="s">
        <v>3716</v>
      </c>
      <c r="O58" s="1" t="s">
        <v>3750</v>
      </c>
      <c r="P58" s="396" t="s">
        <v>3659</v>
      </c>
      <c r="Q58" s="397">
        <v>0.2</v>
      </c>
      <c r="R58" s="398">
        <v>190001701</v>
      </c>
      <c r="S58" s="596" t="s">
        <v>3475</v>
      </c>
      <c r="T58" s="588" t="s">
        <v>5914</v>
      </c>
      <c r="U58" s="596" t="s">
        <v>3475</v>
      </c>
    </row>
    <row r="59" spans="1:21" s="802" customFormat="1" hidden="1" x14ac:dyDescent="0.35">
      <c r="A59" s="601" t="s">
        <v>3756</v>
      </c>
      <c r="B59" s="596" t="s">
        <v>3749</v>
      </c>
      <c r="C59" s="583">
        <v>41850</v>
      </c>
      <c r="D59" s="395">
        <v>41850</v>
      </c>
      <c r="E59" s="596"/>
      <c r="F59" s="394">
        <v>1003813</v>
      </c>
      <c r="G59" s="601" t="s">
        <v>3655</v>
      </c>
      <c r="H59" s="1" t="s">
        <v>3656</v>
      </c>
      <c r="I59" s="348">
        <f t="shared" si="0"/>
        <v>4678.2507500000002</v>
      </c>
      <c r="J59" s="349">
        <f t="shared" si="1"/>
        <v>1568.82475</v>
      </c>
      <c r="K59" s="350">
        <f>+J59*0.5556</f>
        <v>871.63903110000001</v>
      </c>
      <c r="L59" s="345">
        <f>+K59*Q59</f>
        <v>174.32780622000001</v>
      </c>
      <c r="M59" s="345" t="s">
        <v>6169</v>
      </c>
      <c r="N59" s="350" t="s">
        <v>3716</v>
      </c>
      <c r="O59" s="1" t="s">
        <v>3750</v>
      </c>
      <c r="P59" s="396" t="s">
        <v>3659</v>
      </c>
      <c r="Q59" s="397">
        <v>0.2</v>
      </c>
      <c r="R59" s="398">
        <v>190001701</v>
      </c>
      <c r="S59" s="596" t="s">
        <v>3475</v>
      </c>
      <c r="T59" s="588" t="s">
        <v>5914</v>
      </c>
      <c r="U59" s="596" t="s">
        <v>3475</v>
      </c>
    </row>
    <row r="60" spans="1:21" s="802" customFormat="1" hidden="1" x14ac:dyDescent="0.35">
      <c r="A60" s="601" t="s">
        <v>3757</v>
      </c>
      <c r="B60" s="596" t="s">
        <v>3749</v>
      </c>
      <c r="C60" s="583">
        <v>41850</v>
      </c>
      <c r="D60" s="395">
        <v>41850</v>
      </c>
      <c r="E60" s="596"/>
      <c r="F60" s="394">
        <v>1003813</v>
      </c>
      <c r="G60" s="601" t="s">
        <v>3655</v>
      </c>
      <c r="H60" s="1" t="s">
        <v>3656</v>
      </c>
      <c r="I60" s="348">
        <f t="shared" si="0"/>
        <v>4678.2507500000002</v>
      </c>
      <c r="J60" s="349">
        <f t="shared" si="1"/>
        <v>1568.82475</v>
      </c>
      <c r="K60" s="350">
        <f>+J60*0.5556</f>
        <v>871.63903110000001</v>
      </c>
      <c r="L60" s="345">
        <f>+K60*Q60</f>
        <v>174.32780622000001</v>
      </c>
      <c r="M60" s="345" t="s">
        <v>6169</v>
      </c>
      <c r="N60" s="350" t="s">
        <v>3716</v>
      </c>
      <c r="O60" s="1" t="s">
        <v>3750</v>
      </c>
      <c r="P60" s="396" t="s">
        <v>3659</v>
      </c>
      <c r="Q60" s="397">
        <v>0.2</v>
      </c>
      <c r="R60" s="398">
        <v>190001701</v>
      </c>
      <c r="S60" s="596" t="s">
        <v>3475</v>
      </c>
      <c r="T60" s="588" t="s">
        <v>5914</v>
      </c>
      <c r="U60" s="596" t="s">
        <v>3475</v>
      </c>
    </row>
    <row r="61" spans="1:21" s="802" customFormat="1" hidden="1" x14ac:dyDescent="0.35">
      <c r="A61" s="601" t="s">
        <v>3758</v>
      </c>
      <c r="B61" s="596" t="s">
        <v>3759</v>
      </c>
      <c r="C61" s="583">
        <v>41850</v>
      </c>
      <c r="D61" s="395">
        <v>41850</v>
      </c>
      <c r="E61" s="596"/>
      <c r="F61" s="394">
        <v>1003813</v>
      </c>
      <c r="G61" s="601" t="s">
        <v>3655</v>
      </c>
      <c r="H61" s="1" t="s">
        <v>3656</v>
      </c>
      <c r="I61" s="348">
        <f t="shared" ref="I61:I71" si="2">(58477.96*1.175)/15</f>
        <v>4580.7735333333339</v>
      </c>
      <c r="J61" s="349">
        <f t="shared" ref="J61:J71" si="3">(19610.25*1.175)/15</f>
        <v>1536.13625</v>
      </c>
      <c r="K61" s="350">
        <f>+J61*0.5556</f>
        <v>853.47730049999996</v>
      </c>
      <c r="L61" s="345">
        <f>+K61*Q61</f>
        <v>170.69546009999999</v>
      </c>
      <c r="M61" s="345" t="s">
        <v>6169</v>
      </c>
      <c r="N61" s="350" t="s">
        <v>3716</v>
      </c>
      <c r="O61" s="1" t="s">
        <v>3750</v>
      </c>
      <c r="P61" s="396" t="s">
        <v>3659</v>
      </c>
      <c r="Q61" s="397">
        <v>0.2</v>
      </c>
      <c r="R61" s="398">
        <v>190001701</v>
      </c>
      <c r="S61" s="596" t="s">
        <v>3475</v>
      </c>
      <c r="T61" s="588" t="s">
        <v>5914</v>
      </c>
      <c r="U61" s="596" t="s">
        <v>3475</v>
      </c>
    </row>
    <row r="62" spans="1:21" s="802" customFormat="1" hidden="1" x14ac:dyDescent="0.35">
      <c r="A62" s="601" t="s">
        <v>3760</v>
      </c>
      <c r="B62" s="596" t="s">
        <v>3759</v>
      </c>
      <c r="C62" s="583">
        <v>41850</v>
      </c>
      <c r="D62" s="395">
        <v>41850</v>
      </c>
      <c r="E62" s="596"/>
      <c r="F62" s="394">
        <v>1003813</v>
      </c>
      <c r="G62" s="601" t="s">
        <v>3655</v>
      </c>
      <c r="H62" s="1" t="s">
        <v>3656</v>
      </c>
      <c r="I62" s="348">
        <f t="shared" si="2"/>
        <v>4580.7735333333339</v>
      </c>
      <c r="J62" s="349">
        <f t="shared" si="3"/>
        <v>1536.13625</v>
      </c>
      <c r="K62" s="350">
        <f>+J62*0.5556</f>
        <v>853.47730049999996</v>
      </c>
      <c r="L62" s="345">
        <f>+K62*Q62</f>
        <v>170.69546009999999</v>
      </c>
      <c r="M62" s="345" t="s">
        <v>6169</v>
      </c>
      <c r="N62" s="350" t="s">
        <v>3716</v>
      </c>
      <c r="O62" s="1" t="s">
        <v>3750</v>
      </c>
      <c r="P62" s="396" t="s">
        <v>3659</v>
      </c>
      <c r="Q62" s="397">
        <v>0.2</v>
      </c>
      <c r="R62" s="398">
        <v>190001701</v>
      </c>
      <c r="S62" s="596" t="s">
        <v>3475</v>
      </c>
      <c r="T62" s="588" t="s">
        <v>5914</v>
      </c>
      <c r="U62" s="596" t="s">
        <v>3475</v>
      </c>
    </row>
    <row r="63" spans="1:21" s="802" customFormat="1" hidden="1" x14ac:dyDescent="0.35">
      <c r="A63" s="601" t="s">
        <v>3761</v>
      </c>
      <c r="B63" s="596" t="s">
        <v>3759</v>
      </c>
      <c r="C63" s="583">
        <v>41850</v>
      </c>
      <c r="D63" s="395">
        <v>41850</v>
      </c>
      <c r="E63" s="596"/>
      <c r="F63" s="394">
        <v>1003813</v>
      </c>
      <c r="G63" s="601" t="s">
        <v>3655</v>
      </c>
      <c r="H63" s="1" t="s">
        <v>3656</v>
      </c>
      <c r="I63" s="348">
        <f t="shared" si="2"/>
        <v>4580.7735333333339</v>
      </c>
      <c r="J63" s="349">
        <f t="shared" si="3"/>
        <v>1536.13625</v>
      </c>
      <c r="K63" s="350">
        <f>+J63*0.5556</f>
        <v>853.47730049999996</v>
      </c>
      <c r="L63" s="345">
        <f>+K63*Q63</f>
        <v>170.69546009999999</v>
      </c>
      <c r="M63" s="345" t="s">
        <v>6169</v>
      </c>
      <c r="N63" s="350" t="s">
        <v>3716</v>
      </c>
      <c r="O63" s="1" t="s">
        <v>3750</v>
      </c>
      <c r="P63" s="396" t="s">
        <v>3659</v>
      </c>
      <c r="Q63" s="397">
        <v>0.2</v>
      </c>
      <c r="R63" s="398">
        <v>190001701</v>
      </c>
      <c r="S63" s="596" t="s">
        <v>3475</v>
      </c>
      <c r="T63" s="588" t="s">
        <v>5914</v>
      </c>
      <c r="U63" s="596" t="s">
        <v>3475</v>
      </c>
    </row>
    <row r="64" spans="1:21" s="802" customFormat="1" hidden="1" x14ac:dyDescent="0.35">
      <c r="A64" s="601" t="s">
        <v>3762</v>
      </c>
      <c r="B64" s="596" t="s">
        <v>3759</v>
      </c>
      <c r="C64" s="583">
        <v>41850</v>
      </c>
      <c r="D64" s="395">
        <v>41850</v>
      </c>
      <c r="E64" s="596"/>
      <c r="F64" s="394">
        <v>1003813</v>
      </c>
      <c r="G64" s="601" t="s">
        <v>3655</v>
      </c>
      <c r="H64" s="1" t="s">
        <v>3656</v>
      </c>
      <c r="I64" s="348">
        <f t="shared" si="2"/>
        <v>4580.7735333333339</v>
      </c>
      <c r="J64" s="349">
        <f t="shared" si="3"/>
        <v>1536.13625</v>
      </c>
      <c r="K64" s="350">
        <f>+J64*0.5556</f>
        <v>853.47730049999996</v>
      </c>
      <c r="L64" s="345">
        <f>+K64*Q64</f>
        <v>170.69546009999999</v>
      </c>
      <c r="M64" s="345" t="s">
        <v>6169</v>
      </c>
      <c r="N64" s="350" t="s">
        <v>3716</v>
      </c>
      <c r="O64" s="1" t="s">
        <v>3750</v>
      </c>
      <c r="P64" s="396" t="s">
        <v>3659</v>
      </c>
      <c r="Q64" s="397">
        <v>0.2</v>
      </c>
      <c r="R64" s="398">
        <v>190001701</v>
      </c>
      <c r="S64" s="596" t="s">
        <v>3475</v>
      </c>
      <c r="T64" s="588" t="s">
        <v>5914</v>
      </c>
      <c r="U64" s="596" t="s">
        <v>3475</v>
      </c>
    </row>
    <row r="65" spans="1:21" s="802" customFormat="1" hidden="1" x14ac:dyDescent="0.35">
      <c r="A65" s="601" t="s">
        <v>3763</v>
      </c>
      <c r="B65" s="596" t="s">
        <v>3759</v>
      </c>
      <c r="C65" s="583">
        <v>41850</v>
      </c>
      <c r="D65" s="395">
        <v>41850</v>
      </c>
      <c r="E65" s="596"/>
      <c r="F65" s="394">
        <v>1003813</v>
      </c>
      <c r="G65" s="601" t="s">
        <v>3655</v>
      </c>
      <c r="H65" s="1" t="s">
        <v>3656</v>
      </c>
      <c r="I65" s="348">
        <f t="shared" si="2"/>
        <v>4580.7735333333339</v>
      </c>
      <c r="J65" s="349">
        <f t="shared" si="3"/>
        <v>1536.13625</v>
      </c>
      <c r="K65" s="350">
        <f>+J65*0.5556</f>
        <v>853.47730049999996</v>
      </c>
      <c r="L65" s="345">
        <f>+K65*Q65</f>
        <v>170.69546009999999</v>
      </c>
      <c r="M65" s="345" t="s">
        <v>6169</v>
      </c>
      <c r="N65" s="350" t="s">
        <v>3716</v>
      </c>
      <c r="O65" s="1" t="s">
        <v>3750</v>
      </c>
      <c r="P65" s="396" t="s">
        <v>3659</v>
      </c>
      <c r="Q65" s="397">
        <v>0.2</v>
      </c>
      <c r="R65" s="398">
        <v>190001701</v>
      </c>
      <c r="S65" s="596" t="s">
        <v>3475</v>
      </c>
      <c r="T65" s="588" t="s">
        <v>5914</v>
      </c>
      <c r="U65" s="596" t="s">
        <v>3475</v>
      </c>
    </row>
    <row r="66" spans="1:21" s="802" customFormat="1" hidden="1" x14ac:dyDescent="0.35">
      <c r="A66" s="601" t="s">
        <v>3764</v>
      </c>
      <c r="B66" s="596" t="s">
        <v>3759</v>
      </c>
      <c r="C66" s="583">
        <v>41850</v>
      </c>
      <c r="D66" s="395">
        <v>41850</v>
      </c>
      <c r="E66" s="596"/>
      <c r="F66" s="394">
        <v>1003813</v>
      </c>
      <c r="G66" s="601" t="s">
        <v>3655</v>
      </c>
      <c r="H66" s="1" t="s">
        <v>3656</v>
      </c>
      <c r="I66" s="348">
        <f t="shared" si="2"/>
        <v>4580.7735333333339</v>
      </c>
      <c r="J66" s="349">
        <f t="shared" si="3"/>
        <v>1536.13625</v>
      </c>
      <c r="K66" s="350">
        <f>+J66*0.5556</f>
        <v>853.47730049999996</v>
      </c>
      <c r="L66" s="345">
        <f>+K66*Q66</f>
        <v>170.69546009999999</v>
      </c>
      <c r="M66" s="345" t="s">
        <v>6169</v>
      </c>
      <c r="N66" s="350" t="s">
        <v>3716</v>
      </c>
      <c r="O66" s="1" t="s">
        <v>3750</v>
      </c>
      <c r="P66" s="396" t="s">
        <v>3659</v>
      </c>
      <c r="Q66" s="397">
        <v>0.2</v>
      </c>
      <c r="R66" s="398">
        <v>190001701</v>
      </c>
      <c r="S66" s="596" t="s">
        <v>3475</v>
      </c>
      <c r="T66" s="588" t="s">
        <v>5914</v>
      </c>
      <c r="U66" s="596" t="s">
        <v>3475</v>
      </c>
    </row>
    <row r="67" spans="1:21" s="802" customFormat="1" hidden="1" x14ac:dyDescent="0.35">
      <c r="A67" s="601" t="s">
        <v>3765</v>
      </c>
      <c r="B67" s="596" t="s">
        <v>3759</v>
      </c>
      <c r="C67" s="583">
        <v>41850</v>
      </c>
      <c r="D67" s="395">
        <v>41850</v>
      </c>
      <c r="E67" s="596"/>
      <c r="F67" s="394">
        <v>1003813</v>
      </c>
      <c r="G67" s="601" t="s">
        <v>3655</v>
      </c>
      <c r="H67" s="1" t="s">
        <v>3656</v>
      </c>
      <c r="I67" s="348">
        <f t="shared" si="2"/>
        <v>4580.7735333333339</v>
      </c>
      <c r="J67" s="349">
        <f t="shared" si="3"/>
        <v>1536.13625</v>
      </c>
      <c r="K67" s="350">
        <f>+J67*0.5556</f>
        <v>853.47730049999996</v>
      </c>
      <c r="L67" s="345">
        <f>+K67*Q67</f>
        <v>170.69546009999999</v>
      </c>
      <c r="M67" s="345" t="s">
        <v>6169</v>
      </c>
      <c r="N67" s="350" t="s">
        <v>3716</v>
      </c>
      <c r="O67" s="1" t="s">
        <v>3750</v>
      </c>
      <c r="P67" s="396" t="s">
        <v>3659</v>
      </c>
      <c r="Q67" s="397">
        <v>0.2</v>
      </c>
      <c r="R67" s="398">
        <v>190001701</v>
      </c>
      <c r="S67" s="596" t="s">
        <v>3475</v>
      </c>
      <c r="T67" s="588" t="s">
        <v>5914</v>
      </c>
      <c r="U67" s="596" t="s">
        <v>3475</v>
      </c>
    </row>
    <row r="68" spans="1:21" s="802" customFormat="1" hidden="1" x14ac:dyDescent="0.35">
      <c r="A68" s="601" t="s">
        <v>3766</v>
      </c>
      <c r="B68" s="596" t="s">
        <v>3759</v>
      </c>
      <c r="C68" s="583">
        <v>41850</v>
      </c>
      <c r="D68" s="395">
        <v>41850</v>
      </c>
      <c r="E68" s="596"/>
      <c r="F68" s="394">
        <v>1003813</v>
      </c>
      <c r="G68" s="601" t="s">
        <v>3655</v>
      </c>
      <c r="H68" s="1" t="s">
        <v>3656</v>
      </c>
      <c r="I68" s="348">
        <f t="shared" si="2"/>
        <v>4580.7735333333339</v>
      </c>
      <c r="J68" s="349">
        <f t="shared" si="3"/>
        <v>1536.13625</v>
      </c>
      <c r="K68" s="350">
        <f>+J68*0.5556</f>
        <v>853.47730049999996</v>
      </c>
      <c r="L68" s="345">
        <f>+K68*Q68</f>
        <v>170.69546009999999</v>
      </c>
      <c r="M68" s="345" t="s">
        <v>6169</v>
      </c>
      <c r="N68" s="350" t="s">
        <v>3716</v>
      </c>
      <c r="O68" s="1" t="s">
        <v>3750</v>
      </c>
      <c r="P68" s="396" t="s">
        <v>3659</v>
      </c>
      <c r="Q68" s="397">
        <v>0.2</v>
      </c>
      <c r="R68" s="398">
        <v>190001701</v>
      </c>
      <c r="S68" s="596" t="s">
        <v>3475</v>
      </c>
      <c r="T68" s="588" t="s">
        <v>5914</v>
      </c>
      <c r="U68" s="596" t="s">
        <v>3475</v>
      </c>
    </row>
    <row r="69" spans="1:21" s="802" customFormat="1" hidden="1" x14ac:dyDescent="0.35">
      <c r="A69" s="601" t="s">
        <v>3767</v>
      </c>
      <c r="B69" s="596" t="s">
        <v>4</v>
      </c>
      <c r="C69" s="801">
        <v>41850</v>
      </c>
      <c r="D69" s="395">
        <v>41850</v>
      </c>
      <c r="E69" s="583" t="s">
        <v>5</v>
      </c>
      <c r="F69" s="394">
        <v>1003813</v>
      </c>
      <c r="G69" s="601" t="s">
        <v>3655</v>
      </c>
      <c r="H69" s="1" t="s">
        <v>3656</v>
      </c>
      <c r="I69" s="348">
        <f t="shared" si="2"/>
        <v>4580.7735333333339</v>
      </c>
      <c r="J69" s="349">
        <f t="shared" si="3"/>
        <v>1536.13625</v>
      </c>
      <c r="K69" s="350">
        <f>+J69*0.5556</f>
        <v>853.47730049999996</v>
      </c>
      <c r="L69" s="345">
        <f>+K69*Q69</f>
        <v>170.69546009999999</v>
      </c>
      <c r="M69" s="345" t="s">
        <v>6169</v>
      </c>
      <c r="N69" s="350" t="s">
        <v>3716</v>
      </c>
      <c r="O69" s="1" t="s">
        <v>3750</v>
      </c>
      <c r="P69" s="396" t="s">
        <v>3659</v>
      </c>
      <c r="Q69" s="397">
        <v>0.2</v>
      </c>
      <c r="R69" s="398">
        <v>190001701</v>
      </c>
      <c r="S69" s="804" t="s">
        <v>3475</v>
      </c>
      <c r="T69" s="598" t="s">
        <v>5915</v>
      </c>
    </row>
    <row r="70" spans="1:21" s="802" customFormat="1" hidden="1" x14ac:dyDescent="0.35">
      <c r="A70" s="601" t="s">
        <v>3768</v>
      </c>
      <c r="B70" s="596" t="s">
        <v>7</v>
      </c>
      <c r="C70" s="801">
        <v>41850</v>
      </c>
      <c r="D70" s="395">
        <v>41850</v>
      </c>
      <c r="E70" s="583" t="s">
        <v>8</v>
      </c>
      <c r="F70" s="394">
        <v>1003813</v>
      </c>
      <c r="G70" s="601" t="s">
        <v>3655</v>
      </c>
      <c r="H70" s="1" t="s">
        <v>3656</v>
      </c>
      <c r="I70" s="348">
        <f t="shared" si="2"/>
        <v>4580.7735333333339</v>
      </c>
      <c r="J70" s="349">
        <f t="shared" si="3"/>
        <v>1536.13625</v>
      </c>
      <c r="K70" s="350">
        <f>+J70*0.5556</f>
        <v>853.47730049999996</v>
      </c>
      <c r="L70" s="345">
        <f>+K70*Q70</f>
        <v>170.69546009999999</v>
      </c>
      <c r="M70" s="345" t="s">
        <v>6169</v>
      </c>
      <c r="N70" s="350" t="s">
        <v>3716</v>
      </c>
      <c r="O70" s="1" t="s">
        <v>3750</v>
      </c>
      <c r="P70" s="396" t="s">
        <v>3659</v>
      </c>
      <c r="Q70" s="397">
        <v>0.2</v>
      </c>
      <c r="R70" s="398">
        <v>190001701</v>
      </c>
      <c r="S70" s="805" t="s">
        <v>3475</v>
      </c>
      <c r="T70" s="798" t="s">
        <v>5915</v>
      </c>
    </row>
    <row r="71" spans="1:21" s="802" customFormat="1" hidden="1" x14ac:dyDescent="0.35">
      <c r="A71" s="601" t="s">
        <v>3769</v>
      </c>
      <c r="B71" s="596" t="s">
        <v>3759</v>
      </c>
      <c r="C71" s="583">
        <v>41850</v>
      </c>
      <c r="D71" s="395">
        <v>41850</v>
      </c>
      <c r="E71" s="596"/>
      <c r="F71" s="394">
        <v>1003813</v>
      </c>
      <c r="G71" s="601" t="s">
        <v>3655</v>
      </c>
      <c r="H71" s="1" t="s">
        <v>3656</v>
      </c>
      <c r="I71" s="348">
        <f t="shared" si="2"/>
        <v>4580.7735333333339</v>
      </c>
      <c r="J71" s="349">
        <f t="shared" si="3"/>
        <v>1536.13625</v>
      </c>
      <c r="K71" s="350">
        <f>+J71*0.5556</f>
        <v>853.47730049999996</v>
      </c>
      <c r="L71" s="345">
        <f>+K71*Q71</f>
        <v>170.69546009999999</v>
      </c>
      <c r="M71" s="345" t="s">
        <v>6169</v>
      </c>
      <c r="N71" s="350" t="s">
        <v>3716</v>
      </c>
      <c r="O71" s="1" t="s">
        <v>3750</v>
      </c>
      <c r="P71" s="396" t="s">
        <v>3659</v>
      </c>
      <c r="Q71" s="397">
        <v>0.2</v>
      </c>
      <c r="R71" s="398">
        <v>190001701</v>
      </c>
      <c r="S71" s="596" t="s">
        <v>3475</v>
      </c>
      <c r="T71" s="588" t="s">
        <v>5914</v>
      </c>
      <c r="U71" s="596" t="s">
        <v>3475</v>
      </c>
    </row>
    <row r="72" spans="1:21" s="802" customFormat="1" hidden="1" x14ac:dyDescent="0.35">
      <c r="A72" s="601" t="s">
        <v>3770</v>
      </c>
      <c r="B72" s="582" t="s">
        <v>3771</v>
      </c>
      <c r="C72" s="583">
        <v>41666</v>
      </c>
      <c r="D72" s="399">
        <v>41666</v>
      </c>
      <c r="E72" s="596"/>
      <c r="F72" s="394">
        <v>557</v>
      </c>
      <c r="G72" s="601" t="s">
        <v>3655</v>
      </c>
      <c r="H72" s="1" t="s">
        <v>3656</v>
      </c>
      <c r="I72" s="400">
        <f>+J72*2.1088</f>
        <v>2766.829952</v>
      </c>
      <c r="J72" s="401">
        <v>1312.04</v>
      </c>
      <c r="K72" s="350">
        <f>+J72*0.5556</f>
        <v>728.969424</v>
      </c>
      <c r="L72" s="345">
        <f>+K72*Q72</f>
        <v>145.7938848</v>
      </c>
      <c r="M72" s="345" t="s">
        <v>6169</v>
      </c>
      <c r="N72" s="1" t="s">
        <v>3772</v>
      </c>
      <c r="O72" s="1" t="s">
        <v>3739</v>
      </c>
      <c r="P72" s="396" t="s">
        <v>3659</v>
      </c>
      <c r="Q72" s="397">
        <v>0.2</v>
      </c>
      <c r="R72" s="394">
        <v>190000093</v>
      </c>
      <c r="S72" s="596" t="s">
        <v>3475</v>
      </c>
      <c r="T72" s="588" t="s">
        <v>5914</v>
      </c>
      <c r="U72" s="596" t="s">
        <v>3475</v>
      </c>
    </row>
    <row r="73" spans="1:21" s="802" customFormat="1" hidden="1" x14ac:dyDescent="0.35">
      <c r="A73" s="601" t="s">
        <v>3773</v>
      </c>
      <c r="B73" s="582" t="s">
        <v>3771</v>
      </c>
      <c r="C73" s="583">
        <v>41666</v>
      </c>
      <c r="D73" s="399">
        <v>41666</v>
      </c>
      <c r="E73" s="596"/>
      <c r="F73" s="394">
        <v>557</v>
      </c>
      <c r="G73" s="601" t="s">
        <v>3655</v>
      </c>
      <c r="H73" s="1" t="s">
        <v>3656</v>
      </c>
      <c r="I73" s="400">
        <f>+J73*2.1088</f>
        <v>2766.829952</v>
      </c>
      <c r="J73" s="401">
        <v>1312.04</v>
      </c>
      <c r="K73" s="350">
        <f>+J73*0.5556</f>
        <v>728.969424</v>
      </c>
      <c r="L73" s="345">
        <f>+K73*Q73</f>
        <v>145.7938848</v>
      </c>
      <c r="M73" s="345" t="s">
        <v>6169</v>
      </c>
      <c r="N73" s="1" t="s">
        <v>3772</v>
      </c>
      <c r="O73" s="1" t="s">
        <v>3739</v>
      </c>
      <c r="P73" s="396" t="s">
        <v>3659</v>
      </c>
      <c r="Q73" s="397">
        <v>0.2</v>
      </c>
      <c r="R73" s="394">
        <v>190000093</v>
      </c>
      <c r="S73" s="596" t="s">
        <v>3475</v>
      </c>
      <c r="T73" s="588" t="s">
        <v>5914</v>
      </c>
      <c r="U73" s="596" t="s">
        <v>3475</v>
      </c>
    </row>
    <row r="74" spans="1:21" s="802" customFormat="1" hidden="1" x14ac:dyDescent="0.35">
      <c r="A74" s="601" t="s">
        <v>3774</v>
      </c>
      <c r="B74" s="582" t="s">
        <v>3771</v>
      </c>
      <c r="C74" s="583">
        <v>41666</v>
      </c>
      <c r="D74" s="399">
        <v>41666</v>
      </c>
      <c r="E74" s="596"/>
      <c r="F74" s="394">
        <v>557</v>
      </c>
      <c r="G74" s="601" t="s">
        <v>3655</v>
      </c>
      <c r="H74" s="1" t="s">
        <v>3656</v>
      </c>
      <c r="I74" s="400">
        <f>+J74*2.1088</f>
        <v>2766.829952</v>
      </c>
      <c r="J74" s="401">
        <v>1312.04</v>
      </c>
      <c r="K74" s="350">
        <f>+J74*0.5556</f>
        <v>728.969424</v>
      </c>
      <c r="L74" s="345">
        <f>+K74*Q74</f>
        <v>145.7938848</v>
      </c>
      <c r="M74" s="345" t="s">
        <v>6169</v>
      </c>
      <c r="N74" s="1" t="s">
        <v>3772</v>
      </c>
      <c r="O74" s="1" t="s">
        <v>3739</v>
      </c>
      <c r="P74" s="396" t="s">
        <v>3659</v>
      </c>
      <c r="Q74" s="397">
        <v>0.2</v>
      </c>
      <c r="R74" s="394">
        <v>190000093</v>
      </c>
      <c r="S74" s="596" t="s">
        <v>3475</v>
      </c>
      <c r="T74" s="588" t="s">
        <v>5914</v>
      </c>
      <c r="U74" s="596" t="s">
        <v>3475</v>
      </c>
    </row>
    <row r="75" spans="1:21" s="802" customFormat="1" hidden="1" x14ac:dyDescent="0.35">
      <c r="A75" s="601" t="s">
        <v>3775</v>
      </c>
      <c r="B75" s="582" t="s">
        <v>3771</v>
      </c>
      <c r="C75" s="583">
        <v>41666</v>
      </c>
      <c r="D75" s="399">
        <v>41666</v>
      </c>
      <c r="E75" s="596"/>
      <c r="F75" s="394">
        <v>557</v>
      </c>
      <c r="G75" s="601" t="s">
        <v>3655</v>
      </c>
      <c r="H75" s="1" t="s">
        <v>3656</v>
      </c>
      <c r="I75" s="400">
        <f>+J75*2.1088</f>
        <v>2766.829952</v>
      </c>
      <c r="J75" s="401">
        <v>1312.04</v>
      </c>
      <c r="K75" s="350">
        <f>+J75*0.5556</f>
        <v>728.969424</v>
      </c>
      <c r="L75" s="345">
        <f>+K75*Q75</f>
        <v>145.7938848</v>
      </c>
      <c r="M75" s="345" t="s">
        <v>6169</v>
      </c>
      <c r="N75" s="1" t="s">
        <v>3772</v>
      </c>
      <c r="O75" s="1" t="s">
        <v>3739</v>
      </c>
      <c r="P75" s="396" t="s">
        <v>3659</v>
      </c>
      <c r="Q75" s="397">
        <v>0.2</v>
      </c>
      <c r="R75" s="394">
        <v>190000093</v>
      </c>
      <c r="S75" s="596" t="s">
        <v>3475</v>
      </c>
      <c r="T75" s="588" t="s">
        <v>5914</v>
      </c>
      <c r="U75" s="596" t="s">
        <v>3475</v>
      </c>
    </row>
    <row r="76" spans="1:21" s="802" customFormat="1" hidden="1" x14ac:dyDescent="0.35">
      <c r="A76" s="601" t="s">
        <v>3776</v>
      </c>
      <c r="B76" s="582" t="s">
        <v>3771</v>
      </c>
      <c r="C76" s="583">
        <v>41666</v>
      </c>
      <c r="D76" s="399">
        <v>41666</v>
      </c>
      <c r="E76" s="596"/>
      <c r="F76" s="394">
        <v>557</v>
      </c>
      <c r="G76" s="601" t="s">
        <v>3655</v>
      </c>
      <c r="H76" s="1" t="s">
        <v>3656</v>
      </c>
      <c r="I76" s="400">
        <f>+J76*2.1088</f>
        <v>2766.829952</v>
      </c>
      <c r="J76" s="401">
        <v>1312.04</v>
      </c>
      <c r="K76" s="350">
        <f>+J76*0.5556</f>
        <v>728.969424</v>
      </c>
      <c r="L76" s="345">
        <f>+K76*Q76</f>
        <v>145.7938848</v>
      </c>
      <c r="M76" s="345" t="s">
        <v>6169</v>
      </c>
      <c r="N76" s="1" t="s">
        <v>3772</v>
      </c>
      <c r="O76" s="1" t="s">
        <v>3739</v>
      </c>
      <c r="P76" s="396" t="s">
        <v>3659</v>
      </c>
      <c r="Q76" s="397">
        <v>0.2</v>
      </c>
      <c r="R76" s="394">
        <v>190000093</v>
      </c>
      <c r="S76" s="596" t="s">
        <v>3475</v>
      </c>
      <c r="T76" s="588" t="s">
        <v>5914</v>
      </c>
      <c r="U76" s="596" t="s">
        <v>3475</v>
      </c>
    </row>
    <row r="77" spans="1:21" s="802" customFormat="1" hidden="1" x14ac:dyDescent="0.35">
      <c r="A77" s="601" t="s">
        <v>3777</v>
      </c>
      <c r="B77" s="582" t="s">
        <v>9</v>
      </c>
      <c r="C77" s="803">
        <v>41666</v>
      </c>
      <c r="D77" s="399">
        <v>41666</v>
      </c>
      <c r="E77" s="583" t="s">
        <v>10</v>
      </c>
      <c r="F77" s="394">
        <v>557</v>
      </c>
      <c r="G77" s="601" t="s">
        <v>3655</v>
      </c>
      <c r="H77" s="1" t="s">
        <v>3656</v>
      </c>
      <c r="I77" s="350">
        <f>+J77*2.1088</f>
        <v>2724.0845760000002</v>
      </c>
      <c r="J77" s="401">
        <v>1291.77</v>
      </c>
      <c r="K77" s="350">
        <f>+J77*0.5556</f>
        <v>717.70741199999998</v>
      </c>
      <c r="L77" s="345">
        <f>+K77*Q77</f>
        <v>143.54148240000001</v>
      </c>
      <c r="M77" s="345" t="s">
        <v>6169</v>
      </c>
      <c r="N77" s="1" t="s">
        <v>3716</v>
      </c>
      <c r="O77" s="1" t="s">
        <v>3739</v>
      </c>
      <c r="P77" s="396" t="s">
        <v>3659</v>
      </c>
      <c r="Q77" s="397">
        <v>0.2</v>
      </c>
      <c r="R77" s="394">
        <v>190000093</v>
      </c>
      <c r="S77" s="804" t="s">
        <v>3475</v>
      </c>
      <c r="T77" s="598" t="s">
        <v>5915</v>
      </c>
    </row>
    <row r="78" spans="1:21" s="802" customFormat="1" hidden="1" x14ac:dyDescent="0.35">
      <c r="A78" s="601" t="s">
        <v>3778</v>
      </c>
      <c r="B78" s="582" t="s">
        <v>9</v>
      </c>
      <c r="C78" s="803">
        <v>41666</v>
      </c>
      <c r="D78" s="399">
        <v>41666</v>
      </c>
      <c r="E78" s="583" t="s">
        <v>11</v>
      </c>
      <c r="F78" s="394">
        <v>557</v>
      </c>
      <c r="G78" s="601" t="s">
        <v>3655</v>
      </c>
      <c r="H78" s="1" t="s">
        <v>3656</v>
      </c>
      <c r="I78" s="350">
        <f>+J78*2.1088</f>
        <v>2724.0845760000002</v>
      </c>
      <c r="J78" s="401">
        <v>1291.77</v>
      </c>
      <c r="K78" s="350">
        <f>+J78*0.5556</f>
        <v>717.70741199999998</v>
      </c>
      <c r="L78" s="345">
        <f>+K78*Q78</f>
        <v>143.54148240000001</v>
      </c>
      <c r="M78" s="345" t="s">
        <v>6169</v>
      </c>
      <c r="N78" s="1" t="s">
        <v>3716</v>
      </c>
      <c r="O78" s="1" t="s">
        <v>3739</v>
      </c>
      <c r="P78" s="396" t="s">
        <v>3659</v>
      </c>
      <c r="Q78" s="397">
        <v>0.2</v>
      </c>
      <c r="R78" s="394">
        <v>190000093</v>
      </c>
      <c r="S78" s="596" t="s">
        <v>3475</v>
      </c>
      <c r="T78" s="588" t="s">
        <v>5915</v>
      </c>
    </row>
    <row r="79" spans="1:21" s="802" customFormat="1" hidden="1" x14ac:dyDescent="0.35">
      <c r="A79" s="601" t="s">
        <v>3779</v>
      </c>
      <c r="B79" s="582" t="s">
        <v>9</v>
      </c>
      <c r="C79" s="803">
        <v>41666</v>
      </c>
      <c r="D79" s="399">
        <v>41666</v>
      </c>
      <c r="E79" s="583" t="s">
        <v>12</v>
      </c>
      <c r="F79" s="394">
        <v>557</v>
      </c>
      <c r="G79" s="601" t="s">
        <v>3655</v>
      </c>
      <c r="H79" s="1" t="s">
        <v>3656</v>
      </c>
      <c r="I79" s="350">
        <f>+J79*2.1088</f>
        <v>2724.0845760000002</v>
      </c>
      <c r="J79" s="401">
        <v>1291.77</v>
      </c>
      <c r="K79" s="350">
        <f>+J79*0.5556</f>
        <v>717.70741199999998</v>
      </c>
      <c r="L79" s="345">
        <f>+K79*Q79</f>
        <v>143.54148240000001</v>
      </c>
      <c r="M79" s="345" t="s">
        <v>6169</v>
      </c>
      <c r="N79" s="1" t="s">
        <v>3716</v>
      </c>
      <c r="O79" s="1" t="s">
        <v>3739</v>
      </c>
      <c r="P79" s="396" t="s">
        <v>3659</v>
      </c>
      <c r="Q79" s="397">
        <v>0.2</v>
      </c>
      <c r="R79" s="394">
        <v>190000093</v>
      </c>
      <c r="S79" s="596" t="s">
        <v>3533</v>
      </c>
      <c r="T79" s="588" t="s">
        <v>5915</v>
      </c>
    </row>
    <row r="80" spans="1:21" s="802" customFormat="1" hidden="1" x14ac:dyDescent="0.35">
      <c r="A80" s="601" t="s">
        <v>3780</v>
      </c>
      <c r="B80" s="582" t="s">
        <v>9</v>
      </c>
      <c r="C80" s="803">
        <v>41666</v>
      </c>
      <c r="D80" s="399">
        <v>41666</v>
      </c>
      <c r="E80" s="583" t="s">
        <v>13</v>
      </c>
      <c r="F80" s="394">
        <v>557</v>
      </c>
      <c r="G80" s="601" t="s">
        <v>3655</v>
      </c>
      <c r="H80" s="1" t="s">
        <v>3656</v>
      </c>
      <c r="I80" s="350">
        <f>+J80*2.1088</f>
        <v>2724.0845760000002</v>
      </c>
      <c r="J80" s="401">
        <v>1291.77</v>
      </c>
      <c r="K80" s="350">
        <f>+J80*0.5556</f>
        <v>717.70741199999998</v>
      </c>
      <c r="L80" s="345">
        <f>+K80*Q80</f>
        <v>143.54148240000001</v>
      </c>
      <c r="M80" s="345" t="s">
        <v>6169</v>
      </c>
      <c r="N80" s="1" t="s">
        <v>3716</v>
      </c>
      <c r="O80" s="1" t="s">
        <v>3739</v>
      </c>
      <c r="P80" s="396" t="s">
        <v>3659</v>
      </c>
      <c r="Q80" s="397">
        <v>0.2</v>
      </c>
      <c r="R80" s="394">
        <v>190000093</v>
      </c>
      <c r="S80" s="596" t="s">
        <v>3475</v>
      </c>
      <c r="T80" s="588" t="s">
        <v>5915</v>
      </c>
    </row>
    <row r="81" spans="1:21" hidden="1" x14ac:dyDescent="0.35">
      <c r="A81" s="398" t="s">
        <v>3781</v>
      </c>
      <c r="B81" s="1" t="s">
        <v>3782</v>
      </c>
      <c r="C81" s="3">
        <v>42131</v>
      </c>
      <c r="D81" s="3">
        <v>42131</v>
      </c>
      <c r="E81" s="3" t="s">
        <v>820</v>
      </c>
      <c r="F81" s="402" t="s">
        <v>3783</v>
      </c>
      <c r="G81" s="402" t="s">
        <v>3784</v>
      </c>
      <c r="H81" s="1" t="s">
        <v>3656</v>
      </c>
      <c r="I81" s="403">
        <v>3547.7950000000001</v>
      </c>
      <c r="J81" s="403">
        <v>930.30808402625371</v>
      </c>
      <c r="K81" s="351">
        <f>+J81*0.5556</f>
        <v>516.8791714849865</v>
      </c>
      <c r="L81" s="345">
        <f>+K81*Q81</f>
        <v>103.37583429699731</v>
      </c>
      <c r="M81" s="345" t="s">
        <v>6169</v>
      </c>
      <c r="N81" s="1" t="s">
        <v>3785</v>
      </c>
      <c r="O81" s="1" t="s">
        <v>3786</v>
      </c>
      <c r="P81" s="396" t="s">
        <v>3659</v>
      </c>
      <c r="Q81" s="397">
        <v>0.2</v>
      </c>
      <c r="R81" s="191">
        <v>1700001854</v>
      </c>
      <c r="S81" s="2" t="s">
        <v>818</v>
      </c>
      <c r="T81" s="2" t="s">
        <v>5915</v>
      </c>
    </row>
    <row r="82" spans="1:21" hidden="1" x14ac:dyDescent="0.35">
      <c r="A82" s="398" t="s">
        <v>3787</v>
      </c>
      <c r="B82" s="1" t="s">
        <v>3782</v>
      </c>
      <c r="C82" s="3">
        <v>42131</v>
      </c>
      <c r="D82" s="3">
        <v>42131</v>
      </c>
      <c r="E82" s="3" t="s">
        <v>822</v>
      </c>
      <c r="F82" s="402" t="s">
        <v>3783</v>
      </c>
      <c r="G82" s="402" t="s">
        <v>3784</v>
      </c>
      <c r="H82" s="1" t="s">
        <v>3656</v>
      </c>
      <c r="I82" s="403">
        <v>3547.7950000000001</v>
      </c>
      <c r="J82" s="403">
        <v>930.30808402625371</v>
      </c>
      <c r="K82" s="351">
        <f>+J82*0.5556</f>
        <v>516.8791714849865</v>
      </c>
      <c r="L82" s="345">
        <f>+K82*Q82</f>
        <v>103.37583429699731</v>
      </c>
      <c r="M82" s="345" t="s">
        <v>6169</v>
      </c>
      <c r="N82" s="1" t="s">
        <v>3785</v>
      </c>
      <c r="O82" s="1" t="s">
        <v>3786</v>
      </c>
      <c r="P82" s="396" t="s">
        <v>3659</v>
      </c>
      <c r="Q82" s="397">
        <v>0.2</v>
      </c>
      <c r="R82" s="191">
        <v>1700001854</v>
      </c>
      <c r="S82" s="2" t="s">
        <v>821</v>
      </c>
      <c r="T82" s="2" t="s">
        <v>5915</v>
      </c>
    </row>
    <row r="83" spans="1:21" hidden="1" x14ac:dyDescent="0.35">
      <c r="A83" s="398" t="s">
        <v>3788</v>
      </c>
      <c r="B83" s="1" t="s">
        <v>3782</v>
      </c>
      <c r="C83" s="3">
        <v>42131</v>
      </c>
      <c r="D83" s="3">
        <v>42131</v>
      </c>
      <c r="E83" s="3" t="s">
        <v>846</v>
      </c>
      <c r="F83" s="402" t="s">
        <v>3783</v>
      </c>
      <c r="G83" s="402" t="s">
        <v>3784</v>
      </c>
      <c r="H83" s="1" t="s">
        <v>3656</v>
      </c>
      <c r="I83" s="403">
        <v>3547.7950000000001</v>
      </c>
      <c r="J83" s="403">
        <v>930.30808402625371</v>
      </c>
      <c r="K83" s="351">
        <f>+J83*0.5556</f>
        <v>516.8791714849865</v>
      </c>
      <c r="L83" s="345">
        <f>+K83*Q83</f>
        <v>103.37583429699731</v>
      </c>
      <c r="M83" s="345" t="s">
        <v>6169</v>
      </c>
      <c r="N83" s="1" t="s">
        <v>3785</v>
      </c>
      <c r="O83" s="1" t="s">
        <v>3786</v>
      </c>
      <c r="P83" s="396" t="s">
        <v>3659</v>
      </c>
      <c r="Q83" s="397">
        <v>0.2</v>
      </c>
      <c r="R83" s="191">
        <v>1700001854</v>
      </c>
      <c r="S83" s="2" t="s">
        <v>844</v>
      </c>
      <c r="T83" s="2" t="s">
        <v>5915</v>
      </c>
    </row>
    <row r="84" spans="1:21" hidden="1" x14ac:dyDescent="0.35">
      <c r="A84" s="398" t="s">
        <v>3789</v>
      </c>
      <c r="B84" s="1" t="s">
        <v>3782</v>
      </c>
      <c r="C84" s="3">
        <v>42131</v>
      </c>
      <c r="D84" s="3">
        <v>42131</v>
      </c>
      <c r="E84" s="3" t="s">
        <v>849</v>
      </c>
      <c r="F84" s="402" t="s">
        <v>3783</v>
      </c>
      <c r="G84" s="402" t="s">
        <v>3784</v>
      </c>
      <c r="H84" s="1" t="s">
        <v>3656</v>
      </c>
      <c r="I84" s="403">
        <v>3547.7950000000001</v>
      </c>
      <c r="J84" s="403">
        <v>930.30808402625371</v>
      </c>
      <c r="K84" s="351">
        <f>+J84*0.5556</f>
        <v>516.8791714849865</v>
      </c>
      <c r="L84" s="345">
        <f>+K84*Q84</f>
        <v>103.37583429699731</v>
      </c>
      <c r="M84" s="345" t="s">
        <v>6169</v>
      </c>
      <c r="N84" s="1" t="s">
        <v>3785</v>
      </c>
      <c r="O84" s="1" t="s">
        <v>3786</v>
      </c>
      <c r="P84" s="396" t="s">
        <v>3659</v>
      </c>
      <c r="Q84" s="397">
        <v>0.2</v>
      </c>
      <c r="R84" s="191">
        <v>1700001854</v>
      </c>
      <c r="S84" s="2" t="s">
        <v>847</v>
      </c>
      <c r="T84" s="2" t="s">
        <v>5915</v>
      </c>
    </row>
    <row r="85" spans="1:21" hidden="1" x14ac:dyDescent="0.35">
      <c r="A85" s="398" t="s">
        <v>3790</v>
      </c>
      <c r="B85" s="1" t="s">
        <v>3782</v>
      </c>
      <c r="C85" s="3">
        <v>42131</v>
      </c>
      <c r="D85" s="3">
        <v>42131</v>
      </c>
      <c r="E85" s="3" t="s">
        <v>863</v>
      </c>
      <c r="F85" s="402" t="s">
        <v>3783</v>
      </c>
      <c r="G85" s="402" t="s">
        <v>3784</v>
      </c>
      <c r="H85" s="1" t="s">
        <v>3656</v>
      </c>
      <c r="I85" s="403">
        <v>3547.7950000000001</v>
      </c>
      <c r="J85" s="403">
        <v>930.30808402625371</v>
      </c>
      <c r="K85" s="351">
        <f>+J85*0.5556</f>
        <v>516.8791714849865</v>
      </c>
      <c r="L85" s="345">
        <f>+K85*Q85</f>
        <v>103.37583429699731</v>
      </c>
      <c r="M85" s="345" t="s">
        <v>6169</v>
      </c>
      <c r="N85" s="1" t="s">
        <v>3785</v>
      </c>
      <c r="O85" s="1" t="s">
        <v>3786</v>
      </c>
      <c r="P85" s="396" t="s">
        <v>3659</v>
      </c>
      <c r="Q85" s="397">
        <v>0.2</v>
      </c>
      <c r="R85" s="191">
        <v>1700001854</v>
      </c>
      <c r="S85" s="2" t="s">
        <v>432</v>
      </c>
      <c r="T85" s="2" t="s">
        <v>5915</v>
      </c>
    </row>
    <row r="86" spans="1:21" hidden="1" x14ac:dyDescent="0.35">
      <c r="A86" s="398" t="s">
        <v>3791</v>
      </c>
      <c r="B86" s="1" t="s">
        <v>3782</v>
      </c>
      <c r="C86" s="3">
        <v>42131</v>
      </c>
      <c r="D86" s="3">
        <v>42131</v>
      </c>
      <c r="E86" s="3" t="s">
        <v>879</v>
      </c>
      <c r="F86" s="402" t="s">
        <v>3783</v>
      </c>
      <c r="G86" s="402" t="s">
        <v>3784</v>
      </c>
      <c r="H86" s="1" t="s">
        <v>3656</v>
      </c>
      <c r="I86" s="403">
        <v>3547.7950000000001</v>
      </c>
      <c r="J86" s="403">
        <v>930.30808402625371</v>
      </c>
      <c r="K86" s="351">
        <f>+J86*0.5556</f>
        <v>516.8791714849865</v>
      </c>
      <c r="L86" s="345">
        <f>+K86*Q86</f>
        <v>103.37583429699731</v>
      </c>
      <c r="M86" s="345" t="s">
        <v>6169</v>
      </c>
      <c r="N86" s="1" t="s">
        <v>3785</v>
      </c>
      <c r="O86" s="1" t="s">
        <v>3786</v>
      </c>
      <c r="P86" s="396" t="s">
        <v>3659</v>
      </c>
      <c r="Q86" s="397">
        <v>0.2</v>
      </c>
      <c r="R86" s="191">
        <v>1700001854</v>
      </c>
      <c r="S86" s="2" t="s">
        <v>877</v>
      </c>
      <c r="T86" s="2" t="s">
        <v>5915</v>
      </c>
    </row>
    <row r="87" spans="1:21" hidden="1" x14ac:dyDescent="0.35">
      <c r="A87" s="398" t="s">
        <v>3792</v>
      </c>
      <c r="B87" s="1" t="s">
        <v>3782</v>
      </c>
      <c r="C87" s="3">
        <v>42131</v>
      </c>
      <c r="D87" s="3">
        <v>42131</v>
      </c>
      <c r="E87" s="3" t="s">
        <v>918</v>
      </c>
      <c r="F87" s="402" t="s">
        <v>3783</v>
      </c>
      <c r="G87" s="402" t="s">
        <v>3784</v>
      </c>
      <c r="H87" s="1" t="s">
        <v>3656</v>
      </c>
      <c r="I87" s="403">
        <v>3886.7825000000003</v>
      </c>
      <c r="J87" s="403">
        <v>1019.1978906903506</v>
      </c>
      <c r="K87" s="351">
        <f>+J87*0.5556</f>
        <v>566.26634806755874</v>
      </c>
      <c r="L87" s="345">
        <f>+K87*Q87</f>
        <v>113.25326961351175</v>
      </c>
      <c r="M87" s="345" t="s">
        <v>6169</v>
      </c>
      <c r="N87" s="1" t="s">
        <v>3785</v>
      </c>
      <c r="O87" s="1" t="s">
        <v>3786</v>
      </c>
      <c r="P87" s="396" t="s">
        <v>3659</v>
      </c>
      <c r="Q87" s="397">
        <v>0.2</v>
      </c>
      <c r="R87" s="191">
        <v>1700001854</v>
      </c>
      <c r="S87" s="2" t="s">
        <v>916</v>
      </c>
      <c r="T87" s="2" t="s">
        <v>5915</v>
      </c>
    </row>
    <row r="88" spans="1:21" hidden="1" x14ac:dyDescent="0.35">
      <c r="A88" s="398" t="s">
        <v>3793</v>
      </c>
      <c r="B88" s="1" t="s">
        <v>3782</v>
      </c>
      <c r="C88" s="3">
        <v>42131</v>
      </c>
      <c r="D88" s="3"/>
      <c r="E88" s="8" t="s">
        <v>839</v>
      </c>
      <c r="F88" s="402"/>
      <c r="G88" s="402" t="s">
        <v>3784</v>
      </c>
      <c r="H88" s="1"/>
      <c r="I88" s="403"/>
      <c r="J88" s="403"/>
      <c r="K88" s="351"/>
      <c r="L88" s="345"/>
      <c r="M88" s="345"/>
      <c r="N88" s="1" t="s">
        <v>3785</v>
      </c>
      <c r="O88" s="1"/>
      <c r="P88" s="396"/>
      <c r="Q88" s="397"/>
      <c r="R88" s="191"/>
      <c r="S88" s="524" t="s">
        <v>1664</v>
      </c>
      <c r="T88" s="524"/>
    </row>
    <row r="89" spans="1:21" hidden="1" x14ac:dyDescent="0.35">
      <c r="A89" s="398" t="s">
        <v>3794</v>
      </c>
      <c r="B89" s="1" t="s">
        <v>3782</v>
      </c>
      <c r="C89" s="3">
        <v>42131</v>
      </c>
      <c r="D89" s="3"/>
      <c r="E89" s="8" t="s">
        <v>6323</v>
      </c>
      <c r="F89" s="402"/>
      <c r="G89" s="402" t="s">
        <v>3784</v>
      </c>
      <c r="H89" s="1"/>
      <c r="I89" s="403"/>
      <c r="J89" s="403"/>
      <c r="K89" s="351"/>
      <c r="L89" s="345"/>
      <c r="M89" s="345"/>
      <c r="N89" s="1" t="s">
        <v>3785</v>
      </c>
      <c r="O89" s="1"/>
      <c r="P89" s="396"/>
      <c r="Q89" s="397"/>
      <c r="R89" s="191"/>
      <c r="S89" s="524" t="s">
        <v>1664</v>
      </c>
      <c r="T89" s="524"/>
    </row>
    <row r="90" spans="1:21" hidden="1" x14ac:dyDescent="0.35">
      <c r="A90" s="398" t="s">
        <v>3796</v>
      </c>
      <c r="B90" s="1" t="s">
        <v>3782</v>
      </c>
      <c r="C90" s="3">
        <v>42131</v>
      </c>
      <c r="D90" s="3">
        <v>42131</v>
      </c>
      <c r="E90" s="3" t="s">
        <v>934</v>
      </c>
      <c r="F90" s="402" t="s">
        <v>3783</v>
      </c>
      <c r="G90" s="402" t="s">
        <v>3784</v>
      </c>
      <c r="H90" s="1" t="s">
        <v>3656</v>
      </c>
      <c r="I90" s="403">
        <v>3886.7825000000003</v>
      </c>
      <c r="J90" s="403">
        <v>1019.1978906903506</v>
      </c>
      <c r="K90" s="351">
        <f>+J90*0.5556</f>
        <v>566.26634806755874</v>
      </c>
      <c r="L90" s="345">
        <f>+K90*Q90</f>
        <v>113.25326961351175</v>
      </c>
      <c r="M90" s="345" t="s">
        <v>6169</v>
      </c>
      <c r="N90" s="1" t="s">
        <v>3785</v>
      </c>
      <c r="O90" s="1" t="s">
        <v>3786</v>
      </c>
      <c r="P90" s="396" t="s">
        <v>3659</v>
      </c>
      <c r="Q90" s="397">
        <v>0.2</v>
      </c>
      <c r="R90" s="191">
        <v>1700001854</v>
      </c>
      <c r="S90" s="524" t="s">
        <v>262</v>
      </c>
      <c r="T90" s="524" t="s">
        <v>5915</v>
      </c>
    </row>
    <row r="91" spans="1:21" s="594" customFormat="1" hidden="1" x14ac:dyDescent="0.35">
      <c r="A91" s="595" t="s">
        <v>3794</v>
      </c>
      <c r="B91" s="596" t="s">
        <v>3795</v>
      </c>
      <c r="C91" s="583">
        <v>42131</v>
      </c>
      <c r="D91" s="3">
        <v>42131</v>
      </c>
      <c r="E91" s="583"/>
      <c r="F91" s="402" t="s">
        <v>3783</v>
      </c>
      <c r="G91" s="601" t="s">
        <v>3655</v>
      </c>
      <c r="H91" s="1" t="s">
        <v>3656</v>
      </c>
      <c r="I91" s="403">
        <v>5831.9949999999999</v>
      </c>
      <c r="J91" s="403">
        <v>1529.2744069205496</v>
      </c>
      <c r="K91" s="351">
        <f>+J91*0.5556</f>
        <v>849.66486048505737</v>
      </c>
      <c r="L91" s="345">
        <f>+K91*Q91</f>
        <v>169.93297209701149</v>
      </c>
      <c r="M91" s="345" t="s">
        <v>6169</v>
      </c>
      <c r="N91" s="1" t="s">
        <v>3785</v>
      </c>
      <c r="O91" s="1" t="s">
        <v>3786</v>
      </c>
      <c r="P91" s="396" t="s">
        <v>3659</v>
      </c>
      <c r="Q91" s="397">
        <v>0.2</v>
      </c>
      <c r="R91" s="191">
        <v>1700001854</v>
      </c>
      <c r="S91" s="588" t="s">
        <v>3475</v>
      </c>
      <c r="T91" s="588" t="s">
        <v>5914</v>
      </c>
      <c r="U91" s="588" t="s">
        <v>3475</v>
      </c>
    </row>
    <row r="92" spans="1:21" s="594" customFormat="1" hidden="1" x14ac:dyDescent="0.35">
      <c r="A92" s="595" t="s">
        <v>3796</v>
      </c>
      <c r="B92" s="596" t="s">
        <v>3795</v>
      </c>
      <c r="C92" s="583">
        <v>42131</v>
      </c>
      <c r="D92" s="3">
        <v>42131</v>
      </c>
      <c r="E92" s="583"/>
      <c r="F92" s="402" t="s">
        <v>3783</v>
      </c>
      <c r="G92" s="601" t="s">
        <v>3655</v>
      </c>
      <c r="H92" s="1" t="s">
        <v>3656</v>
      </c>
      <c r="I92" s="403">
        <v>5831.9949999999999</v>
      </c>
      <c r="J92" s="403">
        <v>1529.2744069205496</v>
      </c>
      <c r="K92" s="351">
        <f>+J92*0.5556</f>
        <v>849.66486048505737</v>
      </c>
      <c r="L92" s="345">
        <f>+K92*Q92</f>
        <v>169.93297209701149</v>
      </c>
      <c r="M92" s="345" t="s">
        <v>6169</v>
      </c>
      <c r="N92" s="1" t="s">
        <v>3785</v>
      </c>
      <c r="O92" s="1" t="s">
        <v>3786</v>
      </c>
      <c r="P92" s="396" t="s">
        <v>3659</v>
      </c>
      <c r="Q92" s="397">
        <v>0.2</v>
      </c>
      <c r="R92" s="191">
        <v>1700001854</v>
      </c>
      <c r="S92" s="588" t="s">
        <v>3475</v>
      </c>
      <c r="T92" s="588" t="s">
        <v>5914</v>
      </c>
      <c r="U92" s="588" t="s">
        <v>3475</v>
      </c>
    </row>
    <row r="93" spans="1:21" s="594" customFormat="1" hidden="1" x14ac:dyDescent="0.35">
      <c r="A93" s="595" t="s">
        <v>3797</v>
      </c>
      <c r="B93" s="596" t="s">
        <v>3795</v>
      </c>
      <c r="C93" s="583">
        <v>42131</v>
      </c>
      <c r="D93" s="3">
        <v>42131</v>
      </c>
      <c r="E93" s="583"/>
      <c r="F93" s="402" t="s">
        <v>3783</v>
      </c>
      <c r="G93" s="601" t="s">
        <v>3655</v>
      </c>
      <c r="H93" s="1" t="s">
        <v>3656</v>
      </c>
      <c r="I93" s="403">
        <v>5831.9949999999999</v>
      </c>
      <c r="J93" s="403">
        <v>1529.2744069205496</v>
      </c>
      <c r="K93" s="351">
        <f>+J93*0.5556</f>
        <v>849.66486048505737</v>
      </c>
      <c r="L93" s="345">
        <f>+K93*Q93</f>
        <v>169.93297209701149</v>
      </c>
      <c r="M93" s="345" t="s">
        <v>6169</v>
      </c>
      <c r="N93" s="1" t="s">
        <v>3785</v>
      </c>
      <c r="O93" s="1" t="s">
        <v>3786</v>
      </c>
      <c r="P93" s="396" t="s">
        <v>3659</v>
      </c>
      <c r="Q93" s="397">
        <v>0.2</v>
      </c>
      <c r="R93" s="191">
        <v>1700001854</v>
      </c>
      <c r="S93" s="588" t="s">
        <v>3475</v>
      </c>
      <c r="T93" s="588" t="s">
        <v>5914</v>
      </c>
      <c r="U93" s="588" t="s">
        <v>3475</v>
      </c>
    </row>
    <row r="94" spans="1:21" s="594" customFormat="1" hidden="1" x14ac:dyDescent="0.35">
      <c r="A94" s="595" t="s">
        <v>3798</v>
      </c>
      <c r="B94" s="596" t="s">
        <v>3795</v>
      </c>
      <c r="C94" s="583">
        <v>42131</v>
      </c>
      <c r="D94" s="3">
        <v>42131</v>
      </c>
      <c r="E94" s="583"/>
      <c r="F94" s="402" t="s">
        <v>3783</v>
      </c>
      <c r="G94" s="601" t="s">
        <v>3655</v>
      </c>
      <c r="H94" s="1" t="s">
        <v>3656</v>
      </c>
      <c r="I94" s="403">
        <v>5831.9949999999999</v>
      </c>
      <c r="J94" s="403">
        <v>1529.2744069205496</v>
      </c>
      <c r="K94" s="351">
        <f>+J94*0.5556</f>
        <v>849.66486048505737</v>
      </c>
      <c r="L94" s="345">
        <f>+K94*Q94</f>
        <v>169.93297209701149</v>
      </c>
      <c r="M94" s="345" t="s">
        <v>6169</v>
      </c>
      <c r="N94" s="1" t="s">
        <v>3785</v>
      </c>
      <c r="O94" s="1" t="s">
        <v>3786</v>
      </c>
      <c r="P94" s="396" t="s">
        <v>3659</v>
      </c>
      <c r="Q94" s="397">
        <v>0.2</v>
      </c>
      <c r="R94" s="191">
        <v>1700001854</v>
      </c>
      <c r="S94" s="588" t="s">
        <v>3475</v>
      </c>
      <c r="T94" s="588" t="s">
        <v>5914</v>
      </c>
      <c r="U94" s="588" t="s">
        <v>3475</v>
      </c>
    </row>
    <row r="95" spans="1:21" s="594" customFormat="1" hidden="1" x14ac:dyDescent="0.35">
      <c r="A95" s="595" t="s">
        <v>3799</v>
      </c>
      <c r="B95" s="596" t="s">
        <v>3795</v>
      </c>
      <c r="C95" s="583">
        <v>42131</v>
      </c>
      <c r="D95" s="3">
        <v>42131</v>
      </c>
      <c r="E95" s="583"/>
      <c r="F95" s="402" t="s">
        <v>3783</v>
      </c>
      <c r="G95" s="601" t="s">
        <v>3655</v>
      </c>
      <c r="H95" s="1" t="s">
        <v>3656</v>
      </c>
      <c r="I95" s="403">
        <v>5831.9949999999999</v>
      </c>
      <c r="J95" s="403">
        <v>1529.2744069205496</v>
      </c>
      <c r="K95" s="351">
        <f>+J95*0.5556</f>
        <v>849.66486048505737</v>
      </c>
      <c r="L95" s="345">
        <f>+K95*Q95</f>
        <v>169.93297209701149</v>
      </c>
      <c r="M95" s="345" t="s">
        <v>6169</v>
      </c>
      <c r="N95" s="1" t="s">
        <v>3785</v>
      </c>
      <c r="O95" s="1" t="s">
        <v>3786</v>
      </c>
      <c r="P95" s="396" t="s">
        <v>3659</v>
      </c>
      <c r="Q95" s="397">
        <v>0.2</v>
      </c>
      <c r="R95" s="191">
        <v>1700001854</v>
      </c>
      <c r="S95" s="588" t="s">
        <v>3475</v>
      </c>
      <c r="T95" s="588" t="s">
        <v>5914</v>
      </c>
      <c r="U95" s="588" t="s">
        <v>3475</v>
      </c>
    </row>
    <row r="96" spans="1:21" s="594" customFormat="1" hidden="1" x14ac:dyDescent="0.35">
      <c r="A96" s="595" t="s">
        <v>3800</v>
      </c>
      <c r="B96" s="596" t="s">
        <v>3795</v>
      </c>
      <c r="C96" s="583">
        <v>42131</v>
      </c>
      <c r="D96" s="3">
        <v>42131</v>
      </c>
      <c r="E96" s="583"/>
      <c r="F96" s="402" t="s">
        <v>3783</v>
      </c>
      <c r="G96" s="601" t="s">
        <v>3655</v>
      </c>
      <c r="H96" s="1" t="s">
        <v>3656</v>
      </c>
      <c r="I96" s="403">
        <v>5831.9949999999999</v>
      </c>
      <c r="J96" s="403">
        <v>1529.2744069205496</v>
      </c>
      <c r="K96" s="351">
        <f>+J96*0.5556</f>
        <v>849.66486048505737</v>
      </c>
      <c r="L96" s="345">
        <f>+K96*Q96</f>
        <v>169.93297209701149</v>
      </c>
      <c r="M96" s="345" t="s">
        <v>6169</v>
      </c>
      <c r="N96" s="1" t="s">
        <v>3785</v>
      </c>
      <c r="O96" s="1" t="s">
        <v>3786</v>
      </c>
      <c r="P96" s="396" t="s">
        <v>3659</v>
      </c>
      <c r="Q96" s="397">
        <v>0.2</v>
      </c>
      <c r="R96" s="191">
        <v>1700001854</v>
      </c>
      <c r="S96" s="588" t="s">
        <v>3475</v>
      </c>
      <c r="T96" s="588" t="s">
        <v>5914</v>
      </c>
      <c r="U96" s="588" t="s">
        <v>3475</v>
      </c>
    </row>
    <row r="97" spans="1:21" s="594" customFormat="1" hidden="1" x14ac:dyDescent="0.35">
      <c r="A97" s="595" t="s">
        <v>3801</v>
      </c>
      <c r="B97" s="596" t="s">
        <v>3795</v>
      </c>
      <c r="C97" s="583">
        <v>42131</v>
      </c>
      <c r="D97" s="3">
        <v>42131</v>
      </c>
      <c r="E97" s="583"/>
      <c r="F97" s="402" t="s">
        <v>3783</v>
      </c>
      <c r="G97" s="601" t="s">
        <v>3655</v>
      </c>
      <c r="H97" s="1" t="s">
        <v>3656</v>
      </c>
      <c r="I97" s="403">
        <v>5831.9949999999999</v>
      </c>
      <c r="J97" s="403">
        <v>1529.2744069205496</v>
      </c>
      <c r="K97" s="351">
        <f>+J97*0.5556</f>
        <v>849.66486048505737</v>
      </c>
      <c r="L97" s="345">
        <f>+K97*Q97</f>
        <v>169.93297209701149</v>
      </c>
      <c r="M97" s="345" t="s">
        <v>6169</v>
      </c>
      <c r="N97" s="1" t="s">
        <v>3785</v>
      </c>
      <c r="O97" s="1" t="s">
        <v>3786</v>
      </c>
      <c r="P97" s="396" t="s">
        <v>3659</v>
      </c>
      <c r="Q97" s="397">
        <v>0.2</v>
      </c>
      <c r="R97" s="191">
        <v>1700001854</v>
      </c>
      <c r="S97" s="588" t="s">
        <v>3475</v>
      </c>
      <c r="T97" s="588" t="s">
        <v>5914</v>
      </c>
      <c r="U97" s="588" t="s">
        <v>3475</v>
      </c>
    </row>
    <row r="98" spans="1:21" s="594" customFormat="1" hidden="1" x14ac:dyDescent="0.35">
      <c r="A98" s="595" t="s">
        <v>3802</v>
      </c>
      <c r="B98" s="596" t="s">
        <v>3795</v>
      </c>
      <c r="C98" s="583">
        <v>42131</v>
      </c>
      <c r="D98" s="3">
        <v>42131</v>
      </c>
      <c r="E98" s="583"/>
      <c r="F98" s="402" t="s">
        <v>3783</v>
      </c>
      <c r="G98" s="601" t="s">
        <v>3655</v>
      </c>
      <c r="H98" s="1" t="s">
        <v>3656</v>
      </c>
      <c r="I98" s="403">
        <v>5831.9949999999999</v>
      </c>
      <c r="J98" s="403">
        <v>1529.2744069205496</v>
      </c>
      <c r="K98" s="351">
        <f>+J98*0.5556</f>
        <v>849.66486048505737</v>
      </c>
      <c r="L98" s="345">
        <f>+K98*Q98</f>
        <v>169.93297209701149</v>
      </c>
      <c r="M98" s="345" t="s">
        <v>6169</v>
      </c>
      <c r="N98" s="1" t="s">
        <v>3785</v>
      </c>
      <c r="O98" s="1" t="s">
        <v>3786</v>
      </c>
      <c r="P98" s="396" t="s">
        <v>3659</v>
      </c>
      <c r="Q98" s="397">
        <v>0.2</v>
      </c>
      <c r="R98" s="191">
        <v>1700001854</v>
      </c>
      <c r="S98" s="588" t="s">
        <v>3475</v>
      </c>
      <c r="T98" s="588" t="s">
        <v>5914</v>
      </c>
      <c r="U98" s="588" t="s">
        <v>3475</v>
      </c>
    </row>
    <row r="99" spans="1:21" s="594" customFormat="1" hidden="1" x14ac:dyDescent="0.35">
      <c r="A99" s="595" t="s">
        <v>3803</v>
      </c>
      <c r="B99" s="596" t="s">
        <v>3795</v>
      </c>
      <c r="C99" s="583">
        <v>42131</v>
      </c>
      <c r="D99" s="3">
        <v>42131</v>
      </c>
      <c r="E99" s="583"/>
      <c r="F99" s="402" t="s">
        <v>3783</v>
      </c>
      <c r="G99" s="601" t="s">
        <v>3655</v>
      </c>
      <c r="H99" s="1" t="s">
        <v>3656</v>
      </c>
      <c r="I99" s="403">
        <v>5831.9949999999999</v>
      </c>
      <c r="J99" s="403">
        <v>1529.2744069205496</v>
      </c>
      <c r="K99" s="351">
        <f>+J99*0.5556</f>
        <v>849.66486048505737</v>
      </c>
      <c r="L99" s="345">
        <f>+K99*Q99</f>
        <v>169.93297209701149</v>
      </c>
      <c r="M99" s="345" t="s">
        <v>6169</v>
      </c>
      <c r="N99" s="1" t="s">
        <v>3785</v>
      </c>
      <c r="O99" s="1" t="s">
        <v>3786</v>
      </c>
      <c r="P99" s="396" t="s">
        <v>3659</v>
      </c>
      <c r="Q99" s="397">
        <v>0.2</v>
      </c>
      <c r="R99" s="191">
        <v>1700001854</v>
      </c>
      <c r="S99" s="588" t="s">
        <v>3475</v>
      </c>
      <c r="T99" s="588" t="s">
        <v>5914</v>
      </c>
      <c r="U99" s="588" t="s">
        <v>3475</v>
      </c>
    </row>
    <row r="100" spans="1:21" s="594" customFormat="1" hidden="1" x14ac:dyDescent="0.35">
      <c r="A100" s="595" t="s">
        <v>3804</v>
      </c>
      <c r="B100" s="596" t="s">
        <v>3805</v>
      </c>
      <c r="C100" s="583">
        <v>42131</v>
      </c>
      <c r="D100" s="3">
        <v>42131</v>
      </c>
      <c r="E100" s="583"/>
      <c r="F100" s="402" t="s">
        <v>3783</v>
      </c>
      <c r="G100" s="601" t="s">
        <v>3655</v>
      </c>
      <c r="H100" s="1" t="s">
        <v>3656</v>
      </c>
      <c r="I100" s="403">
        <v>5734.7990000000009</v>
      </c>
      <c r="J100" s="403">
        <v>1503.7875271727019</v>
      </c>
      <c r="K100" s="351">
        <f>+J100*0.5556</f>
        <v>835.50435009715318</v>
      </c>
      <c r="L100" s="345">
        <f>+K100*Q100</f>
        <v>167.10087001943066</v>
      </c>
      <c r="M100" s="345" t="s">
        <v>6169</v>
      </c>
      <c r="N100" s="1" t="s">
        <v>3785</v>
      </c>
      <c r="O100" s="1" t="s">
        <v>3786</v>
      </c>
      <c r="P100" s="396" t="s">
        <v>3659</v>
      </c>
      <c r="Q100" s="397">
        <v>0.2</v>
      </c>
      <c r="R100" s="191">
        <v>1700001854</v>
      </c>
      <c r="S100" s="588" t="s">
        <v>3475</v>
      </c>
      <c r="T100" s="588" t="s">
        <v>5914</v>
      </c>
      <c r="U100" s="588" t="s">
        <v>3475</v>
      </c>
    </row>
    <row r="101" spans="1:21" s="594" customFormat="1" hidden="1" x14ac:dyDescent="0.35">
      <c r="A101" s="595" t="s">
        <v>3806</v>
      </c>
      <c r="B101" s="596" t="s">
        <v>3805</v>
      </c>
      <c r="C101" s="583">
        <v>42131</v>
      </c>
      <c r="D101" s="3">
        <v>42131</v>
      </c>
      <c r="E101" s="583"/>
      <c r="F101" s="402" t="s">
        <v>3783</v>
      </c>
      <c r="G101" s="601" t="s">
        <v>3655</v>
      </c>
      <c r="H101" s="1" t="s">
        <v>3656</v>
      </c>
      <c r="I101" s="403">
        <v>5734.7990000000009</v>
      </c>
      <c r="J101" s="403">
        <v>1503.7875271727019</v>
      </c>
      <c r="K101" s="351">
        <f>+J101*0.5556</f>
        <v>835.50435009715318</v>
      </c>
      <c r="L101" s="345">
        <f>+K101*Q101</f>
        <v>167.10087001943066</v>
      </c>
      <c r="M101" s="345" t="s">
        <v>6169</v>
      </c>
      <c r="N101" s="1" t="s">
        <v>3785</v>
      </c>
      <c r="O101" s="1" t="s">
        <v>3786</v>
      </c>
      <c r="P101" s="396" t="s">
        <v>3659</v>
      </c>
      <c r="Q101" s="397">
        <v>0.2</v>
      </c>
      <c r="R101" s="191">
        <v>1700001854</v>
      </c>
      <c r="S101" s="588" t="s">
        <v>3475</v>
      </c>
      <c r="T101" s="588" t="s">
        <v>5914</v>
      </c>
      <c r="U101" s="588" t="s">
        <v>3475</v>
      </c>
    </row>
    <row r="102" spans="1:21" s="594" customFormat="1" hidden="1" x14ac:dyDescent="0.35">
      <c r="A102" s="595" t="s">
        <v>3807</v>
      </c>
      <c r="B102" s="596" t="s">
        <v>3805</v>
      </c>
      <c r="C102" s="583">
        <v>42131</v>
      </c>
      <c r="D102" s="3">
        <v>42131</v>
      </c>
      <c r="E102" s="583"/>
      <c r="F102" s="402" t="s">
        <v>3783</v>
      </c>
      <c r="G102" s="601" t="s">
        <v>3655</v>
      </c>
      <c r="H102" s="1" t="s">
        <v>3656</v>
      </c>
      <c r="I102" s="403">
        <v>5734.7990000000009</v>
      </c>
      <c r="J102" s="403">
        <v>1503.7875271727019</v>
      </c>
      <c r="K102" s="351">
        <f>+J102*0.5556</f>
        <v>835.50435009715318</v>
      </c>
      <c r="L102" s="345">
        <f>+K102*Q102</f>
        <v>167.10087001943066</v>
      </c>
      <c r="M102" s="345" t="s">
        <v>6169</v>
      </c>
      <c r="N102" s="1" t="s">
        <v>3785</v>
      </c>
      <c r="O102" s="1" t="s">
        <v>3786</v>
      </c>
      <c r="P102" s="396" t="s">
        <v>3659</v>
      </c>
      <c r="Q102" s="397">
        <v>0.2</v>
      </c>
      <c r="R102" s="191">
        <v>1700001854</v>
      </c>
      <c r="S102" s="588" t="s">
        <v>3475</v>
      </c>
      <c r="T102" s="588" t="s">
        <v>5914</v>
      </c>
      <c r="U102" s="588" t="s">
        <v>3475</v>
      </c>
    </row>
    <row r="103" spans="1:21" hidden="1" x14ac:dyDescent="0.35">
      <c r="A103" s="398" t="s">
        <v>3808</v>
      </c>
      <c r="B103" s="1" t="s">
        <v>3809</v>
      </c>
      <c r="C103" s="3">
        <v>42131</v>
      </c>
      <c r="D103" s="3">
        <v>42131</v>
      </c>
      <c r="E103" s="3" t="s">
        <v>948</v>
      </c>
      <c r="F103" s="402" t="s">
        <v>3783</v>
      </c>
      <c r="G103" s="402" t="s">
        <v>3784</v>
      </c>
      <c r="H103" s="1" t="s">
        <v>3656</v>
      </c>
      <c r="I103" s="403">
        <v>1214.9970000000001</v>
      </c>
      <c r="J103" s="403">
        <v>318.59832125803382</v>
      </c>
      <c r="K103" s="351">
        <f>+J103*0.5556</f>
        <v>177.01322729096358</v>
      </c>
      <c r="L103" s="345">
        <f>+K103*Q103</f>
        <v>35.402645458192715</v>
      </c>
      <c r="M103" s="345" t="s">
        <v>6169</v>
      </c>
      <c r="N103" s="1" t="s">
        <v>3785</v>
      </c>
      <c r="O103" s="1" t="s">
        <v>3786</v>
      </c>
      <c r="P103" s="396" t="s">
        <v>3659</v>
      </c>
      <c r="Q103" s="397">
        <v>0.2</v>
      </c>
      <c r="R103" s="191">
        <v>1700001854</v>
      </c>
      <c r="S103" s="527" t="s">
        <v>947</v>
      </c>
      <c r="T103" s="527" t="s">
        <v>5915</v>
      </c>
    </row>
    <row r="104" spans="1:21" hidden="1" x14ac:dyDescent="0.35">
      <c r="A104" s="398" t="s">
        <v>3810</v>
      </c>
      <c r="B104" s="1" t="s">
        <v>3809</v>
      </c>
      <c r="C104" s="3">
        <v>42131</v>
      </c>
      <c r="D104" s="3">
        <v>42131</v>
      </c>
      <c r="E104" s="3" t="s">
        <v>958</v>
      </c>
      <c r="F104" s="402" t="s">
        <v>3783</v>
      </c>
      <c r="G104" s="402" t="s">
        <v>3784</v>
      </c>
      <c r="H104" s="1" t="s">
        <v>3656</v>
      </c>
      <c r="I104" s="403">
        <v>1214.9970000000001</v>
      </c>
      <c r="J104" s="403">
        <v>318.59832125803382</v>
      </c>
      <c r="K104" s="351">
        <f>+J104*0.5556</f>
        <v>177.01322729096358</v>
      </c>
      <c r="L104" s="345">
        <f>+K104*Q104</f>
        <v>35.402645458192715</v>
      </c>
      <c r="M104" s="345" t="s">
        <v>6169</v>
      </c>
      <c r="N104" s="1" t="s">
        <v>3785</v>
      </c>
      <c r="O104" s="1" t="s">
        <v>3786</v>
      </c>
      <c r="P104" s="396" t="s">
        <v>3659</v>
      </c>
      <c r="Q104" s="397">
        <v>0.2</v>
      </c>
      <c r="R104" s="191">
        <v>1700001854</v>
      </c>
      <c r="S104" s="2" t="s">
        <v>957</v>
      </c>
      <c r="T104" s="2" t="s">
        <v>5915</v>
      </c>
    </row>
    <row r="105" spans="1:21" hidden="1" x14ac:dyDescent="0.35">
      <c r="A105" s="398" t="s">
        <v>3811</v>
      </c>
      <c r="B105" s="1" t="s">
        <v>3809</v>
      </c>
      <c r="C105" s="3">
        <v>42131</v>
      </c>
      <c r="D105" s="3">
        <v>42131</v>
      </c>
      <c r="E105" s="3" t="s">
        <v>988</v>
      </c>
      <c r="F105" s="402" t="s">
        <v>3783</v>
      </c>
      <c r="G105" s="402" t="s">
        <v>3784</v>
      </c>
      <c r="H105" s="1" t="s">
        <v>3656</v>
      </c>
      <c r="I105" s="403">
        <v>1214.9970000000001</v>
      </c>
      <c r="J105" s="403">
        <v>318.59832125803382</v>
      </c>
      <c r="K105" s="351">
        <f>+J105*0.5556</f>
        <v>177.01322729096358</v>
      </c>
      <c r="L105" s="345">
        <f>+K105*Q105</f>
        <v>35.402645458192715</v>
      </c>
      <c r="M105" s="345" t="s">
        <v>6169</v>
      </c>
      <c r="N105" s="1" t="s">
        <v>3785</v>
      </c>
      <c r="O105" s="1" t="s">
        <v>3786</v>
      </c>
      <c r="P105" s="396" t="s">
        <v>3659</v>
      </c>
      <c r="Q105" s="397">
        <v>0.2</v>
      </c>
      <c r="R105" s="191">
        <v>1700001854</v>
      </c>
      <c r="S105" s="2" t="s">
        <v>987</v>
      </c>
      <c r="T105" s="2" t="s">
        <v>5915</v>
      </c>
    </row>
    <row r="106" spans="1:21" hidden="1" x14ac:dyDescent="0.35">
      <c r="A106" s="398" t="s">
        <v>3812</v>
      </c>
      <c r="B106" s="1" t="s">
        <v>3809</v>
      </c>
      <c r="C106" s="3">
        <v>42131</v>
      </c>
      <c r="D106" s="3">
        <v>42131</v>
      </c>
      <c r="E106" s="3" t="s">
        <v>996</v>
      </c>
      <c r="F106" s="402" t="s">
        <v>3783</v>
      </c>
      <c r="G106" s="402" t="s">
        <v>3784</v>
      </c>
      <c r="H106" s="1" t="s">
        <v>3656</v>
      </c>
      <c r="I106" s="403">
        <v>1214.9970000000001</v>
      </c>
      <c r="J106" s="403">
        <v>318.59832125803382</v>
      </c>
      <c r="K106" s="351">
        <f>+J106*0.5556</f>
        <v>177.01322729096358</v>
      </c>
      <c r="L106" s="345" t="e">
        <f>+K106*Q106</f>
        <v>#VALUE!</v>
      </c>
      <c r="M106" s="345" t="s">
        <v>6169</v>
      </c>
      <c r="N106" s="1" t="s">
        <v>3785</v>
      </c>
      <c r="O106" s="1" t="s">
        <v>3785</v>
      </c>
      <c r="P106" s="1" t="s">
        <v>3785</v>
      </c>
      <c r="Q106" s="1" t="s">
        <v>3785</v>
      </c>
      <c r="R106" s="1" t="s">
        <v>3785</v>
      </c>
      <c r="S106" s="2" t="s">
        <v>421</v>
      </c>
      <c r="T106" s="2" t="s">
        <v>5915</v>
      </c>
    </row>
    <row r="107" spans="1:21" hidden="1" x14ac:dyDescent="0.35">
      <c r="A107" s="398"/>
      <c r="B107" s="1" t="s">
        <v>3809</v>
      </c>
      <c r="C107" s="3">
        <v>42131</v>
      </c>
      <c r="D107" s="3"/>
      <c r="E107" s="15" t="s">
        <v>6310</v>
      </c>
      <c r="F107" s="402"/>
      <c r="G107" s="402" t="s">
        <v>3784</v>
      </c>
      <c r="H107" s="1"/>
      <c r="I107" s="403"/>
      <c r="J107" s="403"/>
      <c r="K107" s="351"/>
      <c r="L107" s="345"/>
      <c r="M107" s="345"/>
      <c r="N107" s="1" t="s">
        <v>3785</v>
      </c>
      <c r="O107" s="1"/>
      <c r="P107" s="396"/>
      <c r="Q107" s="397"/>
      <c r="R107" s="191"/>
      <c r="S107" s="2" t="s">
        <v>6122</v>
      </c>
      <c r="T107" s="2"/>
    </row>
    <row r="108" spans="1:21" hidden="1" x14ac:dyDescent="0.35">
      <c r="A108" s="398"/>
      <c r="B108" s="1" t="s">
        <v>3809</v>
      </c>
      <c r="C108" s="3">
        <v>42131</v>
      </c>
      <c r="D108" s="3"/>
      <c r="E108" s="15" t="s">
        <v>6314</v>
      </c>
      <c r="F108" s="402"/>
      <c r="G108" s="402" t="s">
        <v>3784</v>
      </c>
      <c r="H108" s="1"/>
      <c r="I108" s="403"/>
      <c r="J108" s="403"/>
      <c r="K108" s="351"/>
      <c r="L108" s="345"/>
      <c r="M108" s="345"/>
      <c r="N108" s="1" t="s">
        <v>3785</v>
      </c>
      <c r="O108" s="1"/>
      <c r="P108" s="396"/>
      <c r="Q108" s="397"/>
      <c r="R108" s="191"/>
      <c r="S108" s="2" t="s">
        <v>6122</v>
      </c>
      <c r="T108" s="2"/>
    </row>
    <row r="109" spans="1:21" hidden="1" x14ac:dyDescent="0.35">
      <c r="A109" s="398"/>
      <c r="B109" s="1" t="s">
        <v>3809</v>
      </c>
      <c r="C109" s="3">
        <v>42131</v>
      </c>
      <c r="D109" s="3"/>
      <c r="E109" s="15" t="s">
        <v>6316</v>
      </c>
      <c r="F109" s="402"/>
      <c r="G109" s="402" t="s">
        <v>3784</v>
      </c>
      <c r="H109" s="1"/>
      <c r="I109" s="403"/>
      <c r="J109" s="403"/>
      <c r="K109" s="351"/>
      <c r="L109" s="345"/>
      <c r="M109" s="345"/>
      <c r="N109" s="1" t="s">
        <v>3785</v>
      </c>
      <c r="O109" s="1"/>
      <c r="P109" s="396"/>
      <c r="Q109" s="397"/>
      <c r="R109" s="191"/>
      <c r="S109" s="2" t="s">
        <v>6122</v>
      </c>
      <c r="T109" s="2"/>
    </row>
    <row r="110" spans="1:21" hidden="1" x14ac:dyDescent="0.35">
      <c r="A110" s="398" t="s">
        <v>3813</v>
      </c>
      <c r="B110" s="1" t="s">
        <v>3809</v>
      </c>
      <c r="C110" s="3">
        <v>42131</v>
      </c>
      <c r="D110" s="3">
        <v>42131</v>
      </c>
      <c r="E110" s="3" t="s">
        <v>1006</v>
      </c>
      <c r="F110" s="402" t="s">
        <v>3783</v>
      </c>
      <c r="G110" s="402" t="s">
        <v>3784</v>
      </c>
      <c r="H110" s="1" t="s">
        <v>3656</v>
      </c>
      <c r="I110" s="403">
        <v>1214.9970000000001</v>
      </c>
      <c r="J110" s="403">
        <v>318.59832125803382</v>
      </c>
      <c r="K110" s="351">
        <f>+J110*0.5556</f>
        <v>177.01322729096358</v>
      </c>
      <c r="L110" s="345">
        <f>+K110*Q110</f>
        <v>35.402645458192715</v>
      </c>
      <c r="M110" s="345" t="s">
        <v>6169</v>
      </c>
      <c r="N110" s="1" t="s">
        <v>3785</v>
      </c>
      <c r="O110" s="1" t="s">
        <v>3786</v>
      </c>
      <c r="P110" s="396" t="s">
        <v>3659</v>
      </c>
      <c r="Q110" s="397">
        <v>0.2</v>
      </c>
      <c r="R110" s="191">
        <v>1700001854</v>
      </c>
      <c r="S110" s="2" t="s">
        <v>1003</v>
      </c>
      <c r="T110" s="2" t="s">
        <v>5915</v>
      </c>
    </row>
    <row r="111" spans="1:21" hidden="1" x14ac:dyDescent="0.35">
      <c r="A111" s="398" t="s">
        <v>3814</v>
      </c>
      <c r="B111" s="1" t="s">
        <v>3809</v>
      </c>
      <c r="C111" s="3">
        <v>42131</v>
      </c>
      <c r="D111" s="3">
        <v>42131</v>
      </c>
      <c r="E111" s="3" t="s">
        <v>1021</v>
      </c>
      <c r="F111" s="402" t="s">
        <v>3783</v>
      </c>
      <c r="G111" s="402" t="s">
        <v>3784</v>
      </c>
      <c r="H111" s="1" t="s">
        <v>3656</v>
      </c>
      <c r="I111" s="403">
        <v>1214.9970000000001</v>
      </c>
      <c r="J111" s="403">
        <v>318.64832125803383</v>
      </c>
      <c r="K111" s="351">
        <f>+J111*0.5556</f>
        <v>177.04100729096359</v>
      </c>
      <c r="L111" s="345">
        <f>+K111*Q111</f>
        <v>35.408201458192721</v>
      </c>
      <c r="M111" s="345" t="s">
        <v>6169</v>
      </c>
      <c r="N111" s="1" t="s">
        <v>3785</v>
      </c>
      <c r="O111" s="1" t="s">
        <v>3786</v>
      </c>
      <c r="P111" s="396" t="s">
        <v>3659</v>
      </c>
      <c r="Q111" s="397">
        <v>0.2</v>
      </c>
      <c r="R111" s="191">
        <v>1700001854</v>
      </c>
      <c r="S111" s="2" t="s">
        <v>303</v>
      </c>
      <c r="T111" s="2" t="s">
        <v>5915</v>
      </c>
    </row>
    <row r="112" spans="1:21" hidden="1" x14ac:dyDescent="0.35">
      <c r="A112" s="398" t="s">
        <v>3815</v>
      </c>
      <c r="B112" s="1" t="s">
        <v>3816</v>
      </c>
      <c r="C112" s="3">
        <v>42153</v>
      </c>
      <c r="D112" s="3">
        <v>42153</v>
      </c>
      <c r="E112" s="3" t="s">
        <v>1548</v>
      </c>
      <c r="F112" s="402" t="s">
        <v>3817</v>
      </c>
      <c r="G112" s="402" t="s">
        <v>1486</v>
      </c>
      <c r="H112" s="1" t="s">
        <v>3656</v>
      </c>
      <c r="I112" s="403">
        <v>20705.203750000001</v>
      </c>
      <c r="J112" s="403">
        <v>5318.2044285714283</v>
      </c>
      <c r="K112" s="351">
        <f>+J112*0.5556</f>
        <v>2954.7943805142854</v>
      </c>
      <c r="L112" s="345">
        <f>+K112*Q112</f>
        <v>590.95887610285706</v>
      </c>
      <c r="M112" s="345" t="s">
        <v>6169</v>
      </c>
      <c r="N112" s="1" t="s">
        <v>3785</v>
      </c>
      <c r="O112" s="1" t="s">
        <v>3786</v>
      </c>
      <c r="P112" s="396" t="s">
        <v>3659</v>
      </c>
      <c r="Q112" s="397">
        <v>0.2</v>
      </c>
      <c r="R112" s="191">
        <v>1900001231</v>
      </c>
      <c r="S112" s="2" t="s">
        <v>1549</v>
      </c>
      <c r="T112" s="2" t="s">
        <v>5915</v>
      </c>
    </row>
    <row r="113" spans="1:21" hidden="1" x14ac:dyDescent="0.35">
      <c r="A113" s="398" t="s">
        <v>3818</v>
      </c>
      <c r="B113" s="1" t="s">
        <v>3816</v>
      </c>
      <c r="C113" s="3">
        <v>42153</v>
      </c>
      <c r="D113" s="3">
        <v>42153</v>
      </c>
      <c r="E113" s="3" t="s">
        <v>1528</v>
      </c>
      <c r="F113" s="402" t="s">
        <v>3817</v>
      </c>
      <c r="G113" s="402" t="s">
        <v>1486</v>
      </c>
      <c r="H113" s="1" t="s">
        <v>3656</v>
      </c>
      <c r="I113" s="403">
        <v>20705.203750000001</v>
      </c>
      <c r="J113" s="403">
        <v>5318.2044285714283</v>
      </c>
      <c r="K113" s="351">
        <f>+J113*0.5556</f>
        <v>2954.7943805142854</v>
      </c>
      <c r="L113" s="345">
        <f>+K113*Q113</f>
        <v>590.95887610285706</v>
      </c>
      <c r="M113" s="345" t="s">
        <v>6169</v>
      </c>
      <c r="N113" s="1" t="s">
        <v>3785</v>
      </c>
      <c r="O113" s="1" t="s">
        <v>3786</v>
      </c>
      <c r="P113" s="396" t="s">
        <v>3659</v>
      </c>
      <c r="Q113" s="397">
        <v>0.2</v>
      </c>
      <c r="R113" s="191">
        <v>1900001231</v>
      </c>
      <c r="S113" s="2" t="s">
        <v>1527</v>
      </c>
      <c r="T113" s="2" t="s">
        <v>5915</v>
      </c>
    </row>
    <row r="114" spans="1:21" hidden="1" x14ac:dyDescent="0.35">
      <c r="A114" s="398" t="s">
        <v>3819</v>
      </c>
      <c r="B114" s="1" t="s">
        <v>3820</v>
      </c>
      <c r="C114" s="3">
        <v>42153</v>
      </c>
      <c r="D114" s="3">
        <v>42153</v>
      </c>
      <c r="E114" s="3" t="s">
        <v>1562</v>
      </c>
      <c r="F114" s="402" t="s">
        <v>3817</v>
      </c>
      <c r="G114" s="402" t="s">
        <v>1486</v>
      </c>
      <c r="H114" s="1" t="s">
        <v>3656</v>
      </c>
      <c r="I114" s="403">
        <v>20705.203750000001</v>
      </c>
      <c r="J114" s="403">
        <v>5318.2044285714283</v>
      </c>
      <c r="K114" s="351">
        <f>+J114*0.5556</f>
        <v>2954.7943805142854</v>
      </c>
      <c r="L114" s="345">
        <f>+K114*Q114</f>
        <v>590.95887610285706</v>
      </c>
      <c r="M114" s="345" t="s">
        <v>6169</v>
      </c>
      <c r="N114" s="1" t="s">
        <v>3785</v>
      </c>
      <c r="O114" s="1" t="s">
        <v>3786</v>
      </c>
      <c r="P114" s="396" t="s">
        <v>3659</v>
      </c>
      <c r="Q114" s="397">
        <v>0.2</v>
      </c>
      <c r="R114" s="191">
        <v>1900001231</v>
      </c>
      <c r="S114" s="2" t="s">
        <v>1559</v>
      </c>
      <c r="T114" s="2" t="s">
        <v>5915</v>
      </c>
    </row>
    <row r="115" spans="1:21" hidden="1" x14ac:dyDescent="0.35">
      <c r="A115" s="398" t="s">
        <v>3821</v>
      </c>
      <c r="B115" s="1" t="s">
        <v>3822</v>
      </c>
      <c r="C115" s="3">
        <v>42153</v>
      </c>
      <c r="D115" s="3">
        <v>42153</v>
      </c>
      <c r="E115" s="3" t="s">
        <v>1611</v>
      </c>
      <c r="F115" s="402" t="s">
        <v>3817</v>
      </c>
      <c r="G115" s="402" t="s">
        <v>1486</v>
      </c>
      <c r="H115" s="1" t="s">
        <v>3656</v>
      </c>
      <c r="I115" s="403">
        <v>20705.203750000001</v>
      </c>
      <c r="J115" s="403">
        <v>5318.2044285714283</v>
      </c>
      <c r="K115" s="351">
        <f>+J115*0.5556</f>
        <v>2954.7943805142854</v>
      </c>
      <c r="L115" s="345">
        <f>+K115*Q115</f>
        <v>590.95887610285706</v>
      </c>
      <c r="M115" s="345" t="s">
        <v>6169</v>
      </c>
      <c r="N115" s="1" t="s">
        <v>3785</v>
      </c>
      <c r="O115" s="1" t="s">
        <v>3786</v>
      </c>
      <c r="P115" s="396" t="s">
        <v>3659</v>
      </c>
      <c r="Q115" s="397">
        <v>0.2</v>
      </c>
      <c r="R115" s="191">
        <v>1900001231</v>
      </c>
      <c r="S115" s="2" t="s">
        <v>1242</v>
      </c>
      <c r="T115" s="2" t="s">
        <v>5915</v>
      </c>
    </row>
    <row r="116" spans="1:21" hidden="1" x14ac:dyDescent="0.35">
      <c r="A116" s="398" t="s">
        <v>3823</v>
      </c>
      <c r="B116" s="1" t="s">
        <v>3816</v>
      </c>
      <c r="C116" s="3">
        <v>42153</v>
      </c>
      <c r="D116" s="3">
        <v>42153</v>
      </c>
      <c r="E116" s="3" t="s">
        <v>1616</v>
      </c>
      <c r="F116" s="402" t="s">
        <v>3817</v>
      </c>
      <c r="G116" s="402" t="s">
        <v>1486</v>
      </c>
      <c r="H116" s="1" t="s">
        <v>3656</v>
      </c>
      <c r="I116" s="403">
        <v>20705.203750000001</v>
      </c>
      <c r="J116" s="403">
        <v>5318.2044285714283</v>
      </c>
      <c r="K116" s="351">
        <f>+J116*0.5556</f>
        <v>2954.7943805142854</v>
      </c>
      <c r="L116" s="345">
        <f>+K116*Q116</f>
        <v>590.95887610285706</v>
      </c>
      <c r="M116" s="345" t="s">
        <v>6169</v>
      </c>
      <c r="N116" s="1" t="s">
        <v>3785</v>
      </c>
      <c r="O116" s="1" t="s">
        <v>3786</v>
      </c>
      <c r="P116" s="396" t="s">
        <v>3659</v>
      </c>
      <c r="Q116" s="397">
        <v>0.2</v>
      </c>
      <c r="R116" s="191">
        <v>1900001231</v>
      </c>
      <c r="S116" s="2" t="s">
        <v>1364</v>
      </c>
      <c r="T116" s="2" t="s">
        <v>5915</v>
      </c>
    </row>
    <row r="117" spans="1:21" hidden="1" x14ac:dyDescent="0.35">
      <c r="A117" s="398" t="s">
        <v>3824</v>
      </c>
      <c r="B117" s="1" t="s">
        <v>3825</v>
      </c>
      <c r="C117" s="3">
        <v>42153</v>
      </c>
      <c r="D117" s="3">
        <v>42153</v>
      </c>
      <c r="E117" s="3" t="s">
        <v>1584</v>
      </c>
      <c r="F117" s="402" t="s">
        <v>3817</v>
      </c>
      <c r="G117" s="402" t="s">
        <v>1486</v>
      </c>
      <c r="H117" s="1" t="s">
        <v>3656</v>
      </c>
      <c r="I117" s="403">
        <v>20705.203750000001</v>
      </c>
      <c r="J117" s="403">
        <v>5318.2044285714283</v>
      </c>
      <c r="K117" s="351">
        <f>+J117*0.5556</f>
        <v>2954.7943805142854</v>
      </c>
      <c r="L117" s="345">
        <f>+K117*Q117</f>
        <v>590.95887610285706</v>
      </c>
      <c r="M117" s="345" t="s">
        <v>6169</v>
      </c>
      <c r="N117" s="1" t="s">
        <v>3785</v>
      </c>
      <c r="O117" s="1" t="s">
        <v>3786</v>
      </c>
      <c r="P117" s="396" t="s">
        <v>3659</v>
      </c>
      <c r="Q117" s="397">
        <v>0.2</v>
      </c>
      <c r="R117" s="191">
        <v>1900001231</v>
      </c>
      <c r="S117" s="524" t="s">
        <v>1201</v>
      </c>
      <c r="T117" s="524" t="s">
        <v>5915</v>
      </c>
    </row>
    <row r="118" spans="1:21" hidden="1" x14ac:dyDescent="0.35">
      <c r="A118" s="398" t="s">
        <v>3826</v>
      </c>
      <c r="B118" s="539" t="s">
        <v>3827</v>
      </c>
      <c r="C118" s="3">
        <v>42153</v>
      </c>
      <c r="D118" s="3">
        <v>42153</v>
      </c>
      <c r="E118" s="3"/>
      <c r="F118" s="402" t="s">
        <v>3817</v>
      </c>
      <c r="G118" s="402" t="s">
        <v>1486</v>
      </c>
      <c r="H118" s="1" t="s">
        <v>3656</v>
      </c>
      <c r="I118" s="403">
        <v>20705.203750000001</v>
      </c>
      <c r="J118" s="403">
        <v>5318.2044285714283</v>
      </c>
      <c r="K118" s="351">
        <f>+J118*0.5556</f>
        <v>2954.7943805142854</v>
      </c>
      <c r="L118" s="345">
        <f>+K118*Q118</f>
        <v>590.95887610285706</v>
      </c>
      <c r="M118" s="345" t="s">
        <v>6169</v>
      </c>
      <c r="N118" s="1" t="s">
        <v>3785</v>
      </c>
      <c r="O118" s="1" t="s">
        <v>3786</v>
      </c>
      <c r="P118" s="396" t="s">
        <v>3659</v>
      </c>
      <c r="Q118" s="397">
        <v>0.2</v>
      </c>
      <c r="R118" s="191">
        <v>1900001231</v>
      </c>
      <c r="S118" s="2" t="s">
        <v>3475</v>
      </c>
      <c r="T118" s="2" t="s">
        <v>5914</v>
      </c>
      <c r="U118" s="2" t="s">
        <v>3475</v>
      </c>
    </row>
    <row r="119" spans="1:21" hidden="1" x14ac:dyDescent="0.35">
      <c r="A119" s="398" t="s">
        <v>3828</v>
      </c>
      <c r="B119" s="1" t="s">
        <v>3829</v>
      </c>
      <c r="C119" s="3">
        <v>42153</v>
      </c>
      <c r="D119" s="3">
        <v>42153</v>
      </c>
      <c r="E119" s="3" t="s">
        <v>1080</v>
      </c>
      <c r="F119" s="402" t="s">
        <v>3817</v>
      </c>
      <c r="G119" s="402" t="s">
        <v>3784</v>
      </c>
      <c r="H119" s="1" t="s">
        <v>3656</v>
      </c>
      <c r="I119" s="403">
        <v>1135.05</v>
      </c>
      <c r="J119" s="403">
        <v>291.54183928571427</v>
      </c>
      <c r="K119" s="351">
        <f>+J119*0.5556</f>
        <v>161.98064590714284</v>
      </c>
      <c r="L119" s="345">
        <f>+K119*Q119</f>
        <v>32.39612918142857</v>
      </c>
      <c r="M119" s="345" t="s">
        <v>6169</v>
      </c>
      <c r="N119" s="1" t="s">
        <v>3785</v>
      </c>
      <c r="O119" s="1" t="s">
        <v>3786</v>
      </c>
      <c r="P119" s="396" t="s">
        <v>3659</v>
      </c>
      <c r="Q119" s="397">
        <v>0.2</v>
      </c>
      <c r="R119" s="191">
        <v>1900001231</v>
      </c>
      <c r="S119" s="527" t="s">
        <v>1078</v>
      </c>
      <c r="T119" s="527" t="s">
        <v>5915</v>
      </c>
    </row>
    <row r="120" spans="1:21" hidden="1" x14ac:dyDescent="0.35">
      <c r="A120" s="398" t="s">
        <v>3830</v>
      </c>
      <c r="B120" s="1" t="s">
        <v>3829</v>
      </c>
      <c r="C120" s="3">
        <v>42153</v>
      </c>
      <c r="D120" s="3">
        <v>42153</v>
      </c>
      <c r="E120" s="3" t="s">
        <v>1083</v>
      </c>
      <c r="F120" s="402" t="s">
        <v>3817</v>
      </c>
      <c r="G120" s="402" t="s">
        <v>3784</v>
      </c>
      <c r="H120" s="1" t="s">
        <v>3656</v>
      </c>
      <c r="I120" s="403">
        <v>1135.05</v>
      </c>
      <c r="J120" s="403">
        <v>291.54183928571427</v>
      </c>
      <c r="K120" s="351">
        <f>+J120*0.5556</f>
        <v>161.98064590714284</v>
      </c>
      <c r="L120" s="345">
        <f>+K120*Q120</f>
        <v>32.39612918142857</v>
      </c>
      <c r="M120" s="345" t="s">
        <v>6169</v>
      </c>
      <c r="N120" s="1" t="s">
        <v>3785</v>
      </c>
      <c r="O120" s="1" t="s">
        <v>3786</v>
      </c>
      <c r="P120" s="396" t="s">
        <v>3659</v>
      </c>
      <c r="Q120" s="397">
        <v>0.2</v>
      </c>
      <c r="R120" s="191">
        <v>1900001231</v>
      </c>
      <c r="S120" s="2" t="s">
        <v>1081</v>
      </c>
      <c r="T120" s="2" t="s">
        <v>5915</v>
      </c>
    </row>
    <row r="121" spans="1:21" hidden="1" x14ac:dyDescent="0.35">
      <c r="A121" s="398" t="s">
        <v>3831</v>
      </c>
      <c r="B121" s="1" t="s">
        <v>3829</v>
      </c>
      <c r="C121" s="3">
        <v>42153</v>
      </c>
      <c r="D121" s="3">
        <v>42153</v>
      </c>
      <c r="E121" s="3" t="s">
        <v>1095</v>
      </c>
      <c r="F121" s="402" t="s">
        <v>3817</v>
      </c>
      <c r="G121" s="402" t="s">
        <v>3784</v>
      </c>
      <c r="H121" s="1" t="s">
        <v>3656</v>
      </c>
      <c r="I121" s="403">
        <v>1135.05</v>
      </c>
      <c r="J121" s="403">
        <v>291.54183928571427</v>
      </c>
      <c r="K121" s="351">
        <f>+J121*0.5556</f>
        <v>161.98064590714284</v>
      </c>
      <c r="L121" s="345">
        <f>+K121*Q121</f>
        <v>32.39612918142857</v>
      </c>
      <c r="M121" s="345" t="s">
        <v>6169</v>
      </c>
      <c r="N121" s="1" t="s">
        <v>3785</v>
      </c>
      <c r="O121" s="1" t="s">
        <v>3786</v>
      </c>
      <c r="P121" s="396" t="s">
        <v>3659</v>
      </c>
      <c r="Q121" s="397">
        <v>0.2</v>
      </c>
      <c r="R121" s="191">
        <v>1900001231</v>
      </c>
      <c r="S121" s="2" t="s">
        <v>1089</v>
      </c>
      <c r="T121" s="2" t="s">
        <v>5915</v>
      </c>
    </row>
    <row r="122" spans="1:21" hidden="1" x14ac:dyDescent="0.35">
      <c r="A122" s="398" t="s">
        <v>3832</v>
      </c>
      <c r="B122" s="1" t="s">
        <v>3829</v>
      </c>
      <c r="C122" s="3">
        <v>42153</v>
      </c>
      <c r="D122" s="3">
        <v>42153</v>
      </c>
      <c r="E122" s="3" t="s">
        <v>1127</v>
      </c>
      <c r="F122" s="402" t="s">
        <v>3817</v>
      </c>
      <c r="G122" s="402" t="s">
        <v>3784</v>
      </c>
      <c r="H122" s="1" t="s">
        <v>3656</v>
      </c>
      <c r="I122" s="403">
        <v>1135.05</v>
      </c>
      <c r="J122" s="403">
        <v>291.54183928571427</v>
      </c>
      <c r="K122" s="351">
        <f>+J122*0.5556</f>
        <v>161.98064590714284</v>
      </c>
      <c r="L122" s="345">
        <f>+K122*Q122</f>
        <v>32.39612918142857</v>
      </c>
      <c r="M122" s="345" t="s">
        <v>6169</v>
      </c>
      <c r="N122" s="1" t="s">
        <v>3785</v>
      </c>
      <c r="O122" s="1" t="s">
        <v>3786</v>
      </c>
      <c r="P122" s="396" t="s">
        <v>3659</v>
      </c>
      <c r="Q122" s="397">
        <v>0.2</v>
      </c>
      <c r="R122" s="191">
        <v>1900001231</v>
      </c>
      <c r="S122" s="2" t="s">
        <v>1124</v>
      </c>
      <c r="T122" s="2" t="s">
        <v>5915</v>
      </c>
    </row>
    <row r="123" spans="1:21" hidden="1" x14ac:dyDescent="0.35">
      <c r="A123" s="398" t="s">
        <v>3833</v>
      </c>
      <c r="B123" s="1" t="s">
        <v>3829</v>
      </c>
      <c r="C123" s="3">
        <v>42153</v>
      </c>
      <c r="D123" s="3">
        <v>42153</v>
      </c>
      <c r="E123" s="3" t="s">
        <v>1149</v>
      </c>
      <c r="F123" s="402" t="s">
        <v>3817</v>
      </c>
      <c r="G123" s="402" t="s">
        <v>3784</v>
      </c>
      <c r="H123" s="1" t="s">
        <v>3656</v>
      </c>
      <c r="I123" s="403">
        <v>1135.05</v>
      </c>
      <c r="J123" s="403">
        <v>291.54183928571427</v>
      </c>
      <c r="K123" s="351">
        <f>+J123*0.5556</f>
        <v>161.98064590714284</v>
      </c>
      <c r="L123" s="345">
        <f>+K123*Q123</f>
        <v>32.39612918142857</v>
      </c>
      <c r="M123" s="345" t="s">
        <v>6169</v>
      </c>
      <c r="N123" s="1" t="s">
        <v>3785</v>
      </c>
      <c r="O123" s="1" t="s">
        <v>3786</v>
      </c>
      <c r="P123" s="396" t="s">
        <v>3659</v>
      </c>
      <c r="Q123" s="397">
        <v>0.2</v>
      </c>
      <c r="R123" s="191">
        <v>1900001231</v>
      </c>
      <c r="S123" s="2" t="s">
        <v>1131</v>
      </c>
      <c r="T123" s="2" t="s">
        <v>5915</v>
      </c>
    </row>
    <row r="124" spans="1:21" hidden="1" x14ac:dyDescent="0.35">
      <c r="A124" s="398" t="s">
        <v>3834</v>
      </c>
      <c r="B124" s="1" t="s">
        <v>3829</v>
      </c>
      <c r="C124" s="3">
        <v>42153</v>
      </c>
      <c r="D124" s="3">
        <v>42153</v>
      </c>
      <c r="E124" s="3" t="s">
        <v>1150</v>
      </c>
      <c r="F124" s="402" t="s">
        <v>3817</v>
      </c>
      <c r="G124" s="402" t="s">
        <v>3784</v>
      </c>
      <c r="H124" s="1" t="s">
        <v>3656</v>
      </c>
      <c r="I124" s="403">
        <v>1135.05</v>
      </c>
      <c r="J124" s="403">
        <v>291.54183928571427</v>
      </c>
      <c r="K124" s="351">
        <f>+J124*0.5556</f>
        <v>161.98064590714284</v>
      </c>
      <c r="L124" s="345">
        <f>+K124*Q124</f>
        <v>32.39612918142857</v>
      </c>
      <c r="M124" s="345" t="s">
        <v>6169</v>
      </c>
      <c r="N124" s="1" t="s">
        <v>3785</v>
      </c>
      <c r="O124" s="1" t="s">
        <v>3786</v>
      </c>
      <c r="P124" s="396" t="s">
        <v>3659</v>
      </c>
      <c r="Q124" s="397">
        <v>0.2</v>
      </c>
      <c r="R124" s="191">
        <v>1900001231</v>
      </c>
      <c r="S124" s="2" t="s">
        <v>1131</v>
      </c>
      <c r="T124" s="2" t="s">
        <v>5915</v>
      </c>
    </row>
    <row r="125" spans="1:21" hidden="1" x14ac:dyDescent="0.35">
      <c r="A125" s="398" t="s">
        <v>3835</v>
      </c>
      <c r="B125" s="1" t="s">
        <v>3829</v>
      </c>
      <c r="C125" s="3">
        <v>42153</v>
      </c>
      <c r="D125" s="3">
        <v>42153</v>
      </c>
      <c r="E125" s="3" t="s">
        <v>1152</v>
      </c>
      <c r="F125" s="402" t="s">
        <v>3817</v>
      </c>
      <c r="G125" s="402" t="s">
        <v>3784</v>
      </c>
      <c r="H125" s="1" t="s">
        <v>3656</v>
      </c>
      <c r="I125" s="403">
        <v>1135.05</v>
      </c>
      <c r="J125" s="403">
        <v>291.54183928571427</v>
      </c>
      <c r="K125" s="351">
        <f>+J125*0.5556</f>
        <v>161.98064590714284</v>
      </c>
      <c r="L125" s="345">
        <f>+K125*Q125</f>
        <v>32.39612918142857</v>
      </c>
      <c r="M125" s="345" t="s">
        <v>6169</v>
      </c>
      <c r="N125" s="1" t="s">
        <v>3785</v>
      </c>
      <c r="O125" s="1" t="s">
        <v>3786</v>
      </c>
      <c r="P125" s="396" t="s">
        <v>3659</v>
      </c>
      <c r="Q125" s="397">
        <v>0.2</v>
      </c>
      <c r="R125" s="191">
        <v>1900001231</v>
      </c>
      <c r="S125" s="2" t="s">
        <v>1151</v>
      </c>
      <c r="T125" s="2" t="s">
        <v>5915</v>
      </c>
    </row>
    <row r="126" spans="1:21" hidden="1" x14ac:dyDescent="0.35">
      <c r="A126" s="398" t="s">
        <v>3836</v>
      </c>
      <c r="B126" s="1" t="s">
        <v>3829</v>
      </c>
      <c r="C126" s="3">
        <v>42153</v>
      </c>
      <c r="D126" s="3">
        <v>42153</v>
      </c>
      <c r="E126" s="3" t="s">
        <v>1169</v>
      </c>
      <c r="F126" s="402" t="s">
        <v>3817</v>
      </c>
      <c r="G126" s="402" t="s">
        <v>3784</v>
      </c>
      <c r="H126" s="1" t="s">
        <v>3656</v>
      </c>
      <c r="I126" s="403">
        <v>1135.05</v>
      </c>
      <c r="J126" s="403">
        <v>291.54183928571427</v>
      </c>
      <c r="K126" s="351">
        <f>+J126*0.5556</f>
        <v>161.98064590714284</v>
      </c>
      <c r="L126" s="345">
        <f>+K126*Q126</f>
        <v>32.39612918142857</v>
      </c>
      <c r="M126" s="345" t="s">
        <v>6169</v>
      </c>
      <c r="N126" s="1" t="s">
        <v>3785</v>
      </c>
      <c r="O126" s="1" t="s">
        <v>3786</v>
      </c>
      <c r="P126" s="396" t="s">
        <v>3659</v>
      </c>
      <c r="Q126" s="397">
        <v>0.2</v>
      </c>
      <c r="R126" s="191">
        <v>1900001231</v>
      </c>
      <c r="S126" s="2" t="s">
        <v>1168</v>
      </c>
      <c r="T126" s="2" t="s">
        <v>5915</v>
      </c>
    </row>
    <row r="127" spans="1:21" hidden="1" x14ac:dyDescent="0.35">
      <c r="A127" s="398" t="s">
        <v>3837</v>
      </c>
      <c r="B127" s="1" t="s">
        <v>3829</v>
      </c>
      <c r="C127" s="3">
        <v>42153</v>
      </c>
      <c r="D127" s="3">
        <v>42153</v>
      </c>
      <c r="E127" s="3" t="s">
        <v>1170</v>
      </c>
      <c r="F127" s="402" t="s">
        <v>3817</v>
      </c>
      <c r="G127" s="402" t="s">
        <v>3784</v>
      </c>
      <c r="H127" s="1" t="s">
        <v>3656</v>
      </c>
      <c r="I127" s="403">
        <v>1135.05</v>
      </c>
      <c r="J127" s="403">
        <v>291.54183928571427</v>
      </c>
      <c r="K127" s="351">
        <f>+J127*0.5556</f>
        <v>161.98064590714284</v>
      </c>
      <c r="L127" s="345">
        <f>+K127*Q127</f>
        <v>32.39612918142857</v>
      </c>
      <c r="M127" s="345" t="s">
        <v>6169</v>
      </c>
      <c r="N127" s="1" t="s">
        <v>3785</v>
      </c>
      <c r="O127" s="1" t="s">
        <v>3786</v>
      </c>
      <c r="P127" s="396" t="s">
        <v>3659</v>
      </c>
      <c r="Q127" s="397">
        <v>0.2</v>
      </c>
      <c r="R127" s="191">
        <v>1900001231</v>
      </c>
      <c r="S127" s="2" t="s">
        <v>1168</v>
      </c>
      <c r="T127" s="2" t="s">
        <v>5915</v>
      </c>
    </row>
    <row r="128" spans="1:21" hidden="1" x14ac:dyDescent="0.35">
      <c r="A128" s="398" t="s">
        <v>3838</v>
      </c>
      <c r="B128" s="1" t="s">
        <v>3829</v>
      </c>
      <c r="C128" s="3">
        <v>42153</v>
      </c>
      <c r="D128" s="3">
        <v>42153</v>
      </c>
      <c r="E128" s="3" t="s">
        <v>1172</v>
      </c>
      <c r="F128" s="402" t="s">
        <v>3817</v>
      </c>
      <c r="G128" s="402" t="s">
        <v>3784</v>
      </c>
      <c r="H128" s="1" t="s">
        <v>3656</v>
      </c>
      <c r="I128" s="403">
        <v>1135.05</v>
      </c>
      <c r="J128" s="403">
        <v>291.54183928571427</v>
      </c>
      <c r="K128" s="351">
        <f>+J128*0.5556</f>
        <v>161.98064590714284</v>
      </c>
      <c r="L128" s="345">
        <f>+K128*Q128</f>
        <v>32.39612918142857</v>
      </c>
      <c r="M128" s="345" t="s">
        <v>6169</v>
      </c>
      <c r="N128" s="1" t="s">
        <v>3785</v>
      </c>
      <c r="O128" s="1" t="s">
        <v>3786</v>
      </c>
      <c r="P128" s="396" t="s">
        <v>3659</v>
      </c>
      <c r="Q128" s="397">
        <v>0.2</v>
      </c>
      <c r="R128" s="191">
        <v>1900001231</v>
      </c>
      <c r="S128" s="2" t="s">
        <v>1166</v>
      </c>
      <c r="T128" s="2" t="s">
        <v>5915</v>
      </c>
    </row>
    <row r="129" spans="1:21" hidden="1" x14ac:dyDescent="0.35">
      <c r="A129" s="398" t="s">
        <v>3839</v>
      </c>
      <c r="B129" s="1" t="s">
        <v>3829</v>
      </c>
      <c r="C129" s="3">
        <v>42153</v>
      </c>
      <c r="D129" s="3">
        <v>42153</v>
      </c>
      <c r="E129" s="3" t="s">
        <v>1187</v>
      </c>
      <c r="F129" s="402" t="s">
        <v>3817</v>
      </c>
      <c r="G129" s="402" t="s">
        <v>3784</v>
      </c>
      <c r="H129" s="1" t="s">
        <v>3656</v>
      </c>
      <c r="I129" s="403">
        <v>1135.05</v>
      </c>
      <c r="J129" s="403">
        <v>291.54183928571427</v>
      </c>
      <c r="K129" s="351">
        <f>+J129*0.5556</f>
        <v>161.98064590714284</v>
      </c>
      <c r="L129" s="345">
        <f>+K129*Q129</f>
        <v>32.39612918142857</v>
      </c>
      <c r="M129" s="345" t="s">
        <v>6169</v>
      </c>
      <c r="N129" s="1" t="s">
        <v>3785</v>
      </c>
      <c r="O129" s="1" t="s">
        <v>3786</v>
      </c>
      <c r="P129" s="396" t="s">
        <v>3659</v>
      </c>
      <c r="Q129" s="397">
        <v>0.2</v>
      </c>
      <c r="R129" s="191">
        <v>1900001231</v>
      </c>
      <c r="S129" s="2" t="s">
        <v>1185</v>
      </c>
      <c r="T129" s="2" t="s">
        <v>5915</v>
      </c>
    </row>
    <row r="130" spans="1:21" hidden="1" x14ac:dyDescent="0.35">
      <c r="A130" s="398" t="s">
        <v>3840</v>
      </c>
      <c r="B130" s="1" t="s">
        <v>3829</v>
      </c>
      <c r="C130" s="3">
        <v>42153</v>
      </c>
      <c r="D130" s="3"/>
      <c r="E130" s="8" t="s">
        <v>6445</v>
      </c>
      <c r="F130" s="402"/>
      <c r="G130" s="402" t="s">
        <v>3784</v>
      </c>
      <c r="H130" s="1"/>
      <c r="I130" s="403"/>
      <c r="J130" s="403"/>
      <c r="K130" s="351"/>
      <c r="L130" s="345"/>
      <c r="M130" s="345"/>
      <c r="N130" s="1" t="s">
        <v>3785</v>
      </c>
      <c r="O130" s="1"/>
      <c r="P130" s="396"/>
      <c r="Q130" s="397"/>
      <c r="R130" s="191"/>
      <c r="S130" s="2" t="s">
        <v>1664</v>
      </c>
      <c r="T130" s="2"/>
    </row>
    <row r="131" spans="1:21" hidden="1" x14ac:dyDescent="0.35">
      <c r="A131" s="398" t="s">
        <v>3841</v>
      </c>
      <c r="B131" s="1" t="s">
        <v>3829</v>
      </c>
      <c r="C131" s="3">
        <v>42153</v>
      </c>
      <c r="D131" s="3"/>
      <c r="E131" s="8" t="s">
        <v>6446</v>
      </c>
      <c r="F131" s="402"/>
      <c r="G131" s="402" t="s">
        <v>3784</v>
      </c>
      <c r="H131" s="1"/>
      <c r="I131" s="403"/>
      <c r="J131" s="403"/>
      <c r="K131" s="351"/>
      <c r="L131" s="345"/>
      <c r="M131" s="345"/>
      <c r="N131" s="1" t="s">
        <v>3785</v>
      </c>
      <c r="O131" s="1"/>
      <c r="P131" s="396"/>
      <c r="Q131" s="397"/>
      <c r="R131" s="191"/>
      <c r="S131" s="2" t="s">
        <v>1664</v>
      </c>
      <c r="T131" s="2"/>
    </row>
    <row r="132" spans="1:21" hidden="1" x14ac:dyDescent="0.35">
      <c r="A132" s="398" t="s">
        <v>3842</v>
      </c>
      <c r="B132" s="1" t="s">
        <v>3829</v>
      </c>
      <c r="C132" s="3">
        <v>42153</v>
      </c>
      <c r="D132" s="3"/>
      <c r="E132" s="8" t="s">
        <v>6313</v>
      </c>
      <c r="F132" s="402"/>
      <c r="G132" s="402" t="s">
        <v>3784</v>
      </c>
      <c r="H132" s="1"/>
      <c r="I132" s="403"/>
      <c r="J132" s="403"/>
      <c r="K132" s="351"/>
      <c r="L132" s="345"/>
      <c r="M132" s="345"/>
      <c r="N132" s="1" t="s">
        <v>3785</v>
      </c>
      <c r="O132" s="1"/>
      <c r="P132" s="396"/>
      <c r="Q132" s="397"/>
      <c r="R132" s="191"/>
      <c r="S132" s="2" t="s">
        <v>1664</v>
      </c>
      <c r="T132" s="2"/>
    </row>
    <row r="133" spans="1:21" hidden="1" x14ac:dyDescent="0.35">
      <c r="A133" s="398" t="s">
        <v>3843</v>
      </c>
      <c r="B133" s="1" t="s">
        <v>3829</v>
      </c>
      <c r="C133" s="3">
        <v>42153</v>
      </c>
      <c r="D133" s="3"/>
      <c r="E133" s="8" t="s">
        <v>6315</v>
      </c>
      <c r="F133" s="402"/>
      <c r="G133" s="402" t="s">
        <v>3784</v>
      </c>
      <c r="H133" s="1"/>
      <c r="I133" s="403"/>
      <c r="J133" s="403"/>
      <c r="K133" s="351"/>
      <c r="L133" s="345"/>
      <c r="M133" s="345"/>
      <c r="N133" s="1" t="s">
        <v>3785</v>
      </c>
      <c r="O133" s="1"/>
      <c r="P133" s="396"/>
      <c r="Q133" s="397"/>
      <c r="R133" s="191"/>
      <c r="S133" s="2" t="s">
        <v>1664</v>
      </c>
      <c r="T133" s="2"/>
    </row>
    <row r="134" spans="1:21" hidden="1" x14ac:dyDescent="0.35">
      <c r="A134" s="398" t="s">
        <v>3847</v>
      </c>
      <c r="B134" s="1" t="s">
        <v>3829</v>
      </c>
      <c r="C134" s="3">
        <v>42153</v>
      </c>
      <c r="D134" s="3"/>
      <c r="E134" s="8" t="s">
        <v>6317</v>
      </c>
      <c r="F134" s="402"/>
      <c r="G134" s="402" t="s">
        <v>3784</v>
      </c>
      <c r="H134" s="1"/>
      <c r="I134" s="403"/>
      <c r="J134" s="403"/>
      <c r="K134" s="351"/>
      <c r="L134" s="345"/>
      <c r="M134" s="345"/>
      <c r="N134" s="1" t="s">
        <v>3785</v>
      </c>
      <c r="O134" s="1"/>
      <c r="P134" s="396"/>
      <c r="Q134" s="397"/>
      <c r="R134" s="191"/>
      <c r="S134" s="2" t="s">
        <v>1664</v>
      </c>
      <c r="T134" s="2"/>
    </row>
    <row r="135" spans="1:21" hidden="1" x14ac:dyDescent="0.35">
      <c r="A135" s="398" t="s">
        <v>3848</v>
      </c>
      <c r="B135" s="1" t="s">
        <v>3829</v>
      </c>
      <c r="C135" s="3">
        <v>42153</v>
      </c>
      <c r="D135" s="3"/>
      <c r="E135" s="8" t="s">
        <v>6328</v>
      </c>
      <c r="F135" s="402"/>
      <c r="G135" s="402" t="s">
        <v>3784</v>
      </c>
      <c r="H135" s="1"/>
      <c r="I135" s="403"/>
      <c r="J135" s="403"/>
      <c r="K135" s="351"/>
      <c r="L135" s="345"/>
      <c r="M135" s="345"/>
      <c r="N135" s="1" t="s">
        <v>3785</v>
      </c>
      <c r="O135" s="1"/>
      <c r="P135" s="396"/>
      <c r="Q135" s="397"/>
      <c r="R135" s="191"/>
      <c r="S135" s="2" t="s">
        <v>1664</v>
      </c>
      <c r="T135" s="2"/>
    </row>
    <row r="136" spans="1:21" hidden="1" x14ac:dyDescent="0.35">
      <c r="A136" s="398" t="s">
        <v>3849</v>
      </c>
      <c r="B136" s="1" t="s">
        <v>3829</v>
      </c>
      <c r="C136" s="3">
        <v>42153</v>
      </c>
      <c r="D136" s="3"/>
      <c r="E136" s="8" t="s">
        <v>6327</v>
      </c>
      <c r="F136" s="402"/>
      <c r="G136" s="402" t="s">
        <v>3784</v>
      </c>
      <c r="H136" s="1"/>
      <c r="I136" s="403"/>
      <c r="J136" s="403"/>
      <c r="K136" s="351"/>
      <c r="L136" s="345"/>
      <c r="M136" s="345"/>
      <c r="N136" s="1" t="s">
        <v>3785</v>
      </c>
      <c r="O136" s="1"/>
      <c r="P136" s="396"/>
      <c r="Q136" s="397"/>
      <c r="R136" s="191"/>
      <c r="S136" s="2" t="s">
        <v>1664</v>
      </c>
      <c r="T136" s="2"/>
    </row>
    <row r="137" spans="1:21" hidden="1" x14ac:dyDescent="0.35">
      <c r="A137" s="398" t="s">
        <v>3850</v>
      </c>
      <c r="B137" s="1" t="s">
        <v>3829</v>
      </c>
      <c r="C137" s="3">
        <v>42153</v>
      </c>
      <c r="D137" s="3"/>
      <c r="E137" s="8" t="s">
        <v>6329</v>
      </c>
      <c r="F137" s="402"/>
      <c r="G137" s="402" t="s">
        <v>3784</v>
      </c>
      <c r="H137" s="1"/>
      <c r="I137" s="403"/>
      <c r="J137" s="403"/>
      <c r="K137" s="351"/>
      <c r="L137" s="345"/>
      <c r="M137" s="345"/>
      <c r="N137" s="1" t="s">
        <v>3785</v>
      </c>
      <c r="O137" s="1"/>
      <c r="P137" s="396"/>
      <c r="Q137" s="397"/>
      <c r="R137" s="191"/>
      <c r="S137" s="2" t="s">
        <v>1664</v>
      </c>
      <c r="T137" s="2"/>
    </row>
    <row r="138" spans="1:21" hidden="1" x14ac:dyDescent="0.35">
      <c r="A138" s="398" t="s">
        <v>3851</v>
      </c>
      <c r="B138" s="1" t="s">
        <v>3829</v>
      </c>
      <c r="C138" s="3">
        <v>42153</v>
      </c>
      <c r="D138" s="3">
        <v>42153</v>
      </c>
      <c r="E138" s="3" t="s">
        <v>1191</v>
      </c>
      <c r="F138" s="402" t="s">
        <v>3817</v>
      </c>
      <c r="G138" s="402" t="s">
        <v>3784</v>
      </c>
      <c r="H138" s="1" t="s">
        <v>3656</v>
      </c>
      <c r="I138" s="403">
        <v>1135.05</v>
      </c>
      <c r="J138" s="403">
        <v>291.54183928571427</v>
      </c>
      <c r="K138" s="351">
        <f>+J138*0.5556</f>
        <v>161.98064590714284</v>
      </c>
      <c r="L138" s="345">
        <f>+K138*Q138</f>
        <v>32.39612918142857</v>
      </c>
      <c r="M138" s="345" t="s">
        <v>6169</v>
      </c>
      <c r="N138" s="1" t="s">
        <v>3785</v>
      </c>
      <c r="O138" s="1" t="s">
        <v>3786</v>
      </c>
      <c r="P138" s="396" t="s">
        <v>3659</v>
      </c>
      <c r="Q138" s="397">
        <v>0.2</v>
      </c>
      <c r="R138" s="191">
        <v>1900001231</v>
      </c>
      <c r="S138" s="2" t="s">
        <v>1166</v>
      </c>
      <c r="T138" s="2" t="s">
        <v>5915</v>
      </c>
    </row>
    <row r="139" spans="1:21" hidden="1" x14ac:dyDescent="0.35">
      <c r="A139" s="398" t="s">
        <v>3852</v>
      </c>
      <c r="B139" s="1" t="s">
        <v>3829</v>
      </c>
      <c r="C139" s="3">
        <v>42153</v>
      </c>
      <c r="D139" s="3">
        <v>42153</v>
      </c>
      <c r="E139" s="3" t="s">
        <v>1192</v>
      </c>
      <c r="F139" s="402" t="s">
        <v>3817</v>
      </c>
      <c r="G139" s="402" t="s">
        <v>3784</v>
      </c>
      <c r="H139" s="1" t="s">
        <v>3656</v>
      </c>
      <c r="I139" s="403">
        <v>1135.05</v>
      </c>
      <c r="J139" s="403">
        <v>291.54183928571427</v>
      </c>
      <c r="K139" s="351">
        <f>+J139*0.5556</f>
        <v>161.98064590714284</v>
      </c>
      <c r="L139" s="345">
        <f>+K139*Q139</f>
        <v>32.39612918142857</v>
      </c>
      <c r="M139" s="345" t="s">
        <v>6169</v>
      </c>
      <c r="N139" s="1" t="s">
        <v>3785</v>
      </c>
      <c r="O139" s="1" t="s">
        <v>3786</v>
      </c>
      <c r="P139" s="396" t="s">
        <v>3659</v>
      </c>
      <c r="Q139" s="397">
        <v>0.2</v>
      </c>
      <c r="R139" s="191">
        <v>1900001231</v>
      </c>
      <c r="S139" s="2" t="s">
        <v>1166</v>
      </c>
      <c r="T139" s="2" t="s">
        <v>5915</v>
      </c>
    </row>
    <row r="140" spans="1:21" hidden="1" x14ac:dyDescent="0.35">
      <c r="A140" s="398"/>
      <c r="B140" s="1" t="s">
        <v>6448</v>
      </c>
      <c r="C140" s="3">
        <v>42153</v>
      </c>
      <c r="D140" s="3"/>
      <c r="E140" s="8" t="s">
        <v>1297</v>
      </c>
      <c r="F140" s="402"/>
      <c r="G140" s="402" t="s">
        <v>3784</v>
      </c>
      <c r="H140" s="1"/>
      <c r="I140" s="403"/>
      <c r="J140" s="403"/>
      <c r="K140" s="351"/>
      <c r="L140" s="345"/>
      <c r="M140" s="345"/>
      <c r="N140" s="1" t="s">
        <v>3785</v>
      </c>
      <c r="O140" s="1"/>
      <c r="P140" s="396"/>
      <c r="Q140" s="397"/>
      <c r="R140" s="191"/>
      <c r="S140" s="2" t="s">
        <v>1664</v>
      </c>
      <c r="T140" s="524"/>
    </row>
    <row r="141" spans="1:21" hidden="1" x14ac:dyDescent="0.35">
      <c r="A141" s="398" t="s">
        <v>3853</v>
      </c>
      <c r="B141" s="1" t="s">
        <v>3829</v>
      </c>
      <c r="C141" s="3">
        <v>42153</v>
      </c>
      <c r="D141" s="3">
        <v>42153</v>
      </c>
      <c r="E141" s="3" t="s">
        <v>1249</v>
      </c>
      <c r="F141" s="402" t="s">
        <v>3817</v>
      </c>
      <c r="G141" s="402" t="s">
        <v>3784</v>
      </c>
      <c r="H141" s="1" t="s">
        <v>3656</v>
      </c>
      <c r="I141" s="403">
        <v>1135.05</v>
      </c>
      <c r="J141" s="403">
        <v>291.54183928571427</v>
      </c>
      <c r="K141" s="351">
        <f>+J141*0.5556</f>
        <v>161.98064590714284</v>
      </c>
      <c r="L141" s="345">
        <f>+K141*Q141</f>
        <v>32.39612918142857</v>
      </c>
      <c r="M141" s="345" t="s">
        <v>6169</v>
      </c>
      <c r="N141" s="1" t="s">
        <v>3785</v>
      </c>
      <c r="O141" s="1" t="s">
        <v>3786</v>
      </c>
      <c r="P141" s="396" t="s">
        <v>3659</v>
      </c>
      <c r="Q141" s="397">
        <v>0.2</v>
      </c>
      <c r="R141" s="191">
        <v>1900001231</v>
      </c>
      <c r="S141" s="524" t="s">
        <v>1247</v>
      </c>
      <c r="T141" s="524" t="s">
        <v>5915</v>
      </c>
    </row>
    <row r="142" spans="1:21" hidden="1" x14ac:dyDescent="0.35">
      <c r="A142" s="398" t="s">
        <v>3843</v>
      </c>
      <c r="B142" s="539" t="s">
        <v>3844</v>
      </c>
      <c r="C142" s="3">
        <v>42165</v>
      </c>
      <c r="D142" s="3">
        <v>42165</v>
      </c>
      <c r="E142" s="3"/>
      <c r="F142" s="402" t="s">
        <v>3845</v>
      </c>
      <c r="G142" s="402" t="s">
        <v>1486</v>
      </c>
      <c r="H142" s="1" t="s">
        <v>3656</v>
      </c>
      <c r="I142" s="403">
        <v>3290</v>
      </c>
      <c r="J142" s="403">
        <v>845.04824999999994</v>
      </c>
      <c r="K142" s="351">
        <f>+J142*0.5556</f>
        <v>469.50880769999998</v>
      </c>
      <c r="L142" s="345">
        <f>+K142*Q142</f>
        <v>93.901761539999995</v>
      </c>
      <c r="M142" s="345" t="s">
        <v>6169</v>
      </c>
      <c r="N142" s="1" t="s">
        <v>3785</v>
      </c>
      <c r="O142" s="1" t="s">
        <v>3786</v>
      </c>
      <c r="P142" s="396" t="s">
        <v>3659</v>
      </c>
      <c r="Q142" s="397">
        <v>0.2</v>
      </c>
      <c r="R142" s="191" t="s">
        <v>3846</v>
      </c>
      <c r="S142" s="2" t="s">
        <v>3475</v>
      </c>
      <c r="T142" s="2" t="s">
        <v>5914</v>
      </c>
      <c r="U142" s="2" t="s">
        <v>3475</v>
      </c>
    </row>
    <row r="143" spans="1:21" hidden="1" x14ac:dyDescent="0.35">
      <c r="A143" s="398" t="s">
        <v>3847</v>
      </c>
      <c r="B143" s="539" t="s">
        <v>3844</v>
      </c>
      <c r="C143" s="3">
        <v>42165</v>
      </c>
      <c r="D143" s="3">
        <v>42165</v>
      </c>
      <c r="E143" s="3"/>
      <c r="F143" s="402" t="s">
        <v>3845</v>
      </c>
      <c r="G143" s="402" t="s">
        <v>1486</v>
      </c>
      <c r="H143" s="1" t="s">
        <v>3656</v>
      </c>
      <c r="I143" s="403">
        <v>3290</v>
      </c>
      <c r="J143" s="403">
        <v>845.04824999999994</v>
      </c>
      <c r="K143" s="351">
        <f>+J143*0.5556</f>
        <v>469.50880769999998</v>
      </c>
      <c r="L143" s="345">
        <f>+K143*Q143</f>
        <v>93.901761539999995</v>
      </c>
      <c r="M143" s="345" t="s">
        <v>6169</v>
      </c>
      <c r="N143" s="1" t="s">
        <v>3785</v>
      </c>
      <c r="O143" s="1" t="s">
        <v>3786</v>
      </c>
      <c r="P143" s="396" t="s">
        <v>3659</v>
      </c>
      <c r="Q143" s="397">
        <v>0.2</v>
      </c>
      <c r="R143" s="191" t="s">
        <v>3846</v>
      </c>
      <c r="S143" s="2" t="s">
        <v>3475</v>
      </c>
      <c r="T143" s="2" t="s">
        <v>5914</v>
      </c>
      <c r="U143" s="2" t="s">
        <v>3475</v>
      </c>
    </row>
    <row r="144" spans="1:21" hidden="1" x14ac:dyDescent="0.35">
      <c r="A144" s="398" t="s">
        <v>3848</v>
      </c>
      <c r="B144" s="539" t="s">
        <v>3844</v>
      </c>
      <c r="C144" s="3">
        <v>42165</v>
      </c>
      <c r="D144" s="3">
        <v>42165</v>
      </c>
      <c r="E144" s="3"/>
      <c r="F144" s="402" t="s">
        <v>3845</v>
      </c>
      <c r="G144" s="402" t="s">
        <v>1486</v>
      </c>
      <c r="H144" s="1" t="s">
        <v>3656</v>
      </c>
      <c r="I144" s="403">
        <v>3290</v>
      </c>
      <c r="J144" s="403">
        <v>845.04824999999994</v>
      </c>
      <c r="K144" s="351">
        <f>+J144*0.5556</f>
        <v>469.50880769999998</v>
      </c>
      <c r="L144" s="345">
        <f>+K144*Q144</f>
        <v>93.901761539999995</v>
      </c>
      <c r="M144" s="345" t="s">
        <v>6169</v>
      </c>
      <c r="N144" s="1" t="s">
        <v>3785</v>
      </c>
      <c r="O144" s="1" t="s">
        <v>3786</v>
      </c>
      <c r="P144" s="396" t="s">
        <v>3659</v>
      </c>
      <c r="Q144" s="397">
        <v>0.2</v>
      </c>
      <c r="R144" s="191" t="s">
        <v>3846</v>
      </c>
      <c r="S144" s="2" t="s">
        <v>3475</v>
      </c>
      <c r="T144" s="2" t="s">
        <v>5914</v>
      </c>
      <c r="U144" s="2" t="s">
        <v>3475</v>
      </c>
    </row>
    <row r="145" spans="1:21" hidden="1" x14ac:dyDescent="0.35">
      <c r="A145" s="398" t="s">
        <v>3849</v>
      </c>
      <c r="B145" s="539" t="s">
        <v>3844</v>
      </c>
      <c r="C145" s="3">
        <v>42165</v>
      </c>
      <c r="D145" s="3">
        <v>42165</v>
      </c>
      <c r="E145" s="3"/>
      <c r="F145" s="402" t="s">
        <v>3845</v>
      </c>
      <c r="G145" s="402" t="s">
        <v>1486</v>
      </c>
      <c r="H145" s="1" t="s">
        <v>3656</v>
      </c>
      <c r="I145" s="403">
        <v>3290</v>
      </c>
      <c r="J145" s="403">
        <v>845.04824999999994</v>
      </c>
      <c r="K145" s="351">
        <f>+J145*0.5556</f>
        <v>469.50880769999998</v>
      </c>
      <c r="L145" s="345">
        <f>+K145*Q145</f>
        <v>93.901761539999995</v>
      </c>
      <c r="M145" s="345" t="s">
        <v>6169</v>
      </c>
      <c r="N145" s="1" t="s">
        <v>3785</v>
      </c>
      <c r="O145" s="1" t="s">
        <v>3786</v>
      </c>
      <c r="P145" s="396" t="s">
        <v>3659</v>
      </c>
      <c r="Q145" s="397">
        <v>0.2</v>
      </c>
      <c r="R145" s="191" t="s">
        <v>3846</v>
      </c>
      <c r="S145" s="2" t="s">
        <v>3475</v>
      </c>
      <c r="T145" s="2" t="s">
        <v>5914</v>
      </c>
      <c r="U145" s="2" t="s">
        <v>3475</v>
      </c>
    </row>
    <row r="146" spans="1:21" hidden="1" x14ac:dyDescent="0.35">
      <c r="A146" s="398" t="s">
        <v>3850</v>
      </c>
      <c r="B146" s="1" t="s">
        <v>3844</v>
      </c>
      <c r="C146" s="3">
        <v>42165</v>
      </c>
      <c r="D146" s="3">
        <v>42165</v>
      </c>
      <c r="E146" s="3" t="s">
        <v>1505</v>
      </c>
      <c r="F146" s="402" t="s">
        <v>3845</v>
      </c>
      <c r="G146" s="402" t="s">
        <v>1486</v>
      </c>
      <c r="H146" s="1" t="s">
        <v>3656</v>
      </c>
      <c r="I146" s="403">
        <v>3290</v>
      </c>
      <c r="J146" s="403">
        <v>845.04824999999994</v>
      </c>
      <c r="K146" s="351">
        <f>+J146*0.5556</f>
        <v>469.50880769999998</v>
      </c>
      <c r="L146" s="345">
        <f>+K146*Q146</f>
        <v>93.901761539999995</v>
      </c>
      <c r="M146" s="345" t="s">
        <v>6169</v>
      </c>
      <c r="N146" s="1" t="s">
        <v>3785</v>
      </c>
      <c r="O146" s="1" t="s">
        <v>3786</v>
      </c>
      <c r="P146" s="396" t="s">
        <v>3659</v>
      </c>
      <c r="Q146" s="397">
        <v>0.2</v>
      </c>
      <c r="R146" s="191" t="s">
        <v>3846</v>
      </c>
      <c r="S146" s="527" t="s">
        <v>823</v>
      </c>
      <c r="T146" s="527" t="s">
        <v>5915</v>
      </c>
    </row>
    <row r="147" spans="1:21" hidden="1" x14ac:dyDescent="0.35">
      <c r="A147" s="398" t="s">
        <v>3851</v>
      </c>
      <c r="B147" s="1" t="s">
        <v>3844</v>
      </c>
      <c r="C147" s="3">
        <v>42165</v>
      </c>
      <c r="D147" s="3">
        <v>42165</v>
      </c>
      <c r="E147" s="3" t="s">
        <v>1507</v>
      </c>
      <c r="F147" s="402" t="s">
        <v>3845</v>
      </c>
      <c r="G147" s="402" t="s">
        <v>1486</v>
      </c>
      <c r="H147" s="1" t="s">
        <v>3656</v>
      </c>
      <c r="I147" s="403">
        <v>3290</v>
      </c>
      <c r="J147" s="403">
        <v>845.04824999999994</v>
      </c>
      <c r="K147" s="351">
        <f>+J147*0.5556</f>
        <v>469.50880769999998</v>
      </c>
      <c r="L147" s="345">
        <f>+K147*Q147</f>
        <v>93.901761539999995</v>
      </c>
      <c r="M147" s="345" t="s">
        <v>6169</v>
      </c>
      <c r="N147" s="1" t="s">
        <v>3785</v>
      </c>
      <c r="O147" s="1" t="s">
        <v>3786</v>
      </c>
      <c r="P147" s="396" t="s">
        <v>3659</v>
      </c>
      <c r="Q147" s="397">
        <v>0.2</v>
      </c>
      <c r="R147" s="191" t="s">
        <v>3846</v>
      </c>
      <c r="S147" s="2" t="s">
        <v>840</v>
      </c>
      <c r="T147" s="2" t="s">
        <v>5915</v>
      </c>
    </row>
    <row r="148" spans="1:21" hidden="1" x14ac:dyDescent="0.35">
      <c r="A148" s="398" t="s">
        <v>3852</v>
      </c>
      <c r="B148" s="1" t="s">
        <v>3844</v>
      </c>
      <c r="C148" s="3">
        <v>42165</v>
      </c>
      <c r="D148" s="3">
        <v>42165</v>
      </c>
      <c r="E148" s="3" t="s">
        <v>1510</v>
      </c>
      <c r="F148" s="402" t="s">
        <v>3845</v>
      </c>
      <c r="G148" s="402" t="s">
        <v>1486</v>
      </c>
      <c r="H148" s="1" t="s">
        <v>3656</v>
      </c>
      <c r="I148" s="403">
        <v>3290</v>
      </c>
      <c r="J148" s="403">
        <v>845.04824999999994</v>
      </c>
      <c r="K148" s="351">
        <f>+J148*0.5556</f>
        <v>469.50880769999998</v>
      </c>
      <c r="L148" s="345">
        <f>+K148*Q148</f>
        <v>93.901761539999995</v>
      </c>
      <c r="M148" s="345" t="s">
        <v>6169</v>
      </c>
      <c r="N148" s="1" t="s">
        <v>3785</v>
      </c>
      <c r="O148" s="1" t="s">
        <v>3786</v>
      </c>
      <c r="P148" s="396" t="s">
        <v>3659</v>
      </c>
      <c r="Q148" s="397">
        <v>0.2</v>
      </c>
      <c r="R148" s="191" t="s">
        <v>3846</v>
      </c>
      <c r="S148" s="2" t="s">
        <v>821</v>
      </c>
      <c r="T148" s="2" t="s">
        <v>5915</v>
      </c>
    </row>
    <row r="149" spans="1:21" hidden="1" x14ac:dyDescent="0.35">
      <c r="A149" s="398" t="s">
        <v>3853</v>
      </c>
      <c r="B149" s="1" t="s">
        <v>3844</v>
      </c>
      <c r="C149" s="3">
        <v>42165</v>
      </c>
      <c r="D149" s="3">
        <v>42165</v>
      </c>
      <c r="E149" s="3" t="s">
        <v>1521</v>
      </c>
      <c r="F149" s="402" t="s">
        <v>3845</v>
      </c>
      <c r="G149" s="402" t="s">
        <v>1486</v>
      </c>
      <c r="H149" s="1" t="s">
        <v>3656</v>
      </c>
      <c r="I149" s="403">
        <v>3290</v>
      </c>
      <c r="J149" s="403">
        <v>845.04824999999994</v>
      </c>
      <c r="K149" s="351">
        <f>+J149*0.5556</f>
        <v>469.50880769999998</v>
      </c>
      <c r="L149" s="345">
        <f>+K149*Q149</f>
        <v>93.901761539999995</v>
      </c>
      <c r="M149" s="345" t="s">
        <v>6169</v>
      </c>
      <c r="N149" s="1" t="s">
        <v>3785</v>
      </c>
      <c r="O149" s="1" t="s">
        <v>3786</v>
      </c>
      <c r="P149" s="396" t="s">
        <v>3659</v>
      </c>
      <c r="Q149" s="397">
        <v>0.2</v>
      </c>
      <c r="R149" s="191" t="s">
        <v>3846</v>
      </c>
      <c r="S149" s="2" t="s">
        <v>916</v>
      </c>
      <c r="T149" s="2" t="s">
        <v>5915</v>
      </c>
    </row>
    <row r="150" spans="1:21" hidden="1" x14ac:dyDescent="0.35">
      <c r="A150" s="398" t="s">
        <v>3854</v>
      </c>
      <c r="B150" s="1" t="s">
        <v>3844</v>
      </c>
      <c r="C150" s="3">
        <v>42165</v>
      </c>
      <c r="D150" s="3">
        <v>42165</v>
      </c>
      <c r="E150" s="3" t="s">
        <v>1537</v>
      </c>
      <c r="F150" s="402" t="s">
        <v>3845</v>
      </c>
      <c r="G150" s="402" t="s">
        <v>1486</v>
      </c>
      <c r="H150" s="1" t="s">
        <v>3656</v>
      </c>
      <c r="I150" s="403">
        <v>3290</v>
      </c>
      <c r="J150" s="403">
        <v>845.04824999999994</v>
      </c>
      <c r="K150" s="351">
        <f>+J150*0.5556</f>
        <v>469.50880769999998</v>
      </c>
      <c r="L150" s="345">
        <f>+K150*Q150</f>
        <v>93.901761539999995</v>
      </c>
      <c r="M150" s="345" t="s">
        <v>6169</v>
      </c>
      <c r="N150" s="1" t="s">
        <v>3785</v>
      </c>
      <c r="O150" s="1" t="s">
        <v>3786</v>
      </c>
      <c r="P150" s="396" t="s">
        <v>3659</v>
      </c>
      <c r="Q150" s="397">
        <v>0.2</v>
      </c>
      <c r="R150" s="191" t="s">
        <v>3846</v>
      </c>
      <c r="S150" s="2" t="s">
        <v>1535</v>
      </c>
      <c r="T150" s="2" t="s">
        <v>5915</v>
      </c>
    </row>
    <row r="151" spans="1:21" hidden="1" x14ac:dyDescent="0.35">
      <c r="A151" s="398" t="s">
        <v>3855</v>
      </c>
      <c r="B151" s="1" t="s">
        <v>3844</v>
      </c>
      <c r="C151" s="3">
        <v>42165</v>
      </c>
      <c r="D151" s="3">
        <v>42165</v>
      </c>
      <c r="E151" s="3" t="s">
        <v>1556</v>
      </c>
      <c r="F151" s="402" t="s">
        <v>3845</v>
      </c>
      <c r="G151" s="402" t="s">
        <v>1486</v>
      </c>
      <c r="H151" s="1" t="s">
        <v>3656</v>
      </c>
      <c r="I151" s="403">
        <v>3290</v>
      </c>
      <c r="J151" s="403">
        <v>845.04824999999994</v>
      </c>
      <c r="K151" s="351">
        <f>+J151*0.5556</f>
        <v>469.50880769999998</v>
      </c>
      <c r="L151" s="345">
        <f>+K151*Q151</f>
        <v>93.901761539999995</v>
      </c>
      <c r="M151" s="345" t="s">
        <v>6169</v>
      </c>
      <c r="N151" s="1" t="s">
        <v>3785</v>
      </c>
      <c r="O151" s="1" t="s">
        <v>3786</v>
      </c>
      <c r="P151" s="396" t="s">
        <v>3659</v>
      </c>
      <c r="Q151" s="397">
        <v>0.2</v>
      </c>
      <c r="R151" s="191" t="s">
        <v>3846</v>
      </c>
      <c r="S151" s="2" t="s">
        <v>1081</v>
      </c>
      <c r="T151" s="2" t="s">
        <v>5915</v>
      </c>
    </row>
    <row r="152" spans="1:21" s="561" customFormat="1" hidden="1" x14ac:dyDescent="0.35">
      <c r="A152" s="556" t="s">
        <v>3856</v>
      </c>
      <c r="B152" s="557" t="s">
        <v>14</v>
      </c>
      <c r="C152" s="558">
        <v>42165</v>
      </c>
      <c r="D152" s="3">
        <v>42165</v>
      </c>
      <c r="E152" s="558" t="s">
        <v>15</v>
      </c>
      <c r="F152" s="402" t="s">
        <v>3845</v>
      </c>
      <c r="G152" s="562" t="s">
        <v>3655</v>
      </c>
      <c r="H152" s="1" t="s">
        <v>3656</v>
      </c>
      <c r="I152" s="403">
        <v>5242.8500000000004</v>
      </c>
      <c r="J152" s="403">
        <v>1346.644</v>
      </c>
      <c r="K152" s="351">
        <f>+J152*0.5556</f>
        <v>748.19540640000002</v>
      </c>
      <c r="L152" s="345">
        <f>+K152*Q152</f>
        <v>149.63908128</v>
      </c>
      <c r="M152" s="345" t="s">
        <v>6169</v>
      </c>
      <c r="N152" s="557" t="s">
        <v>3785</v>
      </c>
      <c r="O152" s="1" t="s">
        <v>3786</v>
      </c>
      <c r="P152" s="396" t="s">
        <v>3659</v>
      </c>
      <c r="Q152" s="397">
        <v>0.2</v>
      </c>
      <c r="R152" s="191" t="s">
        <v>3846</v>
      </c>
      <c r="S152" s="560" t="s">
        <v>2617</v>
      </c>
      <c r="T152" s="560" t="s">
        <v>5915</v>
      </c>
    </row>
    <row r="153" spans="1:21" s="594" customFormat="1" hidden="1" x14ac:dyDescent="0.35">
      <c r="A153" s="595" t="s">
        <v>3857</v>
      </c>
      <c r="B153" s="596" t="s">
        <v>14</v>
      </c>
      <c r="C153" s="583">
        <v>42165</v>
      </c>
      <c r="D153" s="3">
        <v>42165</v>
      </c>
      <c r="E153" s="583" t="s">
        <v>17</v>
      </c>
      <c r="F153" s="402" t="s">
        <v>3845</v>
      </c>
      <c r="G153" s="597" t="s">
        <v>3655</v>
      </c>
      <c r="H153" s="1" t="s">
        <v>3656</v>
      </c>
      <c r="I153" s="403">
        <v>5242.8500000000004</v>
      </c>
      <c r="J153" s="403">
        <v>1346.644</v>
      </c>
      <c r="K153" s="351">
        <f>+J153*0.5556</f>
        <v>748.19540640000002</v>
      </c>
      <c r="L153" s="345">
        <f>+K153*Q153</f>
        <v>149.63908128</v>
      </c>
      <c r="M153" s="345" t="s">
        <v>6169</v>
      </c>
      <c r="N153" s="1" t="s">
        <v>3785</v>
      </c>
      <c r="O153" s="1" t="s">
        <v>3786</v>
      </c>
      <c r="P153" s="396" t="s">
        <v>3659</v>
      </c>
      <c r="Q153" s="397">
        <v>0.2</v>
      </c>
      <c r="R153" s="191" t="s">
        <v>3846</v>
      </c>
      <c r="S153" s="588" t="s">
        <v>3475</v>
      </c>
      <c r="T153" s="588" t="s">
        <v>5915</v>
      </c>
    </row>
    <row r="154" spans="1:21" s="561" customFormat="1" hidden="1" x14ac:dyDescent="0.35">
      <c r="A154" s="556" t="s">
        <v>3858</v>
      </c>
      <c r="B154" s="557" t="s">
        <v>14</v>
      </c>
      <c r="C154" s="558">
        <v>42165</v>
      </c>
      <c r="D154" s="3">
        <v>42165</v>
      </c>
      <c r="E154" s="558" t="s">
        <v>18</v>
      </c>
      <c r="F154" s="402" t="s">
        <v>3845</v>
      </c>
      <c r="G154" s="562" t="s">
        <v>3655</v>
      </c>
      <c r="H154" s="1" t="s">
        <v>3656</v>
      </c>
      <c r="I154" s="403">
        <v>5242.8500000000004</v>
      </c>
      <c r="J154" s="403">
        <v>1346.644</v>
      </c>
      <c r="K154" s="351">
        <f>+J154*0.5556</f>
        <v>748.19540640000002</v>
      </c>
      <c r="L154" s="345">
        <f>+K154*Q154</f>
        <v>149.63908128</v>
      </c>
      <c r="M154" s="345" t="s">
        <v>6169</v>
      </c>
      <c r="N154" s="557" t="s">
        <v>3785</v>
      </c>
      <c r="O154" s="1" t="s">
        <v>3786</v>
      </c>
      <c r="P154" s="396" t="s">
        <v>3659</v>
      </c>
      <c r="Q154" s="397">
        <v>0.2</v>
      </c>
      <c r="R154" s="191" t="s">
        <v>3846</v>
      </c>
      <c r="S154" s="573" t="s">
        <v>2617</v>
      </c>
      <c r="T154" s="573" t="s">
        <v>5915</v>
      </c>
    </row>
    <row r="155" spans="1:21" s="594" customFormat="1" hidden="1" x14ac:dyDescent="0.35">
      <c r="A155" s="595" t="s">
        <v>3859</v>
      </c>
      <c r="B155" s="596" t="s">
        <v>3860</v>
      </c>
      <c r="C155" s="583">
        <v>42165</v>
      </c>
      <c r="D155" s="3">
        <v>42165</v>
      </c>
      <c r="E155" s="583"/>
      <c r="F155" s="402" t="s">
        <v>3845</v>
      </c>
      <c r="G155" s="597" t="s">
        <v>3655</v>
      </c>
      <c r="H155" s="1" t="s">
        <v>3656</v>
      </c>
      <c r="I155" s="403">
        <v>5354.4750000000004</v>
      </c>
      <c r="J155" s="403">
        <v>1375.3157625000001</v>
      </c>
      <c r="K155" s="351">
        <f>+J155*0.5556</f>
        <v>764.12543764500003</v>
      </c>
      <c r="L155" s="345">
        <f>+K155*Q155</f>
        <v>152.825087529</v>
      </c>
      <c r="M155" s="345" t="s">
        <v>6169</v>
      </c>
      <c r="N155" s="1" t="s">
        <v>3785</v>
      </c>
      <c r="O155" s="1" t="s">
        <v>3786</v>
      </c>
      <c r="P155" s="396" t="s">
        <v>3659</v>
      </c>
      <c r="Q155" s="397">
        <v>0.2</v>
      </c>
      <c r="R155" s="191" t="s">
        <v>3846</v>
      </c>
      <c r="S155" s="588" t="s">
        <v>3475</v>
      </c>
      <c r="T155" s="588" t="s">
        <v>5914</v>
      </c>
      <c r="U155" s="588" t="s">
        <v>3475</v>
      </c>
    </row>
    <row r="156" spans="1:21" s="594" customFormat="1" hidden="1" x14ac:dyDescent="0.35">
      <c r="A156" s="595" t="s">
        <v>3861</v>
      </c>
      <c r="B156" s="596" t="s">
        <v>3860</v>
      </c>
      <c r="C156" s="583">
        <v>42165</v>
      </c>
      <c r="D156" s="3">
        <v>42165</v>
      </c>
      <c r="E156" s="583"/>
      <c r="F156" s="402" t="s">
        <v>3845</v>
      </c>
      <c r="G156" s="597" t="s">
        <v>3655</v>
      </c>
      <c r="H156" s="1" t="s">
        <v>3656</v>
      </c>
      <c r="I156" s="403">
        <v>5354.4750000000004</v>
      </c>
      <c r="J156" s="403">
        <v>1375.3157625000001</v>
      </c>
      <c r="K156" s="351">
        <f>+J156*0.5556</f>
        <v>764.12543764500003</v>
      </c>
      <c r="L156" s="345">
        <f>+K156*Q156</f>
        <v>152.825087529</v>
      </c>
      <c r="M156" s="345" t="s">
        <v>6169</v>
      </c>
      <c r="N156" s="1" t="s">
        <v>3785</v>
      </c>
      <c r="O156" s="1" t="s">
        <v>3786</v>
      </c>
      <c r="P156" s="396" t="s">
        <v>3659</v>
      </c>
      <c r="Q156" s="397">
        <v>0.2</v>
      </c>
      <c r="R156" s="191" t="s">
        <v>3846</v>
      </c>
      <c r="S156" s="588" t="s">
        <v>3475</v>
      </c>
      <c r="T156" s="588" t="s">
        <v>5914</v>
      </c>
      <c r="U156" s="588" t="s">
        <v>3475</v>
      </c>
    </row>
    <row r="157" spans="1:21" s="594" customFormat="1" hidden="1" x14ac:dyDescent="0.35">
      <c r="A157" s="595" t="s">
        <v>3862</v>
      </c>
      <c r="B157" s="596" t="s">
        <v>3860</v>
      </c>
      <c r="C157" s="583">
        <v>42165</v>
      </c>
      <c r="D157" s="3">
        <v>42165</v>
      </c>
      <c r="E157" s="583"/>
      <c r="F157" s="402" t="s">
        <v>3845</v>
      </c>
      <c r="G157" s="597" t="s">
        <v>3655</v>
      </c>
      <c r="H157" s="1" t="s">
        <v>3656</v>
      </c>
      <c r="I157" s="403">
        <v>5354.4750000000004</v>
      </c>
      <c r="J157" s="403">
        <v>1375.3157625000001</v>
      </c>
      <c r="K157" s="351">
        <f>+J157*0.5556</f>
        <v>764.12543764500003</v>
      </c>
      <c r="L157" s="345">
        <f>+K157*Q157</f>
        <v>152.825087529</v>
      </c>
      <c r="M157" s="345" t="s">
        <v>6169</v>
      </c>
      <c r="N157" s="1" t="s">
        <v>3785</v>
      </c>
      <c r="O157" s="1" t="s">
        <v>3786</v>
      </c>
      <c r="P157" s="396" t="s">
        <v>3659</v>
      </c>
      <c r="Q157" s="397">
        <v>0.2</v>
      </c>
      <c r="R157" s="191" t="s">
        <v>3846</v>
      </c>
      <c r="S157" s="588" t="s">
        <v>3475</v>
      </c>
      <c r="T157" s="588" t="s">
        <v>5914</v>
      </c>
      <c r="U157" s="588" t="s">
        <v>3475</v>
      </c>
    </row>
    <row r="158" spans="1:21" s="594" customFormat="1" hidden="1" x14ac:dyDescent="0.35">
      <c r="A158" s="595" t="s">
        <v>3863</v>
      </c>
      <c r="B158" s="596" t="s">
        <v>3860</v>
      </c>
      <c r="C158" s="583">
        <v>42165</v>
      </c>
      <c r="D158" s="3">
        <v>42165</v>
      </c>
      <c r="E158" s="583"/>
      <c r="F158" s="402" t="s">
        <v>3845</v>
      </c>
      <c r="G158" s="597" t="s">
        <v>3655</v>
      </c>
      <c r="H158" s="1" t="s">
        <v>3656</v>
      </c>
      <c r="I158" s="403">
        <v>5354.4750000000004</v>
      </c>
      <c r="J158" s="403">
        <v>1375.3157625000001</v>
      </c>
      <c r="K158" s="351">
        <f>+J158*0.5556</f>
        <v>764.12543764500003</v>
      </c>
      <c r="L158" s="345">
        <f>+K158*Q158</f>
        <v>152.825087529</v>
      </c>
      <c r="M158" s="345" t="s">
        <v>6169</v>
      </c>
      <c r="N158" s="1" t="s">
        <v>3785</v>
      </c>
      <c r="O158" s="1" t="s">
        <v>3786</v>
      </c>
      <c r="P158" s="396" t="s">
        <v>3659</v>
      </c>
      <c r="Q158" s="397">
        <v>0.2</v>
      </c>
      <c r="R158" s="191" t="s">
        <v>3846</v>
      </c>
      <c r="S158" s="588" t="s">
        <v>3475</v>
      </c>
      <c r="T158" s="588" t="s">
        <v>5914</v>
      </c>
      <c r="U158" s="588" t="s">
        <v>3475</v>
      </c>
    </row>
    <row r="159" spans="1:21" s="594" customFormat="1" hidden="1" x14ac:dyDescent="0.35">
      <c r="A159" s="595" t="s">
        <v>3864</v>
      </c>
      <c r="B159" s="596" t="s">
        <v>3860</v>
      </c>
      <c r="C159" s="583">
        <v>42165</v>
      </c>
      <c r="D159" s="3">
        <v>42165</v>
      </c>
      <c r="E159" s="583"/>
      <c r="F159" s="402" t="s">
        <v>3845</v>
      </c>
      <c r="G159" s="597" t="s">
        <v>3655</v>
      </c>
      <c r="H159" s="1" t="s">
        <v>3656</v>
      </c>
      <c r="I159" s="403">
        <v>5354.4750000000004</v>
      </c>
      <c r="J159" s="403">
        <v>1375.3157625000001</v>
      </c>
      <c r="K159" s="351">
        <f>+J159*0.5556</f>
        <v>764.12543764500003</v>
      </c>
      <c r="L159" s="345">
        <f>+K159*Q159</f>
        <v>152.825087529</v>
      </c>
      <c r="M159" s="345" t="s">
        <v>6169</v>
      </c>
      <c r="N159" s="1" t="s">
        <v>3785</v>
      </c>
      <c r="O159" s="1" t="s">
        <v>3786</v>
      </c>
      <c r="P159" s="396" t="s">
        <v>3659</v>
      </c>
      <c r="Q159" s="397">
        <v>0.2</v>
      </c>
      <c r="R159" s="191" t="s">
        <v>3846</v>
      </c>
      <c r="S159" s="588" t="s">
        <v>3475</v>
      </c>
      <c r="T159" s="588" t="s">
        <v>5914</v>
      </c>
      <c r="U159" s="588" t="s">
        <v>3475</v>
      </c>
    </row>
    <row r="160" spans="1:21" s="594" customFormat="1" hidden="1" x14ac:dyDescent="0.35">
      <c r="A160" s="595" t="s">
        <v>3865</v>
      </c>
      <c r="B160" s="596" t="s">
        <v>3860</v>
      </c>
      <c r="C160" s="583">
        <v>42165</v>
      </c>
      <c r="D160" s="3">
        <v>42165</v>
      </c>
      <c r="E160" s="583"/>
      <c r="F160" s="402" t="s">
        <v>3845</v>
      </c>
      <c r="G160" s="597" t="s">
        <v>3655</v>
      </c>
      <c r="H160" s="1" t="s">
        <v>3656</v>
      </c>
      <c r="I160" s="403">
        <v>5354.4750000000004</v>
      </c>
      <c r="J160" s="403">
        <v>1375.3157625000001</v>
      </c>
      <c r="K160" s="351">
        <f>+J160*0.5556</f>
        <v>764.12543764500003</v>
      </c>
      <c r="L160" s="345">
        <f>+K160*Q160</f>
        <v>152.825087529</v>
      </c>
      <c r="M160" s="345" t="s">
        <v>6169</v>
      </c>
      <c r="N160" s="1" t="s">
        <v>3785</v>
      </c>
      <c r="O160" s="1" t="s">
        <v>3786</v>
      </c>
      <c r="P160" s="396" t="s">
        <v>3659</v>
      </c>
      <c r="Q160" s="397">
        <v>0.2</v>
      </c>
      <c r="R160" s="191" t="s">
        <v>3846</v>
      </c>
      <c r="S160" s="588" t="s">
        <v>3475</v>
      </c>
      <c r="T160" s="588" t="s">
        <v>5914</v>
      </c>
      <c r="U160" s="588" t="s">
        <v>3475</v>
      </c>
    </row>
    <row r="161" spans="1:21" s="594" customFormat="1" hidden="1" x14ac:dyDescent="0.35">
      <c r="A161" s="595" t="s">
        <v>3866</v>
      </c>
      <c r="B161" s="596" t="s">
        <v>3860</v>
      </c>
      <c r="C161" s="583">
        <v>42165</v>
      </c>
      <c r="D161" s="3">
        <v>42165</v>
      </c>
      <c r="E161" s="583"/>
      <c r="F161" s="402" t="s">
        <v>3845</v>
      </c>
      <c r="G161" s="597" t="s">
        <v>3655</v>
      </c>
      <c r="H161" s="1" t="s">
        <v>3656</v>
      </c>
      <c r="I161" s="403">
        <v>5354.4750000000004</v>
      </c>
      <c r="J161" s="403">
        <v>1375.3157625000001</v>
      </c>
      <c r="K161" s="351">
        <f>+J161*0.5556</f>
        <v>764.12543764500003</v>
      </c>
      <c r="L161" s="345">
        <f>+K161*Q161</f>
        <v>152.825087529</v>
      </c>
      <c r="M161" s="345" t="s">
        <v>6169</v>
      </c>
      <c r="N161" s="1" t="s">
        <v>3785</v>
      </c>
      <c r="O161" s="1" t="s">
        <v>3786</v>
      </c>
      <c r="P161" s="396" t="s">
        <v>3659</v>
      </c>
      <c r="Q161" s="397">
        <v>0.2</v>
      </c>
      <c r="R161" s="191" t="s">
        <v>3846</v>
      </c>
      <c r="S161" s="588" t="s">
        <v>3475</v>
      </c>
      <c r="T161" s="588" t="s">
        <v>5914</v>
      </c>
      <c r="U161" s="588" t="s">
        <v>3475</v>
      </c>
    </row>
    <row r="162" spans="1:21" s="594" customFormat="1" hidden="1" x14ac:dyDescent="0.35">
      <c r="A162" s="595" t="s">
        <v>3867</v>
      </c>
      <c r="B162" s="596" t="s">
        <v>3860</v>
      </c>
      <c r="C162" s="583">
        <v>42165</v>
      </c>
      <c r="D162" s="3">
        <v>42165</v>
      </c>
      <c r="E162" s="583"/>
      <c r="F162" s="402" t="s">
        <v>3845</v>
      </c>
      <c r="G162" s="597" t="s">
        <v>3655</v>
      </c>
      <c r="H162" s="1" t="s">
        <v>3656</v>
      </c>
      <c r="I162" s="403">
        <v>5354.4750000000004</v>
      </c>
      <c r="J162" s="403">
        <v>1375.3157625000001</v>
      </c>
      <c r="K162" s="351">
        <f>+J162*0.5556</f>
        <v>764.12543764500003</v>
      </c>
      <c r="L162" s="345">
        <f>+K162*Q162</f>
        <v>152.825087529</v>
      </c>
      <c r="M162" s="345" t="s">
        <v>6169</v>
      </c>
      <c r="N162" s="1" t="s">
        <v>3785</v>
      </c>
      <c r="O162" s="1" t="s">
        <v>3786</v>
      </c>
      <c r="P162" s="396" t="s">
        <v>3659</v>
      </c>
      <c r="Q162" s="397">
        <v>0.2</v>
      </c>
      <c r="R162" s="191" t="s">
        <v>3846</v>
      </c>
      <c r="S162" s="588" t="s">
        <v>3475</v>
      </c>
      <c r="T162" s="588" t="s">
        <v>5914</v>
      </c>
      <c r="U162" s="588" t="s">
        <v>3475</v>
      </c>
    </row>
    <row r="163" spans="1:21" s="594" customFormat="1" hidden="1" x14ac:dyDescent="0.35">
      <c r="A163" s="595" t="s">
        <v>3868</v>
      </c>
      <c r="B163" s="596" t="s">
        <v>3860</v>
      </c>
      <c r="C163" s="583">
        <v>42165</v>
      </c>
      <c r="D163" s="3">
        <v>42165</v>
      </c>
      <c r="E163" s="583"/>
      <c r="F163" s="402" t="s">
        <v>3845</v>
      </c>
      <c r="G163" s="597" t="s">
        <v>3655</v>
      </c>
      <c r="H163" s="1" t="s">
        <v>3656</v>
      </c>
      <c r="I163" s="403">
        <v>5354.4750000000004</v>
      </c>
      <c r="J163" s="403">
        <v>1375.3157625000001</v>
      </c>
      <c r="K163" s="351">
        <f>+J163*0.5556</f>
        <v>764.12543764500003</v>
      </c>
      <c r="L163" s="345">
        <f>+K163*Q163</f>
        <v>152.825087529</v>
      </c>
      <c r="M163" s="345" t="s">
        <v>6169</v>
      </c>
      <c r="N163" s="1" t="s">
        <v>3785</v>
      </c>
      <c r="O163" s="1" t="s">
        <v>3786</v>
      </c>
      <c r="P163" s="396" t="s">
        <v>3659</v>
      </c>
      <c r="Q163" s="397">
        <v>0.2</v>
      </c>
      <c r="R163" s="191" t="s">
        <v>3846</v>
      </c>
      <c r="S163" s="588" t="s">
        <v>3475</v>
      </c>
      <c r="T163" s="588" t="s">
        <v>5914</v>
      </c>
      <c r="U163" s="588" t="s">
        <v>3475</v>
      </c>
    </row>
    <row r="164" spans="1:21" s="594" customFormat="1" hidden="1" x14ac:dyDescent="0.35">
      <c r="A164" s="595" t="s">
        <v>3869</v>
      </c>
      <c r="B164" s="596" t="s">
        <v>3860</v>
      </c>
      <c r="C164" s="583">
        <v>42165</v>
      </c>
      <c r="D164" s="3">
        <v>42165</v>
      </c>
      <c r="E164" s="583"/>
      <c r="F164" s="402" t="s">
        <v>3845</v>
      </c>
      <c r="G164" s="597" t="s">
        <v>3655</v>
      </c>
      <c r="H164" s="1" t="s">
        <v>3656</v>
      </c>
      <c r="I164" s="403">
        <v>5354.4750000000004</v>
      </c>
      <c r="J164" s="403">
        <v>1375.3157625000001</v>
      </c>
      <c r="K164" s="351">
        <f>+J164*0.5556</f>
        <v>764.12543764500003</v>
      </c>
      <c r="L164" s="345">
        <f>+K164*Q164</f>
        <v>152.825087529</v>
      </c>
      <c r="M164" s="345" t="s">
        <v>6169</v>
      </c>
      <c r="N164" s="1" t="s">
        <v>3785</v>
      </c>
      <c r="O164" s="1" t="s">
        <v>3786</v>
      </c>
      <c r="P164" s="396" t="s">
        <v>3659</v>
      </c>
      <c r="Q164" s="397">
        <v>0.2</v>
      </c>
      <c r="R164" s="191" t="s">
        <v>3846</v>
      </c>
      <c r="S164" s="588" t="s">
        <v>3475</v>
      </c>
      <c r="T164" s="588" t="s">
        <v>5914</v>
      </c>
      <c r="U164" s="588" t="s">
        <v>3475</v>
      </c>
    </row>
    <row r="165" spans="1:21" s="594" customFormat="1" hidden="1" x14ac:dyDescent="0.35">
      <c r="A165" s="595" t="s">
        <v>3870</v>
      </c>
      <c r="B165" s="596" t="s">
        <v>3860</v>
      </c>
      <c r="C165" s="583">
        <v>42165</v>
      </c>
      <c r="D165" s="3">
        <v>42165</v>
      </c>
      <c r="E165" s="583"/>
      <c r="F165" s="402" t="s">
        <v>3845</v>
      </c>
      <c r="G165" s="597" t="s">
        <v>3655</v>
      </c>
      <c r="H165" s="1" t="s">
        <v>3656</v>
      </c>
      <c r="I165" s="403">
        <v>5354.4750000000004</v>
      </c>
      <c r="J165" s="403">
        <v>1375.3157625000001</v>
      </c>
      <c r="K165" s="351">
        <f>+J165*0.5556</f>
        <v>764.12543764500003</v>
      </c>
      <c r="L165" s="345">
        <f>+K165*Q165</f>
        <v>152.825087529</v>
      </c>
      <c r="M165" s="345" t="s">
        <v>6169</v>
      </c>
      <c r="N165" s="1" t="s">
        <v>3785</v>
      </c>
      <c r="O165" s="1" t="s">
        <v>3786</v>
      </c>
      <c r="P165" s="396" t="s">
        <v>3659</v>
      </c>
      <c r="Q165" s="397">
        <v>0.2</v>
      </c>
      <c r="R165" s="191" t="s">
        <v>3846</v>
      </c>
      <c r="S165" s="588" t="s">
        <v>3475</v>
      </c>
      <c r="T165" s="588" t="s">
        <v>5914</v>
      </c>
      <c r="U165" s="588" t="s">
        <v>3475</v>
      </c>
    </row>
    <row r="166" spans="1:21" s="594" customFormat="1" hidden="1" x14ac:dyDescent="0.35">
      <c r="A166" s="595" t="s">
        <v>3871</v>
      </c>
      <c r="B166" s="596" t="s">
        <v>3860</v>
      </c>
      <c r="C166" s="583">
        <v>42165</v>
      </c>
      <c r="D166" s="3">
        <v>42165</v>
      </c>
      <c r="E166" s="583"/>
      <c r="F166" s="402" t="s">
        <v>3845</v>
      </c>
      <c r="G166" s="597" t="s">
        <v>3655</v>
      </c>
      <c r="H166" s="1" t="s">
        <v>3656</v>
      </c>
      <c r="I166" s="403">
        <v>5354.4750000000004</v>
      </c>
      <c r="J166" s="403">
        <v>1375.3157625000001</v>
      </c>
      <c r="K166" s="351">
        <f>+J166*0.5556</f>
        <v>764.12543764500003</v>
      </c>
      <c r="L166" s="345">
        <f>+K166*Q166</f>
        <v>152.825087529</v>
      </c>
      <c r="M166" s="345" t="s">
        <v>6169</v>
      </c>
      <c r="N166" s="1" t="s">
        <v>3785</v>
      </c>
      <c r="O166" s="1" t="s">
        <v>3786</v>
      </c>
      <c r="P166" s="396" t="s">
        <v>3659</v>
      </c>
      <c r="Q166" s="397">
        <v>0.2</v>
      </c>
      <c r="R166" s="191" t="s">
        <v>3846</v>
      </c>
      <c r="S166" s="588" t="s">
        <v>3475</v>
      </c>
      <c r="T166" s="588" t="s">
        <v>5914</v>
      </c>
      <c r="U166" s="588" t="s">
        <v>3475</v>
      </c>
    </row>
    <row r="167" spans="1:21" s="594" customFormat="1" hidden="1" x14ac:dyDescent="0.35">
      <c r="A167" s="595" t="s">
        <v>3872</v>
      </c>
      <c r="B167" s="596" t="s">
        <v>3860</v>
      </c>
      <c r="C167" s="583">
        <v>42165</v>
      </c>
      <c r="D167" s="3">
        <v>42165</v>
      </c>
      <c r="E167" s="583"/>
      <c r="F167" s="402" t="s">
        <v>3845</v>
      </c>
      <c r="G167" s="597" t="s">
        <v>3655</v>
      </c>
      <c r="H167" s="1" t="s">
        <v>3656</v>
      </c>
      <c r="I167" s="403">
        <v>5354.4750000000004</v>
      </c>
      <c r="J167" s="403">
        <v>1375.3157625000001</v>
      </c>
      <c r="K167" s="351">
        <f>+J167*0.5556</f>
        <v>764.12543764500003</v>
      </c>
      <c r="L167" s="345">
        <f>+K167*Q167</f>
        <v>152.825087529</v>
      </c>
      <c r="M167" s="345" t="s">
        <v>6169</v>
      </c>
      <c r="N167" s="1" t="s">
        <v>3785</v>
      </c>
      <c r="O167" s="1" t="s">
        <v>3786</v>
      </c>
      <c r="P167" s="396" t="s">
        <v>3659</v>
      </c>
      <c r="Q167" s="397">
        <v>0.2</v>
      </c>
      <c r="R167" s="191" t="s">
        <v>3846</v>
      </c>
      <c r="S167" s="588" t="s">
        <v>3475</v>
      </c>
      <c r="T167" s="588" t="s">
        <v>5914</v>
      </c>
      <c r="U167" s="588" t="s">
        <v>3475</v>
      </c>
    </row>
    <row r="168" spans="1:21" s="594" customFormat="1" hidden="1" x14ac:dyDescent="0.35">
      <c r="A168" s="595" t="s">
        <v>3873</v>
      </c>
      <c r="B168" s="596" t="s">
        <v>3860</v>
      </c>
      <c r="C168" s="583">
        <v>42165</v>
      </c>
      <c r="D168" s="3">
        <v>42165</v>
      </c>
      <c r="E168" s="583"/>
      <c r="F168" s="402" t="s">
        <v>3845</v>
      </c>
      <c r="G168" s="597" t="s">
        <v>3655</v>
      </c>
      <c r="H168" s="1" t="s">
        <v>3656</v>
      </c>
      <c r="I168" s="403">
        <v>5354.4750000000004</v>
      </c>
      <c r="J168" s="403">
        <v>1375.3157625000001</v>
      </c>
      <c r="K168" s="351">
        <f>+J168*0.5556</f>
        <v>764.12543764500003</v>
      </c>
      <c r="L168" s="345">
        <f>+K168*Q168</f>
        <v>152.825087529</v>
      </c>
      <c r="M168" s="345" t="s">
        <v>6169</v>
      </c>
      <c r="N168" s="1" t="s">
        <v>3785</v>
      </c>
      <c r="O168" s="1" t="s">
        <v>3786</v>
      </c>
      <c r="P168" s="396" t="s">
        <v>3659</v>
      </c>
      <c r="Q168" s="397">
        <v>0.2</v>
      </c>
      <c r="R168" s="191" t="s">
        <v>3846</v>
      </c>
      <c r="S168" s="588" t="s">
        <v>3475</v>
      </c>
      <c r="T168" s="588" t="s">
        <v>5914</v>
      </c>
      <c r="U168" s="588" t="s">
        <v>3475</v>
      </c>
    </row>
    <row r="169" spans="1:21" s="594" customFormat="1" hidden="1" x14ac:dyDescent="0.35">
      <c r="A169" s="595" t="s">
        <v>3874</v>
      </c>
      <c r="B169" s="596" t="s">
        <v>3860</v>
      </c>
      <c r="C169" s="583">
        <v>42165</v>
      </c>
      <c r="D169" s="3">
        <v>42165</v>
      </c>
      <c r="E169" s="583"/>
      <c r="F169" s="402" t="s">
        <v>3845</v>
      </c>
      <c r="G169" s="597" t="s">
        <v>3655</v>
      </c>
      <c r="H169" s="1" t="s">
        <v>3656</v>
      </c>
      <c r="I169" s="403">
        <v>5354.4750000000004</v>
      </c>
      <c r="J169" s="403">
        <v>1375.3157625000001</v>
      </c>
      <c r="K169" s="351">
        <f>+J169*0.5556</f>
        <v>764.12543764500003</v>
      </c>
      <c r="L169" s="345">
        <f>+K169*Q169</f>
        <v>152.825087529</v>
      </c>
      <c r="M169" s="345" t="s">
        <v>6169</v>
      </c>
      <c r="N169" s="1" t="s">
        <v>3785</v>
      </c>
      <c r="O169" s="1" t="s">
        <v>3786</v>
      </c>
      <c r="P169" s="396" t="s">
        <v>3659</v>
      </c>
      <c r="Q169" s="397">
        <v>0.2</v>
      </c>
      <c r="R169" s="191" t="s">
        <v>3846</v>
      </c>
      <c r="S169" s="588" t="s">
        <v>3475</v>
      </c>
      <c r="T169" s="588" t="s">
        <v>5914</v>
      </c>
      <c r="U169" s="588" t="s">
        <v>3475</v>
      </c>
    </row>
    <row r="170" spans="1:21" s="594" customFormat="1" hidden="1" x14ac:dyDescent="0.35">
      <c r="A170" s="595" t="s">
        <v>3875</v>
      </c>
      <c r="B170" s="596" t="s">
        <v>3860</v>
      </c>
      <c r="C170" s="583">
        <v>42165</v>
      </c>
      <c r="D170" s="3">
        <v>42165</v>
      </c>
      <c r="E170" s="583"/>
      <c r="F170" s="402" t="s">
        <v>3845</v>
      </c>
      <c r="G170" s="597" t="s">
        <v>3655</v>
      </c>
      <c r="H170" s="1" t="s">
        <v>3656</v>
      </c>
      <c r="I170" s="403">
        <v>5354.4750000000004</v>
      </c>
      <c r="J170" s="403">
        <v>1375.3157625000001</v>
      </c>
      <c r="K170" s="351">
        <f>+J170*0.5556</f>
        <v>764.12543764500003</v>
      </c>
      <c r="L170" s="345">
        <f>+K170*Q170</f>
        <v>152.825087529</v>
      </c>
      <c r="M170" s="345" t="s">
        <v>6169</v>
      </c>
      <c r="N170" s="1" t="s">
        <v>3785</v>
      </c>
      <c r="O170" s="1" t="s">
        <v>3786</v>
      </c>
      <c r="P170" s="396" t="s">
        <v>3659</v>
      </c>
      <c r="Q170" s="397">
        <v>0.2</v>
      </c>
      <c r="R170" s="191" t="s">
        <v>3846</v>
      </c>
      <c r="S170" s="588" t="s">
        <v>3475</v>
      </c>
      <c r="T170" s="588" t="s">
        <v>5914</v>
      </c>
      <c r="U170" s="588" t="s">
        <v>3475</v>
      </c>
    </row>
    <row r="171" spans="1:21" s="594" customFormat="1" hidden="1" x14ac:dyDescent="0.35">
      <c r="A171" s="595" t="s">
        <v>3876</v>
      </c>
      <c r="B171" s="596" t="s">
        <v>3860</v>
      </c>
      <c r="C171" s="583">
        <v>42165</v>
      </c>
      <c r="D171" s="3">
        <v>42165</v>
      </c>
      <c r="E171" s="583"/>
      <c r="F171" s="402" t="s">
        <v>3845</v>
      </c>
      <c r="G171" s="597" t="s">
        <v>3655</v>
      </c>
      <c r="H171" s="1" t="s">
        <v>3656</v>
      </c>
      <c r="I171" s="403">
        <v>5354.4750000000004</v>
      </c>
      <c r="J171" s="403">
        <v>1375.3157625000001</v>
      </c>
      <c r="K171" s="351">
        <f>+J171*0.5556</f>
        <v>764.12543764500003</v>
      </c>
      <c r="L171" s="345">
        <f>+K171*Q171</f>
        <v>152.825087529</v>
      </c>
      <c r="M171" s="345" t="s">
        <v>6169</v>
      </c>
      <c r="N171" s="1" t="s">
        <v>3785</v>
      </c>
      <c r="O171" s="1" t="s">
        <v>3786</v>
      </c>
      <c r="P171" s="396" t="s">
        <v>3659</v>
      </c>
      <c r="Q171" s="397">
        <v>0.2</v>
      </c>
      <c r="R171" s="191" t="s">
        <v>3846</v>
      </c>
      <c r="S171" s="588" t="s">
        <v>3475</v>
      </c>
      <c r="T171" s="588" t="s">
        <v>5914</v>
      </c>
      <c r="U171" s="588" t="s">
        <v>3475</v>
      </c>
    </row>
    <row r="172" spans="1:21" s="594" customFormat="1" hidden="1" x14ac:dyDescent="0.35">
      <c r="A172" s="595" t="s">
        <v>3877</v>
      </c>
      <c r="B172" s="596" t="s">
        <v>3860</v>
      </c>
      <c r="C172" s="583">
        <v>42165</v>
      </c>
      <c r="D172" s="3">
        <v>42165</v>
      </c>
      <c r="E172" s="583"/>
      <c r="F172" s="402" t="s">
        <v>3845</v>
      </c>
      <c r="G172" s="597" t="s">
        <v>3655</v>
      </c>
      <c r="H172" s="1" t="s">
        <v>3656</v>
      </c>
      <c r="I172" s="403">
        <v>5354.4750000000004</v>
      </c>
      <c r="J172" s="403">
        <v>1375.3157625000001</v>
      </c>
      <c r="K172" s="351">
        <f>+J172*0.5556</f>
        <v>764.12543764500003</v>
      </c>
      <c r="L172" s="345">
        <f>+K172*Q172</f>
        <v>152.825087529</v>
      </c>
      <c r="M172" s="345" t="s">
        <v>6169</v>
      </c>
      <c r="N172" s="1" t="s">
        <v>3785</v>
      </c>
      <c r="O172" s="1" t="s">
        <v>3786</v>
      </c>
      <c r="P172" s="396" t="s">
        <v>3659</v>
      </c>
      <c r="Q172" s="397">
        <v>0.2</v>
      </c>
      <c r="R172" s="191" t="s">
        <v>3846</v>
      </c>
      <c r="S172" s="588" t="s">
        <v>3475</v>
      </c>
      <c r="T172" s="588" t="s">
        <v>5914</v>
      </c>
      <c r="U172" s="588" t="s">
        <v>3475</v>
      </c>
    </row>
    <row r="173" spans="1:21" s="594" customFormat="1" hidden="1" x14ac:dyDescent="0.35">
      <c r="A173" s="595" t="s">
        <v>3878</v>
      </c>
      <c r="B173" s="596" t="s">
        <v>3860</v>
      </c>
      <c r="C173" s="583">
        <v>42165</v>
      </c>
      <c r="D173" s="3">
        <v>42165</v>
      </c>
      <c r="E173" s="583"/>
      <c r="F173" s="402" t="s">
        <v>3845</v>
      </c>
      <c r="G173" s="597" t="s">
        <v>3655</v>
      </c>
      <c r="H173" s="1" t="s">
        <v>3656</v>
      </c>
      <c r="I173" s="403">
        <v>5354.4750000000004</v>
      </c>
      <c r="J173" s="403">
        <v>1375.3157625000001</v>
      </c>
      <c r="K173" s="351">
        <f>+J173*0.5556</f>
        <v>764.12543764500003</v>
      </c>
      <c r="L173" s="345">
        <f>+K173*Q173</f>
        <v>152.825087529</v>
      </c>
      <c r="M173" s="345" t="s">
        <v>6169</v>
      </c>
      <c r="N173" s="1" t="s">
        <v>3785</v>
      </c>
      <c r="O173" s="1" t="s">
        <v>3786</v>
      </c>
      <c r="P173" s="396" t="s">
        <v>3659</v>
      </c>
      <c r="Q173" s="397">
        <v>0.2</v>
      </c>
      <c r="R173" s="191" t="s">
        <v>3846</v>
      </c>
      <c r="S173" s="588" t="s">
        <v>3475</v>
      </c>
      <c r="T173" s="588" t="s">
        <v>5914</v>
      </c>
      <c r="U173" s="588" t="s">
        <v>3475</v>
      </c>
    </row>
    <row r="174" spans="1:21" s="594" customFormat="1" hidden="1" x14ac:dyDescent="0.35">
      <c r="A174" s="595" t="s">
        <v>3879</v>
      </c>
      <c r="B174" s="596" t="s">
        <v>3860</v>
      </c>
      <c r="C174" s="583">
        <v>42165</v>
      </c>
      <c r="D174" s="3">
        <v>42165</v>
      </c>
      <c r="E174" s="583"/>
      <c r="F174" s="402" t="s">
        <v>3845</v>
      </c>
      <c r="G174" s="597" t="s">
        <v>3655</v>
      </c>
      <c r="H174" s="1" t="s">
        <v>3656</v>
      </c>
      <c r="I174" s="403">
        <v>5354.4750000000004</v>
      </c>
      <c r="J174" s="403">
        <v>1375.3157625000001</v>
      </c>
      <c r="K174" s="351">
        <f>+J174*0.5556</f>
        <v>764.12543764500003</v>
      </c>
      <c r="L174" s="345">
        <f>+K174*Q174</f>
        <v>152.825087529</v>
      </c>
      <c r="M174" s="345" t="s">
        <v>6169</v>
      </c>
      <c r="N174" s="1" t="s">
        <v>3785</v>
      </c>
      <c r="O174" s="1" t="s">
        <v>3786</v>
      </c>
      <c r="P174" s="396" t="s">
        <v>3659</v>
      </c>
      <c r="Q174" s="397">
        <v>0.2</v>
      </c>
      <c r="R174" s="191" t="s">
        <v>3846</v>
      </c>
      <c r="S174" s="588" t="s">
        <v>3475</v>
      </c>
      <c r="T174" s="588" t="s">
        <v>5914</v>
      </c>
      <c r="U174" s="588" t="s">
        <v>3475</v>
      </c>
    </row>
    <row r="175" spans="1:21" hidden="1" x14ac:dyDescent="0.35">
      <c r="A175" s="398" t="s">
        <v>3880</v>
      </c>
      <c r="B175" s="1" t="s">
        <v>3881</v>
      </c>
      <c r="C175" s="3">
        <v>42251</v>
      </c>
      <c r="D175" s="3">
        <v>42251</v>
      </c>
      <c r="E175" s="3" t="s">
        <v>1509</v>
      </c>
      <c r="F175" s="402" t="s">
        <v>3882</v>
      </c>
      <c r="G175" s="402" t="s">
        <v>1486</v>
      </c>
      <c r="H175" s="1" t="s">
        <v>3656</v>
      </c>
      <c r="I175" s="403">
        <v>23020.482500000002</v>
      </c>
      <c r="J175" s="403">
        <v>5932.1343750000005</v>
      </c>
      <c r="K175" s="351">
        <f>+J175*0.5556</f>
        <v>3295.8938587500002</v>
      </c>
      <c r="L175" s="345">
        <f>+K175*Q175</f>
        <v>659.17877175000012</v>
      </c>
      <c r="M175" s="345" t="s">
        <v>6169</v>
      </c>
      <c r="N175" s="1" t="s">
        <v>3785</v>
      </c>
      <c r="O175" s="1" t="s">
        <v>3883</v>
      </c>
      <c r="P175" s="396" t="s">
        <v>3659</v>
      </c>
      <c r="Q175" s="397">
        <v>0.2</v>
      </c>
      <c r="R175" s="191">
        <v>1900002349</v>
      </c>
      <c r="S175" s="527" t="s">
        <v>837</v>
      </c>
      <c r="T175" s="527" t="s">
        <v>5915</v>
      </c>
    </row>
    <row r="176" spans="1:21" hidden="1" x14ac:dyDescent="0.35">
      <c r="A176" s="398" t="s">
        <v>3884</v>
      </c>
      <c r="B176" s="1" t="s">
        <v>3881</v>
      </c>
      <c r="C176" s="3">
        <v>42251</v>
      </c>
      <c r="D176" s="3">
        <v>42251</v>
      </c>
      <c r="E176" s="3" t="s">
        <v>1605</v>
      </c>
      <c r="F176" s="402" t="s">
        <v>3882</v>
      </c>
      <c r="G176" s="402" t="s">
        <v>1486</v>
      </c>
      <c r="H176" s="1" t="s">
        <v>3656</v>
      </c>
      <c r="I176" s="403">
        <v>23020.482500000002</v>
      </c>
      <c r="J176" s="403">
        <v>5932.1343750000005</v>
      </c>
      <c r="K176" s="351">
        <f>+J176*0.5556</f>
        <v>3295.8938587500002</v>
      </c>
      <c r="L176" s="345">
        <f>+K176*Q176</f>
        <v>659.17877175000012</v>
      </c>
      <c r="M176" s="345" t="s">
        <v>6169</v>
      </c>
      <c r="N176" s="1" t="s">
        <v>3785</v>
      </c>
      <c r="O176" s="1" t="s">
        <v>3883</v>
      </c>
      <c r="P176" s="396" t="s">
        <v>3659</v>
      </c>
      <c r="Q176" s="397">
        <v>0.2</v>
      </c>
      <c r="R176" s="191">
        <v>1900002349</v>
      </c>
      <c r="S176" s="2" t="s">
        <v>1319</v>
      </c>
      <c r="T176" s="2" t="s">
        <v>5915</v>
      </c>
    </row>
    <row r="177" spans="1:21" s="594" customFormat="1" hidden="1" x14ac:dyDescent="0.35">
      <c r="A177" s="595" t="s">
        <v>3885</v>
      </c>
      <c r="B177" s="596" t="s">
        <v>19</v>
      </c>
      <c r="C177" s="583">
        <v>42251</v>
      </c>
      <c r="D177" s="3">
        <v>42251</v>
      </c>
      <c r="E177" s="583" t="s">
        <v>20</v>
      </c>
      <c r="F177" s="402" t="s">
        <v>3886</v>
      </c>
      <c r="G177" s="597" t="s">
        <v>3655</v>
      </c>
      <c r="H177" s="1" t="s">
        <v>3656</v>
      </c>
      <c r="I177" s="403">
        <v>7072.7479999999996</v>
      </c>
      <c r="J177" s="403">
        <v>1822.57305</v>
      </c>
      <c r="K177" s="351">
        <f>+J177*0.5556</f>
        <v>1012.62158658</v>
      </c>
      <c r="L177" s="345">
        <f>+K177*Q177</f>
        <v>202.52431731600001</v>
      </c>
      <c r="M177" s="345" t="s">
        <v>6169</v>
      </c>
      <c r="N177" s="1" t="s">
        <v>3785</v>
      </c>
      <c r="O177" s="1" t="s">
        <v>3883</v>
      </c>
      <c r="P177" s="396" t="s">
        <v>3659</v>
      </c>
      <c r="Q177" s="397">
        <v>0.2</v>
      </c>
      <c r="R177" s="191">
        <v>1900002349</v>
      </c>
      <c r="S177" s="588" t="s">
        <v>3475</v>
      </c>
      <c r="T177" s="588" t="s">
        <v>5915</v>
      </c>
    </row>
    <row r="178" spans="1:21" s="594" customFormat="1" hidden="1" x14ac:dyDescent="0.35">
      <c r="A178" s="595" t="s">
        <v>3887</v>
      </c>
      <c r="B178" s="596" t="s">
        <v>19</v>
      </c>
      <c r="C178" s="583">
        <v>42251</v>
      </c>
      <c r="D178" s="3">
        <v>42251</v>
      </c>
      <c r="E178" s="583" t="s">
        <v>21</v>
      </c>
      <c r="F178" s="402" t="s">
        <v>3886</v>
      </c>
      <c r="G178" s="597" t="s">
        <v>3655</v>
      </c>
      <c r="H178" s="1" t="s">
        <v>3656</v>
      </c>
      <c r="I178" s="403">
        <v>7072.7479999999996</v>
      </c>
      <c r="J178" s="403">
        <v>1822.57305</v>
      </c>
      <c r="K178" s="351">
        <f>+J178*0.5556</f>
        <v>1012.62158658</v>
      </c>
      <c r="L178" s="345">
        <f>+K178*Q178</f>
        <v>202.52431731600001</v>
      </c>
      <c r="M178" s="345" t="s">
        <v>6169</v>
      </c>
      <c r="N178" s="1" t="s">
        <v>3785</v>
      </c>
      <c r="O178" s="1" t="s">
        <v>3883</v>
      </c>
      <c r="P178" s="396" t="s">
        <v>3659</v>
      </c>
      <c r="Q178" s="397">
        <v>0.2</v>
      </c>
      <c r="R178" s="191">
        <v>1900002349</v>
      </c>
      <c r="S178" s="798" t="s">
        <v>3475</v>
      </c>
      <c r="T178" s="798" t="s">
        <v>5915</v>
      </c>
    </row>
    <row r="179" spans="1:21" s="594" customFormat="1" hidden="1" x14ac:dyDescent="0.35">
      <c r="A179" s="595" t="s">
        <v>3888</v>
      </c>
      <c r="B179" s="596" t="s">
        <v>3889</v>
      </c>
      <c r="C179" s="583">
        <v>42251</v>
      </c>
      <c r="D179" s="3">
        <v>42251</v>
      </c>
      <c r="F179" s="402" t="s">
        <v>3886</v>
      </c>
      <c r="G179" s="597" t="s">
        <v>3655</v>
      </c>
      <c r="H179" s="1" t="s">
        <v>3656</v>
      </c>
      <c r="I179" s="403">
        <v>7072.7479999999996</v>
      </c>
      <c r="J179" s="403">
        <v>1822.57305</v>
      </c>
      <c r="K179" s="351">
        <f>+J179*0.5556</f>
        <v>1012.62158658</v>
      </c>
      <c r="L179" s="345">
        <f>+K179*Q179</f>
        <v>202.52431731600001</v>
      </c>
      <c r="M179" s="345" t="s">
        <v>6169</v>
      </c>
      <c r="N179" s="1" t="s">
        <v>3785</v>
      </c>
      <c r="O179" s="1" t="s">
        <v>3883</v>
      </c>
      <c r="P179" s="396" t="s">
        <v>3659</v>
      </c>
      <c r="Q179" s="397">
        <v>0.2</v>
      </c>
      <c r="R179" s="191">
        <v>1900002349</v>
      </c>
      <c r="S179" s="588" t="s">
        <v>3475</v>
      </c>
      <c r="T179" s="588" t="s">
        <v>5914</v>
      </c>
      <c r="U179" s="588" t="s">
        <v>3475</v>
      </c>
    </row>
    <row r="180" spans="1:21" s="594" customFormat="1" hidden="1" x14ac:dyDescent="0.35">
      <c r="A180" s="595" t="s">
        <v>3890</v>
      </c>
      <c r="B180" s="596" t="s">
        <v>3889</v>
      </c>
      <c r="C180" s="583">
        <v>42251</v>
      </c>
      <c r="D180" s="3">
        <v>42251</v>
      </c>
      <c r="F180" s="402" t="s">
        <v>3886</v>
      </c>
      <c r="G180" s="597" t="s">
        <v>3655</v>
      </c>
      <c r="H180" s="1" t="s">
        <v>3656</v>
      </c>
      <c r="I180" s="403">
        <v>7072.7479999999996</v>
      </c>
      <c r="J180" s="403">
        <v>1822.57305</v>
      </c>
      <c r="K180" s="351">
        <f>+J180*0.5556</f>
        <v>1012.62158658</v>
      </c>
      <c r="L180" s="345">
        <f>+K180*Q180</f>
        <v>202.52431731600001</v>
      </c>
      <c r="M180" s="345" t="s">
        <v>6169</v>
      </c>
      <c r="N180" s="1" t="s">
        <v>3785</v>
      </c>
      <c r="O180" s="1" t="s">
        <v>3883</v>
      </c>
      <c r="P180" s="396" t="s">
        <v>3659</v>
      </c>
      <c r="Q180" s="397">
        <v>0.2</v>
      </c>
      <c r="R180" s="191">
        <v>1900002349</v>
      </c>
      <c r="S180" s="588" t="s">
        <v>3475</v>
      </c>
      <c r="T180" s="588" t="s">
        <v>5914</v>
      </c>
      <c r="U180" s="588" t="s">
        <v>3475</v>
      </c>
    </row>
    <row r="181" spans="1:21" hidden="1" x14ac:dyDescent="0.35">
      <c r="A181" s="398" t="s">
        <v>3891</v>
      </c>
      <c r="B181" s="539" t="s">
        <v>3892</v>
      </c>
      <c r="C181" s="3">
        <v>42251</v>
      </c>
      <c r="D181" s="3">
        <v>42251</v>
      </c>
      <c r="E181" s="3"/>
      <c r="F181" s="402" t="s">
        <v>3886</v>
      </c>
      <c r="G181" s="402" t="s">
        <v>1486</v>
      </c>
      <c r="H181" s="1" t="s">
        <v>3656</v>
      </c>
      <c r="I181" s="403">
        <v>4236.4390000000003</v>
      </c>
      <c r="J181" s="403">
        <v>1091.6854500000002</v>
      </c>
      <c r="K181" s="351">
        <f>+J181*0.5556</f>
        <v>606.54043602000013</v>
      </c>
      <c r="L181" s="345">
        <f>+K181*Q181</f>
        <v>121.30808720400003</v>
      </c>
      <c r="M181" s="345" t="s">
        <v>6169</v>
      </c>
      <c r="N181" s="1" t="s">
        <v>3785</v>
      </c>
      <c r="O181" s="1" t="s">
        <v>3883</v>
      </c>
      <c r="P181" s="396" t="s">
        <v>3659</v>
      </c>
      <c r="Q181" s="397">
        <v>0.2</v>
      </c>
      <c r="R181" s="191">
        <v>1900002349</v>
      </c>
      <c r="S181" s="2" t="s">
        <v>3475</v>
      </c>
      <c r="T181" s="2" t="s">
        <v>5914</v>
      </c>
      <c r="U181" s="2" t="s">
        <v>3475</v>
      </c>
    </row>
    <row r="182" spans="1:21" hidden="1" x14ac:dyDescent="0.35">
      <c r="A182" s="398" t="s">
        <v>3893</v>
      </c>
      <c r="B182" s="539" t="s">
        <v>3892</v>
      </c>
      <c r="C182" s="3">
        <v>42251</v>
      </c>
      <c r="D182" s="3">
        <v>42251</v>
      </c>
      <c r="E182" s="3"/>
      <c r="F182" s="402" t="s">
        <v>3886</v>
      </c>
      <c r="G182" s="402" t="s">
        <v>1486</v>
      </c>
      <c r="H182" s="1" t="s">
        <v>3656</v>
      </c>
      <c r="I182" s="403">
        <v>4236.4390000000003</v>
      </c>
      <c r="J182" s="403">
        <v>1091.6854500000002</v>
      </c>
      <c r="K182" s="351">
        <f>+J182*0.5556</f>
        <v>606.54043602000013</v>
      </c>
      <c r="L182" s="345">
        <f>+K182*Q182</f>
        <v>121.30808720400003</v>
      </c>
      <c r="M182" s="345" t="s">
        <v>6169</v>
      </c>
      <c r="N182" s="1" t="s">
        <v>3785</v>
      </c>
      <c r="O182" s="1" t="s">
        <v>3883</v>
      </c>
      <c r="P182" s="396" t="s">
        <v>3659</v>
      </c>
      <c r="Q182" s="397">
        <v>0.2</v>
      </c>
      <c r="R182" s="191">
        <v>1900002349</v>
      </c>
      <c r="S182" s="2" t="s">
        <v>3475</v>
      </c>
      <c r="T182" s="2" t="s">
        <v>5914</v>
      </c>
      <c r="U182" s="2" t="s">
        <v>3475</v>
      </c>
    </row>
    <row r="183" spans="1:21" hidden="1" x14ac:dyDescent="0.35">
      <c r="A183" s="398" t="s">
        <v>3894</v>
      </c>
      <c r="B183" s="539" t="s">
        <v>3892</v>
      </c>
      <c r="C183" s="3">
        <v>42251</v>
      </c>
      <c r="D183" s="3">
        <v>42251</v>
      </c>
      <c r="E183" s="3"/>
      <c r="F183" s="402" t="s">
        <v>3886</v>
      </c>
      <c r="G183" s="402" t="s">
        <v>1486</v>
      </c>
      <c r="H183" s="1" t="s">
        <v>3656</v>
      </c>
      <c r="I183" s="403">
        <v>4236.4390000000003</v>
      </c>
      <c r="J183" s="403">
        <v>1091.6854500000002</v>
      </c>
      <c r="K183" s="351">
        <f>+J183*0.5556</f>
        <v>606.54043602000013</v>
      </c>
      <c r="L183" s="345">
        <f>+K183*Q183</f>
        <v>121.30808720400003</v>
      </c>
      <c r="M183" s="345" t="s">
        <v>6169</v>
      </c>
      <c r="N183" s="1" t="s">
        <v>3785</v>
      </c>
      <c r="O183" s="1" t="s">
        <v>3883</v>
      </c>
      <c r="P183" s="396" t="s">
        <v>3659</v>
      </c>
      <c r="Q183" s="397">
        <v>0.2</v>
      </c>
      <c r="R183" s="191">
        <v>1900002349</v>
      </c>
      <c r="S183" s="2" t="s">
        <v>3475</v>
      </c>
      <c r="T183" s="2" t="s">
        <v>5914</v>
      </c>
      <c r="U183" s="2" t="s">
        <v>3475</v>
      </c>
    </row>
    <row r="184" spans="1:21" hidden="1" x14ac:dyDescent="0.35">
      <c r="A184" s="398" t="s">
        <v>3895</v>
      </c>
      <c r="B184" s="539" t="s">
        <v>3892</v>
      </c>
      <c r="C184" s="3">
        <v>42251</v>
      </c>
      <c r="D184" s="3">
        <v>42251</v>
      </c>
      <c r="E184" s="3"/>
      <c r="F184" s="402" t="s">
        <v>3886</v>
      </c>
      <c r="G184" s="402" t="s">
        <v>1486</v>
      </c>
      <c r="H184" s="1" t="s">
        <v>3656</v>
      </c>
      <c r="I184" s="403">
        <v>4236.4390000000003</v>
      </c>
      <c r="J184" s="403">
        <v>1091.6854500000002</v>
      </c>
      <c r="K184" s="351">
        <f>+J184*0.5556</f>
        <v>606.54043602000013</v>
      </c>
      <c r="L184" s="345">
        <f>+K184*Q184</f>
        <v>121.30808720400003</v>
      </c>
      <c r="M184" s="345" t="s">
        <v>6169</v>
      </c>
      <c r="N184" s="1" t="s">
        <v>3785</v>
      </c>
      <c r="O184" s="1" t="s">
        <v>3883</v>
      </c>
      <c r="P184" s="396" t="s">
        <v>3659</v>
      </c>
      <c r="Q184" s="397">
        <v>0.2</v>
      </c>
      <c r="R184" s="191">
        <v>1900002349</v>
      </c>
      <c r="S184" s="2" t="s">
        <v>3475</v>
      </c>
      <c r="T184" s="2" t="s">
        <v>5914</v>
      </c>
      <c r="U184" s="2" t="s">
        <v>3475</v>
      </c>
    </row>
    <row r="185" spans="1:21" hidden="1" x14ac:dyDescent="0.35">
      <c r="A185" s="398" t="s">
        <v>3896</v>
      </c>
      <c r="B185" s="539" t="s">
        <v>3892</v>
      </c>
      <c r="C185" s="3">
        <v>42251</v>
      </c>
      <c r="D185" s="3">
        <v>42251</v>
      </c>
      <c r="E185" s="3"/>
      <c r="F185" s="402" t="s">
        <v>3886</v>
      </c>
      <c r="G185" s="402" t="s">
        <v>1486</v>
      </c>
      <c r="H185" s="1" t="s">
        <v>3656</v>
      </c>
      <c r="I185" s="403">
        <v>4236.4390000000003</v>
      </c>
      <c r="J185" s="403">
        <v>1091.6854500000002</v>
      </c>
      <c r="K185" s="351">
        <f>+J185*0.5556</f>
        <v>606.54043602000013</v>
      </c>
      <c r="L185" s="345">
        <f>+K185*Q185</f>
        <v>121.30808720400003</v>
      </c>
      <c r="M185" s="345" t="s">
        <v>6169</v>
      </c>
      <c r="N185" s="1" t="s">
        <v>3785</v>
      </c>
      <c r="O185" s="1" t="s">
        <v>3883</v>
      </c>
      <c r="P185" s="396" t="s">
        <v>3659</v>
      </c>
      <c r="Q185" s="397">
        <v>0.2</v>
      </c>
      <c r="R185" s="191">
        <v>1900002349</v>
      </c>
      <c r="S185" s="2" t="s">
        <v>3475</v>
      </c>
      <c r="T185" s="2" t="s">
        <v>5914</v>
      </c>
      <c r="U185" s="2" t="s">
        <v>3475</v>
      </c>
    </row>
    <row r="186" spans="1:21" hidden="1" x14ac:dyDescent="0.35">
      <c r="A186" s="398" t="s">
        <v>3897</v>
      </c>
      <c r="B186" s="539" t="s">
        <v>3892</v>
      </c>
      <c r="C186" s="3">
        <v>42251</v>
      </c>
      <c r="D186" s="3">
        <v>42251</v>
      </c>
      <c r="E186" s="3"/>
      <c r="F186" s="402" t="s">
        <v>3886</v>
      </c>
      <c r="G186" s="402" t="s">
        <v>1486</v>
      </c>
      <c r="H186" s="1" t="s">
        <v>3656</v>
      </c>
      <c r="I186" s="403">
        <v>4236.4390000000003</v>
      </c>
      <c r="J186" s="403">
        <v>1091.6854500000002</v>
      </c>
      <c r="K186" s="351">
        <f>+J186*0.5556</f>
        <v>606.54043602000013</v>
      </c>
      <c r="L186" s="345">
        <f>+K186*Q186</f>
        <v>121.30808720400003</v>
      </c>
      <c r="M186" s="345" t="s">
        <v>6169</v>
      </c>
      <c r="N186" s="1" t="s">
        <v>3785</v>
      </c>
      <c r="O186" s="1" t="s">
        <v>3883</v>
      </c>
      <c r="P186" s="396" t="s">
        <v>3659</v>
      </c>
      <c r="Q186" s="397">
        <v>0.2</v>
      </c>
      <c r="R186" s="191">
        <v>1900002349</v>
      </c>
      <c r="S186" s="2" t="s">
        <v>3475</v>
      </c>
      <c r="T186" s="2" t="s">
        <v>5914</v>
      </c>
      <c r="U186" s="2" t="s">
        <v>3475</v>
      </c>
    </row>
    <row r="187" spans="1:21" hidden="1" x14ac:dyDescent="0.35">
      <c r="A187" s="398" t="s">
        <v>3898</v>
      </c>
      <c r="B187" s="539" t="s">
        <v>3892</v>
      </c>
      <c r="C187" s="3">
        <v>42251</v>
      </c>
      <c r="D187" s="3">
        <v>42251</v>
      </c>
      <c r="E187" s="3"/>
      <c r="F187" s="402" t="s">
        <v>3886</v>
      </c>
      <c r="G187" s="402" t="s">
        <v>1486</v>
      </c>
      <c r="H187" s="1" t="s">
        <v>3656</v>
      </c>
      <c r="I187" s="403">
        <v>4236.4390000000003</v>
      </c>
      <c r="J187" s="403">
        <v>1091.6854500000002</v>
      </c>
      <c r="K187" s="351">
        <f>+J187*0.5556</f>
        <v>606.54043602000013</v>
      </c>
      <c r="L187" s="345">
        <f>+K187*Q187</f>
        <v>121.30808720400003</v>
      </c>
      <c r="M187" s="345" t="s">
        <v>6169</v>
      </c>
      <c r="N187" s="1" t="s">
        <v>3785</v>
      </c>
      <c r="O187" s="1" t="s">
        <v>3883</v>
      </c>
      <c r="P187" s="396" t="s">
        <v>3659</v>
      </c>
      <c r="Q187" s="397">
        <v>0.2</v>
      </c>
      <c r="R187" s="191">
        <v>1900002349</v>
      </c>
      <c r="S187" s="2" t="s">
        <v>3475</v>
      </c>
      <c r="T187" s="2" t="s">
        <v>5914</v>
      </c>
      <c r="U187" s="2" t="s">
        <v>3475</v>
      </c>
    </row>
    <row r="188" spans="1:21" hidden="1" x14ac:dyDescent="0.35">
      <c r="A188" s="398" t="s">
        <v>3899</v>
      </c>
      <c r="B188" s="539" t="s">
        <v>3892</v>
      </c>
      <c r="C188" s="3">
        <v>42251</v>
      </c>
      <c r="D188" s="3">
        <v>42251</v>
      </c>
      <c r="E188" s="3"/>
      <c r="F188" s="402" t="s">
        <v>3886</v>
      </c>
      <c r="G188" s="402" t="s">
        <v>1486</v>
      </c>
      <c r="H188" s="1" t="s">
        <v>3656</v>
      </c>
      <c r="I188" s="403">
        <v>4236.4390000000003</v>
      </c>
      <c r="J188" s="403">
        <v>1091.6854500000002</v>
      </c>
      <c r="K188" s="351">
        <f>+J188*0.5556</f>
        <v>606.54043602000013</v>
      </c>
      <c r="L188" s="345">
        <f>+K188*Q188</f>
        <v>121.30808720400003</v>
      </c>
      <c r="M188" s="345" t="s">
        <v>6169</v>
      </c>
      <c r="N188" s="1" t="s">
        <v>3785</v>
      </c>
      <c r="O188" s="1" t="s">
        <v>3883</v>
      </c>
      <c r="P188" s="396" t="s">
        <v>3659</v>
      </c>
      <c r="Q188" s="397">
        <v>0.2</v>
      </c>
      <c r="R188" s="191">
        <v>1900002349</v>
      </c>
      <c r="S188" s="2" t="s">
        <v>3475</v>
      </c>
      <c r="T188" s="2" t="s">
        <v>5914</v>
      </c>
      <c r="U188" s="2" t="s">
        <v>3475</v>
      </c>
    </row>
    <row r="189" spans="1:21" hidden="1" x14ac:dyDescent="0.35">
      <c r="A189" s="398" t="s">
        <v>3900</v>
      </c>
      <c r="B189" s="539" t="s">
        <v>3892</v>
      </c>
      <c r="C189" s="3">
        <v>42251</v>
      </c>
      <c r="D189" s="3">
        <v>42251</v>
      </c>
      <c r="E189" s="3"/>
      <c r="F189" s="402" t="s">
        <v>3886</v>
      </c>
      <c r="G189" s="402" t="s">
        <v>1486</v>
      </c>
      <c r="H189" s="1" t="s">
        <v>3656</v>
      </c>
      <c r="I189" s="403">
        <v>4236.4390000000003</v>
      </c>
      <c r="J189" s="403">
        <v>1091.6854500000002</v>
      </c>
      <c r="K189" s="351">
        <f>+J189*0.5556</f>
        <v>606.54043602000013</v>
      </c>
      <c r="L189" s="345">
        <f>+K189*Q189</f>
        <v>121.30808720400003</v>
      </c>
      <c r="M189" s="345" t="s">
        <v>6169</v>
      </c>
      <c r="N189" s="1" t="s">
        <v>3785</v>
      </c>
      <c r="O189" s="1" t="s">
        <v>3883</v>
      </c>
      <c r="P189" s="396" t="s">
        <v>3659</v>
      </c>
      <c r="Q189" s="397">
        <v>0.2</v>
      </c>
      <c r="R189" s="191">
        <v>1900002349</v>
      </c>
      <c r="S189" s="2" t="s">
        <v>3475</v>
      </c>
      <c r="T189" s="2" t="s">
        <v>5914</v>
      </c>
      <c r="U189" s="2" t="s">
        <v>3475</v>
      </c>
    </row>
    <row r="190" spans="1:21" hidden="1" x14ac:dyDescent="0.35">
      <c r="A190" s="398" t="s">
        <v>3901</v>
      </c>
      <c r="B190" s="539" t="s">
        <v>3892</v>
      </c>
      <c r="C190" s="3">
        <v>42251</v>
      </c>
      <c r="D190" s="3">
        <v>42251</v>
      </c>
      <c r="E190" s="3"/>
      <c r="F190" s="402" t="s">
        <v>3886</v>
      </c>
      <c r="G190" s="402" t="s">
        <v>1486</v>
      </c>
      <c r="H190" s="1" t="s">
        <v>3656</v>
      </c>
      <c r="I190" s="403">
        <v>4236.4390000000003</v>
      </c>
      <c r="J190" s="403">
        <v>1091.6854500000002</v>
      </c>
      <c r="K190" s="351">
        <f>+J190*0.5556</f>
        <v>606.54043602000013</v>
      </c>
      <c r="L190" s="345">
        <f>+K190*Q190</f>
        <v>121.30808720400003</v>
      </c>
      <c r="M190" s="345" t="s">
        <v>6169</v>
      </c>
      <c r="N190" s="1" t="s">
        <v>3785</v>
      </c>
      <c r="O190" s="1" t="s">
        <v>3883</v>
      </c>
      <c r="P190" s="396" t="s">
        <v>3659</v>
      </c>
      <c r="Q190" s="397">
        <v>0.2</v>
      </c>
      <c r="R190" s="191">
        <v>1900002349</v>
      </c>
      <c r="S190" s="2" t="s">
        <v>3475</v>
      </c>
      <c r="T190" s="2" t="s">
        <v>5914</v>
      </c>
      <c r="U190" s="2" t="s">
        <v>3475</v>
      </c>
    </row>
    <row r="191" spans="1:21" s="594" customFormat="1" hidden="1" x14ac:dyDescent="0.35">
      <c r="A191" s="595" t="s">
        <v>3902</v>
      </c>
      <c r="B191" s="596" t="s">
        <v>3903</v>
      </c>
      <c r="C191" s="583">
        <v>42257</v>
      </c>
      <c r="D191" s="3">
        <v>42257</v>
      </c>
      <c r="F191" s="402" t="s">
        <v>3904</v>
      </c>
      <c r="G191" s="597" t="s">
        <v>3655</v>
      </c>
      <c r="H191" s="1" t="s">
        <v>3656</v>
      </c>
      <c r="I191" s="403">
        <v>8624.6880000000001</v>
      </c>
      <c r="J191" s="403">
        <v>2222.4913500000002</v>
      </c>
      <c r="K191" s="351">
        <f>+J191*0.5556</f>
        <v>1234.81619406</v>
      </c>
      <c r="L191" s="345">
        <f>+K191*Q191</f>
        <v>246.96323881200001</v>
      </c>
      <c r="M191" s="345" t="s">
        <v>6169</v>
      </c>
      <c r="N191" s="1" t="s">
        <v>3785</v>
      </c>
      <c r="O191" s="1" t="s">
        <v>3786</v>
      </c>
      <c r="P191" s="396" t="s">
        <v>3659</v>
      </c>
      <c r="Q191" s="397">
        <v>0.2</v>
      </c>
      <c r="R191" s="191">
        <v>1900002437</v>
      </c>
      <c r="S191" s="588" t="s">
        <v>3475</v>
      </c>
      <c r="T191" s="588" t="s">
        <v>5914</v>
      </c>
      <c r="U191" s="588" t="s">
        <v>3475</v>
      </c>
    </row>
    <row r="192" spans="1:21" s="594" customFormat="1" hidden="1" x14ac:dyDescent="0.35">
      <c r="A192" s="595" t="s">
        <v>3905</v>
      </c>
      <c r="B192" s="596" t="s">
        <v>3903</v>
      </c>
      <c r="C192" s="583">
        <v>42257</v>
      </c>
      <c r="D192" s="3">
        <v>42257</v>
      </c>
      <c r="F192" s="402" t="s">
        <v>3904</v>
      </c>
      <c r="G192" s="597" t="s">
        <v>3655</v>
      </c>
      <c r="H192" s="1" t="s">
        <v>3656</v>
      </c>
      <c r="I192" s="403">
        <v>8624.6880000000001</v>
      </c>
      <c r="J192" s="403">
        <v>2222.4913500000002</v>
      </c>
      <c r="K192" s="351">
        <f>+J192*0.5556</f>
        <v>1234.81619406</v>
      </c>
      <c r="L192" s="345">
        <f>+K192*Q192</f>
        <v>246.96323881200001</v>
      </c>
      <c r="M192" s="345" t="s">
        <v>6169</v>
      </c>
      <c r="N192" s="1" t="s">
        <v>3785</v>
      </c>
      <c r="O192" s="1" t="s">
        <v>3786</v>
      </c>
      <c r="P192" s="396" t="s">
        <v>3659</v>
      </c>
      <c r="Q192" s="397">
        <v>0.2</v>
      </c>
      <c r="R192" s="191">
        <v>1900002437</v>
      </c>
      <c r="S192" s="588" t="s">
        <v>3475</v>
      </c>
      <c r="T192" s="588" t="s">
        <v>5914</v>
      </c>
      <c r="U192" s="588" t="s">
        <v>3475</v>
      </c>
    </row>
    <row r="193" spans="1:21" s="594" customFormat="1" hidden="1" x14ac:dyDescent="0.35">
      <c r="A193" s="595" t="s">
        <v>3906</v>
      </c>
      <c r="B193" s="596" t="s">
        <v>3903</v>
      </c>
      <c r="C193" s="583">
        <v>42257</v>
      </c>
      <c r="D193" s="3">
        <v>42257</v>
      </c>
      <c r="E193" s="583"/>
      <c r="F193" s="402" t="s">
        <v>3904</v>
      </c>
      <c r="G193" s="597" t="s">
        <v>3655</v>
      </c>
      <c r="H193" s="1" t="s">
        <v>3656</v>
      </c>
      <c r="I193" s="403">
        <v>8624.6880000000001</v>
      </c>
      <c r="J193" s="403">
        <v>2222.4913500000002</v>
      </c>
      <c r="K193" s="351">
        <f>+J193*0.5556</f>
        <v>1234.81619406</v>
      </c>
      <c r="L193" s="345">
        <f>+K193*Q193</f>
        <v>246.96323881200001</v>
      </c>
      <c r="M193" s="345" t="s">
        <v>6169</v>
      </c>
      <c r="N193" s="1" t="s">
        <v>3785</v>
      </c>
      <c r="O193" s="1" t="s">
        <v>3786</v>
      </c>
      <c r="P193" s="396" t="s">
        <v>3659</v>
      </c>
      <c r="Q193" s="397">
        <v>0.2</v>
      </c>
      <c r="R193" s="191">
        <v>1900002437</v>
      </c>
      <c r="S193" s="588" t="s">
        <v>3475</v>
      </c>
      <c r="T193" s="588" t="s">
        <v>5914</v>
      </c>
      <c r="U193" s="588" t="s">
        <v>3475</v>
      </c>
    </row>
    <row r="194" spans="1:21" s="594" customFormat="1" hidden="1" x14ac:dyDescent="0.35">
      <c r="A194" s="595" t="s">
        <v>3907</v>
      </c>
      <c r="B194" s="596" t="s">
        <v>3903</v>
      </c>
      <c r="C194" s="583">
        <v>42257</v>
      </c>
      <c r="D194" s="3">
        <v>42257</v>
      </c>
      <c r="E194" s="583"/>
      <c r="F194" s="402" t="s">
        <v>3904</v>
      </c>
      <c r="G194" s="597" t="s">
        <v>3655</v>
      </c>
      <c r="H194" s="1" t="s">
        <v>3656</v>
      </c>
      <c r="I194" s="403">
        <v>8624.6880000000001</v>
      </c>
      <c r="J194" s="403">
        <v>2222.4913500000002</v>
      </c>
      <c r="K194" s="351">
        <f>+J194*0.5556</f>
        <v>1234.81619406</v>
      </c>
      <c r="L194" s="345">
        <f>+K194*Q194</f>
        <v>246.96323881200001</v>
      </c>
      <c r="M194" s="345" t="s">
        <v>6169</v>
      </c>
      <c r="N194" s="1" t="s">
        <v>3785</v>
      </c>
      <c r="O194" s="1" t="s">
        <v>3786</v>
      </c>
      <c r="P194" s="396" t="s">
        <v>3659</v>
      </c>
      <c r="Q194" s="397">
        <v>0.2</v>
      </c>
      <c r="R194" s="191">
        <v>1900002437</v>
      </c>
      <c r="S194" s="588" t="s">
        <v>3475</v>
      </c>
      <c r="T194" s="588" t="s">
        <v>5914</v>
      </c>
      <c r="U194" s="588" t="s">
        <v>3475</v>
      </c>
    </row>
    <row r="195" spans="1:21" s="594" customFormat="1" hidden="1" x14ac:dyDescent="0.35">
      <c r="A195" s="595" t="s">
        <v>3908</v>
      </c>
      <c r="B195" s="596" t="s">
        <v>3903</v>
      </c>
      <c r="C195" s="583">
        <v>42257</v>
      </c>
      <c r="D195" s="3">
        <v>42257</v>
      </c>
      <c r="E195" s="583"/>
      <c r="F195" s="402" t="s">
        <v>3904</v>
      </c>
      <c r="G195" s="597" t="s">
        <v>3655</v>
      </c>
      <c r="H195" s="1" t="s">
        <v>3656</v>
      </c>
      <c r="I195" s="403">
        <v>8624.6880000000001</v>
      </c>
      <c r="J195" s="403">
        <v>2222.4913500000002</v>
      </c>
      <c r="K195" s="351">
        <f>+J195*0.5556</f>
        <v>1234.81619406</v>
      </c>
      <c r="L195" s="345">
        <f>+K195*Q195</f>
        <v>246.96323881200001</v>
      </c>
      <c r="M195" s="345" t="s">
        <v>6169</v>
      </c>
      <c r="N195" s="1" t="s">
        <v>3785</v>
      </c>
      <c r="O195" s="1" t="s">
        <v>3786</v>
      </c>
      <c r="P195" s="396" t="s">
        <v>3659</v>
      </c>
      <c r="Q195" s="397">
        <v>0.2</v>
      </c>
      <c r="R195" s="191">
        <v>1900002437</v>
      </c>
      <c r="S195" s="588" t="s">
        <v>3475</v>
      </c>
      <c r="T195" s="588" t="s">
        <v>5914</v>
      </c>
      <c r="U195" s="588" t="s">
        <v>3475</v>
      </c>
    </row>
    <row r="196" spans="1:21" s="594" customFormat="1" hidden="1" x14ac:dyDescent="0.35">
      <c r="A196" s="595" t="s">
        <v>3909</v>
      </c>
      <c r="B196" s="596" t="s">
        <v>3903</v>
      </c>
      <c r="C196" s="583">
        <v>42257</v>
      </c>
      <c r="D196" s="3">
        <v>42257</v>
      </c>
      <c r="E196" s="583"/>
      <c r="F196" s="402" t="s">
        <v>3904</v>
      </c>
      <c r="G196" s="597" t="s">
        <v>3655</v>
      </c>
      <c r="H196" s="1" t="s">
        <v>3656</v>
      </c>
      <c r="I196" s="403">
        <v>8624.6880000000001</v>
      </c>
      <c r="J196" s="403">
        <v>2222.4913500000002</v>
      </c>
      <c r="K196" s="351">
        <f>+J196*0.5556</f>
        <v>1234.81619406</v>
      </c>
      <c r="L196" s="345">
        <f>+K196*Q196</f>
        <v>246.96323881200001</v>
      </c>
      <c r="M196" s="345" t="s">
        <v>6169</v>
      </c>
      <c r="N196" s="1" t="s">
        <v>3785</v>
      </c>
      <c r="O196" s="1" t="s">
        <v>3786</v>
      </c>
      <c r="P196" s="396" t="s">
        <v>3659</v>
      </c>
      <c r="Q196" s="397">
        <v>0.2</v>
      </c>
      <c r="R196" s="191">
        <v>1900002437</v>
      </c>
      <c r="S196" s="588" t="s">
        <v>3475</v>
      </c>
      <c r="T196" s="588" t="s">
        <v>5914</v>
      </c>
      <c r="U196" s="588" t="s">
        <v>3475</v>
      </c>
    </row>
    <row r="197" spans="1:21" s="594" customFormat="1" hidden="1" x14ac:dyDescent="0.35">
      <c r="A197" s="595" t="s">
        <v>3910</v>
      </c>
      <c r="B197" s="596" t="s">
        <v>3903</v>
      </c>
      <c r="C197" s="583">
        <v>42257</v>
      </c>
      <c r="D197" s="3">
        <v>42257</v>
      </c>
      <c r="E197" s="583"/>
      <c r="F197" s="402" t="s">
        <v>3904</v>
      </c>
      <c r="G197" s="597" t="s">
        <v>3655</v>
      </c>
      <c r="H197" s="1" t="s">
        <v>3656</v>
      </c>
      <c r="I197" s="403">
        <v>8624.6880000000001</v>
      </c>
      <c r="J197" s="403">
        <v>2222.4913500000002</v>
      </c>
      <c r="K197" s="351">
        <f>+J197*0.5556</f>
        <v>1234.81619406</v>
      </c>
      <c r="L197" s="345">
        <f>+K197*Q197</f>
        <v>246.96323881200001</v>
      </c>
      <c r="M197" s="345" t="s">
        <v>6169</v>
      </c>
      <c r="N197" s="1" t="s">
        <v>3785</v>
      </c>
      <c r="O197" s="1" t="s">
        <v>3786</v>
      </c>
      <c r="P197" s="396" t="s">
        <v>3659</v>
      </c>
      <c r="Q197" s="397">
        <v>0.2</v>
      </c>
      <c r="R197" s="191">
        <v>1900002437</v>
      </c>
      <c r="S197" s="588" t="s">
        <v>3475</v>
      </c>
      <c r="T197" s="588" t="s">
        <v>5914</v>
      </c>
      <c r="U197" s="588" t="s">
        <v>3475</v>
      </c>
    </row>
    <row r="198" spans="1:21" s="594" customFormat="1" hidden="1" x14ac:dyDescent="0.35">
      <c r="A198" s="595" t="s">
        <v>3911</v>
      </c>
      <c r="B198" s="596" t="s">
        <v>3903</v>
      </c>
      <c r="C198" s="583">
        <v>42257</v>
      </c>
      <c r="D198" s="3">
        <v>42257</v>
      </c>
      <c r="E198" s="583"/>
      <c r="F198" s="402" t="s">
        <v>3904</v>
      </c>
      <c r="G198" s="597" t="s">
        <v>3655</v>
      </c>
      <c r="H198" s="1" t="s">
        <v>3656</v>
      </c>
      <c r="I198" s="403">
        <v>8624.6880000000001</v>
      </c>
      <c r="J198" s="403">
        <v>2222.4913500000002</v>
      </c>
      <c r="K198" s="351">
        <f>+J198*0.5556</f>
        <v>1234.81619406</v>
      </c>
      <c r="L198" s="345">
        <f>+K198*Q198</f>
        <v>246.96323881200001</v>
      </c>
      <c r="M198" s="345" t="s">
        <v>6169</v>
      </c>
      <c r="N198" s="1" t="s">
        <v>3785</v>
      </c>
      <c r="O198" s="1" t="s">
        <v>3786</v>
      </c>
      <c r="P198" s="396" t="s">
        <v>3659</v>
      </c>
      <c r="Q198" s="397">
        <v>0.2</v>
      </c>
      <c r="R198" s="191">
        <v>1900002437</v>
      </c>
      <c r="S198" s="588" t="s">
        <v>3475</v>
      </c>
      <c r="T198" s="588" t="s">
        <v>5914</v>
      </c>
      <c r="U198" s="588" t="s">
        <v>3475</v>
      </c>
    </row>
    <row r="199" spans="1:21" s="594" customFormat="1" hidden="1" x14ac:dyDescent="0.35">
      <c r="A199" s="595" t="s">
        <v>3912</v>
      </c>
      <c r="B199" s="596" t="s">
        <v>3903</v>
      </c>
      <c r="C199" s="583">
        <v>42257</v>
      </c>
      <c r="D199" s="3">
        <v>42257</v>
      </c>
      <c r="E199" s="583"/>
      <c r="F199" s="402" t="s">
        <v>3904</v>
      </c>
      <c r="G199" s="597" t="s">
        <v>3655</v>
      </c>
      <c r="H199" s="1" t="s">
        <v>3656</v>
      </c>
      <c r="I199" s="403">
        <v>8624.6880000000001</v>
      </c>
      <c r="J199" s="403">
        <v>2222.4913500000002</v>
      </c>
      <c r="K199" s="351">
        <f>+J199*0.5556</f>
        <v>1234.81619406</v>
      </c>
      <c r="L199" s="345">
        <f>+K199*Q199</f>
        <v>246.96323881200001</v>
      </c>
      <c r="M199" s="345" t="s">
        <v>6169</v>
      </c>
      <c r="N199" s="1" t="s">
        <v>3785</v>
      </c>
      <c r="O199" s="1" t="s">
        <v>3786</v>
      </c>
      <c r="P199" s="396" t="s">
        <v>3659</v>
      </c>
      <c r="Q199" s="397">
        <v>0.2</v>
      </c>
      <c r="R199" s="191">
        <v>1900002437</v>
      </c>
      <c r="S199" s="588" t="s">
        <v>3475</v>
      </c>
      <c r="T199" s="588" t="s">
        <v>5914</v>
      </c>
      <c r="U199" s="588" t="s">
        <v>3475</v>
      </c>
    </row>
    <row r="200" spans="1:21" s="594" customFormat="1" hidden="1" x14ac:dyDescent="0.35">
      <c r="A200" s="595" t="s">
        <v>3913</v>
      </c>
      <c r="B200" s="596" t="s">
        <v>3903</v>
      </c>
      <c r="C200" s="583">
        <v>42257</v>
      </c>
      <c r="D200" s="3">
        <v>42257</v>
      </c>
      <c r="E200" s="583"/>
      <c r="F200" s="402" t="s">
        <v>3904</v>
      </c>
      <c r="G200" s="597" t="s">
        <v>3655</v>
      </c>
      <c r="H200" s="1" t="s">
        <v>3656</v>
      </c>
      <c r="I200" s="403">
        <v>8624.6880000000001</v>
      </c>
      <c r="J200" s="403">
        <v>2222.4913500000002</v>
      </c>
      <c r="K200" s="351">
        <f>+J200*0.5556</f>
        <v>1234.81619406</v>
      </c>
      <c r="L200" s="345">
        <f>+K200*Q200</f>
        <v>246.96323881200001</v>
      </c>
      <c r="M200" s="345" t="s">
        <v>6169</v>
      </c>
      <c r="N200" s="1" t="s">
        <v>3785</v>
      </c>
      <c r="O200" s="1" t="s">
        <v>3786</v>
      </c>
      <c r="P200" s="396" t="s">
        <v>3659</v>
      </c>
      <c r="Q200" s="397">
        <v>0.2</v>
      </c>
      <c r="R200" s="191">
        <v>1900002437</v>
      </c>
      <c r="S200" s="588" t="s">
        <v>3475</v>
      </c>
      <c r="T200" s="588" t="s">
        <v>5914</v>
      </c>
      <c r="U200" s="588" t="s">
        <v>3475</v>
      </c>
    </row>
    <row r="201" spans="1:21" s="594" customFormat="1" hidden="1" x14ac:dyDescent="0.35">
      <c r="A201" s="595" t="s">
        <v>3914</v>
      </c>
      <c r="B201" s="596" t="s">
        <v>3903</v>
      </c>
      <c r="C201" s="583">
        <v>42257</v>
      </c>
      <c r="D201" s="3">
        <v>42257</v>
      </c>
      <c r="E201" s="583"/>
      <c r="F201" s="402" t="s">
        <v>3904</v>
      </c>
      <c r="G201" s="597" t="s">
        <v>3655</v>
      </c>
      <c r="H201" s="1" t="s">
        <v>3656</v>
      </c>
      <c r="I201" s="403">
        <v>8624.6880000000001</v>
      </c>
      <c r="J201" s="403">
        <v>2222.4913500000002</v>
      </c>
      <c r="K201" s="351">
        <f>+J201*0.5556</f>
        <v>1234.81619406</v>
      </c>
      <c r="L201" s="345">
        <f>+K201*Q201</f>
        <v>246.96323881200001</v>
      </c>
      <c r="M201" s="345" t="s">
        <v>6169</v>
      </c>
      <c r="N201" s="1" t="s">
        <v>3785</v>
      </c>
      <c r="O201" s="1" t="s">
        <v>3786</v>
      </c>
      <c r="P201" s="396" t="s">
        <v>3659</v>
      </c>
      <c r="Q201" s="397">
        <v>0.2</v>
      </c>
      <c r="R201" s="191">
        <v>1900002437</v>
      </c>
      <c r="S201" s="588" t="s">
        <v>3475</v>
      </c>
      <c r="T201" s="588" t="s">
        <v>5914</v>
      </c>
      <c r="U201" s="588" t="s">
        <v>3475</v>
      </c>
    </row>
    <row r="202" spans="1:21" s="594" customFormat="1" hidden="1" x14ac:dyDescent="0.35">
      <c r="A202" s="595" t="s">
        <v>3915</v>
      </c>
      <c r="B202" s="596" t="s">
        <v>3903</v>
      </c>
      <c r="C202" s="583">
        <v>42257</v>
      </c>
      <c r="D202" s="3">
        <v>42257</v>
      </c>
      <c r="E202" s="583"/>
      <c r="F202" s="402" t="s">
        <v>3904</v>
      </c>
      <c r="G202" s="597" t="s">
        <v>3655</v>
      </c>
      <c r="H202" s="1" t="s">
        <v>3656</v>
      </c>
      <c r="I202" s="403">
        <v>8624.6880000000001</v>
      </c>
      <c r="J202" s="403">
        <v>2222.4913500000002</v>
      </c>
      <c r="K202" s="351">
        <f>+J202*0.5556</f>
        <v>1234.81619406</v>
      </c>
      <c r="L202" s="345">
        <f>+K202*Q202</f>
        <v>246.96323881200001</v>
      </c>
      <c r="M202" s="345" t="s">
        <v>6169</v>
      </c>
      <c r="N202" s="1" t="s">
        <v>3785</v>
      </c>
      <c r="O202" s="1" t="s">
        <v>3786</v>
      </c>
      <c r="P202" s="396" t="s">
        <v>3659</v>
      </c>
      <c r="Q202" s="397">
        <v>0.2</v>
      </c>
      <c r="R202" s="191">
        <v>1900002437</v>
      </c>
      <c r="S202" s="588" t="s">
        <v>3475</v>
      </c>
      <c r="T202" s="588" t="s">
        <v>5914</v>
      </c>
      <c r="U202" s="588" t="s">
        <v>3475</v>
      </c>
    </row>
    <row r="203" spans="1:21" s="594" customFormat="1" hidden="1" x14ac:dyDescent="0.35">
      <c r="A203" s="595" t="s">
        <v>3916</v>
      </c>
      <c r="B203" s="596" t="s">
        <v>3903</v>
      </c>
      <c r="C203" s="583">
        <v>42257</v>
      </c>
      <c r="D203" s="3">
        <v>42257</v>
      </c>
      <c r="E203" s="583"/>
      <c r="F203" s="402" t="s">
        <v>3904</v>
      </c>
      <c r="G203" s="597" t="s">
        <v>3655</v>
      </c>
      <c r="H203" s="1" t="s">
        <v>3656</v>
      </c>
      <c r="I203" s="403">
        <v>8624.6880000000001</v>
      </c>
      <c r="J203" s="403">
        <v>2222.4913500000002</v>
      </c>
      <c r="K203" s="351">
        <f>+J203*0.5556</f>
        <v>1234.81619406</v>
      </c>
      <c r="L203" s="345">
        <f>+K203*Q203</f>
        <v>246.96323881200001</v>
      </c>
      <c r="M203" s="345" t="s">
        <v>6169</v>
      </c>
      <c r="N203" s="1" t="s">
        <v>3785</v>
      </c>
      <c r="O203" s="1" t="s">
        <v>3786</v>
      </c>
      <c r="P203" s="396" t="s">
        <v>3659</v>
      </c>
      <c r="Q203" s="397">
        <v>0.2</v>
      </c>
      <c r="R203" s="191">
        <v>1900002437</v>
      </c>
      <c r="S203" s="588" t="s">
        <v>3475</v>
      </c>
      <c r="T203" s="588" t="s">
        <v>5914</v>
      </c>
      <c r="U203" s="588" t="s">
        <v>3475</v>
      </c>
    </row>
    <row r="204" spans="1:21" s="594" customFormat="1" hidden="1" x14ac:dyDescent="0.35">
      <c r="A204" s="595" t="s">
        <v>3917</v>
      </c>
      <c r="B204" s="596" t="s">
        <v>3903</v>
      </c>
      <c r="C204" s="583">
        <v>42257</v>
      </c>
      <c r="D204" s="3">
        <v>42257</v>
      </c>
      <c r="E204" s="583"/>
      <c r="F204" s="402" t="s">
        <v>3904</v>
      </c>
      <c r="G204" s="597" t="s">
        <v>3655</v>
      </c>
      <c r="H204" s="1" t="s">
        <v>3656</v>
      </c>
      <c r="I204" s="403">
        <v>8624.6880000000001</v>
      </c>
      <c r="J204" s="403">
        <v>2222.4913500000002</v>
      </c>
      <c r="K204" s="351">
        <f>+J204*0.5556</f>
        <v>1234.81619406</v>
      </c>
      <c r="L204" s="345">
        <f>+K204*Q204</f>
        <v>246.96323881200001</v>
      </c>
      <c r="M204" s="345" t="s">
        <v>6169</v>
      </c>
      <c r="N204" s="1" t="s">
        <v>3785</v>
      </c>
      <c r="O204" s="1" t="s">
        <v>3786</v>
      </c>
      <c r="P204" s="396" t="s">
        <v>3659</v>
      </c>
      <c r="Q204" s="397">
        <v>0.2</v>
      </c>
      <c r="R204" s="191">
        <v>1900002437</v>
      </c>
      <c r="S204" s="588" t="s">
        <v>3475</v>
      </c>
      <c r="T204" s="588" t="s">
        <v>5914</v>
      </c>
      <c r="U204" s="588" t="s">
        <v>3475</v>
      </c>
    </row>
    <row r="205" spans="1:21" s="594" customFormat="1" hidden="1" x14ac:dyDescent="0.35">
      <c r="A205" s="595" t="s">
        <v>3918</v>
      </c>
      <c r="B205" s="596" t="s">
        <v>3903</v>
      </c>
      <c r="C205" s="583">
        <v>42257</v>
      </c>
      <c r="D205" s="3">
        <v>42257</v>
      </c>
      <c r="E205" s="583"/>
      <c r="F205" s="402" t="s">
        <v>3904</v>
      </c>
      <c r="G205" s="597" t="s">
        <v>3655</v>
      </c>
      <c r="H205" s="1" t="s">
        <v>3656</v>
      </c>
      <c r="I205" s="403">
        <v>8624.6880000000001</v>
      </c>
      <c r="J205" s="403">
        <v>2222.4913500000002</v>
      </c>
      <c r="K205" s="351">
        <f>+J205*0.5556</f>
        <v>1234.81619406</v>
      </c>
      <c r="L205" s="345">
        <f>+K205*Q205</f>
        <v>246.96323881200001</v>
      </c>
      <c r="M205" s="345" t="s">
        <v>6169</v>
      </c>
      <c r="N205" s="1" t="s">
        <v>3785</v>
      </c>
      <c r="O205" s="1" t="s">
        <v>3786</v>
      </c>
      <c r="P205" s="396" t="s">
        <v>3659</v>
      </c>
      <c r="Q205" s="397">
        <v>0.2</v>
      </c>
      <c r="R205" s="191">
        <v>1900002437</v>
      </c>
      <c r="S205" s="588" t="s">
        <v>3475</v>
      </c>
      <c r="T205" s="588" t="s">
        <v>5914</v>
      </c>
      <c r="U205" s="588" t="s">
        <v>3475</v>
      </c>
    </row>
    <row r="206" spans="1:21" hidden="1" x14ac:dyDescent="0.35">
      <c r="A206" s="398" t="s">
        <v>3919</v>
      </c>
      <c r="B206" s="1" t="s">
        <v>3920</v>
      </c>
      <c r="C206" s="3">
        <v>42257</v>
      </c>
      <c r="D206" s="3">
        <v>42257</v>
      </c>
      <c r="E206" s="3" t="s">
        <v>1567</v>
      </c>
      <c r="F206" s="402" t="s">
        <v>3904</v>
      </c>
      <c r="G206" s="402" t="s">
        <v>1486</v>
      </c>
      <c r="H206" s="1" t="s">
        <v>3656</v>
      </c>
      <c r="I206" s="403">
        <v>5272.9182500000006</v>
      </c>
      <c r="J206" s="403">
        <v>1358.7752875000001</v>
      </c>
      <c r="K206" s="351">
        <f>+J206*0.5556</f>
        <v>754.935549735</v>
      </c>
      <c r="L206" s="345">
        <f>+K206*Q206</f>
        <v>150.98710994699999</v>
      </c>
      <c r="M206" s="345" t="s">
        <v>6169</v>
      </c>
      <c r="N206" s="1" t="s">
        <v>3785</v>
      </c>
      <c r="O206" s="1" t="s">
        <v>3786</v>
      </c>
      <c r="P206" s="396" t="s">
        <v>3659</v>
      </c>
      <c r="Q206" s="397">
        <v>0.2</v>
      </c>
      <c r="R206" s="191">
        <v>1900002437</v>
      </c>
      <c r="S206" s="527" t="s">
        <v>1565</v>
      </c>
      <c r="T206" s="527" t="s">
        <v>5915</v>
      </c>
    </row>
    <row r="207" spans="1:21" hidden="1" x14ac:dyDescent="0.35">
      <c r="A207" s="398" t="s">
        <v>3921</v>
      </c>
      <c r="B207" s="1" t="s">
        <v>3920</v>
      </c>
      <c r="C207" s="3">
        <v>42257</v>
      </c>
      <c r="D207" s="3">
        <v>42257</v>
      </c>
      <c r="E207" s="3" t="s">
        <v>1568</v>
      </c>
      <c r="F207" s="402" t="s">
        <v>3904</v>
      </c>
      <c r="G207" s="402" t="s">
        <v>1486</v>
      </c>
      <c r="H207" s="1" t="s">
        <v>3656</v>
      </c>
      <c r="I207" s="403">
        <v>5272.9182500000006</v>
      </c>
      <c r="J207" s="403">
        <v>1358.7752875000001</v>
      </c>
      <c r="K207" s="351">
        <f>+J207*0.5556</f>
        <v>754.935549735</v>
      </c>
      <c r="L207" s="345">
        <f>+K207*Q207</f>
        <v>150.98710994699999</v>
      </c>
      <c r="M207" s="345" t="s">
        <v>6169</v>
      </c>
      <c r="N207" s="1" t="s">
        <v>3785</v>
      </c>
      <c r="O207" s="1" t="s">
        <v>3786</v>
      </c>
      <c r="P207" s="396" t="s">
        <v>3659</v>
      </c>
      <c r="Q207" s="397">
        <v>0.2</v>
      </c>
      <c r="R207" s="191">
        <v>1900002437</v>
      </c>
      <c r="S207" s="2" t="s">
        <v>1190</v>
      </c>
      <c r="T207" s="2" t="s">
        <v>5915</v>
      </c>
    </row>
    <row r="208" spans="1:21" hidden="1" x14ac:dyDescent="0.35">
      <c r="A208" s="398" t="s">
        <v>3922</v>
      </c>
      <c r="B208" s="1" t="s">
        <v>3920</v>
      </c>
      <c r="C208" s="3">
        <v>42257</v>
      </c>
      <c r="D208" s="3">
        <v>42257</v>
      </c>
      <c r="E208" s="3" t="s">
        <v>1594</v>
      </c>
      <c r="F208" s="402" t="s">
        <v>3904</v>
      </c>
      <c r="G208" s="402" t="s">
        <v>1486</v>
      </c>
      <c r="H208" s="1" t="s">
        <v>3656</v>
      </c>
      <c r="I208" s="403">
        <v>5272.9182500000006</v>
      </c>
      <c r="J208" s="403">
        <v>1358.7752875000001</v>
      </c>
      <c r="K208" s="351">
        <f>+J208*0.5556</f>
        <v>754.935549735</v>
      </c>
      <c r="L208" s="345">
        <f>+K208*Q208</f>
        <v>150.98710994699999</v>
      </c>
      <c r="M208" s="345" t="s">
        <v>6169</v>
      </c>
      <c r="N208" s="1" t="s">
        <v>3785</v>
      </c>
      <c r="O208" s="1" t="s">
        <v>3786</v>
      </c>
      <c r="P208" s="396" t="s">
        <v>3659</v>
      </c>
      <c r="Q208" s="397">
        <v>0.2</v>
      </c>
      <c r="R208" s="191">
        <v>1900002437</v>
      </c>
      <c r="S208" s="2" t="s">
        <v>6249</v>
      </c>
      <c r="T208" s="2" t="s">
        <v>5915</v>
      </c>
    </row>
    <row r="209" spans="1:21" hidden="1" x14ac:dyDescent="0.35">
      <c r="A209" s="398" t="s">
        <v>3923</v>
      </c>
      <c r="B209" s="1" t="s">
        <v>3920</v>
      </c>
      <c r="C209" s="3">
        <v>42257</v>
      </c>
      <c r="D209" s="3">
        <v>42257</v>
      </c>
      <c r="E209" s="3" t="s">
        <v>1604</v>
      </c>
      <c r="F209" s="402" t="s">
        <v>3904</v>
      </c>
      <c r="G209" s="402" t="s">
        <v>1486</v>
      </c>
      <c r="H209" s="1" t="s">
        <v>3656</v>
      </c>
      <c r="I209" s="403">
        <v>5272.9182500000006</v>
      </c>
      <c r="J209" s="403">
        <v>1358.7752875000001</v>
      </c>
      <c r="K209" s="351">
        <f>+J209*0.5556</f>
        <v>754.935549735</v>
      </c>
      <c r="L209" s="345">
        <f>+K209*Q209</f>
        <v>150.98710994699999</v>
      </c>
      <c r="M209" s="345" t="s">
        <v>6169</v>
      </c>
      <c r="N209" s="1" t="s">
        <v>3785</v>
      </c>
      <c r="O209" s="1" t="s">
        <v>3786</v>
      </c>
      <c r="P209" s="396" t="s">
        <v>3659</v>
      </c>
      <c r="Q209" s="397">
        <v>0.2</v>
      </c>
      <c r="R209" s="191">
        <v>1900002437</v>
      </c>
      <c r="S209" s="2" t="s">
        <v>6249</v>
      </c>
      <c r="T209" s="2" t="s">
        <v>5915</v>
      </c>
    </row>
    <row r="210" spans="1:21" hidden="1" x14ac:dyDescent="0.35">
      <c r="A210" s="398" t="s">
        <v>3924</v>
      </c>
      <c r="B210" s="1" t="s">
        <v>3920</v>
      </c>
      <c r="C210" s="3">
        <v>42257</v>
      </c>
      <c r="D210" s="3">
        <v>42257</v>
      </c>
      <c r="E210" s="3" t="s">
        <v>1608</v>
      </c>
      <c r="F210" s="402" t="s">
        <v>3904</v>
      </c>
      <c r="G210" s="402" t="s">
        <v>1486</v>
      </c>
      <c r="H210" s="1" t="s">
        <v>3656</v>
      </c>
      <c r="I210" s="403">
        <v>5272.9182500000006</v>
      </c>
      <c r="J210" s="403">
        <v>1358.7752875000001</v>
      </c>
      <c r="K210" s="351">
        <f>+J210*0.5556</f>
        <v>754.935549735</v>
      </c>
      <c r="L210" s="345">
        <f>+K210*Q210</f>
        <v>150.98710994699999</v>
      </c>
      <c r="M210" s="345" t="s">
        <v>6169</v>
      </c>
      <c r="N210" s="1" t="s">
        <v>3785</v>
      </c>
      <c r="O210" s="1" t="s">
        <v>3786</v>
      </c>
      <c r="P210" s="396" t="s">
        <v>3659</v>
      </c>
      <c r="Q210" s="397">
        <v>0.2</v>
      </c>
      <c r="R210" s="191">
        <v>1900002437</v>
      </c>
      <c r="S210" s="2" t="s">
        <v>6264</v>
      </c>
      <c r="T210" s="2" t="s">
        <v>5915</v>
      </c>
    </row>
    <row r="211" spans="1:21" hidden="1" x14ac:dyDescent="0.35">
      <c r="A211" s="398" t="s">
        <v>3925</v>
      </c>
      <c r="B211" s="1" t="s">
        <v>3920</v>
      </c>
      <c r="C211" s="3">
        <v>42257</v>
      </c>
      <c r="D211" s="3">
        <v>42257</v>
      </c>
      <c r="E211" s="3" t="s">
        <v>1609</v>
      </c>
      <c r="F211" s="402" t="s">
        <v>3904</v>
      </c>
      <c r="G211" s="402" t="s">
        <v>1486</v>
      </c>
      <c r="H211" s="1" t="s">
        <v>3656</v>
      </c>
      <c r="I211" s="403">
        <v>5272.9182500000006</v>
      </c>
      <c r="J211" s="403">
        <v>1358.7752875000001</v>
      </c>
      <c r="K211" s="351">
        <f>+J211*0.5556</f>
        <v>754.935549735</v>
      </c>
      <c r="L211" s="345">
        <f>+K211*Q211</f>
        <v>150.98710994699999</v>
      </c>
      <c r="M211" s="345" t="s">
        <v>6169</v>
      </c>
      <c r="N211" s="1" t="s">
        <v>3785</v>
      </c>
      <c r="O211" s="1" t="s">
        <v>3786</v>
      </c>
      <c r="P211" s="396" t="s">
        <v>3659</v>
      </c>
      <c r="Q211" s="397">
        <v>0.2</v>
      </c>
      <c r="R211" s="191">
        <v>1900002437</v>
      </c>
      <c r="S211" s="2" t="s">
        <v>1247</v>
      </c>
      <c r="T211" s="2" t="s">
        <v>5915</v>
      </c>
    </row>
    <row r="212" spans="1:21" hidden="1" x14ac:dyDescent="0.35">
      <c r="A212" s="398" t="s">
        <v>3926</v>
      </c>
      <c r="B212" s="1" t="s">
        <v>3920</v>
      </c>
      <c r="C212" s="3">
        <v>42257</v>
      </c>
      <c r="D212" s="3">
        <v>42257</v>
      </c>
      <c r="E212" s="3" t="s">
        <v>1610</v>
      </c>
      <c r="F212" s="402" t="s">
        <v>3904</v>
      </c>
      <c r="G212" s="402" t="s">
        <v>1486</v>
      </c>
      <c r="H212" s="1" t="s">
        <v>3656</v>
      </c>
      <c r="I212" s="403">
        <v>5272.9182500000006</v>
      </c>
      <c r="J212" s="403">
        <v>1358.7752875000001</v>
      </c>
      <c r="K212" s="351">
        <f>+J212*0.5556</f>
        <v>754.935549735</v>
      </c>
      <c r="L212" s="345">
        <f>+K212*Q212</f>
        <v>150.98710994699999</v>
      </c>
      <c r="M212" s="345" t="s">
        <v>6169</v>
      </c>
      <c r="N212" s="1" t="s">
        <v>3785</v>
      </c>
      <c r="O212" s="1" t="s">
        <v>3786</v>
      </c>
      <c r="P212" s="396" t="s">
        <v>3659</v>
      </c>
      <c r="Q212" s="397">
        <v>0.2</v>
      </c>
      <c r="R212" s="191">
        <v>1900002437</v>
      </c>
      <c r="S212" s="2" t="s">
        <v>1252</v>
      </c>
      <c r="T212" s="2" t="s">
        <v>5915</v>
      </c>
    </row>
    <row r="213" spans="1:21" hidden="1" x14ac:dyDescent="0.35">
      <c r="A213" s="398" t="s">
        <v>3927</v>
      </c>
      <c r="B213" s="1" t="s">
        <v>3920</v>
      </c>
      <c r="C213" s="3">
        <v>42257</v>
      </c>
      <c r="D213" s="3">
        <v>42257</v>
      </c>
      <c r="E213" s="3" t="s">
        <v>1671</v>
      </c>
      <c r="F213" s="402" t="s">
        <v>3904</v>
      </c>
      <c r="G213" s="402" t="s">
        <v>1486</v>
      </c>
      <c r="H213" s="1" t="s">
        <v>3656</v>
      </c>
      <c r="I213" s="403">
        <v>5272.9182500000006</v>
      </c>
      <c r="J213" s="403">
        <v>1358.7752875000001</v>
      </c>
      <c r="K213" s="351">
        <f>+J213*0.5556</f>
        <v>754.935549735</v>
      </c>
      <c r="L213" s="345">
        <f>+K213*Q213</f>
        <v>150.98710994699999</v>
      </c>
      <c r="M213" s="345" t="s">
        <v>6169</v>
      </c>
      <c r="N213" s="1" t="s">
        <v>3785</v>
      </c>
      <c r="O213" s="1" t="s">
        <v>3786</v>
      </c>
      <c r="P213" s="396" t="s">
        <v>3659</v>
      </c>
      <c r="Q213" s="397">
        <v>0.2</v>
      </c>
      <c r="R213" s="191">
        <v>1900002437</v>
      </c>
      <c r="S213" s="2" t="s">
        <v>2617</v>
      </c>
      <c r="T213" s="2" t="s">
        <v>5915</v>
      </c>
    </row>
    <row r="214" spans="1:21" hidden="1" x14ac:dyDescent="0.35">
      <c r="A214" s="398" t="s">
        <v>3928</v>
      </c>
      <c r="B214" s="1" t="s">
        <v>3920</v>
      </c>
      <c r="C214" s="3">
        <v>42257</v>
      </c>
      <c r="D214" s="3">
        <v>42257</v>
      </c>
      <c r="E214" s="3" t="s">
        <v>1674</v>
      </c>
      <c r="F214" s="402" t="s">
        <v>3904</v>
      </c>
      <c r="G214" s="402" t="s">
        <v>1486</v>
      </c>
      <c r="H214" s="1" t="s">
        <v>3656</v>
      </c>
      <c r="I214" s="403">
        <v>5272.9182500000006</v>
      </c>
      <c r="J214" s="403">
        <v>1358.7752875000001</v>
      </c>
      <c r="K214" s="351">
        <f>+J214*0.5556</f>
        <v>754.935549735</v>
      </c>
      <c r="L214" s="345">
        <f>+K214*Q214</f>
        <v>150.98710994699999</v>
      </c>
      <c r="M214" s="345" t="s">
        <v>6169</v>
      </c>
      <c r="N214" s="1" t="s">
        <v>3785</v>
      </c>
      <c r="O214" s="1" t="s">
        <v>3786</v>
      </c>
      <c r="P214" s="396" t="s">
        <v>3659</v>
      </c>
      <c r="Q214" s="397">
        <v>0.2</v>
      </c>
      <c r="R214" s="191">
        <v>1900002437</v>
      </c>
      <c r="S214" s="2" t="s">
        <v>2617</v>
      </c>
      <c r="T214" s="2" t="s">
        <v>5915</v>
      </c>
    </row>
    <row r="215" spans="1:21" hidden="1" x14ac:dyDescent="0.35">
      <c r="A215" s="398" t="s">
        <v>3929</v>
      </c>
      <c r="B215" s="1" t="s">
        <v>3920</v>
      </c>
      <c r="C215" s="3">
        <v>42257</v>
      </c>
      <c r="D215" s="3">
        <v>42257</v>
      </c>
      <c r="E215" s="3" t="s">
        <v>1675</v>
      </c>
      <c r="F215" s="402" t="s">
        <v>3904</v>
      </c>
      <c r="G215" s="402" t="s">
        <v>1486</v>
      </c>
      <c r="H215" s="1" t="s">
        <v>3656</v>
      </c>
      <c r="I215" s="403">
        <v>5272.9182500000006</v>
      </c>
      <c r="J215" s="403">
        <v>1358.7752875000001</v>
      </c>
      <c r="K215" s="351">
        <f>+J215*0.5556</f>
        <v>754.935549735</v>
      </c>
      <c r="L215" s="345">
        <f>+K215*Q215</f>
        <v>150.98710994699999</v>
      </c>
      <c r="M215" s="345" t="s">
        <v>6169</v>
      </c>
      <c r="N215" s="1" t="s">
        <v>3785</v>
      </c>
      <c r="O215" s="1" t="s">
        <v>3786</v>
      </c>
      <c r="P215" s="396" t="s">
        <v>3659</v>
      </c>
      <c r="Q215" s="397">
        <v>0.2</v>
      </c>
      <c r="R215" s="191">
        <v>1900002437</v>
      </c>
      <c r="S215" s="2" t="s">
        <v>2617</v>
      </c>
      <c r="T215" s="2" t="s">
        <v>5915</v>
      </c>
    </row>
    <row r="216" spans="1:21" hidden="1" x14ac:dyDescent="0.35">
      <c r="A216" s="398" t="s">
        <v>3930</v>
      </c>
      <c r="B216" s="1" t="s">
        <v>3931</v>
      </c>
      <c r="C216" s="3">
        <v>42257</v>
      </c>
      <c r="D216" s="3">
        <v>42257</v>
      </c>
      <c r="E216" s="3" t="s">
        <v>1618</v>
      </c>
      <c r="F216" s="402" t="s">
        <v>3904</v>
      </c>
      <c r="G216" s="402" t="s">
        <v>1486</v>
      </c>
      <c r="H216" s="1" t="s">
        <v>3656</v>
      </c>
      <c r="I216" s="403">
        <v>28612.71875</v>
      </c>
      <c r="J216" s="403">
        <v>7373.1955000000007</v>
      </c>
      <c r="K216" s="351">
        <f>+J216*0.5556</f>
        <v>4096.5474198000002</v>
      </c>
      <c r="L216" s="345">
        <f>+K216*Q216</f>
        <v>819.30948396000008</v>
      </c>
      <c r="M216" s="345" t="s">
        <v>6169</v>
      </c>
      <c r="N216" s="1" t="s">
        <v>3785</v>
      </c>
      <c r="O216" s="1" t="s">
        <v>3786</v>
      </c>
      <c r="P216" s="396" t="s">
        <v>3659</v>
      </c>
      <c r="Q216" s="397">
        <v>0.2</v>
      </c>
      <c r="R216" s="191">
        <v>1900002437</v>
      </c>
      <c r="S216" s="2" t="s">
        <v>1369</v>
      </c>
      <c r="T216" s="2" t="s">
        <v>5915</v>
      </c>
    </row>
    <row r="217" spans="1:21" hidden="1" x14ac:dyDescent="0.35">
      <c r="A217" s="398" t="s">
        <v>3932</v>
      </c>
      <c r="B217" s="1" t="s">
        <v>3931</v>
      </c>
      <c r="C217" s="3">
        <v>42257</v>
      </c>
      <c r="D217" s="3">
        <v>42257</v>
      </c>
      <c r="E217" s="3" t="s">
        <v>1575</v>
      </c>
      <c r="F217" s="402" t="s">
        <v>3904</v>
      </c>
      <c r="G217" s="402" t="s">
        <v>1486</v>
      </c>
      <c r="H217" s="1" t="s">
        <v>3656</v>
      </c>
      <c r="I217" s="403">
        <v>28612.71875</v>
      </c>
      <c r="J217" s="403">
        <v>7373.1955000000007</v>
      </c>
      <c r="K217" s="351">
        <f>+J217*0.5556</f>
        <v>4096.5474198000002</v>
      </c>
      <c r="L217" s="345">
        <f>+K217*Q217</f>
        <v>819.30948396000008</v>
      </c>
      <c r="M217" s="345" t="s">
        <v>6169</v>
      </c>
      <c r="N217" s="1" t="s">
        <v>3785</v>
      </c>
      <c r="O217" s="1" t="s">
        <v>3786</v>
      </c>
      <c r="P217" s="396" t="s">
        <v>3659</v>
      </c>
      <c r="Q217" s="397">
        <v>0.2</v>
      </c>
      <c r="R217" s="191">
        <v>1900002437</v>
      </c>
      <c r="S217" s="2" t="s">
        <v>467</v>
      </c>
      <c r="T217" s="2" t="s">
        <v>5915</v>
      </c>
    </row>
    <row r="218" spans="1:21" hidden="1" x14ac:dyDescent="0.35">
      <c r="A218" s="398" t="s">
        <v>3933</v>
      </c>
      <c r="B218" s="1" t="s">
        <v>3931</v>
      </c>
      <c r="C218" s="3">
        <v>42257</v>
      </c>
      <c r="D218" s="3">
        <v>42257</v>
      </c>
      <c r="E218" s="3" t="s">
        <v>1541</v>
      </c>
      <c r="F218" s="402" t="s">
        <v>3904</v>
      </c>
      <c r="G218" s="402" t="s">
        <v>1486</v>
      </c>
      <c r="H218" s="1" t="s">
        <v>3656</v>
      </c>
      <c r="I218" s="403">
        <v>28612.71875</v>
      </c>
      <c r="J218" s="403">
        <v>7373.1955000000007</v>
      </c>
      <c r="K218" s="351">
        <f>+J218*0.5556</f>
        <v>4096.5474198000002</v>
      </c>
      <c r="L218" s="345">
        <f>+K218*Q218</f>
        <v>819.30948396000008</v>
      </c>
      <c r="M218" s="345" t="s">
        <v>6169</v>
      </c>
      <c r="N218" s="1" t="s">
        <v>3785</v>
      </c>
      <c r="O218" s="1" t="s">
        <v>3786</v>
      </c>
      <c r="P218" s="396" t="s">
        <v>3659</v>
      </c>
      <c r="Q218" s="397">
        <v>0.2</v>
      </c>
      <c r="R218" s="191">
        <v>1900002437</v>
      </c>
      <c r="S218" s="2" t="s">
        <v>57</v>
      </c>
      <c r="T218" s="2" t="s">
        <v>5915</v>
      </c>
    </row>
    <row r="219" spans="1:21" s="594" customFormat="1" hidden="1" x14ac:dyDescent="0.35">
      <c r="A219" s="595" t="s">
        <v>3934</v>
      </c>
      <c r="B219" s="596" t="s">
        <v>22</v>
      </c>
      <c r="C219" s="583">
        <v>42257</v>
      </c>
      <c r="D219" s="3">
        <v>42257</v>
      </c>
      <c r="E219" s="583" t="s">
        <v>23</v>
      </c>
      <c r="F219" s="402" t="s">
        <v>3904</v>
      </c>
      <c r="G219" s="597" t="s">
        <v>3655</v>
      </c>
      <c r="H219" s="1" t="s">
        <v>3656</v>
      </c>
      <c r="I219" s="403">
        <v>8829.0674999999992</v>
      </c>
      <c r="J219" s="403">
        <v>2275.1577222222227</v>
      </c>
      <c r="K219" s="351">
        <f>+J219*0.5556</f>
        <v>1264.077630466667</v>
      </c>
      <c r="L219" s="345">
        <f>+K219*Q219</f>
        <v>252.8155260933334</v>
      </c>
      <c r="M219" s="345" t="s">
        <v>6169</v>
      </c>
      <c r="N219" s="1" t="s">
        <v>3785</v>
      </c>
      <c r="O219" s="1" t="s">
        <v>3786</v>
      </c>
      <c r="P219" s="396" t="s">
        <v>3659</v>
      </c>
      <c r="Q219" s="397">
        <v>0.2</v>
      </c>
      <c r="R219" s="191">
        <v>1900002437</v>
      </c>
      <c r="S219" s="588" t="s">
        <v>3475</v>
      </c>
      <c r="T219" s="588" t="s">
        <v>5915</v>
      </c>
    </row>
    <row r="220" spans="1:21" s="594" customFormat="1" hidden="1" x14ac:dyDescent="0.35">
      <c r="A220" s="595" t="s">
        <v>3935</v>
      </c>
      <c r="B220" s="596" t="s">
        <v>22</v>
      </c>
      <c r="C220" s="583">
        <v>42257</v>
      </c>
      <c r="D220" s="3">
        <v>42257</v>
      </c>
      <c r="E220" s="583" t="s">
        <v>24</v>
      </c>
      <c r="F220" s="402" t="s">
        <v>3904</v>
      </c>
      <c r="G220" s="597" t="s">
        <v>3655</v>
      </c>
      <c r="H220" s="1" t="s">
        <v>3656</v>
      </c>
      <c r="I220" s="403">
        <v>8829.0674999999992</v>
      </c>
      <c r="J220" s="403">
        <v>2275.1577222222227</v>
      </c>
      <c r="K220" s="351">
        <f>+J220*0.5556</f>
        <v>1264.077630466667</v>
      </c>
      <c r="L220" s="345">
        <f>+K220*Q220</f>
        <v>252.8155260933334</v>
      </c>
      <c r="M220" s="345" t="s">
        <v>6169</v>
      </c>
      <c r="N220" s="1" t="s">
        <v>3785</v>
      </c>
      <c r="O220" s="1" t="s">
        <v>3786</v>
      </c>
      <c r="P220" s="396" t="s">
        <v>3659</v>
      </c>
      <c r="Q220" s="397">
        <v>0.2</v>
      </c>
      <c r="R220" s="191">
        <v>1900002437</v>
      </c>
      <c r="S220" s="588" t="s">
        <v>3475</v>
      </c>
      <c r="T220" s="588" t="s">
        <v>5915</v>
      </c>
    </row>
    <row r="221" spans="1:21" hidden="1" x14ac:dyDescent="0.35">
      <c r="A221" s="398" t="s">
        <v>3936</v>
      </c>
      <c r="B221" s="1" t="s">
        <v>2482</v>
      </c>
      <c r="C221" s="3">
        <v>42105</v>
      </c>
      <c r="D221" s="3">
        <v>42105</v>
      </c>
      <c r="E221" s="8" t="s">
        <v>2483</v>
      </c>
      <c r="F221" s="402">
        <v>975816</v>
      </c>
      <c r="G221" s="402" t="s">
        <v>3937</v>
      </c>
      <c r="H221" s="1" t="s">
        <v>3656</v>
      </c>
      <c r="I221" s="403">
        <v>76090.460000000006</v>
      </c>
      <c r="J221" s="403">
        <v>20054.73</v>
      </c>
      <c r="K221" s="351">
        <f>+J221*0.5556</f>
        <v>11142.407987999999</v>
      </c>
      <c r="L221" s="345">
        <f>+K221*Q221</f>
        <v>2228.4815976</v>
      </c>
      <c r="M221" s="345" t="s">
        <v>6169</v>
      </c>
      <c r="N221" s="1" t="s">
        <v>3785</v>
      </c>
      <c r="O221" s="1" t="s">
        <v>3938</v>
      </c>
      <c r="P221" s="396" t="s">
        <v>3659</v>
      </c>
      <c r="Q221" s="397">
        <v>0.2</v>
      </c>
      <c r="R221" s="191">
        <v>1900000080</v>
      </c>
      <c r="S221" s="524" t="s">
        <v>2504</v>
      </c>
      <c r="T221" s="524" t="s">
        <v>5915</v>
      </c>
    </row>
    <row r="222" spans="1:21" s="594" customFormat="1" hidden="1" x14ac:dyDescent="0.35">
      <c r="A222" s="592" t="s">
        <v>3939</v>
      </c>
      <c r="B222" s="588" t="s">
        <v>25</v>
      </c>
      <c r="C222" s="591">
        <v>42621</v>
      </c>
      <c r="D222" s="4">
        <v>42621</v>
      </c>
      <c r="E222" s="591"/>
      <c r="F222" s="404" t="s">
        <v>3940</v>
      </c>
      <c r="G222" s="593" t="s">
        <v>3655</v>
      </c>
      <c r="H222" s="2" t="s">
        <v>3656</v>
      </c>
      <c r="I222" s="405">
        <f t="shared" ref="I222:I238" si="4">94353.76*1.175/16</f>
        <v>6929.1042500000003</v>
      </c>
      <c r="J222" s="345">
        <f t="shared" ref="J222:J238" si="5">23916.82*1.175/16</f>
        <v>1756.3914687500001</v>
      </c>
      <c r="K222" s="352">
        <f>+J222*(0.5556)</f>
        <v>975.85110003750003</v>
      </c>
      <c r="L222" s="353">
        <f>+K222*Q222</f>
        <v>195.17022000750001</v>
      </c>
      <c r="M222" s="345" t="s">
        <v>6169</v>
      </c>
      <c r="N222" s="2" t="s">
        <v>3785</v>
      </c>
      <c r="O222" s="2" t="s">
        <v>3941</v>
      </c>
      <c r="P222" s="387" t="s">
        <v>3659</v>
      </c>
      <c r="Q222" s="388">
        <v>0.2</v>
      </c>
      <c r="R222" s="406">
        <v>1900003890</v>
      </c>
      <c r="S222" s="588" t="s">
        <v>3475</v>
      </c>
      <c r="T222" s="588" t="s">
        <v>5914</v>
      </c>
      <c r="U222" s="588" t="s">
        <v>3475</v>
      </c>
    </row>
    <row r="223" spans="1:21" s="594" customFormat="1" hidden="1" x14ac:dyDescent="0.35">
      <c r="A223" s="592" t="s">
        <v>3942</v>
      </c>
      <c r="B223" s="588" t="s">
        <v>25</v>
      </c>
      <c r="C223" s="591">
        <v>42621</v>
      </c>
      <c r="D223" s="4">
        <v>42621</v>
      </c>
      <c r="E223" s="591"/>
      <c r="F223" s="404" t="s">
        <v>3940</v>
      </c>
      <c r="G223" s="593" t="s">
        <v>3655</v>
      </c>
      <c r="H223" s="2" t="s">
        <v>3656</v>
      </c>
      <c r="I223" s="405">
        <f t="shared" si="4"/>
        <v>6929.1042500000003</v>
      </c>
      <c r="J223" s="345">
        <f t="shared" si="5"/>
        <v>1756.3914687500001</v>
      </c>
      <c r="K223" s="352">
        <f>+J223*(0.5556)</f>
        <v>975.85110003750003</v>
      </c>
      <c r="L223" s="353">
        <f>+K223*Q223</f>
        <v>195.17022000750001</v>
      </c>
      <c r="M223" s="345" t="s">
        <v>6169</v>
      </c>
      <c r="N223" s="2" t="s">
        <v>3785</v>
      </c>
      <c r="O223" s="2" t="s">
        <v>3941</v>
      </c>
      <c r="P223" s="387" t="s">
        <v>3659</v>
      </c>
      <c r="Q223" s="388">
        <v>0.2</v>
      </c>
      <c r="R223" s="406">
        <v>1900003890</v>
      </c>
      <c r="S223" s="588" t="s">
        <v>3475</v>
      </c>
      <c r="T223" s="588" t="s">
        <v>5914</v>
      </c>
      <c r="U223" s="588" t="s">
        <v>3475</v>
      </c>
    </row>
    <row r="224" spans="1:21" s="594" customFormat="1" hidden="1" x14ac:dyDescent="0.35">
      <c r="A224" s="592" t="s">
        <v>3943</v>
      </c>
      <c r="B224" s="588" t="s">
        <v>25</v>
      </c>
      <c r="C224" s="591">
        <v>42621</v>
      </c>
      <c r="D224" s="4">
        <v>42621</v>
      </c>
      <c r="E224" s="591"/>
      <c r="F224" s="404" t="s">
        <v>3940</v>
      </c>
      <c r="G224" s="593" t="s">
        <v>3655</v>
      </c>
      <c r="H224" s="2" t="s">
        <v>3656</v>
      </c>
      <c r="I224" s="405">
        <f t="shared" si="4"/>
        <v>6929.1042500000003</v>
      </c>
      <c r="J224" s="345">
        <f t="shared" si="5"/>
        <v>1756.3914687500001</v>
      </c>
      <c r="K224" s="352">
        <f>+J224*(0.5556)</f>
        <v>975.85110003750003</v>
      </c>
      <c r="L224" s="353">
        <f>+K224*Q224</f>
        <v>195.17022000750001</v>
      </c>
      <c r="M224" s="345" t="s">
        <v>6169</v>
      </c>
      <c r="N224" s="2" t="s">
        <v>3785</v>
      </c>
      <c r="O224" s="2" t="s">
        <v>3941</v>
      </c>
      <c r="P224" s="387" t="s">
        <v>3659</v>
      </c>
      <c r="Q224" s="388">
        <v>0.2</v>
      </c>
      <c r="R224" s="406">
        <v>1900003890</v>
      </c>
      <c r="S224" s="588" t="s">
        <v>3475</v>
      </c>
      <c r="T224" s="588" t="s">
        <v>5914</v>
      </c>
      <c r="U224" s="588" t="s">
        <v>3475</v>
      </c>
    </row>
    <row r="225" spans="1:21" s="594" customFormat="1" hidden="1" x14ac:dyDescent="0.35">
      <c r="A225" s="592" t="s">
        <v>3944</v>
      </c>
      <c r="B225" s="588" t="s">
        <v>25</v>
      </c>
      <c r="C225" s="591">
        <v>42621</v>
      </c>
      <c r="D225" s="4">
        <v>42621</v>
      </c>
      <c r="E225" s="591"/>
      <c r="F225" s="404" t="s">
        <v>3940</v>
      </c>
      <c r="G225" s="593" t="s">
        <v>3655</v>
      </c>
      <c r="H225" s="2" t="s">
        <v>3656</v>
      </c>
      <c r="I225" s="405">
        <f t="shared" si="4"/>
        <v>6929.1042500000003</v>
      </c>
      <c r="J225" s="345">
        <f t="shared" si="5"/>
        <v>1756.3914687500001</v>
      </c>
      <c r="K225" s="352">
        <f>+J225*(0.5556)</f>
        <v>975.85110003750003</v>
      </c>
      <c r="L225" s="353">
        <f>+K225*Q225</f>
        <v>195.17022000750001</v>
      </c>
      <c r="M225" s="345" t="s">
        <v>6169</v>
      </c>
      <c r="N225" s="2" t="s">
        <v>3785</v>
      </c>
      <c r="O225" s="2" t="s">
        <v>3941</v>
      </c>
      <c r="P225" s="387" t="s">
        <v>3659</v>
      </c>
      <c r="Q225" s="388">
        <v>0.2</v>
      </c>
      <c r="R225" s="406">
        <v>1900003890</v>
      </c>
      <c r="S225" s="588" t="s">
        <v>3475</v>
      </c>
      <c r="T225" s="588" t="s">
        <v>5914</v>
      </c>
      <c r="U225" s="588" t="s">
        <v>3475</v>
      </c>
    </row>
    <row r="226" spans="1:21" s="594" customFormat="1" hidden="1" x14ac:dyDescent="0.35">
      <c r="A226" s="592" t="s">
        <v>3945</v>
      </c>
      <c r="B226" s="588" t="s">
        <v>25</v>
      </c>
      <c r="C226" s="591">
        <v>42621</v>
      </c>
      <c r="D226" s="4">
        <v>42621</v>
      </c>
      <c r="E226" s="591"/>
      <c r="F226" s="404" t="s">
        <v>3940</v>
      </c>
      <c r="G226" s="593" t="s">
        <v>3655</v>
      </c>
      <c r="H226" s="2" t="s">
        <v>3656</v>
      </c>
      <c r="I226" s="405">
        <f t="shared" si="4"/>
        <v>6929.1042500000003</v>
      </c>
      <c r="J226" s="345">
        <f t="shared" si="5"/>
        <v>1756.3914687500001</v>
      </c>
      <c r="K226" s="352">
        <f>+J226*(0.5556)</f>
        <v>975.85110003750003</v>
      </c>
      <c r="L226" s="353">
        <f>+K226*Q226</f>
        <v>195.17022000750001</v>
      </c>
      <c r="M226" s="345" t="s">
        <v>6169</v>
      </c>
      <c r="N226" s="2" t="s">
        <v>3785</v>
      </c>
      <c r="O226" s="2" t="s">
        <v>3941</v>
      </c>
      <c r="P226" s="387" t="s">
        <v>3659</v>
      </c>
      <c r="Q226" s="388">
        <v>0.2</v>
      </c>
      <c r="R226" s="406">
        <v>1900003890</v>
      </c>
      <c r="S226" s="588" t="s">
        <v>3475</v>
      </c>
      <c r="T226" s="588" t="s">
        <v>5914</v>
      </c>
      <c r="U226" s="588" t="s">
        <v>3475</v>
      </c>
    </row>
    <row r="227" spans="1:21" s="594" customFormat="1" hidden="1" x14ac:dyDescent="0.35">
      <c r="A227" s="592" t="s">
        <v>3946</v>
      </c>
      <c r="B227" s="588" t="s">
        <v>25</v>
      </c>
      <c r="C227" s="591">
        <v>42621</v>
      </c>
      <c r="D227" s="4">
        <v>42621</v>
      </c>
      <c r="E227" s="591"/>
      <c r="F227" s="404" t="s">
        <v>3940</v>
      </c>
      <c r="G227" s="593" t="s">
        <v>3655</v>
      </c>
      <c r="H227" s="2" t="s">
        <v>3656</v>
      </c>
      <c r="I227" s="405">
        <f t="shared" si="4"/>
        <v>6929.1042500000003</v>
      </c>
      <c r="J227" s="345">
        <f t="shared" si="5"/>
        <v>1756.3914687500001</v>
      </c>
      <c r="K227" s="352">
        <f>+J227*(0.5556)</f>
        <v>975.85110003750003</v>
      </c>
      <c r="L227" s="353">
        <f>+K227*Q227</f>
        <v>195.17022000750001</v>
      </c>
      <c r="M227" s="345" t="s">
        <v>6169</v>
      </c>
      <c r="N227" s="2" t="s">
        <v>3785</v>
      </c>
      <c r="O227" s="2" t="s">
        <v>3941</v>
      </c>
      <c r="P227" s="387" t="s">
        <v>3659</v>
      </c>
      <c r="Q227" s="388">
        <v>0.2</v>
      </c>
      <c r="R227" s="406">
        <v>1900003890</v>
      </c>
      <c r="S227" s="588" t="s">
        <v>3475</v>
      </c>
      <c r="T227" s="588" t="s">
        <v>5914</v>
      </c>
      <c r="U227" s="588" t="s">
        <v>3475</v>
      </c>
    </row>
    <row r="228" spans="1:21" s="594" customFormat="1" hidden="1" x14ac:dyDescent="0.35">
      <c r="A228" s="592" t="s">
        <v>3947</v>
      </c>
      <c r="B228" s="588" t="s">
        <v>25</v>
      </c>
      <c r="C228" s="591">
        <v>42621</v>
      </c>
      <c r="D228" s="4">
        <v>42621</v>
      </c>
      <c r="E228" s="583" t="s">
        <v>26</v>
      </c>
      <c r="F228" s="404" t="s">
        <v>3940</v>
      </c>
      <c r="G228" s="593" t="s">
        <v>3655</v>
      </c>
      <c r="H228" s="2" t="s">
        <v>3656</v>
      </c>
      <c r="I228" s="405">
        <f t="shared" si="4"/>
        <v>6929.1042500000003</v>
      </c>
      <c r="J228" s="345">
        <f t="shared" si="5"/>
        <v>1756.3914687500001</v>
      </c>
      <c r="K228" s="352">
        <f>+J228*(0.5556)</f>
        <v>975.85110003750003</v>
      </c>
      <c r="L228" s="353">
        <f>+K228*Q228</f>
        <v>195.17022000750001</v>
      </c>
      <c r="M228" s="345" t="s">
        <v>6169</v>
      </c>
      <c r="N228" s="2" t="s">
        <v>3785</v>
      </c>
      <c r="O228" s="2" t="s">
        <v>3941</v>
      </c>
      <c r="P228" s="387" t="s">
        <v>3659</v>
      </c>
      <c r="Q228" s="388">
        <v>0.2</v>
      </c>
      <c r="R228" s="406">
        <v>1900003890</v>
      </c>
      <c r="S228" s="806" t="s">
        <v>3475</v>
      </c>
      <c r="T228" s="806" t="s">
        <v>5915</v>
      </c>
    </row>
    <row r="229" spans="1:21" s="594" customFormat="1" hidden="1" x14ac:dyDescent="0.35">
      <c r="A229" s="592" t="s">
        <v>3948</v>
      </c>
      <c r="B229" s="588" t="s">
        <v>25</v>
      </c>
      <c r="C229" s="591">
        <v>42621</v>
      </c>
      <c r="D229" s="4">
        <v>42621</v>
      </c>
      <c r="E229" s="583"/>
      <c r="F229" s="404" t="s">
        <v>3940</v>
      </c>
      <c r="G229" s="593" t="s">
        <v>3655</v>
      </c>
      <c r="H229" s="2" t="s">
        <v>3656</v>
      </c>
      <c r="I229" s="405">
        <f t="shared" si="4"/>
        <v>6929.1042500000003</v>
      </c>
      <c r="J229" s="345">
        <f t="shared" si="5"/>
        <v>1756.3914687500001</v>
      </c>
      <c r="K229" s="352">
        <f>+J229*(0.5556)</f>
        <v>975.85110003750003</v>
      </c>
      <c r="L229" s="353">
        <f>+K229*Q229</f>
        <v>195.17022000750001</v>
      </c>
      <c r="M229" s="345" t="s">
        <v>6169</v>
      </c>
      <c r="N229" s="2" t="s">
        <v>3785</v>
      </c>
      <c r="O229" s="2" t="s">
        <v>3941</v>
      </c>
      <c r="P229" s="387" t="s">
        <v>3659</v>
      </c>
      <c r="Q229" s="388">
        <v>0.2</v>
      </c>
      <c r="R229" s="406">
        <v>1900003890</v>
      </c>
      <c r="S229" s="588" t="s">
        <v>3475</v>
      </c>
      <c r="T229" s="588" t="s">
        <v>5914</v>
      </c>
      <c r="U229" s="588" t="s">
        <v>3475</v>
      </c>
    </row>
    <row r="230" spans="1:21" s="594" customFormat="1" hidden="1" x14ac:dyDescent="0.35">
      <c r="A230" s="592" t="s">
        <v>3949</v>
      </c>
      <c r="B230" s="588" t="s">
        <v>25</v>
      </c>
      <c r="C230" s="591">
        <v>42621</v>
      </c>
      <c r="D230" s="4">
        <v>42621</v>
      </c>
      <c r="E230" s="583" t="s">
        <v>28</v>
      </c>
      <c r="F230" s="404" t="s">
        <v>3940</v>
      </c>
      <c r="G230" s="593" t="s">
        <v>3655</v>
      </c>
      <c r="H230" s="2" t="s">
        <v>3656</v>
      </c>
      <c r="I230" s="405">
        <f t="shared" si="4"/>
        <v>6929.1042500000003</v>
      </c>
      <c r="J230" s="345">
        <f t="shared" si="5"/>
        <v>1756.3914687500001</v>
      </c>
      <c r="K230" s="352">
        <f>+J230*(0.5556)</f>
        <v>975.85110003750003</v>
      </c>
      <c r="L230" s="353">
        <f>+K230*Q230</f>
        <v>195.17022000750001</v>
      </c>
      <c r="M230" s="345" t="s">
        <v>6169</v>
      </c>
      <c r="N230" s="2" t="s">
        <v>3785</v>
      </c>
      <c r="O230" s="2" t="s">
        <v>3941</v>
      </c>
      <c r="P230" s="387" t="s">
        <v>3659</v>
      </c>
      <c r="Q230" s="388">
        <v>0.2</v>
      </c>
      <c r="R230" s="406">
        <v>1900003890</v>
      </c>
      <c r="S230" s="598" t="s">
        <v>3475</v>
      </c>
      <c r="T230" s="598" t="s">
        <v>5915</v>
      </c>
    </row>
    <row r="231" spans="1:21" s="561" customFormat="1" hidden="1" x14ac:dyDescent="0.35">
      <c r="A231" s="569" t="s">
        <v>3950</v>
      </c>
      <c r="B231" s="560" t="s">
        <v>25</v>
      </c>
      <c r="C231" s="570">
        <v>42621</v>
      </c>
      <c r="D231" s="4">
        <v>42621</v>
      </c>
      <c r="E231" s="558" t="s">
        <v>29</v>
      </c>
      <c r="F231" s="404" t="s">
        <v>3940</v>
      </c>
      <c r="G231" s="571" t="s">
        <v>3655</v>
      </c>
      <c r="H231" s="2" t="s">
        <v>3656</v>
      </c>
      <c r="I231" s="405">
        <f t="shared" si="4"/>
        <v>6929.1042500000003</v>
      </c>
      <c r="J231" s="345">
        <f t="shared" si="5"/>
        <v>1756.3914687500001</v>
      </c>
      <c r="K231" s="352">
        <f>+J231*(0.5556)</f>
        <v>975.85110003750003</v>
      </c>
      <c r="L231" s="353">
        <f>+K231*Q231</f>
        <v>195.17022000750001</v>
      </c>
      <c r="M231" s="345" t="s">
        <v>6169</v>
      </c>
      <c r="N231" s="560" t="s">
        <v>3785</v>
      </c>
      <c r="O231" s="2" t="s">
        <v>3941</v>
      </c>
      <c r="P231" s="387" t="s">
        <v>3659</v>
      </c>
      <c r="Q231" s="388">
        <v>0.2</v>
      </c>
      <c r="R231" s="406">
        <v>1900003890</v>
      </c>
      <c r="S231" s="560" t="s">
        <v>2617</v>
      </c>
      <c r="T231" s="560" t="s">
        <v>5915</v>
      </c>
    </row>
    <row r="232" spans="1:21" s="594" customFormat="1" hidden="1" x14ac:dyDescent="0.35">
      <c r="A232" s="592" t="s">
        <v>3951</v>
      </c>
      <c r="B232" s="588" t="s">
        <v>25</v>
      </c>
      <c r="C232" s="591">
        <v>42621</v>
      </c>
      <c r="D232" s="4">
        <v>42621</v>
      </c>
      <c r="E232" s="583" t="s">
        <v>30</v>
      </c>
      <c r="F232" s="404" t="s">
        <v>3940</v>
      </c>
      <c r="G232" s="593" t="s">
        <v>3655</v>
      </c>
      <c r="H232" s="2" t="s">
        <v>3656</v>
      </c>
      <c r="I232" s="405">
        <f t="shared" si="4"/>
        <v>6929.1042500000003</v>
      </c>
      <c r="J232" s="345">
        <f t="shared" si="5"/>
        <v>1756.3914687500001</v>
      </c>
      <c r="K232" s="352">
        <f>+J232*(0.5556)</f>
        <v>975.85110003750003</v>
      </c>
      <c r="L232" s="353">
        <f>+K232*Q232</f>
        <v>195.17022000750001</v>
      </c>
      <c r="M232" s="345" t="s">
        <v>6169</v>
      </c>
      <c r="N232" s="588" t="s">
        <v>3785</v>
      </c>
      <c r="O232" s="2" t="s">
        <v>3941</v>
      </c>
      <c r="P232" s="387" t="s">
        <v>3659</v>
      </c>
      <c r="Q232" s="388">
        <v>0.2</v>
      </c>
      <c r="R232" s="406">
        <v>1900003890</v>
      </c>
      <c r="S232" s="588" t="s">
        <v>3475</v>
      </c>
      <c r="T232" s="588" t="s">
        <v>5915</v>
      </c>
    </row>
    <row r="233" spans="1:21" s="594" customFormat="1" hidden="1" x14ac:dyDescent="0.35">
      <c r="A233" s="592" t="s">
        <v>3952</v>
      </c>
      <c r="B233" s="588" t="s">
        <v>25</v>
      </c>
      <c r="C233" s="591">
        <v>42621</v>
      </c>
      <c r="D233" s="4">
        <v>42621</v>
      </c>
      <c r="E233" s="583" t="s">
        <v>31</v>
      </c>
      <c r="F233" s="404" t="s">
        <v>3940</v>
      </c>
      <c r="G233" s="593" t="s">
        <v>3655</v>
      </c>
      <c r="H233" s="2" t="s">
        <v>3656</v>
      </c>
      <c r="I233" s="405">
        <f t="shared" si="4"/>
        <v>6929.1042500000003</v>
      </c>
      <c r="J233" s="345">
        <f t="shared" si="5"/>
        <v>1756.3914687500001</v>
      </c>
      <c r="K233" s="352">
        <f>+J233*(0.5556)</f>
        <v>975.85110003750003</v>
      </c>
      <c r="L233" s="353">
        <f>+K233*Q233</f>
        <v>195.17022000750001</v>
      </c>
      <c r="M233" s="345" t="s">
        <v>6169</v>
      </c>
      <c r="N233" s="588" t="s">
        <v>3785</v>
      </c>
      <c r="O233" s="2" t="s">
        <v>3941</v>
      </c>
      <c r="P233" s="387" t="s">
        <v>3659</v>
      </c>
      <c r="Q233" s="388">
        <v>0.2</v>
      </c>
      <c r="R233" s="406">
        <v>1900003890</v>
      </c>
      <c r="S233" s="588" t="s">
        <v>3475</v>
      </c>
      <c r="T233" s="588" t="s">
        <v>5915</v>
      </c>
    </row>
    <row r="234" spans="1:21" s="594" customFormat="1" hidden="1" x14ac:dyDescent="0.35">
      <c r="A234" s="592" t="s">
        <v>3953</v>
      </c>
      <c r="B234" s="588" t="s">
        <v>25</v>
      </c>
      <c r="C234" s="591">
        <v>42621</v>
      </c>
      <c r="D234" s="4">
        <v>42621</v>
      </c>
      <c r="E234" s="583" t="s">
        <v>32</v>
      </c>
      <c r="F234" s="404" t="s">
        <v>3940</v>
      </c>
      <c r="G234" s="593" t="s">
        <v>3655</v>
      </c>
      <c r="H234" s="2" t="s">
        <v>3656</v>
      </c>
      <c r="I234" s="405">
        <f t="shared" si="4"/>
        <v>6929.1042500000003</v>
      </c>
      <c r="J234" s="345">
        <f t="shared" si="5"/>
        <v>1756.3914687500001</v>
      </c>
      <c r="K234" s="352">
        <f>+J234*(0.5556)</f>
        <v>975.85110003750003</v>
      </c>
      <c r="L234" s="353">
        <f>+K234*Q234</f>
        <v>195.17022000750001</v>
      </c>
      <c r="M234" s="345" t="s">
        <v>6169</v>
      </c>
      <c r="N234" s="588" t="s">
        <v>3785</v>
      </c>
      <c r="O234" s="2" t="s">
        <v>3941</v>
      </c>
      <c r="P234" s="387" t="s">
        <v>3659</v>
      </c>
      <c r="Q234" s="388">
        <v>0.2</v>
      </c>
      <c r="R234" s="406">
        <v>1900003890</v>
      </c>
      <c r="S234" s="588" t="s">
        <v>3475</v>
      </c>
      <c r="T234" s="588" t="s">
        <v>5915</v>
      </c>
    </row>
    <row r="235" spans="1:21" s="594" customFormat="1" hidden="1" x14ac:dyDescent="0.35">
      <c r="A235" s="592" t="s">
        <v>3954</v>
      </c>
      <c r="B235" s="588" t="s">
        <v>25</v>
      </c>
      <c r="C235" s="591">
        <v>42621</v>
      </c>
      <c r="D235" s="4">
        <v>42621</v>
      </c>
      <c r="E235" s="583" t="s">
        <v>34</v>
      </c>
      <c r="F235" s="404" t="s">
        <v>3940</v>
      </c>
      <c r="G235" s="593" t="s">
        <v>3655</v>
      </c>
      <c r="H235" s="2" t="s">
        <v>3656</v>
      </c>
      <c r="I235" s="405">
        <f t="shared" si="4"/>
        <v>6929.1042500000003</v>
      </c>
      <c r="J235" s="345">
        <f t="shared" si="5"/>
        <v>1756.3914687500001</v>
      </c>
      <c r="K235" s="352">
        <f>+J235*(0.5556)</f>
        <v>975.85110003750003</v>
      </c>
      <c r="L235" s="353">
        <f>+K235*Q235</f>
        <v>195.17022000750001</v>
      </c>
      <c r="M235" s="345" t="s">
        <v>6169</v>
      </c>
      <c r="N235" s="2" t="s">
        <v>3785</v>
      </c>
      <c r="O235" s="2" t="s">
        <v>3941</v>
      </c>
      <c r="P235" s="387" t="s">
        <v>3659</v>
      </c>
      <c r="Q235" s="388">
        <v>0.2</v>
      </c>
      <c r="R235" s="406">
        <v>1900003890</v>
      </c>
      <c r="S235" s="588" t="s">
        <v>3475</v>
      </c>
      <c r="T235" s="588" t="s">
        <v>5915</v>
      </c>
    </row>
    <row r="236" spans="1:21" s="594" customFormat="1" hidden="1" x14ac:dyDescent="0.35">
      <c r="A236" s="592" t="s">
        <v>3955</v>
      </c>
      <c r="B236" s="588" t="s">
        <v>25</v>
      </c>
      <c r="C236" s="591">
        <v>42621</v>
      </c>
      <c r="D236" s="4">
        <v>42621</v>
      </c>
      <c r="E236" s="583" t="s">
        <v>35</v>
      </c>
      <c r="F236" s="404" t="s">
        <v>3940</v>
      </c>
      <c r="G236" s="593" t="s">
        <v>3655</v>
      </c>
      <c r="H236" s="2" t="s">
        <v>3656</v>
      </c>
      <c r="I236" s="405">
        <f t="shared" si="4"/>
        <v>6929.1042500000003</v>
      </c>
      <c r="J236" s="345">
        <f t="shared" si="5"/>
        <v>1756.3914687500001</v>
      </c>
      <c r="K236" s="352">
        <f>+J236*(0.5556)</f>
        <v>975.85110003750003</v>
      </c>
      <c r="L236" s="353">
        <f>+K236*Q236</f>
        <v>195.17022000750001</v>
      </c>
      <c r="M236" s="345" t="s">
        <v>6169</v>
      </c>
      <c r="N236" s="2" t="s">
        <v>3785</v>
      </c>
      <c r="O236" s="2" t="s">
        <v>3941</v>
      </c>
      <c r="P236" s="387" t="s">
        <v>3659</v>
      </c>
      <c r="Q236" s="388">
        <v>0.2</v>
      </c>
      <c r="R236" s="406">
        <v>1900003890</v>
      </c>
      <c r="S236" s="588" t="s">
        <v>3475</v>
      </c>
      <c r="T236" s="588" t="s">
        <v>5915</v>
      </c>
    </row>
    <row r="237" spans="1:21" s="561" customFormat="1" hidden="1" x14ac:dyDescent="0.35">
      <c r="A237" s="569"/>
      <c r="B237" s="560" t="s">
        <v>25</v>
      </c>
      <c r="C237" s="570">
        <v>42621</v>
      </c>
      <c r="D237" s="4"/>
      <c r="E237" s="558" t="s">
        <v>6227</v>
      </c>
      <c r="F237" s="404"/>
      <c r="G237" s="571"/>
      <c r="H237" s="560" t="s">
        <v>3656</v>
      </c>
      <c r="I237" s="405"/>
      <c r="J237" s="345"/>
      <c r="K237" s="352"/>
      <c r="L237" s="353"/>
      <c r="M237" s="345"/>
      <c r="N237" s="560" t="s">
        <v>3785</v>
      </c>
      <c r="O237" s="2"/>
      <c r="P237" s="387"/>
      <c r="Q237" s="388"/>
      <c r="R237" s="406"/>
      <c r="S237" s="573" t="s">
        <v>1664</v>
      </c>
      <c r="T237" s="573"/>
    </row>
    <row r="238" spans="1:21" s="594" customFormat="1" hidden="1" x14ac:dyDescent="0.35">
      <c r="A238" s="592" t="s">
        <v>3956</v>
      </c>
      <c r="B238" s="588" t="s">
        <v>25</v>
      </c>
      <c r="C238" s="591">
        <v>42621</v>
      </c>
      <c r="D238" s="4">
        <v>42621</v>
      </c>
      <c r="E238" s="583" t="s">
        <v>36</v>
      </c>
      <c r="F238" s="404" t="s">
        <v>3940</v>
      </c>
      <c r="G238" s="593" t="s">
        <v>3655</v>
      </c>
      <c r="H238" s="2" t="s">
        <v>3656</v>
      </c>
      <c r="I238" s="405">
        <f t="shared" si="4"/>
        <v>6929.1042500000003</v>
      </c>
      <c r="J238" s="345">
        <f t="shared" si="5"/>
        <v>1756.3914687500001</v>
      </c>
      <c r="K238" s="352">
        <f>+J238*(0.5556)</f>
        <v>975.85110003750003</v>
      </c>
      <c r="L238" s="353">
        <f>+K238*Q238</f>
        <v>195.17022000750001</v>
      </c>
      <c r="M238" s="345" t="s">
        <v>6169</v>
      </c>
      <c r="N238" s="2" t="s">
        <v>3785</v>
      </c>
      <c r="O238" s="2" t="s">
        <v>3941</v>
      </c>
      <c r="P238" s="387" t="s">
        <v>3659</v>
      </c>
      <c r="Q238" s="388">
        <v>0.2</v>
      </c>
      <c r="R238" s="406">
        <v>1900003890</v>
      </c>
      <c r="S238" s="798" t="s">
        <v>3475</v>
      </c>
      <c r="T238" s="798" t="s">
        <v>5915</v>
      </c>
    </row>
    <row r="239" spans="1:21" s="594" customFormat="1" hidden="1" x14ac:dyDescent="0.35">
      <c r="A239" s="592" t="s">
        <v>3957</v>
      </c>
      <c r="B239" s="588" t="s">
        <v>37</v>
      </c>
      <c r="C239" s="591">
        <v>42621</v>
      </c>
      <c r="D239" s="4">
        <v>42621</v>
      </c>
      <c r="E239" s="591"/>
      <c r="F239" s="404" t="s">
        <v>3958</v>
      </c>
      <c r="G239" s="593" t="s">
        <v>3655</v>
      </c>
      <c r="H239" s="2" t="s">
        <v>3656</v>
      </c>
      <c r="I239" s="405">
        <f t="shared" ref="I239:I248" si="6">48154.88*1.175/8</f>
        <v>7072.7479999999996</v>
      </c>
      <c r="J239" s="354">
        <f t="shared" ref="J239:J248" si="7">14342.41/8</f>
        <v>1792.80125</v>
      </c>
      <c r="K239" s="352">
        <f>+J239*(0.5556)</f>
        <v>996.08037449999995</v>
      </c>
      <c r="L239" s="353">
        <f>+K239*Q239</f>
        <v>199.2160749</v>
      </c>
      <c r="M239" s="345" t="s">
        <v>6169</v>
      </c>
      <c r="N239" s="2" t="s">
        <v>3785</v>
      </c>
      <c r="O239" s="2" t="s">
        <v>3941</v>
      </c>
      <c r="P239" s="387" t="s">
        <v>3659</v>
      </c>
      <c r="Q239" s="388">
        <v>0.2</v>
      </c>
      <c r="R239" s="406">
        <v>1900003890</v>
      </c>
      <c r="S239" s="588" t="s">
        <v>3475</v>
      </c>
      <c r="T239" s="588" t="s">
        <v>5914</v>
      </c>
      <c r="U239" s="588" t="s">
        <v>3475</v>
      </c>
    </row>
    <row r="240" spans="1:21" s="594" customFormat="1" hidden="1" x14ac:dyDescent="0.35">
      <c r="A240" s="592" t="s">
        <v>3959</v>
      </c>
      <c r="B240" s="588" t="s">
        <v>37</v>
      </c>
      <c r="C240" s="591">
        <v>42621</v>
      </c>
      <c r="D240" s="4">
        <v>42621</v>
      </c>
      <c r="E240" s="591"/>
      <c r="F240" s="404" t="s">
        <v>3958</v>
      </c>
      <c r="G240" s="593" t="s">
        <v>3655</v>
      </c>
      <c r="H240" s="2" t="s">
        <v>3656</v>
      </c>
      <c r="I240" s="405">
        <f t="shared" si="6"/>
        <v>7072.7479999999996</v>
      </c>
      <c r="J240" s="354">
        <f t="shared" si="7"/>
        <v>1792.80125</v>
      </c>
      <c r="K240" s="352">
        <f>+J240*(0.5556)</f>
        <v>996.08037449999995</v>
      </c>
      <c r="L240" s="353">
        <f>+K240*Q240</f>
        <v>199.2160749</v>
      </c>
      <c r="M240" s="345" t="s">
        <v>6169</v>
      </c>
      <c r="N240" s="2" t="s">
        <v>3785</v>
      </c>
      <c r="O240" s="2" t="s">
        <v>3941</v>
      </c>
      <c r="P240" s="387" t="s">
        <v>3659</v>
      </c>
      <c r="Q240" s="388">
        <v>0.2</v>
      </c>
      <c r="R240" s="406">
        <v>1900003890</v>
      </c>
      <c r="S240" s="588" t="s">
        <v>3475</v>
      </c>
      <c r="T240" s="588" t="s">
        <v>5914</v>
      </c>
      <c r="U240" s="588" t="s">
        <v>3475</v>
      </c>
    </row>
    <row r="241" spans="1:21" s="594" customFormat="1" hidden="1" x14ac:dyDescent="0.35">
      <c r="A241" s="592" t="s">
        <v>3960</v>
      </c>
      <c r="B241" s="588" t="s">
        <v>37</v>
      </c>
      <c r="C241" s="591">
        <v>42621</v>
      </c>
      <c r="D241" s="4">
        <v>42621</v>
      </c>
      <c r="E241" s="591"/>
      <c r="F241" s="404" t="s">
        <v>3958</v>
      </c>
      <c r="G241" s="593" t="s">
        <v>3655</v>
      </c>
      <c r="H241" s="2" t="s">
        <v>3656</v>
      </c>
      <c r="I241" s="405">
        <f t="shared" si="6"/>
        <v>7072.7479999999996</v>
      </c>
      <c r="J241" s="354">
        <f t="shared" si="7"/>
        <v>1792.80125</v>
      </c>
      <c r="K241" s="352">
        <f>+J241*(0.5556)</f>
        <v>996.08037449999995</v>
      </c>
      <c r="L241" s="353">
        <f>+K241*Q241</f>
        <v>199.2160749</v>
      </c>
      <c r="M241" s="345" t="s">
        <v>6169</v>
      </c>
      <c r="N241" s="2" t="s">
        <v>3785</v>
      </c>
      <c r="O241" s="2" t="s">
        <v>3941</v>
      </c>
      <c r="P241" s="387" t="s">
        <v>3659</v>
      </c>
      <c r="Q241" s="388">
        <v>0.2</v>
      </c>
      <c r="R241" s="406">
        <v>1900003890</v>
      </c>
      <c r="S241" s="588" t="s">
        <v>3475</v>
      </c>
      <c r="T241" s="588" t="s">
        <v>5914</v>
      </c>
      <c r="U241" s="588" t="s">
        <v>3475</v>
      </c>
    </row>
    <row r="242" spans="1:21" s="594" customFormat="1" hidden="1" x14ac:dyDescent="0.35">
      <c r="A242" s="592" t="s">
        <v>3961</v>
      </c>
      <c r="B242" s="588" t="s">
        <v>37</v>
      </c>
      <c r="C242" s="591">
        <v>42621</v>
      </c>
      <c r="D242" s="4">
        <v>42621</v>
      </c>
      <c r="E242" s="583" t="s">
        <v>38</v>
      </c>
      <c r="F242" s="404" t="s">
        <v>3958</v>
      </c>
      <c r="G242" s="593" t="s">
        <v>3655</v>
      </c>
      <c r="H242" s="2" t="s">
        <v>3656</v>
      </c>
      <c r="I242" s="405">
        <f t="shared" si="6"/>
        <v>7072.7479999999996</v>
      </c>
      <c r="J242" s="354">
        <f t="shared" si="7"/>
        <v>1792.80125</v>
      </c>
      <c r="K242" s="352">
        <f>+J242*(0.5556)</f>
        <v>996.08037449999995</v>
      </c>
      <c r="L242" s="353">
        <f>+K242*Q242</f>
        <v>199.2160749</v>
      </c>
      <c r="M242" s="345" t="s">
        <v>6169</v>
      </c>
      <c r="N242" s="2" t="s">
        <v>3785</v>
      </c>
      <c r="O242" s="2" t="s">
        <v>3941</v>
      </c>
      <c r="P242" s="387" t="s">
        <v>3659</v>
      </c>
      <c r="Q242" s="388">
        <v>0.2</v>
      </c>
      <c r="R242" s="406">
        <v>1900003890</v>
      </c>
      <c r="S242" s="598" t="s">
        <v>3475</v>
      </c>
      <c r="T242" s="598" t="s">
        <v>5915</v>
      </c>
    </row>
    <row r="243" spans="1:21" s="594" customFormat="1" hidden="1" x14ac:dyDescent="0.35">
      <c r="A243" s="592" t="s">
        <v>3962</v>
      </c>
      <c r="B243" s="588" t="s">
        <v>37</v>
      </c>
      <c r="C243" s="591">
        <v>42621</v>
      </c>
      <c r="D243" s="4">
        <v>42621</v>
      </c>
      <c r="E243" s="583" t="s">
        <v>39</v>
      </c>
      <c r="F243" s="404" t="s">
        <v>3958</v>
      </c>
      <c r="G243" s="593" t="s">
        <v>3655</v>
      </c>
      <c r="H243" s="2" t="s">
        <v>3656</v>
      </c>
      <c r="I243" s="405">
        <f t="shared" si="6"/>
        <v>7072.7479999999996</v>
      </c>
      <c r="J243" s="354">
        <f t="shared" si="7"/>
        <v>1792.80125</v>
      </c>
      <c r="K243" s="352">
        <f>+J243*(0.5556)</f>
        <v>996.08037449999995</v>
      </c>
      <c r="L243" s="353">
        <f>+K243*Q243</f>
        <v>199.2160749</v>
      </c>
      <c r="M243" s="345" t="s">
        <v>6169</v>
      </c>
      <c r="N243" s="2" t="s">
        <v>3785</v>
      </c>
      <c r="O243" s="2" t="s">
        <v>3941</v>
      </c>
      <c r="P243" s="387" t="s">
        <v>3659</v>
      </c>
      <c r="Q243" s="388">
        <v>0.2</v>
      </c>
      <c r="R243" s="406">
        <v>1900003890</v>
      </c>
      <c r="S243" s="588" t="s">
        <v>3475</v>
      </c>
      <c r="T243" s="588" t="s">
        <v>5915</v>
      </c>
    </row>
    <row r="244" spans="1:21" s="561" customFormat="1" hidden="1" x14ac:dyDescent="0.35">
      <c r="A244" s="569" t="s">
        <v>3963</v>
      </c>
      <c r="B244" s="560" t="s">
        <v>37</v>
      </c>
      <c r="C244" s="570">
        <v>42621</v>
      </c>
      <c r="D244" s="4">
        <v>42621</v>
      </c>
      <c r="E244" s="570" t="s">
        <v>6121</v>
      </c>
      <c r="F244" s="404" t="s">
        <v>3958</v>
      </c>
      <c r="G244" s="571" t="s">
        <v>3655</v>
      </c>
      <c r="H244" s="2" t="s">
        <v>3656</v>
      </c>
      <c r="I244" s="405">
        <f t="shared" si="6"/>
        <v>7072.7479999999996</v>
      </c>
      <c r="J244" s="354">
        <f t="shared" si="7"/>
        <v>1792.80125</v>
      </c>
      <c r="K244" s="352">
        <f>+J244*(0.5556)</f>
        <v>996.08037449999995</v>
      </c>
      <c r="L244" s="353">
        <f>+K244*Q244</f>
        <v>199.2160749</v>
      </c>
      <c r="M244" s="345" t="s">
        <v>6169</v>
      </c>
      <c r="N244" s="560" t="s">
        <v>3785</v>
      </c>
      <c r="O244" s="2" t="s">
        <v>3941</v>
      </c>
      <c r="P244" s="387" t="s">
        <v>3659</v>
      </c>
      <c r="Q244" s="388">
        <v>0.2</v>
      </c>
      <c r="R244" s="406">
        <v>1900003890</v>
      </c>
      <c r="S244" s="560" t="s">
        <v>2617</v>
      </c>
      <c r="T244" s="560" t="s">
        <v>5915</v>
      </c>
    </row>
    <row r="245" spans="1:21" s="561" customFormat="1" hidden="1" x14ac:dyDescent="0.35">
      <c r="A245" s="569" t="s">
        <v>3964</v>
      </c>
      <c r="B245" s="560" t="s">
        <v>37</v>
      </c>
      <c r="C245" s="570">
        <v>42621</v>
      </c>
      <c r="D245" s="4">
        <v>42621</v>
      </c>
      <c r="E245" s="570" t="s">
        <v>41</v>
      </c>
      <c r="F245" s="404" t="s">
        <v>3958</v>
      </c>
      <c r="G245" s="571" t="s">
        <v>3655</v>
      </c>
      <c r="H245" s="2" t="s">
        <v>3656</v>
      </c>
      <c r="I245" s="405">
        <f t="shared" si="6"/>
        <v>7072.7479999999996</v>
      </c>
      <c r="J245" s="354">
        <f t="shared" si="7"/>
        <v>1792.80125</v>
      </c>
      <c r="K245" s="352">
        <f>+J245*(0.5556)</f>
        <v>996.08037449999995</v>
      </c>
      <c r="L245" s="353">
        <f>+K245*Q245</f>
        <v>199.2160749</v>
      </c>
      <c r="M245" s="345" t="s">
        <v>6169</v>
      </c>
      <c r="N245" s="560" t="s">
        <v>3785</v>
      </c>
      <c r="O245" s="2" t="s">
        <v>3941</v>
      </c>
      <c r="P245" s="387" t="s">
        <v>3659</v>
      </c>
      <c r="Q245" s="388">
        <v>0.2</v>
      </c>
      <c r="R245" s="406">
        <v>1900003890</v>
      </c>
      <c r="S245" s="560" t="s">
        <v>2617</v>
      </c>
      <c r="T245" s="560" t="s">
        <v>5915</v>
      </c>
    </row>
    <row r="246" spans="1:21" hidden="1" x14ac:dyDescent="0.35">
      <c r="A246" s="386" t="s">
        <v>3965</v>
      </c>
      <c r="B246" s="2" t="s">
        <v>37</v>
      </c>
      <c r="C246" s="4">
        <v>42621</v>
      </c>
      <c r="D246" s="4"/>
      <c r="E246" s="4" t="s">
        <v>43</v>
      </c>
      <c r="F246" s="404"/>
      <c r="G246" s="404"/>
      <c r="H246" s="2"/>
      <c r="I246" s="405"/>
      <c r="J246" s="354"/>
      <c r="K246" s="352"/>
      <c r="L246" s="353"/>
      <c r="M246" s="353"/>
      <c r="N246" s="2"/>
      <c r="O246" s="2"/>
      <c r="P246" s="387"/>
      <c r="Q246" s="388"/>
      <c r="R246" s="406"/>
      <c r="S246" s="2"/>
      <c r="T246" s="2"/>
    </row>
    <row r="247" spans="1:21" s="561" customFormat="1" hidden="1" x14ac:dyDescent="0.35">
      <c r="A247" s="569" t="s">
        <v>6126</v>
      </c>
      <c r="B247" s="560" t="s">
        <v>37</v>
      </c>
      <c r="C247" s="570">
        <v>42621</v>
      </c>
      <c r="D247" s="4"/>
      <c r="E247" s="570" t="s">
        <v>6125</v>
      </c>
      <c r="F247" s="404"/>
      <c r="G247" s="571" t="s">
        <v>3655</v>
      </c>
      <c r="H247" s="2"/>
      <c r="I247" s="405"/>
      <c r="J247" s="354"/>
      <c r="K247" s="352"/>
      <c r="L247" s="353"/>
      <c r="M247" s="353"/>
      <c r="N247" s="560" t="s">
        <v>3785</v>
      </c>
      <c r="O247" s="2"/>
      <c r="P247" s="387"/>
      <c r="Q247" s="388"/>
      <c r="R247" s="406"/>
      <c r="S247" s="560" t="s">
        <v>2617</v>
      </c>
      <c r="T247" s="560" t="s">
        <v>5915</v>
      </c>
    </row>
    <row r="248" spans="1:21" s="561" customFormat="1" hidden="1" x14ac:dyDescent="0.35">
      <c r="A248" s="569" t="s">
        <v>6168</v>
      </c>
      <c r="B248" s="560" t="s">
        <v>37</v>
      </c>
      <c r="C248" s="570">
        <v>42621</v>
      </c>
      <c r="D248" s="4">
        <v>42621</v>
      </c>
      <c r="E248" s="563" t="s">
        <v>61</v>
      </c>
      <c r="F248" s="404" t="s">
        <v>3958</v>
      </c>
      <c r="G248" s="571" t="s">
        <v>3655</v>
      </c>
      <c r="H248" s="2" t="s">
        <v>3656</v>
      </c>
      <c r="I248" s="405">
        <f t="shared" si="6"/>
        <v>7072.7479999999996</v>
      </c>
      <c r="J248" s="354">
        <f t="shared" si="7"/>
        <v>1792.80125</v>
      </c>
      <c r="K248" s="352">
        <f>+J248*(0.5556)</f>
        <v>996.08037449999995</v>
      </c>
      <c r="L248" s="353">
        <f>+K248*Q248</f>
        <v>199.2160749</v>
      </c>
      <c r="M248" s="353" t="s">
        <v>6169</v>
      </c>
      <c r="N248" s="560" t="s">
        <v>3785</v>
      </c>
      <c r="O248" s="2" t="s">
        <v>3941</v>
      </c>
      <c r="P248" s="387" t="s">
        <v>3659</v>
      </c>
      <c r="Q248" s="388">
        <v>0.2</v>
      </c>
      <c r="R248" s="406">
        <v>1900003890</v>
      </c>
      <c r="S248" s="560" t="s">
        <v>2617</v>
      </c>
      <c r="T248" s="560" t="s">
        <v>5915</v>
      </c>
    </row>
    <row r="249" spans="1:21" hidden="1" x14ac:dyDescent="0.35">
      <c r="A249" s="398" t="s">
        <v>3966</v>
      </c>
      <c r="B249" s="1" t="s">
        <v>3967</v>
      </c>
      <c r="C249" s="3">
        <v>42705</v>
      </c>
      <c r="D249" s="3">
        <v>42705</v>
      </c>
      <c r="E249" s="3" t="s">
        <v>1488</v>
      </c>
      <c r="F249" s="402" t="s">
        <v>3968</v>
      </c>
      <c r="G249" s="402" t="s">
        <v>1486</v>
      </c>
      <c r="H249" s="1" t="s">
        <v>3656</v>
      </c>
      <c r="I249" s="403">
        <v>4236.4390000000003</v>
      </c>
      <c r="J249" s="403">
        <v>1112.0493750000001</v>
      </c>
      <c r="K249" s="351">
        <v>617.85463275000006</v>
      </c>
      <c r="L249" s="345">
        <v>123.57092655000002</v>
      </c>
      <c r="M249" s="353" t="s">
        <v>6169</v>
      </c>
      <c r="N249" s="1" t="s">
        <v>3785</v>
      </c>
      <c r="O249" s="1" t="s">
        <v>3941</v>
      </c>
      <c r="P249" s="396" t="s">
        <v>3659</v>
      </c>
      <c r="Q249" s="397">
        <v>0.2</v>
      </c>
      <c r="R249" s="8">
        <v>1900000655</v>
      </c>
      <c r="S249" s="2" t="s">
        <v>1489</v>
      </c>
      <c r="T249" s="2" t="s">
        <v>5915</v>
      </c>
    </row>
    <row r="250" spans="1:21" hidden="1" x14ac:dyDescent="0.35">
      <c r="A250" s="398" t="s">
        <v>3969</v>
      </c>
      <c r="B250" s="1" t="s">
        <v>3967</v>
      </c>
      <c r="C250" s="3">
        <v>42705</v>
      </c>
      <c r="D250" s="3">
        <v>42705</v>
      </c>
      <c r="E250" s="3" t="s">
        <v>1516</v>
      </c>
      <c r="F250" s="402" t="s">
        <v>3968</v>
      </c>
      <c r="G250" s="402" t="s">
        <v>1486</v>
      </c>
      <c r="H250" s="1" t="s">
        <v>3656</v>
      </c>
      <c r="I250" s="403">
        <f>+(21632.88/6)*1.175</f>
        <v>4236.4390000000003</v>
      </c>
      <c r="J250" s="403">
        <f>+(5678.55/6)*1.175</f>
        <v>1112.0493750000001</v>
      </c>
      <c r="K250" s="351">
        <f>+J250*(0.5556)</f>
        <v>617.85463275000006</v>
      </c>
      <c r="L250" s="345">
        <f>+K250*Q250</f>
        <v>123.57092655000002</v>
      </c>
      <c r="M250" s="353" t="s">
        <v>6169</v>
      </c>
      <c r="N250" s="1" t="s">
        <v>3785</v>
      </c>
      <c r="O250" s="1" t="s">
        <v>3941</v>
      </c>
      <c r="P250" s="396" t="s">
        <v>3659</v>
      </c>
      <c r="Q250" s="397">
        <v>0.2</v>
      </c>
      <c r="R250" s="8">
        <v>1900000655</v>
      </c>
      <c r="S250" s="2" t="s">
        <v>1517</v>
      </c>
      <c r="T250" s="2" t="s">
        <v>5915</v>
      </c>
    </row>
    <row r="251" spans="1:21" hidden="1" x14ac:dyDescent="0.35">
      <c r="A251" s="398" t="s">
        <v>3970</v>
      </c>
      <c r="B251" s="1" t="s">
        <v>3967</v>
      </c>
      <c r="C251" s="3">
        <v>42705</v>
      </c>
      <c r="D251" s="3">
        <v>42705</v>
      </c>
      <c r="E251" s="3" t="s">
        <v>1534</v>
      </c>
      <c r="F251" s="402" t="s">
        <v>3968</v>
      </c>
      <c r="G251" s="402" t="s">
        <v>1486</v>
      </c>
      <c r="H251" s="1" t="s">
        <v>3656</v>
      </c>
      <c r="I251" s="403">
        <f>+(21632.88/6)*1.175</f>
        <v>4236.4390000000003</v>
      </c>
      <c r="J251" s="403">
        <f>+(5678.55/6)*1.175</f>
        <v>1112.0493750000001</v>
      </c>
      <c r="K251" s="351">
        <f>+J251*(0.5556)</f>
        <v>617.85463275000006</v>
      </c>
      <c r="L251" s="345">
        <f>+K251*Q251</f>
        <v>123.57092655000002</v>
      </c>
      <c r="M251" s="353" t="s">
        <v>6169</v>
      </c>
      <c r="N251" s="1" t="s">
        <v>3785</v>
      </c>
      <c r="O251" s="1" t="s">
        <v>3941</v>
      </c>
      <c r="P251" s="396" t="s">
        <v>3659</v>
      </c>
      <c r="Q251" s="397">
        <v>0.2</v>
      </c>
      <c r="R251" s="8">
        <v>1900000655</v>
      </c>
      <c r="S251" s="2" t="s">
        <v>3971</v>
      </c>
      <c r="T251" s="2" t="s">
        <v>5915</v>
      </c>
    </row>
    <row r="252" spans="1:21" hidden="1" x14ac:dyDescent="0.35">
      <c r="A252" s="398" t="s">
        <v>3972</v>
      </c>
      <c r="B252" s="1" t="s">
        <v>3967</v>
      </c>
      <c r="C252" s="3">
        <v>42705</v>
      </c>
      <c r="D252" s="3">
        <v>42705</v>
      </c>
      <c r="E252" s="3" t="s">
        <v>1539</v>
      </c>
      <c r="F252" s="402" t="s">
        <v>3968</v>
      </c>
      <c r="G252" s="402" t="s">
        <v>1486</v>
      </c>
      <c r="H252" s="1" t="s">
        <v>3656</v>
      </c>
      <c r="I252" s="403">
        <f>+(21632.88/6)*1.175</f>
        <v>4236.4390000000003</v>
      </c>
      <c r="J252" s="403">
        <f>+(5678.55/6)*1.175</f>
        <v>1112.0493750000001</v>
      </c>
      <c r="K252" s="351">
        <f>+J252*(0.5556)</f>
        <v>617.85463275000006</v>
      </c>
      <c r="L252" s="345">
        <f>+K252*Q252</f>
        <v>123.57092655000002</v>
      </c>
      <c r="M252" s="353" t="s">
        <v>6169</v>
      </c>
      <c r="N252" s="1" t="s">
        <v>3785</v>
      </c>
      <c r="O252" s="1" t="s">
        <v>3941</v>
      </c>
      <c r="P252" s="396" t="s">
        <v>3659</v>
      </c>
      <c r="Q252" s="397">
        <v>0.2</v>
      </c>
      <c r="R252" s="8">
        <v>1900000655</v>
      </c>
      <c r="S252" s="2" t="s">
        <v>3971</v>
      </c>
      <c r="T252" s="2" t="s">
        <v>5915</v>
      </c>
    </row>
    <row r="253" spans="1:21" hidden="1" x14ac:dyDescent="0.35">
      <c r="A253" s="398" t="s">
        <v>3973</v>
      </c>
      <c r="B253" s="1" t="s">
        <v>3967</v>
      </c>
      <c r="C253" s="3">
        <v>42705</v>
      </c>
      <c r="D253" s="3">
        <v>42705</v>
      </c>
      <c r="E253" s="3" t="s">
        <v>1555</v>
      </c>
      <c r="F253" s="402" t="s">
        <v>3968</v>
      </c>
      <c r="G253" s="402" t="s">
        <v>1486</v>
      </c>
      <c r="H253" s="1" t="s">
        <v>3656</v>
      </c>
      <c r="I253" s="403">
        <f>+(21632.88/6)*1.175</f>
        <v>4236.4390000000003</v>
      </c>
      <c r="J253" s="403">
        <f>+(5678.55/6)*1.175</f>
        <v>1112.0493750000001</v>
      </c>
      <c r="K253" s="351">
        <f>+J253*(0.5556)</f>
        <v>617.85463275000006</v>
      </c>
      <c r="L253" s="345">
        <f>+K253*Q253</f>
        <v>123.57092655000002</v>
      </c>
      <c r="M253" s="353" t="s">
        <v>6169</v>
      </c>
      <c r="N253" s="1" t="s">
        <v>3785</v>
      </c>
      <c r="O253" s="1" t="s">
        <v>3941</v>
      </c>
      <c r="P253" s="396" t="s">
        <v>3659</v>
      </c>
      <c r="Q253" s="397">
        <v>0.2</v>
      </c>
      <c r="R253" s="8">
        <v>1900000655</v>
      </c>
      <c r="S253" s="2" t="s">
        <v>1554</v>
      </c>
      <c r="T253" s="2" t="s">
        <v>5915</v>
      </c>
    </row>
    <row r="254" spans="1:21" hidden="1" x14ac:dyDescent="0.35">
      <c r="A254" s="398" t="s">
        <v>3974</v>
      </c>
      <c r="B254" s="1" t="s">
        <v>3967</v>
      </c>
      <c r="C254" s="3">
        <v>42705</v>
      </c>
      <c r="D254" s="3">
        <v>42705</v>
      </c>
      <c r="E254" s="3" t="s">
        <v>1574</v>
      </c>
      <c r="F254" s="402" t="s">
        <v>3968</v>
      </c>
      <c r="G254" s="402" t="s">
        <v>1486</v>
      </c>
      <c r="H254" s="1" t="s">
        <v>3656</v>
      </c>
      <c r="I254" s="403">
        <f>+(21632.88/6)*1.175</f>
        <v>4236.4390000000003</v>
      </c>
      <c r="J254" s="403">
        <f>+(5678.55/6)*1.175</f>
        <v>1112.0493750000001</v>
      </c>
      <c r="K254" s="351">
        <f>+J254*(0.5556)</f>
        <v>617.85463275000006</v>
      </c>
      <c r="L254" s="345">
        <f>+K254*Q254</f>
        <v>123.57092655000002</v>
      </c>
      <c r="M254" s="353" t="s">
        <v>6169</v>
      </c>
      <c r="N254" s="1" t="s">
        <v>3785</v>
      </c>
      <c r="O254" s="1" t="s">
        <v>3941</v>
      </c>
      <c r="P254" s="396" t="s">
        <v>3659</v>
      </c>
      <c r="Q254" s="397">
        <v>0.2</v>
      </c>
      <c r="R254" s="8">
        <v>1900000655</v>
      </c>
      <c r="S254" s="524" t="s">
        <v>1110</v>
      </c>
      <c r="T254" s="524" t="s">
        <v>5915</v>
      </c>
    </row>
    <row r="255" spans="1:21" hidden="1" x14ac:dyDescent="0.35">
      <c r="A255" s="398" t="s">
        <v>3975</v>
      </c>
      <c r="B255" s="539" t="s">
        <v>3976</v>
      </c>
      <c r="C255" s="3">
        <v>42835</v>
      </c>
      <c r="D255" s="3">
        <v>42835</v>
      </c>
      <c r="E255" s="3"/>
      <c r="F255" s="402" t="s">
        <v>3977</v>
      </c>
      <c r="G255" s="402"/>
      <c r="H255" s="1" t="s">
        <v>3656</v>
      </c>
      <c r="I255" s="403">
        <f t="shared" ref="I255:I260" si="8">113552.16/6</f>
        <v>18925.36</v>
      </c>
      <c r="J255" s="403">
        <f t="shared" ref="J255:J260" si="9">25323.62/6</f>
        <v>4220.6033333333335</v>
      </c>
      <c r="K255" s="351">
        <f>+J255*(0.5556)</f>
        <v>2344.967212</v>
      </c>
      <c r="L255" s="345">
        <f>+K255*Q255</f>
        <v>468.99344240000005</v>
      </c>
      <c r="M255" s="353" t="s">
        <v>6169</v>
      </c>
      <c r="N255" s="1" t="s">
        <v>3785</v>
      </c>
      <c r="O255" s="1" t="s">
        <v>3978</v>
      </c>
      <c r="P255" s="396" t="s">
        <v>3659</v>
      </c>
      <c r="Q255" s="397">
        <v>0.2</v>
      </c>
      <c r="R255" s="191">
        <v>1900001760</v>
      </c>
      <c r="S255" s="2" t="s">
        <v>3475</v>
      </c>
      <c r="T255" s="2" t="s">
        <v>5914</v>
      </c>
      <c r="U255" s="2" t="s">
        <v>3475</v>
      </c>
    </row>
    <row r="256" spans="1:21" hidden="1" x14ac:dyDescent="0.35">
      <c r="A256" s="398" t="s">
        <v>3979</v>
      </c>
      <c r="B256" s="539" t="s">
        <v>3976</v>
      </c>
      <c r="C256" s="3">
        <v>42835</v>
      </c>
      <c r="D256" s="3">
        <v>42835</v>
      </c>
      <c r="E256" s="3"/>
      <c r="F256" s="402" t="s">
        <v>3977</v>
      </c>
      <c r="G256" s="402"/>
      <c r="H256" s="1" t="s">
        <v>3656</v>
      </c>
      <c r="I256" s="403">
        <f t="shared" si="8"/>
        <v>18925.36</v>
      </c>
      <c r="J256" s="403">
        <f t="shared" si="9"/>
        <v>4220.6033333333335</v>
      </c>
      <c r="K256" s="351">
        <f>+J256*(0.5556)</f>
        <v>2344.967212</v>
      </c>
      <c r="L256" s="345">
        <f>+K256*Q256</f>
        <v>468.99344240000005</v>
      </c>
      <c r="M256" s="353" t="s">
        <v>6169</v>
      </c>
      <c r="N256" s="1" t="s">
        <v>3785</v>
      </c>
      <c r="O256" s="1" t="s">
        <v>3978</v>
      </c>
      <c r="P256" s="396" t="s">
        <v>3659</v>
      </c>
      <c r="Q256" s="397">
        <v>0.2</v>
      </c>
      <c r="R256" s="191">
        <v>1900001760</v>
      </c>
      <c r="S256" s="2" t="s">
        <v>3475</v>
      </c>
      <c r="T256" s="2" t="s">
        <v>5914</v>
      </c>
      <c r="U256" s="2" t="s">
        <v>3475</v>
      </c>
    </row>
    <row r="257" spans="1:21" hidden="1" x14ac:dyDescent="0.35">
      <c r="A257" s="398" t="s">
        <v>3980</v>
      </c>
      <c r="B257" s="539" t="s">
        <v>3976</v>
      </c>
      <c r="C257" s="3">
        <v>42835</v>
      </c>
      <c r="D257" s="3">
        <v>42835</v>
      </c>
      <c r="E257" s="3"/>
      <c r="F257" s="402" t="s">
        <v>3977</v>
      </c>
      <c r="G257" s="402"/>
      <c r="H257" s="1" t="s">
        <v>3656</v>
      </c>
      <c r="I257" s="403">
        <f t="shared" si="8"/>
        <v>18925.36</v>
      </c>
      <c r="J257" s="403">
        <f t="shared" si="9"/>
        <v>4220.6033333333335</v>
      </c>
      <c r="K257" s="351">
        <f>+J257*(0.5556)</f>
        <v>2344.967212</v>
      </c>
      <c r="L257" s="345">
        <f>+K257*Q257</f>
        <v>468.99344240000005</v>
      </c>
      <c r="M257" s="353" t="s">
        <v>6169</v>
      </c>
      <c r="N257" s="1" t="s">
        <v>3785</v>
      </c>
      <c r="O257" s="1" t="s">
        <v>3978</v>
      </c>
      <c r="P257" s="396" t="s">
        <v>3659</v>
      </c>
      <c r="Q257" s="397">
        <v>0.2</v>
      </c>
      <c r="R257" s="191">
        <v>1900001760</v>
      </c>
      <c r="S257" s="2" t="s">
        <v>3475</v>
      </c>
      <c r="T257" s="2" t="s">
        <v>5914</v>
      </c>
      <c r="U257" s="2" t="s">
        <v>3475</v>
      </c>
    </row>
    <row r="258" spans="1:21" hidden="1" x14ac:dyDescent="0.35">
      <c r="A258" s="398" t="s">
        <v>3981</v>
      </c>
      <c r="B258" s="539" t="s">
        <v>3976</v>
      </c>
      <c r="C258" s="3">
        <v>42835</v>
      </c>
      <c r="D258" s="3">
        <v>42835</v>
      </c>
      <c r="E258" s="3"/>
      <c r="F258" s="402" t="s">
        <v>3977</v>
      </c>
      <c r="G258" s="402"/>
      <c r="H258" s="1" t="s">
        <v>3656</v>
      </c>
      <c r="I258" s="403">
        <f t="shared" si="8"/>
        <v>18925.36</v>
      </c>
      <c r="J258" s="403">
        <f t="shared" si="9"/>
        <v>4220.6033333333335</v>
      </c>
      <c r="K258" s="351">
        <f>+J258*(0.5556)</f>
        <v>2344.967212</v>
      </c>
      <c r="L258" s="345">
        <f>+K258*Q258</f>
        <v>468.99344240000005</v>
      </c>
      <c r="M258" s="353" t="s">
        <v>6169</v>
      </c>
      <c r="N258" s="1" t="s">
        <v>3785</v>
      </c>
      <c r="O258" s="1" t="s">
        <v>3978</v>
      </c>
      <c r="P258" s="396" t="s">
        <v>3659</v>
      </c>
      <c r="Q258" s="397">
        <v>0.2</v>
      </c>
      <c r="R258" s="191">
        <v>1900001760</v>
      </c>
      <c r="S258" s="2" t="s">
        <v>3475</v>
      </c>
      <c r="T258" s="2" t="s">
        <v>5914</v>
      </c>
      <c r="U258" s="2" t="s">
        <v>3475</v>
      </c>
    </row>
    <row r="259" spans="1:21" hidden="1" x14ac:dyDescent="0.35">
      <c r="A259" s="398" t="s">
        <v>3982</v>
      </c>
      <c r="B259" s="539" t="s">
        <v>3976</v>
      </c>
      <c r="C259" s="3">
        <v>42835</v>
      </c>
      <c r="D259" s="3">
        <v>42835</v>
      </c>
      <c r="E259" s="3"/>
      <c r="F259" s="402" t="s">
        <v>3977</v>
      </c>
      <c r="G259" s="402"/>
      <c r="H259" s="1" t="s">
        <v>3656</v>
      </c>
      <c r="I259" s="403">
        <f t="shared" si="8"/>
        <v>18925.36</v>
      </c>
      <c r="J259" s="403">
        <f t="shared" si="9"/>
        <v>4220.6033333333335</v>
      </c>
      <c r="K259" s="351">
        <f>+J259*(0.5556)</f>
        <v>2344.967212</v>
      </c>
      <c r="L259" s="345">
        <f>+K259*Q259</f>
        <v>468.99344240000005</v>
      </c>
      <c r="M259" s="353" t="s">
        <v>6169</v>
      </c>
      <c r="N259" s="1" t="s">
        <v>3785</v>
      </c>
      <c r="O259" s="1" t="s">
        <v>3978</v>
      </c>
      <c r="P259" s="396" t="s">
        <v>3659</v>
      </c>
      <c r="Q259" s="397">
        <v>0.2</v>
      </c>
      <c r="R259" s="191">
        <v>1900001760</v>
      </c>
      <c r="S259" s="2" t="s">
        <v>3475</v>
      </c>
      <c r="T259" s="2" t="s">
        <v>5914</v>
      </c>
      <c r="U259" s="2" t="s">
        <v>3475</v>
      </c>
    </row>
    <row r="260" spans="1:21" hidden="1" x14ac:dyDescent="0.35">
      <c r="A260" s="398" t="s">
        <v>3983</v>
      </c>
      <c r="B260" s="539" t="s">
        <v>3976</v>
      </c>
      <c r="C260" s="3">
        <v>42835</v>
      </c>
      <c r="D260" s="3">
        <v>42835</v>
      </c>
      <c r="E260" s="3"/>
      <c r="F260" s="402" t="s">
        <v>3977</v>
      </c>
      <c r="G260" s="402"/>
      <c r="H260" s="1" t="s">
        <v>3656</v>
      </c>
      <c r="I260" s="403">
        <f t="shared" si="8"/>
        <v>18925.36</v>
      </c>
      <c r="J260" s="403">
        <f t="shared" si="9"/>
        <v>4220.6033333333335</v>
      </c>
      <c r="K260" s="351">
        <f>+J260*(0.5556)</f>
        <v>2344.967212</v>
      </c>
      <c r="L260" s="345">
        <f>+K260*Q260</f>
        <v>468.99344240000005</v>
      </c>
      <c r="M260" s="353" t="s">
        <v>6169</v>
      </c>
      <c r="N260" s="1" t="s">
        <v>3785</v>
      </c>
      <c r="O260" s="1" t="s">
        <v>3978</v>
      </c>
      <c r="P260" s="396" t="s">
        <v>3659</v>
      </c>
      <c r="Q260" s="397">
        <v>0.2</v>
      </c>
      <c r="R260" s="191">
        <v>1900001760</v>
      </c>
      <c r="S260" s="2" t="s">
        <v>3475</v>
      </c>
      <c r="T260" s="2" t="s">
        <v>5914</v>
      </c>
      <c r="U260" s="2" t="s">
        <v>3475</v>
      </c>
    </row>
    <row r="261" spans="1:21" s="594" customFormat="1" hidden="1" x14ac:dyDescent="0.35">
      <c r="A261" s="595" t="s">
        <v>3984</v>
      </c>
      <c r="B261" s="596" t="s">
        <v>44</v>
      </c>
      <c r="C261" s="583">
        <v>42770</v>
      </c>
      <c r="D261" s="3">
        <v>42770</v>
      </c>
      <c r="E261" s="583" t="s">
        <v>45</v>
      </c>
      <c r="F261" s="402" t="s">
        <v>3985</v>
      </c>
      <c r="G261" s="597" t="s">
        <v>3655</v>
      </c>
      <c r="H261" s="1" t="s">
        <v>3656</v>
      </c>
      <c r="I261" s="403">
        <f t="shared" ref="I261:I266" si="10">7514.1*1.175</f>
        <v>8829.067500000001</v>
      </c>
      <c r="J261" s="403">
        <v>2084.5428367500003</v>
      </c>
      <c r="K261" s="351">
        <f>+J261*(0.5556)</f>
        <v>1158.1720000983003</v>
      </c>
      <c r="L261" s="345">
        <f>+K261*Q261</f>
        <v>231.63440001966006</v>
      </c>
      <c r="M261" s="353" t="s">
        <v>6169</v>
      </c>
      <c r="N261" s="596" t="s">
        <v>3785</v>
      </c>
      <c r="O261" s="1" t="s">
        <v>3986</v>
      </c>
      <c r="P261" s="396" t="s">
        <v>3659</v>
      </c>
      <c r="Q261" s="397">
        <v>0.2</v>
      </c>
      <c r="R261" s="191">
        <v>1900000677</v>
      </c>
      <c r="S261" s="598" t="s">
        <v>3475</v>
      </c>
      <c r="T261" s="598" t="s">
        <v>5915</v>
      </c>
    </row>
    <row r="262" spans="1:21" s="594" customFormat="1" hidden="1" x14ac:dyDescent="0.35">
      <c r="A262" s="595" t="s">
        <v>3987</v>
      </c>
      <c r="B262" s="596" t="s">
        <v>44</v>
      </c>
      <c r="C262" s="583">
        <v>42770</v>
      </c>
      <c r="D262" s="3">
        <v>42770</v>
      </c>
      <c r="E262" s="583" t="s">
        <v>47</v>
      </c>
      <c r="F262" s="402" t="s">
        <v>3985</v>
      </c>
      <c r="G262" s="597" t="s">
        <v>3655</v>
      </c>
      <c r="H262" s="1" t="s">
        <v>3656</v>
      </c>
      <c r="I262" s="403">
        <f t="shared" si="10"/>
        <v>8829.067500000001</v>
      </c>
      <c r="J262" s="403">
        <f>2084.54283675-0.45</f>
        <v>2084.0928367500001</v>
      </c>
      <c r="K262" s="351">
        <f>+J262*(0.5556)</f>
        <v>1157.9219800983001</v>
      </c>
      <c r="L262" s="345">
        <f>+K262*Q262</f>
        <v>231.58439601966003</v>
      </c>
      <c r="M262" s="353" t="s">
        <v>6169</v>
      </c>
      <c r="N262" s="596" t="s">
        <v>3785</v>
      </c>
      <c r="O262" s="1" t="s">
        <v>3986</v>
      </c>
      <c r="P262" s="396" t="s">
        <v>3659</v>
      </c>
      <c r="Q262" s="397">
        <v>0.2</v>
      </c>
      <c r="R262" s="191">
        <v>1900000677</v>
      </c>
      <c r="S262" s="588" t="s">
        <v>3475</v>
      </c>
      <c r="T262" s="588" t="s">
        <v>5915</v>
      </c>
    </row>
    <row r="263" spans="1:21" s="594" customFormat="1" hidden="1" x14ac:dyDescent="0.35">
      <c r="A263" s="595" t="s">
        <v>3988</v>
      </c>
      <c r="B263" s="596" t="s">
        <v>44</v>
      </c>
      <c r="C263" s="583">
        <v>42770</v>
      </c>
      <c r="D263" s="3">
        <v>42770</v>
      </c>
      <c r="E263" s="583" t="s">
        <v>48</v>
      </c>
      <c r="F263" s="402" t="s">
        <v>3985</v>
      </c>
      <c r="G263" s="597" t="s">
        <v>3655</v>
      </c>
      <c r="H263" s="1" t="s">
        <v>3656</v>
      </c>
      <c r="I263" s="403">
        <f t="shared" si="10"/>
        <v>8829.067500000001</v>
      </c>
      <c r="J263" s="403">
        <v>2084.5428367500003</v>
      </c>
      <c r="K263" s="351">
        <f>+J263*(0.5556)</f>
        <v>1158.1720000983003</v>
      </c>
      <c r="L263" s="345">
        <f>+K263*Q263</f>
        <v>231.63440001966006</v>
      </c>
      <c r="M263" s="353" t="s">
        <v>6169</v>
      </c>
      <c r="N263" s="596" t="s">
        <v>3989</v>
      </c>
      <c r="O263" s="1" t="s">
        <v>3986</v>
      </c>
      <c r="P263" s="396" t="s">
        <v>3659</v>
      </c>
      <c r="Q263" s="397">
        <v>0.2</v>
      </c>
      <c r="R263" s="191">
        <v>1900000677</v>
      </c>
      <c r="S263" s="588" t="s">
        <v>3475</v>
      </c>
      <c r="T263" s="588" t="s">
        <v>5915</v>
      </c>
    </row>
    <row r="264" spans="1:21" s="594" customFormat="1" hidden="1" x14ac:dyDescent="0.35">
      <c r="A264" s="595" t="s">
        <v>3990</v>
      </c>
      <c r="B264" s="596" t="s">
        <v>44</v>
      </c>
      <c r="C264" s="583">
        <v>42770</v>
      </c>
      <c r="D264" s="3">
        <v>42770</v>
      </c>
      <c r="E264" s="583" t="s">
        <v>49</v>
      </c>
      <c r="F264" s="402" t="s">
        <v>3985</v>
      </c>
      <c r="G264" s="597" t="s">
        <v>3655</v>
      </c>
      <c r="H264" s="1" t="s">
        <v>3656</v>
      </c>
      <c r="I264" s="403">
        <f t="shared" si="10"/>
        <v>8829.067500000001</v>
      </c>
      <c r="J264" s="403">
        <v>2084.5428367500003</v>
      </c>
      <c r="K264" s="351">
        <f>+J264*(0.5556)</f>
        <v>1158.1720000983003</v>
      </c>
      <c r="L264" s="345">
        <f>+K264*Q264</f>
        <v>231.63440001966006</v>
      </c>
      <c r="M264" s="353" t="s">
        <v>6169</v>
      </c>
      <c r="N264" s="1" t="s">
        <v>3989</v>
      </c>
      <c r="O264" s="1" t="s">
        <v>3986</v>
      </c>
      <c r="P264" s="396" t="s">
        <v>3659</v>
      </c>
      <c r="Q264" s="397">
        <v>0.2</v>
      </c>
      <c r="R264" s="191">
        <v>1900000677</v>
      </c>
      <c r="S264" s="588" t="s">
        <v>3475</v>
      </c>
      <c r="T264" s="588" t="s">
        <v>5915</v>
      </c>
    </row>
    <row r="265" spans="1:21" s="561" customFormat="1" hidden="1" x14ac:dyDescent="0.35">
      <c r="A265" s="556" t="s">
        <v>3991</v>
      </c>
      <c r="B265" s="557" t="s">
        <v>44</v>
      </c>
      <c r="C265" s="558">
        <v>42770</v>
      </c>
      <c r="D265" s="3">
        <v>42770</v>
      </c>
      <c r="E265" s="558" t="s">
        <v>50</v>
      </c>
      <c r="F265" s="402" t="s">
        <v>3985</v>
      </c>
      <c r="G265" s="562" t="s">
        <v>3655</v>
      </c>
      <c r="H265" s="1" t="s">
        <v>3656</v>
      </c>
      <c r="I265" s="403">
        <f t="shared" si="10"/>
        <v>8829.067500000001</v>
      </c>
      <c r="J265" s="403">
        <v>2084.5428367500003</v>
      </c>
      <c r="K265" s="351">
        <f>+J265*(0.5556)</f>
        <v>1158.1720000983003</v>
      </c>
      <c r="L265" s="345">
        <f>+K265*Q265</f>
        <v>231.63440001966006</v>
      </c>
      <c r="M265" s="353" t="s">
        <v>6169</v>
      </c>
      <c r="N265" s="557" t="s">
        <v>3989</v>
      </c>
      <c r="O265" s="1" t="s">
        <v>3986</v>
      </c>
      <c r="P265" s="396" t="s">
        <v>3659</v>
      </c>
      <c r="Q265" s="397">
        <v>0.2</v>
      </c>
      <c r="R265" s="191">
        <v>1900000677</v>
      </c>
      <c r="S265" s="560" t="s">
        <v>2617</v>
      </c>
      <c r="T265" s="560" t="s">
        <v>5915</v>
      </c>
    </row>
    <row r="266" spans="1:21" s="561" customFormat="1" hidden="1" x14ac:dyDescent="0.35">
      <c r="A266" s="556" t="s">
        <v>3992</v>
      </c>
      <c r="B266" s="557" t="s">
        <v>44</v>
      </c>
      <c r="C266" s="558">
        <v>42770</v>
      </c>
      <c r="D266" s="3">
        <v>42770</v>
      </c>
      <c r="E266" s="558" t="s">
        <v>51</v>
      </c>
      <c r="F266" s="402" t="s">
        <v>3985</v>
      </c>
      <c r="G266" s="562" t="s">
        <v>3655</v>
      </c>
      <c r="H266" s="557" t="s">
        <v>3656</v>
      </c>
      <c r="I266" s="403">
        <f t="shared" si="10"/>
        <v>8829.067500000001</v>
      </c>
      <c r="J266" s="403">
        <v>2084.5428367500003</v>
      </c>
      <c r="K266" s="351">
        <f>+J266*(0.5556)</f>
        <v>1158.1720000983003</v>
      </c>
      <c r="L266" s="345">
        <f>+K266*Q266</f>
        <v>231.63440001966006</v>
      </c>
      <c r="M266" s="353" t="s">
        <v>6169</v>
      </c>
      <c r="N266" s="557" t="s">
        <v>3989</v>
      </c>
      <c r="O266" s="1" t="s">
        <v>3986</v>
      </c>
      <c r="P266" s="396" t="s">
        <v>3659</v>
      </c>
      <c r="Q266" s="397">
        <v>0.2</v>
      </c>
      <c r="R266" s="191">
        <v>1900000677</v>
      </c>
      <c r="S266" s="573" t="s">
        <v>2617</v>
      </c>
      <c r="T266" s="573" t="s">
        <v>5915</v>
      </c>
    </row>
    <row r="267" spans="1:21" s="594" customFormat="1" hidden="1" x14ac:dyDescent="0.35">
      <c r="A267" s="595" t="s">
        <v>3993</v>
      </c>
      <c r="B267" s="596" t="s">
        <v>52</v>
      </c>
      <c r="C267" s="583">
        <v>42770</v>
      </c>
      <c r="D267" s="3">
        <v>42770</v>
      </c>
      <c r="E267" s="583"/>
      <c r="F267" s="402" t="s">
        <v>3985</v>
      </c>
      <c r="G267" s="597" t="s">
        <v>3655</v>
      </c>
      <c r="H267" s="1" t="s">
        <v>3656</v>
      </c>
      <c r="I267" s="403">
        <f>7340.16*1.175</f>
        <v>8624.6880000000001</v>
      </c>
      <c r="J267" s="403">
        <v>2036.2888368000001</v>
      </c>
      <c r="K267" s="351">
        <f>+J267*(0.5556)</f>
        <v>1131.3620777260801</v>
      </c>
      <c r="L267" s="345">
        <f>+K267*Q267</f>
        <v>226.27241554521603</v>
      </c>
      <c r="M267" s="353" t="s">
        <v>6169</v>
      </c>
      <c r="N267" s="1" t="s">
        <v>3989</v>
      </c>
      <c r="O267" s="1" t="s">
        <v>3986</v>
      </c>
      <c r="P267" s="396" t="s">
        <v>3659</v>
      </c>
      <c r="Q267" s="397">
        <v>0.2</v>
      </c>
      <c r="R267" s="191">
        <v>1900000677</v>
      </c>
      <c r="S267" s="588" t="s">
        <v>3475</v>
      </c>
      <c r="T267" s="588" t="s">
        <v>5914</v>
      </c>
      <c r="U267" s="588" t="s">
        <v>3475</v>
      </c>
    </row>
    <row r="268" spans="1:21" s="594" customFormat="1" hidden="1" x14ac:dyDescent="0.35">
      <c r="A268" s="595" t="s">
        <v>3994</v>
      </c>
      <c r="B268" s="596" t="s">
        <v>52</v>
      </c>
      <c r="C268" s="583">
        <v>42770</v>
      </c>
      <c r="D268" s="3">
        <v>42770</v>
      </c>
      <c r="E268" s="583"/>
      <c r="F268" s="402" t="s">
        <v>3985</v>
      </c>
      <c r="G268" s="597" t="s">
        <v>3655</v>
      </c>
      <c r="H268" s="1" t="s">
        <v>3656</v>
      </c>
      <c r="I268" s="403">
        <f>7340.16*1.175</f>
        <v>8624.6880000000001</v>
      </c>
      <c r="J268" s="403">
        <v>2036.2888368000001</v>
      </c>
      <c r="K268" s="351">
        <f>+J268*(0.5556)</f>
        <v>1131.3620777260801</v>
      </c>
      <c r="L268" s="345">
        <f>+K268*Q268</f>
        <v>226.27241554521603</v>
      </c>
      <c r="M268" s="353" t="s">
        <v>6169</v>
      </c>
      <c r="N268" s="1" t="s">
        <v>3989</v>
      </c>
      <c r="O268" s="1" t="s">
        <v>3986</v>
      </c>
      <c r="P268" s="396" t="s">
        <v>3659</v>
      </c>
      <c r="Q268" s="397">
        <v>0.2</v>
      </c>
      <c r="R268" s="191">
        <v>1900000677</v>
      </c>
      <c r="S268" s="588" t="s">
        <v>3475</v>
      </c>
      <c r="T268" s="588" t="s">
        <v>5914</v>
      </c>
      <c r="U268" s="588" t="s">
        <v>3475</v>
      </c>
    </row>
    <row r="269" spans="1:21" s="594" customFormat="1" hidden="1" x14ac:dyDescent="0.35">
      <c r="A269" s="595" t="s">
        <v>3995</v>
      </c>
      <c r="B269" s="596" t="s">
        <v>52</v>
      </c>
      <c r="C269" s="583">
        <v>42770</v>
      </c>
      <c r="D269" s="3">
        <v>42770</v>
      </c>
      <c r="E269" s="583"/>
      <c r="F269" s="402" t="s">
        <v>3985</v>
      </c>
      <c r="G269" s="597" t="s">
        <v>3655</v>
      </c>
      <c r="H269" s="1" t="s">
        <v>3656</v>
      </c>
      <c r="I269" s="403">
        <f>7340.16*1.175</f>
        <v>8624.6880000000001</v>
      </c>
      <c r="J269" s="403">
        <v>2036.2888368000001</v>
      </c>
      <c r="K269" s="351">
        <f>+J269*(0.5556)</f>
        <v>1131.3620777260801</v>
      </c>
      <c r="L269" s="345">
        <f>+K269*Q269</f>
        <v>226.27241554521603</v>
      </c>
      <c r="M269" s="353" t="s">
        <v>6169</v>
      </c>
      <c r="N269" s="1" t="s">
        <v>3989</v>
      </c>
      <c r="O269" s="1" t="s">
        <v>3986</v>
      </c>
      <c r="P269" s="396" t="s">
        <v>3659</v>
      </c>
      <c r="Q269" s="397">
        <v>0.2</v>
      </c>
      <c r="R269" s="191">
        <v>1900000677</v>
      </c>
      <c r="S269" s="588" t="s">
        <v>3475</v>
      </c>
      <c r="T269" s="588" t="s">
        <v>5914</v>
      </c>
      <c r="U269" s="588" t="s">
        <v>3475</v>
      </c>
    </row>
    <row r="270" spans="1:21" s="594" customFormat="1" ht="15.75" hidden="1" customHeight="1" x14ac:dyDescent="0.35">
      <c r="A270" s="595" t="s">
        <v>3996</v>
      </c>
      <c r="B270" s="596" t="s">
        <v>52</v>
      </c>
      <c r="C270" s="583">
        <v>42770</v>
      </c>
      <c r="D270" s="3">
        <v>42770</v>
      </c>
      <c r="E270" s="583"/>
      <c r="F270" s="402" t="s">
        <v>3985</v>
      </c>
      <c r="G270" s="597" t="s">
        <v>3655</v>
      </c>
      <c r="H270" s="1" t="s">
        <v>3656</v>
      </c>
      <c r="I270" s="403">
        <f>7340.16*1.175</f>
        <v>8624.6880000000001</v>
      </c>
      <c r="J270" s="403">
        <v>2036.2888368000001</v>
      </c>
      <c r="K270" s="351">
        <f>+J270*(0.5556)</f>
        <v>1131.3620777260801</v>
      </c>
      <c r="L270" s="345">
        <f>+K270*Q270</f>
        <v>226.27241554521603</v>
      </c>
      <c r="M270" s="353" t="s">
        <v>6169</v>
      </c>
      <c r="N270" s="1" t="s">
        <v>3989</v>
      </c>
      <c r="O270" s="1" t="s">
        <v>3986</v>
      </c>
      <c r="P270" s="396" t="s">
        <v>3659</v>
      </c>
      <c r="Q270" s="397">
        <v>0.2</v>
      </c>
      <c r="R270" s="191">
        <v>1900000677</v>
      </c>
      <c r="S270" s="588" t="s">
        <v>3475</v>
      </c>
      <c r="T270" s="588" t="s">
        <v>5914</v>
      </c>
      <c r="U270" s="588" t="s">
        <v>3475</v>
      </c>
    </row>
    <row r="271" spans="1:21" s="594" customFormat="1" hidden="1" x14ac:dyDescent="0.35">
      <c r="A271" s="595" t="s">
        <v>3997</v>
      </c>
      <c r="B271" s="596" t="s">
        <v>52</v>
      </c>
      <c r="C271" s="583">
        <v>42770</v>
      </c>
      <c r="D271" s="3">
        <v>42770</v>
      </c>
      <c r="E271" s="583"/>
      <c r="F271" s="402" t="s">
        <v>3985</v>
      </c>
      <c r="G271" s="597" t="s">
        <v>3655</v>
      </c>
      <c r="H271" s="1" t="s">
        <v>3656</v>
      </c>
      <c r="I271" s="403">
        <f>7340.16*1.175</f>
        <v>8624.6880000000001</v>
      </c>
      <c r="J271" s="403">
        <v>2036.2888368000001</v>
      </c>
      <c r="K271" s="351">
        <f>+J271*(0.5556)</f>
        <v>1131.3620777260801</v>
      </c>
      <c r="L271" s="345">
        <f>+K271*Q271</f>
        <v>226.27241554521603</v>
      </c>
      <c r="M271" s="353" t="s">
        <v>6169</v>
      </c>
      <c r="N271" s="1" t="s">
        <v>3989</v>
      </c>
      <c r="O271" s="1" t="s">
        <v>3986</v>
      </c>
      <c r="P271" s="396" t="s">
        <v>3659</v>
      </c>
      <c r="Q271" s="397">
        <v>0.2</v>
      </c>
      <c r="R271" s="191">
        <v>1900000677</v>
      </c>
      <c r="S271" s="588" t="s">
        <v>3475</v>
      </c>
      <c r="T271" s="588" t="s">
        <v>5914</v>
      </c>
      <c r="U271" s="588" t="s">
        <v>3475</v>
      </c>
    </row>
    <row r="272" spans="1:21" s="594" customFormat="1" hidden="1" x14ac:dyDescent="0.35">
      <c r="A272" s="595" t="s">
        <v>3998</v>
      </c>
      <c r="B272" s="596" t="s">
        <v>52</v>
      </c>
      <c r="C272" s="583">
        <v>43012</v>
      </c>
      <c r="D272" s="3">
        <v>43012</v>
      </c>
      <c r="E272" s="583" t="s">
        <v>53</v>
      </c>
      <c r="F272" s="402" t="s">
        <v>3999</v>
      </c>
      <c r="G272" s="597" t="s">
        <v>3655</v>
      </c>
      <c r="H272" s="1" t="s">
        <v>3656</v>
      </c>
      <c r="I272" s="407">
        <f t="shared" ref="I272:I284" si="11">120745.63/14</f>
        <v>8624.687857142857</v>
      </c>
      <c r="J272" s="407">
        <f t="shared" ref="J272:J284" si="12">26927.8614/14</f>
        <v>1923.4186714285715</v>
      </c>
      <c r="K272" s="351">
        <f>+J272*(0.5556)</f>
        <v>1068.6514138457144</v>
      </c>
      <c r="L272" s="345">
        <f>+K272*Q272</f>
        <v>213.73028276914289</v>
      </c>
      <c r="M272" s="353" t="s">
        <v>6169</v>
      </c>
      <c r="N272" s="1" t="s">
        <v>3989</v>
      </c>
      <c r="O272" s="1" t="s">
        <v>3986</v>
      </c>
      <c r="P272" s="396" t="s">
        <v>3659</v>
      </c>
      <c r="Q272" s="397">
        <v>0.2</v>
      </c>
      <c r="R272" s="191">
        <v>1900001765</v>
      </c>
      <c r="S272" s="598" t="s">
        <v>3475</v>
      </c>
      <c r="T272" s="598" t="s">
        <v>5915</v>
      </c>
    </row>
    <row r="273" spans="1:21" s="594" customFormat="1" hidden="1" x14ac:dyDescent="0.35">
      <c r="A273" s="595" t="s">
        <v>4000</v>
      </c>
      <c r="B273" s="596" t="s">
        <v>52</v>
      </c>
      <c r="C273" s="583">
        <v>43012</v>
      </c>
      <c r="D273" s="3">
        <v>43012</v>
      </c>
      <c r="E273" s="583" t="s">
        <v>54</v>
      </c>
      <c r="F273" s="402" t="s">
        <v>3999</v>
      </c>
      <c r="G273" s="597" t="s">
        <v>3655</v>
      </c>
      <c r="H273" s="1" t="s">
        <v>3656</v>
      </c>
      <c r="I273" s="407">
        <f t="shared" si="11"/>
        <v>8624.687857142857</v>
      </c>
      <c r="J273" s="407">
        <f t="shared" si="12"/>
        <v>1923.4186714285715</v>
      </c>
      <c r="K273" s="351">
        <f>+J273*(0.5556)</f>
        <v>1068.6514138457144</v>
      </c>
      <c r="L273" s="345">
        <f>+K273*Q273</f>
        <v>213.73028276914289</v>
      </c>
      <c r="M273" s="353" t="s">
        <v>6169</v>
      </c>
      <c r="N273" s="1" t="s">
        <v>3989</v>
      </c>
      <c r="O273" s="1" t="s">
        <v>3986</v>
      </c>
      <c r="P273" s="396" t="s">
        <v>3659</v>
      </c>
      <c r="Q273" s="397">
        <v>0.2</v>
      </c>
      <c r="R273" s="191">
        <v>1900001765</v>
      </c>
      <c r="S273" s="798" t="s">
        <v>4001</v>
      </c>
      <c r="T273" s="798" t="s">
        <v>5915</v>
      </c>
    </row>
    <row r="274" spans="1:21" s="594" customFormat="1" hidden="1" x14ac:dyDescent="0.35">
      <c r="A274" s="595" t="s">
        <v>4002</v>
      </c>
      <c r="B274" s="596" t="s">
        <v>52</v>
      </c>
      <c r="C274" s="583">
        <v>43012</v>
      </c>
      <c r="D274" s="3">
        <v>43012</v>
      </c>
      <c r="E274" s="583"/>
      <c r="F274" s="402" t="s">
        <v>3999</v>
      </c>
      <c r="G274" s="597" t="s">
        <v>3655</v>
      </c>
      <c r="H274" s="1" t="s">
        <v>3656</v>
      </c>
      <c r="I274" s="407">
        <f t="shared" si="11"/>
        <v>8624.687857142857</v>
      </c>
      <c r="J274" s="407">
        <f t="shared" si="12"/>
        <v>1923.4186714285715</v>
      </c>
      <c r="K274" s="351">
        <f>+J274*(0.5556)</f>
        <v>1068.6514138457144</v>
      </c>
      <c r="L274" s="345">
        <f>+K274*Q274</f>
        <v>213.73028276914289</v>
      </c>
      <c r="M274" s="353" t="s">
        <v>6169</v>
      </c>
      <c r="N274" s="1" t="s">
        <v>3785</v>
      </c>
      <c r="O274" s="1" t="s">
        <v>3986</v>
      </c>
      <c r="P274" s="396" t="s">
        <v>3659</v>
      </c>
      <c r="Q274" s="397">
        <v>0.2</v>
      </c>
      <c r="R274" s="191">
        <v>1900001765</v>
      </c>
      <c r="S274" s="588" t="s">
        <v>3475</v>
      </c>
      <c r="T274" s="588" t="s">
        <v>5914</v>
      </c>
      <c r="U274" s="588" t="s">
        <v>3475</v>
      </c>
    </row>
    <row r="275" spans="1:21" s="594" customFormat="1" hidden="1" x14ac:dyDescent="0.35">
      <c r="A275" s="595" t="s">
        <v>4003</v>
      </c>
      <c r="B275" s="596" t="s">
        <v>52</v>
      </c>
      <c r="C275" s="583">
        <v>43012</v>
      </c>
      <c r="D275" s="3">
        <v>43012</v>
      </c>
      <c r="E275" s="583"/>
      <c r="F275" s="402" t="s">
        <v>3999</v>
      </c>
      <c r="G275" s="597" t="s">
        <v>3655</v>
      </c>
      <c r="H275" s="1" t="s">
        <v>3656</v>
      </c>
      <c r="I275" s="407">
        <f t="shared" si="11"/>
        <v>8624.687857142857</v>
      </c>
      <c r="J275" s="407">
        <f t="shared" si="12"/>
        <v>1923.4186714285715</v>
      </c>
      <c r="K275" s="351">
        <f>+J275*(0.5556)</f>
        <v>1068.6514138457144</v>
      </c>
      <c r="L275" s="345">
        <f>+K275*Q275</f>
        <v>213.73028276914289</v>
      </c>
      <c r="M275" s="353" t="s">
        <v>6169</v>
      </c>
      <c r="N275" s="1" t="s">
        <v>3785</v>
      </c>
      <c r="O275" s="1" t="s">
        <v>3986</v>
      </c>
      <c r="P275" s="396" t="s">
        <v>3659</v>
      </c>
      <c r="Q275" s="397">
        <v>0.2</v>
      </c>
      <c r="R275" s="191">
        <v>1900001765</v>
      </c>
      <c r="S275" s="588" t="s">
        <v>3475</v>
      </c>
      <c r="T275" s="588" t="s">
        <v>5914</v>
      </c>
      <c r="U275" s="588" t="s">
        <v>3475</v>
      </c>
    </row>
    <row r="276" spans="1:21" s="594" customFormat="1" hidden="1" x14ac:dyDescent="0.35">
      <c r="A276" s="595" t="s">
        <v>4004</v>
      </c>
      <c r="B276" s="596" t="s">
        <v>52</v>
      </c>
      <c r="C276" s="583">
        <v>43012</v>
      </c>
      <c r="D276" s="3">
        <v>43012</v>
      </c>
      <c r="E276" s="583"/>
      <c r="F276" s="402" t="s">
        <v>3999</v>
      </c>
      <c r="G276" s="597" t="s">
        <v>3655</v>
      </c>
      <c r="H276" s="1" t="s">
        <v>3656</v>
      </c>
      <c r="I276" s="407">
        <f t="shared" si="11"/>
        <v>8624.687857142857</v>
      </c>
      <c r="J276" s="407">
        <f t="shared" si="12"/>
        <v>1923.4186714285715</v>
      </c>
      <c r="K276" s="351">
        <f>+J276*(0.5556)</f>
        <v>1068.6514138457144</v>
      </c>
      <c r="L276" s="345">
        <f>+K276*Q276</f>
        <v>213.73028276914289</v>
      </c>
      <c r="M276" s="353" t="s">
        <v>6169</v>
      </c>
      <c r="N276" s="1" t="s">
        <v>3785</v>
      </c>
      <c r="O276" s="1" t="s">
        <v>3986</v>
      </c>
      <c r="P276" s="396" t="s">
        <v>3659</v>
      </c>
      <c r="Q276" s="397">
        <v>0.2</v>
      </c>
      <c r="R276" s="191">
        <v>1900001765</v>
      </c>
      <c r="S276" s="588" t="s">
        <v>3475</v>
      </c>
      <c r="T276" s="588" t="s">
        <v>5914</v>
      </c>
      <c r="U276" s="588" t="s">
        <v>3475</v>
      </c>
    </row>
    <row r="277" spans="1:21" s="594" customFormat="1" hidden="1" x14ac:dyDescent="0.35">
      <c r="A277" s="595" t="s">
        <v>4005</v>
      </c>
      <c r="B277" s="596" t="s">
        <v>52</v>
      </c>
      <c r="C277" s="583">
        <v>43012</v>
      </c>
      <c r="D277" s="3">
        <v>43012</v>
      </c>
      <c r="E277" s="583"/>
      <c r="F277" s="402" t="s">
        <v>3999</v>
      </c>
      <c r="G277" s="597" t="s">
        <v>3655</v>
      </c>
      <c r="H277" s="1" t="s">
        <v>3656</v>
      </c>
      <c r="I277" s="407">
        <f t="shared" si="11"/>
        <v>8624.687857142857</v>
      </c>
      <c r="J277" s="407">
        <f t="shared" si="12"/>
        <v>1923.4186714285715</v>
      </c>
      <c r="K277" s="351">
        <f>+J277*(0.5556)</f>
        <v>1068.6514138457144</v>
      </c>
      <c r="L277" s="345">
        <f>+K277*Q277</f>
        <v>213.73028276914289</v>
      </c>
      <c r="M277" s="353" t="s">
        <v>6169</v>
      </c>
      <c r="N277" s="1" t="s">
        <v>3785</v>
      </c>
      <c r="O277" s="1" t="s">
        <v>3986</v>
      </c>
      <c r="P277" s="396" t="s">
        <v>3659</v>
      </c>
      <c r="Q277" s="397">
        <v>0.2</v>
      </c>
      <c r="R277" s="191">
        <v>1900001765</v>
      </c>
      <c r="S277" s="588" t="s">
        <v>3475</v>
      </c>
      <c r="T277" s="588" t="s">
        <v>5914</v>
      </c>
      <c r="U277" s="588" t="s">
        <v>3475</v>
      </c>
    </row>
    <row r="278" spans="1:21" s="594" customFormat="1" hidden="1" x14ac:dyDescent="0.35">
      <c r="A278" s="595" t="s">
        <v>4006</v>
      </c>
      <c r="B278" s="596" t="s">
        <v>52</v>
      </c>
      <c r="C278" s="583">
        <v>43012</v>
      </c>
      <c r="D278" s="3">
        <v>43012</v>
      </c>
      <c r="E278" s="583"/>
      <c r="F278" s="402" t="s">
        <v>3999</v>
      </c>
      <c r="G278" s="597" t="s">
        <v>3655</v>
      </c>
      <c r="H278" s="1" t="s">
        <v>3656</v>
      </c>
      <c r="I278" s="407">
        <f t="shared" si="11"/>
        <v>8624.687857142857</v>
      </c>
      <c r="J278" s="407">
        <f t="shared" si="12"/>
        <v>1923.4186714285715</v>
      </c>
      <c r="K278" s="351">
        <f>+J278*(0.5556)</f>
        <v>1068.6514138457144</v>
      </c>
      <c r="L278" s="345">
        <f>+K278*Q278</f>
        <v>213.73028276914289</v>
      </c>
      <c r="M278" s="353" t="s">
        <v>6169</v>
      </c>
      <c r="N278" s="1" t="s">
        <v>3785</v>
      </c>
      <c r="O278" s="1" t="s">
        <v>3986</v>
      </c>
      <c r="P278" s="396" t="s">
        <v>3659</v>
      </c>
      <c r="Q278" s="397">
        <v>0.2</v>
      </c>
      <c r="R278" s="191">
        <v>1900001765</v>
      </c>
      <c r="S278" s="588" t="s">
        <v>3475</v>
      </c>
      <c r="T278" s="588" t="s">
        <v>5914</v>
      </c>
      <c r="U278" s="588" t="s">
        <v>3475</v>
      </c>
    </row>
    <row r="279" spans="1:21" s="594" customFormat="1" hidden="1" x14ac:dyDescent="0.35">
      <c r="A279" s="595" t="s">
        <v>4007</v>
      </c>
      <c r="B279" s="596" t="s">
        <v>52</v>
      </c>
      <c r="C279" s="583">
        <v>43012</v>
      </c>
      <c r="D279" s="3">
        <v>43012</v>
      </c>
      <c r="E279" s="583"/>
      <c r="F279" s="402" t="s">
        <v>3999</v>
      </c>
      <c r="G279" s="597" t="s">
        <v>3655</v>
      </c>
      <c r="H279" s="1" t="s">
        <v>3656</v>
      </c>
      <c r="I279" s="407">
        <f t="shared" si="11"/>
        <v>8624.687857142857</v>
      </c>
      <c r="J279" s="407">
        <f t="shared" si="12"/>
        <v>1923.4186714285715</v>
      </c>
      <c r="K279" s="351">
        <f>+J279*(0.5556)</f>
        <v>1068.6514138457144</v>
      </c>
      <c r="L279" s="345">
        <f>+K279*Q279</f>
        <v>213.73028276914289</v>
      </c>
      <c r="M279" s="353" t="s">
        <v>6169</v>
      </c>
      <c r="N279" s="1" t="s">
        <v>3785</v>
      </c>
      <c r="O279" s="1" t="s">
        <v>3986</v>
      </c>
      <c r="P279" s="396" t="s">
        <v>3659</v>
      </c>
      <c r="Q279" s="397">
        <v>0.2</v>
      </c>
      <c r="R279" s="191">
        <v>1900001765</v>
      </c>
      <c r="S279" s="588" t="s">
        <v>3475</v>
      </c>
      <c r="T279" s="588" t="s">
        <v>5914</v>
      </c>
      <c r="U279" s="588" t="s">
        <v>3475</v>
      </c>
    </row>
    <row r="280" spans="1:21" s="594" customFormat="1" hidden="1" x14ac:dyDescent="0.35">
      <c r="A280" s="595" t="s">
        <v>4008</v>
      </c>
      <c r="B280" s="596" t="s">
        <v>52</v>
      </c>
      <c r="C280" s="583">
        <v>43012</v>
      </c>
      <c r="D280" s="3">
        <v>43012</v>
      </c>
      <c r="E280" s="583"/>
      <c r="F280" s="402" t="s">
        <v>3999</v>
      </c>
      <c r="G280" s="597" t="s">
        <v>3655</v>
      </c>
      <c r="H280" s="1" t="s">
        <v>3656</v>
      </c>
      <c r="I280" s="407">
        <f t="shared" si="11"/>
        <v>8624.687857142857</v>
      </c>
      <c r="J280" s="407">
        <f t="shared" si="12"/>
        <v>1923.4186714285715</v>
      </c>
      <c r="K280" s="351">
        <f>+J280*(0.5556)</f>
        <v>1068.6514138457144</v>
      </c>
      <c r="L280" s="345">
        <f>+K280*Q280</f>
        <v>213.73028276914289</v>
      </c>
      <c r="M280" s="353" t="s">
        <v>6169</v>
      </c>
      <c r="N280" s="1" t="s">
        <v>3785</v>
      </c>
      <c r="O280" s="1" t="s">
        <v>3986</v>
      </c>
      <c r="P280" s="396" t="s">
        <v>3659</v>
      </c>
      <c r="Q280" s="397">
        <v>0.2</v>
      </c>
      <c r="R280" s="191">
        <v>1900001765</v>
      </c>
      <c r="S280" s="588" t="s">
        <v>3475</v>
      </c>
      <c r="T280" s="588" t="s">
        <v>5914</v>
      </c>
      <c r="U280" s="588" t="s">
        <v>3475</v>
      </c>
    </row>
    <row r="281" spans="1:21" s="561" customFormat="1" hidden="1" x14ac:dyDescent="0.35">
      <c r="A281" s="556"/>
      <c r="B281" s="557" t="s">
        <v>52</v>
      </c>
      <c r="C281" s="558">
        <v>43012</v>
      </c>
      <c r="D281" s="3"/>
      <c r="E281" s="563" t="s">
        <v>6124</v>
      </c>
      <c r="F281" s="402"/>
      <c r="G281" s="562" t="s">
        <v>3655</v>
      </c>
      <c r="H281" s="1"/>
      <c r="I281" s="407"/>
      <c r="J281" s="407"/>
      <c r="K281" s="351"/>
      <c r="L281" s="345"/>
      <c r="M281" s="345"/>
      <c r="N281" s="557" t="s">
        <v>3785</v>
      </c>
      <c r="O281" s="1"/>
      <c r="P281" s="396"/>
      <c r="Q281" s="397"/>
      <c r="R281" s="191"/>
      <c r="S281" s="574" t="s">
        <v>2617</v>
      </c>
      <c r="T281" s="574" t="s">
        <v>5915</v>
      </c>
    </row>
    <row r="282" spans="1:21" s="561" customFormat="1" hidden="1" x14ac:dyDescent="0.35">
      <c r="A282" s="556" t="s">
        <v>4009</v>
      </c>
      <c r="B282" s="557" t="s">
        <v>55</v>
      </c>
      <c r="C282" s="558">
        <v>43012</v>
      </c>
      <c r="D282" s="3">
        <v>43012</v>
      </c>
      <c r="E282" s="558" t="s">
        <v>56</v>
      </c>
      <c r="F282" s="402" t="s">
        <v>3999</v>
      </c>
      <c r="G282" s="562" t="s">
        <v>3655</v>
      </c>
      <c r="H282" s="557" t="s">
        <v>3656</v>
      </c>
      <c r="I282" s="407">
        <f t="shared" si="11"/>
        <v>8624.687857142857</v>
      </c>
      <c r="J282" s="407">
        <f t="shared" si="12"/>
        <v>1923.4186714285715</v>
      </c>
      <c r="K282" s="351">
        <f>+J282*(0.5556)</f>
        <v>1068.6514138457144</v>
      </c>
      <c r="L282" s="345">
        <f>+K282*Q282</f>
        <v>213.73028276914289</v>
      </c>
      <c r="M282" s="345" t="s">
        <v>6169</v>
      </c>
      <c r="N282" s="557" t="s">
        <v>3785</v>
      </c>
      <c r="O282" s="1" t="s">
        <v>3986</v>
      </c>
      <c r="P282" s="396" t="s">
        <v>3659</v>
      </c>
      <c r="Q282" s="397">
        <v>0.2</v>
      </c>
      <c r="R282" s="191">
        <v>1900001765</v>
      </c>
      <c r="S282" s="574" t="s">
        <v>2617</v>
      </c>
      <c r="T282" s="574" t="s">
        <v>5915</v>
      </c>
    </row>
    <row r="283" spans="1:21" s="561" customFormat="1" hidden="1" x14ac:dyDescent="0.35">
      <c r="A283" s="556"/>
      <c r="B283" s="557" t="s">
        <v>55</v>
      </c>
      <c r="C283" s="558">
        <v>43012</v>
      </c>
      <c r="D283" s="3"/>
      <c r="E283" s="558" t="s">
        <v>6432</v>
      </c>
      <c r="F283" s="402"/>
      <c r="G283" s="562" t="s">
        <v>3655</v>
      </c>
      <c r="H283" s="557" t="s">
        <v>3656</v>
      </c>
      <c r="I283" s="407"/>
      <c r="J283" s="407"/>
      <c r="K283" s="351"/>
      <c r="L283" s="345"/>
      <c r="M283" s="345"/>
      <c r="N283" s="557" t="s">
        <v>3785</v>
      </c>
      <c r="O283" s="1"/>
      <c r="P283" s="396"/>
      <c r="Q283" s="397"/>
      <c r="R283" s="191"/>
      <c r="S283" s="574" t="s">
        <v>2617</v>
      </c>
      <c r="T283" s="574"/>
    </row>
    <row r="284" spans="1:21" s="594" customFormat="1" hidden="1" x14ac:dyDescent="0.35">
      <c r="A284" s="595" t="s">
        <v>4010</v>
      </c>
      <c r="B284" s="596" t="s">
        <v>55</v>
      </c>
      <c r="C284" s="583">
        <v>43012</v>
      </c>
      <c r="D284" s="3">
        <v>43012</v>
      </c>
      <c r="E284" s="583" t="s">
        <v>58</v>
      </c>
      <c r="F284" s="402" t="s">
        <v>3999</v>
      </c>
      <c r="G284" s="597" t="s">
        <v>3655</v>
      </c>
      <c r="H284" s="1" t="s">
        <v>3656</v>
      </c>
      <c r="I284" s="407">
        <f t="shared" si="11"/>
        <v>8624.687857142857</v>
      </c>
      <c r="J284" s="407">
        <f t="shared" si="12"/>
        <v>1923.4186714285715</v>
      </c>
      <c r="K284" s="351">
        <f>+J284*(0.5556)</f>
        <v>1068.6514138457144</v>
      </c>
      <c r="L284" s="345">
        <f>+K284*Q284</f>
        <v>213.73028276914289</v>
      </c>
      <c r="M284" s="345" t="s">
        <v>6169</v>
      </c>
      <c r="N284" s="1" t="s">
        <v>3785</v>
      </c>
      <c r="O284" s="1" t="s">
        <v>3986</v>
      </c>
      <c r="P284" s="396" t="s">
        <v>3659</v>
      </c>
      <c r="Q284" s="397">
        <v>0.2</v>
      </c>
      <c r="R284" s="191">
        <v>1900001765</v>
      </c>
      <c r="S284" s="588" t="s">
        <v>3475</v>
      </c>
      <c r="T284" s="588" t="s">
        <v>5915</v>
      </c>
    </row>
    <row r="285" spans="1:21" hidden="1" x14ac:dyDescent="0.35">
      <c r="A285" s="408" t="s">
        <v>4011</v>
      </c>
      <c r="B285" s="7" t="s">
        <v>2484</v>
      </c>
      <c r="C285" s="409" t="s">
        <v>4012</v>
      </c>
      <c r="D285" s="409" t="s">
        <v>4012</v>
      </c>
      <c r="E285" s="409" t="s">
        <v>2485</v>
      </c>
      <c r="F285" s="410" t="s">
        <v>4013</v>
      </c>
      <c r="G285" s="410" t="s">
        <v>3937</v>
      </c>
      <c r="H285" s="7" t="s">
        <v>3656</v>
      </c>
      <c r="I285" s="411">
        <f>145022.24/2</f>
        <v>72511.12</v>
      </c>
      <c r="J285" s="411">
        <f>34222.82/2</f>
        <v>17111.41</v>
      </c>
      <c r="K285" s="355">
        <f>+J285*(0.5556)</f>
        <v>9507.0993959999996</v>
      </c>
      <c r="L285" s="356">
        <f>+K285*Q285</f>
        <v>1901.4198792</v>
      </c>
      <c r="M285" s="356" t="s">
        <v>6169</v>
      </c>
      <c r="N285" s="7" t="s">
        <v>3785</v>
      </c>
      <c r="O285" s="7" t="s">
        <v>3978</v>
      </c>
      <c r="P285" s="412" t="s">
        <v>3659</v>
      </c>
      <c r="Q285" s="413">
        <v>0.2</v>
      </c>
      <c r="R285" s="414">
        <v>1900002959</v>
      </c>
      <c r="S285" s="391" t="s">
        <v>2504</v>
      </c>
      <c r="T285" s="2" t="s">
        <v>5915</v>
      </c>
    </row>
    <row r="286" spans="1:21" hidden="1" x14ac:dyDescent="0.35">
      <c r="A286" s="398" t="s">
        <v>4014</v>
      </c>
      <c r="B286" s="1" t="s">
        <v>2484</v>
      </c>
      <c r="C286" s="3" t="s">
        <v>4012</v>
      </c>
      <c r="D286" s="3" t="s">
        <v>4012</v>
      </c>
      <c r="E286" s="3" t="s">
        <v>2486</v>
      </c>
      <c r="F286" s="402" t="s">
        <v>4013</v>
      </c>
      <c r="G286" s="410" t="s">
        <v>3937</v>
      </c>
      <c r="H286" s="1" t="s">
        <v>3656</v>
      </c>
      <c r="I286" s="403">
        <f>145022.24/2</f>
        <v>72511.12</v>
      </c>
      <c r="J286" s="403">
        <f>34222.82/2</f>
        <v>17111.41</v>
      </c>
      <c r="K286" s="351">
        <f>+J286*(0.5556)</f>
        <v>9507.0993959999996</v>
      </c>
      <c r="L286" s="345">
        <f>+K286*Q286</f>
        <v>1901.4198792</v>
      </c>
      <c r="M286" s="345" t="s">
        <v>6169</v>
      </c>
      <c r="N286" s="1" t="s">
        <v>3785</v>
      </c>
      <c r="O286" s="1" t="s">
        <v>3978</v>
      </c>
      <c r="P286" s="396" t="s">
        <v>3659</v>
      </c>
      <c r="Q286" s="397">
        <v>0.2</v>
      </c>
      <c r="R286" s="191">
        <v>1900002959</v>
      </c>
      <c r="S286" s="391" t="s">
        <v>2504</v>
      </c>
      <c r="T286" s="2" t="s">
        <v>5915</v>
      </c>
    </row>
    <row r="287" spans="1:21" s="594" customFormat="1" hidden="1" x14ac:dyDescent="0.35">
      <c r="A287" s="595" t="s">
        <v>4015</v>
      </c>
      <c r="B287" s="596" t="s">
        <v>44</v>
      </c>
      <c r="C287" s="583" t="s">
        <v>4016</v>
      </c>
      <c r="D287" s="3" t="s">
        <v>4016</v>
      </c>
      <c r="E287" s="583" t="s">
        <v>59</v>
      </c>
      <c r="F287" s="402" t="s">
        <v>4017</v>
      </c>
      <c r="G287" s="597" t="s">
        <v>3655</v>
      </c>
      <c r="H287" s="1" t="s">
        <v>3656</v>
      </c>
      <c r="I287" s="403">
        <f t="shared" ref="I287:I311" si="13">211897.62/24</f>
        <v>8829.0674999999992</v>
      </c>
      <c r="J287" s="403">
        <f t="shared" ref="J287:J311" si="14">50004.28/24</f>
        <v>2083.5116666666668</v>
      </c>
      <c r="K287" s="351">
        <f>+J287*(0.5556)</f>
        <v>1157.599082</v>
      </c>
      <c r="L287" s="345">
        <f>+K287*Q287</f>
        <v>231.5198164</v>
      </c>
      <c r="M287" s="345" t="s">
        <v>6169</v>
      </c>
      <c r="N287" s="1" t="s">
        <v>3785</v>
      </c>
      <c r="O287" s="1" t="s">
        <v>3986</v>
      </c>
      <c r="P287" s="396" t="s">
        <v>3659</v>
      </c>
      <c r="Q287" s="397">
        <v>0.2</v>
      </c>
      <c r="R287" s="191">
        <v>1900003314</v>
      </c>
      <c r="S287" s="588" t="s">
        <v>3475</v>
      </c>
      <c r="T287" s="588" t="s">
        <v>5915</v>
      </c>
    </row>
    <row r="288" spans="1:21" s="594" customFormat="1" hidden="1" x14ac:dyDescent="0.35">
      <c r="A288" s="595" t="s">
        <v>4018</v>
      </c>
      <c r="B288" s="596" t="s">
        <v>44</v>
      </c>
      <c r="C288" s="583" t="s">
        <v>4016</v>
      </c>
      <c r="D288" s="3" t="s">
        <v>4016</v>
      </c>
      <c r="E288" s="583" t="s">
        <v>60</v>
      </c>
      <c r="F288" s="402" t="s">
        <v>4017</v>
      </c>
      <c r="G288" s="597" t="s">
        <v>3655</v>
      </c>
      <c r="H288" s="1" t="s">
        <v>3656</v>
      </c>
      <c r="I288" s="403">
        <f t="shared" si="13"/>
        <v>8829.0674999999992</v>
      </c>
      <c r="J288" s="403">
        <f t="shared" si="14"/>
        <v>2083.5116666666668</v>
      </c>
      <c r="K288" s="351">
        <f>+J288*(0.5556)</f>
        <v>1157.599082</v>
      </c>
      <c r="L288" s="345">
        <f>+K288*Q288</f>
        <v>231.5198164</v>
      </c>
      <c r="M288" s="345" t="s">
        <v>6169</v>
      </c>
      <c r="N288" s="1" t="s">
        <v>3785</v>
      </c>
      <c r="O288" s="1" t="s">
        <v>3986</v>
      </c>
      <c r="P288" s="396" t="s">
        <v>3659</v>
      </c>
      <c r="Q288" s="397">
        <v>0.2</v>
      </c>
      <c r="R288" s="191">
        <v>1900003314</v>
      </c>
      <c r="S288" s="807" t="s">
        <v>3475</v>
      </c>
      <c r="T288" s="588" t="s">
        <v>5915</v>
      </c>
    </row>
    <row r="289" spans="1:21" s="594" customFormat="1" hidden="1" x14ac:dyDescent="0.35">
      <c r="A289" s="595" t="s">
        <v>4019</v>
      </c>
      <c r="B289" s="596" t="s">
        <v>44</v>
      </c>
      <c r="C289" s="583" t="s">
        <v>4016</v>
      </c>
      <c r="D289" s="3" t="s">
        <v>4016</v>
      </c>
      <c r="E289" s="583"/>
      <c r="F289" s="402" t="s">
        <v>4017</v>
      </c>
      <c r="G289" s="597" t="s">
        <v>3655</v>
      </c>
      <c r="H289" s="1" t="s">
        <v>3656</v>
      </c>
      <c r="I289" s="403">
        <f t="shared" si="13"/>
        <v>8829.0674999999992</v>
      </c>
      <c r="J289" s="403">
        <f t="shared" si="14"/>
        <v>2083.5116666666668</v>
      </c>
      <c r="K289" s="351">
        <f>+J289*(0.5556)</f>
        <v>1157.599082</v>
      </c>
      <c r="L289" s="345">
        <f>+K289*Q289</f>
        <v>231.5198164</v>
      </c>
      <c r="M289" s="345" t="s">
        <v>6169</v>
      </c>
      <c r="N289" s="1" t="s">
        <v>3785</v>
      </c>
      <c r="O289" s="1" t="s">
        <v>3986</v>
      </c>
      <c r="P289" s="396" t="s">
        <v>3659</v>
      </c>
      <c r="Q289" s="397">
        <v>0.2</v>
      </c>
      <c r="R289" s="191">
        <v>1900003314</v>
      </c>
      <c r="S289" s="588" t="s">
        <v>3475</v>
      </c>
      <c r="T289" s="588" t="s">
        <v>5914</v>
      </c>
      <c r="U289" s="594" t="s">
        <v>3475</v>
      </c>
    </row>
    <row r="290" spans="1:21" s="594" customFormat="1" hidden="1" x14ac:dyDescent="0.35">
      <c r="A290" s="595" t="s">
        <v>4020</v>
      </c>
      <c r="B290" s="596" t="s">
        <v>44</v>
      </c>
      <c r="C290" s="583" t="s">
        <v>4016</v>
      </c>
      <c r="D290" s="3" t="s">
        <v>4016</v>
      </c>
      <c r="E290" s="583"/>
      <c r="F290" s="402" t="s">
        <v>4017</v>
      </c>
      <c r="G290" s="597" t="s">
        <v>3655</v>
      </c>
      <c r="H290" s="1" t="s">
        <v>3656</v>
      </c>
      <c r="I290" s="403">
        <f t="shared" si="13"/>
        <v>8829.0674999999992</v>
      </c>
      <c r="J290" s="403">
        <f t="shared" si="14"/>
        <v>2083.5116666666668</v>
      </c>
      <c r="K290" s="351">
        <f>+J290*(0.5556)</f>
        <v>1157.599082</v>
      </c>
      <c r="L290" s="345">
        <f>+K290*Q290</f>
        <v>231.5198164</v>
      </c>
      <c r="M290" s="345" t="s">
        <v>6169</v>
      </c>
      <c r="N290" s="1" t="s">
        <v>3785</v>
      </c>
      <c r="O290" s="1" t="s">
        <v>3986</v>
      </c>
      <c r="P290" s="396" t="s">
        <v>3659</v>
      </c>
      <c r="Q290" s="397">
        <v>0.2</v>
      </c>
      <c r="R290" s="191">
        <v>1900003314</v>
      </c>
      <c r="S290" s="588" t="s">
        <v>3475</v>
      </c>
      <c r="T290" s="588" t="s">
        <v>5914</v>
      </c>
      <c r="U290" s="594" t="s">
        <v>3475</v>
      </c>
    </row>
    <row r="291" spans="1:21" s="594" customFormat="1" hidden="1" x14ac:dyDescent="0.35">
      <c r="A291" s="595" t="s">
        <v>4021</v>
      </c>
      <c r="B291" s="596" t="s">
        <v>44</v>
      </c>
      <c r="C291" s="583" t="s">
        <v>4016</v>
      </c>
      <c r="D291" s="3" t="s">
        <v>4016</v>
      </c>
      <c r="E291" s="583"/>
      <c r="F291" s="402" t="s">
        <v>4017</v>
      </c>
      <c r="G291" s="597" t="s">
        <v>3655</v>
      </c>
      <c r="H291" s="1" t="s">
        <v>3656</v>
      </c>
      <c r="I291" s="403">
        <f t="shared" si="13"/>
        <v>8829.0674999999992</v>
      </c>
      <c r="J291" s="403">
        <f t="shared" si="14"/>
        <v>2083.5116666666668</v>
      </c>
      <c r="K291" s="351">
        <f>+J291*(0.5556)</f>
        <v>1157.599082</v>
      </c>
      <c r="L291" s="345">
        <f>+K291*Q291</f>
        <v>231.5198164</v>
      </c>
      <c r="M291" s="345" t="s">
        <v>6169</v>
      </c>
      <c r="N291" s="1" t="s">
        <v>3785</v>
      </c>
      <c r="O291" s="1" t="s">
        <v>3986</v>
      </c>
      <c r="P291" s="396" t="s">
        <v>3659</v>
      </c>
      <c r="Q291" s="397">
        <v>0.2</v>
      </c>
      <c r="R291" s="191">
        <v>1900003314</v>
      </c>
      <c r="S291" s="588" t="s">
        <v>3475</v>
      </c>
      <c r="T291" s="588" t="s">
        <v>5914</v>
      </c>
      <c r="U291" s="594" t="s">
        <v>3475</v>
      </c>
    </row>
    <row r="292" spans="1:21" s="594" customFormat="1" hidden="1" x14ac:dyDescent="0.35">
      <c r="A292" s="595" t="s">
        <v>4022</v>
      </c>
      <c r="B292" s="596" t="s">
        <v>44</v>
      </c>
      <c r="C292" s="583" t="s">
        <v>4016</v>
      </c>
      <c r="D292" s="3" t="s">
        <v>4016</v>
      </c>
      <c r="E292" s="583"/>
      <c r="F292" s="402" t="s">
        <v>4017</v>
      </c>
      <c r="G292" s="597" t="s">
        <v>3655</v>
      </c>
      <c r="H292" s="1" t="s">
        <v>3656</v>
      </c>
      <c r="I292" s="403">
        <f t="shared" si="13"/>
        <v>8829.0674999999992</v>
      </c>
      <c r="J292" s="403">
        <f t="shared" si="14"/>
        <v>2083.5116666666668</v>
      </c>
      <c r="K292" s="351">
        <f>+J292*(0.5556)</f>
        <v>1157.599082</v>
      </c>
      <c r="L292" s="345">
        <f>+K292*Q292</f>
        <v>231.5198164</v>
      </c>
      <c r="M292" s="345" t="s">
        <v>6169</v>
      </c>
      <c r="N292" s="1" t="s">
        <v>3785</v>
      </c>
      <c r="O292" s="1" t="s">
        <v>3986</v>
      </c>
      <c r="P292" s="396" t="s">
        <v>3659</v>
      </c>
      <c r="Q292" s="397">
        <v>0.2</v>
      </c>
      <c r="R292" s="191">
        <v>1900003314</v>
      </c>
      <c r="S292" s="588" t="s">
        <v>3475</v>
      </c>
      <c r="T292" s="588" t="s">
        <v>5914</v>
      </c>
      <c r="U292" s="594" t="s">
        <v>3475</v>
      </c>
    </row>
    <row r="293" spans="1:21" s="594" customFormat="1" hidden="1" x14ac:dyDescent="0.35">
      <c r="A293" s="595" t="s">
        <v>4023</v>
      </c>
      <c r="B293" s="596" t="s">
        <v>44</v>
      </c>
      <c r="C293" s="583" t="s">
        <v>4016</v>
      </c>
      <c r="D293" s="3" t="s">
        <v>4016</v>
      </c>
      <c r="E293" s="583"/>
      <c r="F293" s="402" t="s">
        <v>4017</v>
      </c>
      <c r="G293" s="597" t="s">
        <v>3655</v>
      </c>
      <c r="H293" s="1" t="s">
        <v>3656</v>
      </c>
      <c r="I293" s="403">
        <f t="shared" si="13"/>
        <v>8829.0674999999992</v>
      </c>
      <c r="J293" s="403">
        <f t="shared" si="14"/>
        <v>2083.5116666666668</v>
      </c>
      <c r="K293" s="351">
        <f>+J293*(0.5556)</f>
        <v>1157.599082</v>
      </c>
      <c r="L293" s="345">
        <f>+K293*Q293</f>
        <v>231.5198164</v>
      </c>
      <c r="M293" s="345" t="s">
        <v>6169</v>
      </c>
      <c r="N293" s="1" t="s">
        <v>3785</v>
      </c>
      <c r="O293" s="1" t="s">
        <v>3986</v>
      </c>
      <c r="P293" s="396" t="s">
        <v>3659</v>
      </c>
      <c r="Q293" s="397">
        <v>0.2</v>
      </c>
      <c r="R293" s="191">
        <v>1900003314</v>
      </c>
      <c r="S293" s="588" t="s">
        <v>3475</v>
      </c>
      <c r="T293" s="588" t="s">
        <v>5914</v>
      </c>
      <c r="U293" s="594" t="s">
        <v>3475</v>
      </c>
    </row>
    <row r="294" spans="1:21" s="594" customFormat="1" hidden="1" x14ac:dyDescent="0.35">
      <c r="A294" s="595" t="s">
        <v>4024</v>
      </c>
      <c r="B294" s="596" t="s">
        <v>44</v>
      </c>
      <c r="C294" s="583" t="s">
        <v>4016</v>
      </c>
      <c r="D294" s="3" t="s">
        <v>4016</v>
      </c>
      <c r="E294" s="583"/>
      <c r="F294" s="402" t="s">
        <v>4017</v>
      </c>
      <c r="G294" s="597" t="s">
        <v>3655</v>
      </c>
      <c r="H294" s="1" t="s">
        <v>3656</v>
      </c>
      <c r="I294" s="403">
        <f t="shared" si="13"/>
        <v>8829.0674999999992</v>
      </c>
      <c r="J294" s="403">
        <f t="shared" si="14"/>
        <v>2083.5116666666668</v>
      </c>
      <c r="K294" s="351">
        <f>+J294*(0.5556)</f>
        <v>1157.599082</v>
      </c>
      <c r="L294" s="345">
        <f>+K294*Q294</f>
        <v>231.5198164</v>
      </c>
      <c r="M294" s="356" t="s">
        <v>6169</v>
      </c>
      <c r="N294" s="1" t="s">
        <v>3785</v>
      </c>
      <c r="O294" s="1" t="s">
        <v>3986</v>
      </c>
      <c r="P294" s="396" t="s">
        <v>3659</v>
      </c>
      <c r="Q294" s="397">
        <v>0.2</v>
      </c>
      <c r="R294" s="191">
        <v>1900003314</v>
      </c>
      <c r="S294" s="588" t="s">
        <v>3475</v>
      </c>
      <c r="T294" s="588" t="s">
        <v>5914</v>
      </c>
      <c r="U294" s="594" t="s">
        <v>3475</v>
      </c>
    </row>
    <row r="295" spans="1:21" s="594" customFormat="1" hidden="1" x14ac:dyDescent="0.35">
      <c r="A295" s="595" t="s">
        <v>4025</v>
      </c>
      <c r="B295" s="596" t="s">
        <v>44</v>
      </c>
      <c r="C295" s="583" t="s">
        <v>4016</v>
      </c>
      <c r="D295" s="3" t="s">
        <v>4016</v>
      </c>
      <c r="E295" s="583"/>
      <c r="F295" s="402" t="s">
        <v>4017</v>
      </c>
      <c r="G295" s="597" t="s">
        <v>3655</v>
      </c>
      <c r="H295" s="1" t="s">
        <v>3656</v>
      </c>
      <c r="I295" s="403">
        <f t="shared" si="13"/>
        <v>8829.0674999999992</v>
      </c>
      <c r="J295" s="403">
        <f t="shared" si="14"/>
        <v>2083.5116666666668</v>
      </c>
      <c r="K295" s="351">
        <f>+J295*(0.5556)</f>
        <v>1157.599082</v>
      </c>
      <c r="L295" s="345">
        <f>+K295*Q295</f>
        <v>231.5198164</v>
      </c>
      <c r="M295" s="345" t="s">
        <v>6169</v>
      </c>
      <c r="N295" s="1" t="s">
        <v>3785</v>
      </c>
      <c r="O295" s="1" t="s">
        <v>3986</v>
      </c>
      <c r="P295" s="396" t="s">
        <v>3659</v>
      </c>
      <c r="Q295" s="397">
        <v>0.2</v>
      </c>
      <c r="R295" s="191">
        <v>1900003314</v>
      </c>
      <c r="S295" s="588" t="s">
        <v>3475</v>
      </c>
      <c r="T295" s="588" t="s">
        <v>5914</v>
      </c>
      <c r="U295" s="594" t="s">
        <v>3475</v>
      </c>
    </row>
    <row r="296" spans="1:21" s="594" customFormat="1" hidden="1" x14ac:dyDescent="0.35">
      <c r="A296" s="595" t="s">
        <v>4026</v>
      </c>
      <c r="B296" s="596" t="s">
        <v>44</v>
      </c>
      <c r="C296" s="583" t="s">
        <v>4016</v>
      </c>
      <c r="D296" s="3" t="s">
        <v>4016</v>
      </c>
      <c r="E296" s="583"/>
      <c r="F296" s="402" t="s">
        <v>4017</v>
      </c>
      <c r="G296" s="597" t="s">
        <v>3655</v>
      </c>
      <c r="H296" s="1" t="s">
        <v>3656</v>
      </c>
      <c r="I296" s="403">
        <f t="shared" si="13"/>
        <v>8829.0674999999992</v>
      </c>
      <c r="J296" s="403">
        <f t="shared" si="14"/>
        <v>2083.5116666666668</v>
      </c>
      <c r="K296" s="351">
        <f>+J296*(0.5556)</f>
        <v>1157.599082</v>
      </c>
      <c r="L296" s="345">
        <f>+K296*Q296</f>
        <v>231.5198164</v>
      </c>
      <c r="M296" s="345" t="s">
        <v>6169</v>
      </c>
      <c r="N296" s="1" t="s">
        <v>3785</v>
      </c>
      <c r="O296" s="1" t="s">
        <v>3986</v>
      </c>
      <c r="P296" s="396" t="s">
        <v>3659</v>
      </c>
      <c r="Q296" s="397">
        <v>0.2</v>
      </c>
      <c r="R296" s="191">
        <v>1900003314</v>
      </c>
      <c r="S296" s="588" t="s">
        <v>3475</v>
      </c>
      <c r="T296" s="588" t="s">
        <v>5914</v>
      </c>
      <c r="U296" s="594" t="s">
        <v>3475</v>
      </c>
    </row>
    <row r="297" spans="1:21" s="594" customFormat="1" hidden="1" x14ac:dyDescent="0.35">
      <c r="A297" s="595" t="s">
        <v>4027</v>
      </c>
      <c r="B297" s="596" t="s">
        <v>44</v>
      </c>
      <c r="C297" s="583" t="s">
        <v>4016</v>
      </c>
      <c r="D297" s="3" t="s">
        <v>4016</v>
      </c>
      <c r="E297" s="583"/>
      <c r="F297" s="402" t="s">
        <v>4017</v>
      </c>
      <c r="G297" s="597" t="s">
        <v>3655</v>
      </c>
      <c r="H297" s="1" t="s">
        <v>3656</v>
      </c>
      <c r="I297" s="403">
        <f t="shared" si="13"/>
        <v>8829.0674999999992</v>
      </c>
      <c r="J297" s="403">
        <f t="shared" si="14"/>
        <v>2083.5116666666668</v>
      </c>
      <c r="K297" s="351">
        <f>+J297*(0.5556)</f>
        <v>1157.599082</v>
      </c>
      <c r="L297" s="345">
        <f>+K297*Q297</f>
        <v>231.5198164</v>
      </c>
      <c r="M297" s="345" t="s">
        <v>6169</v>
      </c>
      <c r="N297" s="1" t="s">
        <v>3785</v>
      </c>
      <c r="O297" s="1" t="s">
        <v>3986</v>
      </c>
      <c r="P297" s="396" t="s">
        <v>3659</v>
      </c>
      <c r="Q297" s="397">
        <v>0.2</v>
      </c>
      <c r="R297" s="191">
        <v>1900003314</v>
      </c>
      <c r="S297" s="588" t="s">
        <v>3475</v>
      </c>
      <c r="T297" s="588" t="s">
        <v>5914</v>
      </c>
      <c r="U297" s="594" t="s">
        <v>3475</v>
      </c>
    </row>
    <row r="298" spans="1:21" s="594" customFormat="1" hidden="1" x14ac:dyDescent="0.35">
      <c r="A298" s="595" t="s">
        <v>4028</v>
      </c>
      <c r="B298" s="596" t="s">
        <v>44</v>
      </c>
      <c r="C298" s="583" t="s">
        <v>4016</v>
      </c>
      <c r="D298" s="3" t="s">
        <v>4016</v>
      </c>
      <c r="E298" s="583"/>
      <c r="F298" s="402" t="s">
        <v>4017</v>
      </c>
      <c r="G298" s="597" t="s">
        <v>3655</v>
      </c>
      <c r="H298" s="1" t="s">
        <v>3656</v>
      </c>
      <c r="I298" s="403">
        <f t="shared" si="13"/>
        <v>8829.0674999999992</v>
      </c>
      <c r="J298" s="403">
        <f t="shared" si="14"/>
        <v>2083.5116666666668</v>
      </c>
      <c r="K298" s="351">
        <f>+J298*(0.5556)</f>
        <v>1157.599082</v>
      </c>
      <c r="L298" s="345">
        <f>+K298*Q298</f>
        <v>231.5198164</v>
      </c>
      <c r="M298" s="345" t="s">
        <v>6169</v>
      </c>
      <c r="N298" s="1" t="s">
        <v>3785</v>
      </c>
      <c r="O298" s="1" t="s">
        <v>3986</v>
      </c>
      <c r="P298" s="396" t="s">
        <v>3659</v>
      </c>
      <c r="Q298" s="397">
        <v>0.2</v>
      </c>
      <c r="R298" s="191">
        <v>1900003314</v>
      </c>
      <c r="S298" s="588" t="s">
        <v>3475</v>
      </c>
      <c r="T298" s="588" t="s">
        <v>5914</v>
      </c>
      <c r="U298" s="594" t="s">
        <v>3475</v>
      </c>
    </row>
    <row r="299" spans="1:21" s="594" customFormat="1" hidden="1" x14ac:dyDescent="0.35">
      <c r="A299" s="595" t="s">
        <v>4029</v>
      </c>
      <c r="B299" s="596" t="s">
        <v>44</v>
      </c>
      <c r="C299" s="583" t="s">
        <v>4016</v>
      </c>
      <c r="D299" s="3" t="s">
        <v>4016</v>
      </c>
      <c r="E299" s="583"/>
      <c r="F299" s="402" t="s">
        <v>4017</v>
      </c>
      <c r="G299" s="597" t="s">
        <v>3655</v>
      </c>
      <c r="H299" s="1" t="s">
        <v>3656</v>
      </c>
      <c r="I299" s="403">
        <f t="shared" si="13"/>
        <v>8829.0674999999992</v>
      </c>
      <c r="J299" s="403">
        <f t="shared" si="14"/>
        <v>2083.5116666666668</v>
      </c>
      <c r="K299" s="351">
        <f>+J299*(0.5556)</f>
        <v>1157.599082</v>
      </c>
      <c r="L299" s="345">
        <f>+K299*Q299</f>
        <v>231.5198164</v>
      </c>
      <c r="M299" s="345" t="s">
        <v>6169</v>
      </c>
      <c r="N299" s="1" t="s">
        <v>3785</v>
      </c>
      <c r="O299" s="1" t="s">
        <v>3986</v>
      </c>
      <c r="P299" s="396" t="s">
        <v>3659</v>
      </c>
      <c r="Q299" s="397">
        <v>0.2</v>
      </c>
      <c r="R299" s="191">
        <v>1900003314</v>
      </c>
      <c r="S299" s="588" t="s">
        <v>3475</v>
      </c>
      <c r="T299" s="588" t="s">
        <v>5914</v>
      </c>
      <c r="U299" s="594" t="s">
        <v>3475</v>
      </c>
    </row>
    <row r="300" spans="1:21" s="594" customFormat="1" hidden="1" x14ac:dyDescent="0.35">
      <c r="A300" s="595" t="s">
        <v>4030</v>
      </c>
      <c r="B300" s="596" t="s">
        <v>44</v>
      </c>
      <c r="C300" s="583" t="s">
        <v>4016</v>
      </c>
      <c r="D300" s="3" t="s">
        <v>4016</v>
      </c>
      <c r="E300" s="583"/>
      <c r="F300" s="402" t="s">
        <v>4017</v>
      </c>
      <c r="G300" s="597" t="s">
        <v>3655</v>
      </c>
      <c r="H300" s="1" t="s">
        <v>3656</v>
      </c>
      <c r="I300" s="403">
        <f t="shared" si="13"/>
        <v>8829.0674999999992</v>
      </c>
      <c r="J300" s="403">
        <f t="shared" si="14"/>
        <v>2083.5116666666668</v>
      </c>
      <c r="K300" s="351">
        <f>+J300*(0.5556)</f>
        <v>1157.599082</v>
      </c>
      <c r="L300" s="345">
        <f>+K300*Q300</f>
        <v>231.5198164</v>
      </c>
      <c r="M300" s="345" t="s">
        <v>6169</v>
      </c>
      <c r="N300" s="1" t="s">
        <v>3785</v>
      </c>
      <c r="O300" s="1" t="s">
        <v>3986</v>
      </c>
      <c r="P300" s="396" t="s">
        <v>3659</v>
      </c>
      <c r="Q300" s="397">
        <v>0.2</v>
      </c>
      <c r="R300" s="191">
        <v>1900003314</v>
      </c>
      <c r="S300" s="588" t="s">
        <v>3475</v>
      </c>
      <c r="T300" s="588" t="s">
        <v>5914</v>
      </c>
      <c r="U300" s="594" t="s">
        <v>3475</v>
      </c>
    </row>
    <row r="301" spans="1:21" s="561" customFormat="1" hidden="1" x14ac:dyDescent="0.35">
      <c r="A301" s="556" t="s">
        <v>4031</v>
      </c>
      <c r="B301" s="557" t="s">
        <v>44</v>
      </c>
      <c r="C301" s="558" t="s">
        <v>4016</v>
      </c>
      <c r="D301" s="558" t="s">
        <v>4016</v>
      </c>
      <c r="E301" s="558" t="s">
        <v>61</v>
      </c>
      <c r="F301" s="562" t="s">
        <v>4017</v>
      </c>
      <c r="G301" s="562" t="s">
        <v>3655</v>
      </c>
      <c r="H301" s="557" t="s">
        <v>3656</v>
      </c>
      <c r="I301" s="403">
        <f t="shared" si="13"/>
        <v>8829.0674999999992</v>
      </c>
      <c r="J301" s="403">
        <f t="shared" si="14"/>
        <v>2083.5116666666668</v>
      </c>
      <c r="K301" s="351">
        <f>+J301*(0.5556)</f>
        <v>1157.599082</v>
      </c>
      <c r="L301" s="345">
        <f>+K301*Q301</f>
        <v>231.5198164</v>
      </c>
      <c r="M301" s="642" t="s">
        <v>6169</v>
      </c>
      <c r="N301" s="557" t="s">
        <v>3785</v>
      </c>
      <c r="O301" s="557" t="s">
        <v>3986</v>
      </c>
      <c r="P301" s="396" t="s">
        <v>3659</v>
      </c>
      <c r="Q301" s="643">
        <v>0.2</v>
      </c>
      <c r="R301" s="644">
        <v>1900003314</v>
      </c>
      <c r="S301" s="560" t="s">
        <v>57</v>
      </c>
      <c r="T301" s="560" t="s">
        <v>5915</v>
      </c>
    </row>
    <row r="302" spans="1:21" s="594" customFormat="1" hidden="1" x14ac:dyDescent="0.35">
      <c r="A302" s="595" t="s">
        <v>4032</v>
      </c>
      <c r="B302" s="596" t="s">
        <v>44</v>
      </c>
      <c r="C302" s="583" t="s">
        <v>4016</v>
      </c>
      <c r="D302" s="3" t="s">
        <v>4016</v>
      </c>
      <c r="E302" s="583"/>
      <c r="F302" s="402" t="s">
        <v>4017</v>
      </c>
      <c r="G302" s="597" t="s">
        <v>3655</v>
      </c>
      <c r="H302" s="1" t="s">
        <v>3656</v>
      </c>
      <c r="I302" s="403">
        <f t="shared" si="13"/>
        <v>8829.0674999999992</v>
      </c>
      <c r="J302" s="403">
        <f t="shared" si="14"/>
        <v>2083.5116666666668</v>
      </c>
      <c r="K302" s="351">
        <f>+J302*(0.5556)</f>
        <v>1157.599082</v>
      </c>
      <c r="L302" s="345">
        <f>+K302*Q302</f>
        <v>231.5198164</v>
      </c>
      <c r="M302" s="345" t="s">
        <v>6169</v>
      </c>
      <c r="N302" s="1" t="s">
        <v>3785</v>
      </c>
      <c r="O302" s="1" t="s">
        <v>3986</v>
      </c>
      <c r="P302" s="396" t="s">
        <v>3659</v>
      </c>
      <c r="Q302" s="397">
        <v>0.2</v>
      </c>
      <c r="R302" s="191">
        <v>1900003314</v>
      </c>
      <c r="S302" s="588" t="s">
        <v>3475</v>
      </c>
      <c r="T302" s="588" t="s">
        <v>5914</v>
      </c>
      <c r="U302" s="594" t="s">
        <v>3475</v>
      </c>
    </row>
    <row r="303" spans="1:21" s="594" customFormat="1" hidden="1" x14ac:dyDescent="0.35">
      <c r="A303" s="595" t="s">
        <v>4033</v>
      </c>
      <c r="B303" s="596" t="s">
        <v>44</v>
      </c>
      <c r="C303" s="583" t="s">
        <v>4016</v>
      </c>
      <c r="D303" s="3" t="s">
        <v>4016</v>
      </c>
      <c r="E303" s="583" t="s">
        <v>71</v>
      </c>
      <c r="F303" s="402" t="s">
        <v>4017</v>
      </c>
      <c r="G303" s="597" t="s">
        <v>3655</v>
      </c>
      <c r="H303" s="1" t="s">
        <v>3656</v>
      </c>
      <c r="I303" s="403">
        <f t="shared" si="13"/>
        <v>8829.0674999999992</v>
      </c>
      <c r="J303" s="403">
        <f t="shared" si="14"/>
        <v>2083.5116666666668</v>
      </c>
      <c r="K303" s="351">
        <f>+J303*(0.5556)</f>
        <v>1157.599082</v>
      </c>
      <c r="L303" s="345">
        <f>+K303*Q303</f>
        <v>231.5198164</v>
      </c>
      <c r="M303" s="356" t="s">
        <v>6169</v>
      </c>
      <c r="N303" s="596" t="s">
        <v>3785</v>
      </c>
      <c r="O303" s="1" t="s">
        <v>3986</v>
      </c>
      <c r="P303" s="396" t="s">
        <v>3659</v>
      </c>
      <c r="Q303" s="397">
        <v>0.2</v>
      </c>
      <c r="R303" s="191">
        <v>1900003314</v>
      </c>
      <c r="S303" s="588" t="s">
        <v>3475</v>
      </c>
      <c r="T303" s="588" t="s">
        <v>5915</v>
      </c>
    </row>
    <row r="304" spans="1:21" s="561" customFormat="1" hidden="1" x14ac:dyDescent="0.35">
      <c r="A304" s="556" t="s">
        <v>4034</v>
      </c>
      <c r="B304" s="557" t="s">
        <v>62</v>
      </c>
      <c r="C304" s="558" t="s">
        <v>4016</v>
      </c>
      <c r="D304" s="3" t="s">
        <v>4016</v>
      </c>
      <c r="E304" s="558" t="s">
        <v>63</v>
      </c>
      <c r="F304" s="402" t="s">
        <v>4017</v>
      </c>
      <c r="G304" s="562" t="s">
        <v>3655</v>
      </c>
      <c r="H304" s="1" t="s">
        <v>3656</v>
      </c>
      <c r="I304" s="403">
        <f t="shared" si="13"/>
        <v>8829.0674999999992</v>
      </c>
      <c r="J304" s="403">
        <f t="shared" si="14"/>
        <v>2083.5116666666668</v>
      </c>
      <c r="K304" s="351">
        <f>+J304*(0.5556)</f>
        <v>1157.599082</v>
      </c>
      <c r="L304" s="345">
        <f>+K304*Q304</f>
        <v>231.5198164</v>
      </c>
      <c r="M304" s="345" t="s">
        <v>6169</v>
      </c>
      <c r="N304" s="557" t="s">
        <v>3785</v>
      </c>
      <c r="O304" s="1" t="s">
        <v>3986</v>
      </c>
      <c r="P304" s="396" t="s">
        <v>3659</v>
      </c>
      <c r="Q304" s="397">
        <v>0.2</v>
      </c>
      <c r="R304" s="191">
        <v>1900003314</v>
      </c>
      <c r="S304" s="560" t="s">
        <v>2617</v>
      </c>
      <c r="T304" s="560" t="s">
        <v>5915</v>
      </c>
    </row>
    <row r="305" spans="1:21" s="594" customFormat="1" hidden="1" x14ac:dyDescent="0.35">
      <c r="A305" s="595" t="s">
        <v>4035</v>
      </c>
      <c r="B305" s="596" t="s">
        <v>62</v>
      </c>
      <c r="C305" s="583" t="s">
        <v>4016</v>
      </c>
      <c r="D305" s="3" t="s">
        <v>4016</v>
      </c>
      <c r="E305" s="583" t="s">
        <v>65</v>
      </c>
      <c r="F305" s="402" t="s">
        <v>4017</v>
      </c>
      <c r="G305" s="597" t="s">
        <v>3655</v>
      </c>
      <c r="H305" s="1" t="s">
        <v>3656</v>
      </c>
      <c r="I305" s="403">
        <f t="shared" si="13"/>
        <v>8829.0674999999992</v>
      </c>
      <c r="J305" s="403">
        <f t="shared" si="14"/>
        <v>2083.5116666666668</v>
      </c>
      <c r="K305" s="351">
        <f>+J305*(0.5556)</f>
        <v>1157.599082</v>
      </c>
      <c r="L305" s="345">
        <f>+K305*Q305</f>
        <v>231.5198164</v>
      </c>
      <c r="M305" s="345" t="s">
        <v>6169</v>
      </c>
      <c r="N305" s="596" t="s">
        <v>3785</v>
      </c>
      <c r="O305" s="1" t="s">
        <v>3986</v>
      </c>
      <c r="P305" s="396" t="s">
        <v>3659</v>
      </c>
      <c r="Q305" s="397">
        <v>0.2</v>
      </c>
      <c r="R305" s="191">
        <v>1900003314</v>
      </c>
      <c r="S305" s="588" t="s">
        <v>3475</v>
      </c>
      <c r="T305" s="588" t="s">
        <v>5915</v>
      </c>
    </row>
    <row r="306" spans="1:21" s="561" customFormat="1" hidden="1" x14ac:dyDescent="0.35">
      <c r="A306" s="556" t="s">
        <v>4036</v>
      </c>
      <c r="B306" s="557" t="s">
        <v>62</v>
      </c>
      <c r="C306" s="558" t="s">
        <v>4016</v>
      </c>
      <c r="D306" s="3" t="s">
        <v>4016</v>
      </c>
      <c r="E306" s="558" t="s">
        <v>66</v>
      </c>
      <c r="F306" s="402" t="s">
        <v>4017</v>
      </c>
      <c r="G306" s="562" t="s">
        <v>3655</v>
      </c>
      <c r="H306" s="1" t="s">
        <v>3656</v>
      </c>
      <c r="I306" s="403">
        <f t="shared" si="13"/>
        <v>8829.0674999999992</v>
      </c>
      <c r="J306" s="403">
        <f t="shared" si="14"/>
        <v>2083.5116666666668</v>
      </c>
      <c r="K306" s="351">
        <f>+J306*(0.5556)</f>
        <v>1157.599082</v>
      </c>
      <c r="L306" s="345">
        <f>+K306*Q306</f>
        <v>231.5198164</v>
      </c>
      <c r="M306" s="345" t="s">
        <v>6169</v>
      </c>
      <c r="N306" s="557" t="s">
        <v>3785</v>
      </c>
      <c r="O306" s="1" t="s">
        <v>3986</v>
      </c>
      <c r="P306" s="396" t="s">
        <v>3659</v>
      </c>
      <c r="Q306" s="397">
        <v>0.2</v>
      </c>
      <c r="R306" s="191">
        <v>1900003314</v>
      </c>
      <c r="S306" s="560" t="s">
        <v>2617</v>
      </c>
      <c r="T306" s="560" t="s">
        <v>5915</v>
      </c>
    </row>
    <row r="307" spans="1:21" s="561" customFormat="1" ht="14.25" hidden="1" customHeight="1" x14ac:dyDescent="0.35">
      <c r="A307" s="556"/>
      <c r="B307" s="557" t="s">
        <v>62</v>
      </c>
      <c r="C307" s="558" t="s">
        <v>4016</v>
      </c>
      <c r="D307" s="3"/>
      <c r="E307" s="563" t="s">
        <v>6118</v>
      </c>
      <c r="F307" s="402"/>
      <c r="G307" s="562" t="s">
        <v>3655</v>
      </c>
      <c r="H307" s="1"/>
      <c r="I307" s="403"/>
      <c r="J307" s="403"/>
      <c r="K307" s="351"/>
      <c r="L307" s="345"/>
      <c r="M307" s="345"/>
      <c r="N307" s="557" t="s">
        <v>3785</v>
      </c>
      <c r="O307" s="1"/>
      <c r="P307" s="396"/>
      <c r="Q307" s="397"/>
      <c r="R307" s="191"/>
      <c r="S307" s="560" t="s">
        <v>2617</v>
      </c>
      <c r="T307" s="560" t="s">
        <v>5915</v>
      </c>
    </row>
    <row r="308" spans="1:21" s="594" customFormat="1" hidden="1" x14ac:dyDescent="0.35">
      <c r="A308" s="595" t="s">
        <v>4037</v>
      </c>
      <c r="B308" s="596" t="s">
        <v>62</v>
      </c>
      <c r="C308" s="583" t="s">
        <v>4016</v>
      </c>
      <c r="D308" s="3" t="s">
        <v>4016</v>
      </c>
      <c r="E308" s="583" t="s">
        <v>68</v>
      </c>
      <c r="F308" s="402" t="s">
        <v>4017</v>
      </c>
      <c r="G308" s="597" t="s">
        <v>3655</v>
      </c>
      <c r="H308" s="1" t="s">
        <v>3656</v>
      </c>
      <c r="I308" s="403">
        <f t="shared" si="13"/>
        <v>8829.0674999999992</v>
      </c>
      <c r="J308" s="403">
        <f t="shared" si="14"/>
        <v>2083.5116666666668</v>
      </c>
      <c r="K308" s="351">
        <f>+J308*(0.5556)</f>
        <v>1157.599082</v>
      </c>
      <c r="L308" s="345">
        <f>+K308*Q308</f>
        <v>231.5198164</v>
      </c>
      <c r="M308" s="345" t="s">
        <v>6169</v>
      </c>
      <c r="N308" s="596" t="s">
        <v>3785</v>
      </c>
      <c r="O308" s="1" t="s">
        <v>3986</v>
      </c>
      <c r="P308" s="396" t="s">
        <v>3659</v>
      </c>
      <c r="Q308" s="397">
        <v>0.2</v>
      </c>
      <c r="R308" s="191">
        <v>1900003314</v>
      </c>
      <c r="S308" s="588" t="s">
        <v>3475</v>
      </c>
      <c r="T308" s="588" t="s">
        <v>5915</v>
      </c>
    </row>
    <row r="309" spans="1:21" s="594" customFormat="1" hidden="1" x14ac:dyDescent="0.35">
      <c r="A309" s="595" t="s">
        <v>4038</v>
      </c>
      <c r="B309" s="596" t="s">
        <v>44</v>
      </c>
      <c r="C309" s="583" t="s">
        <v>4016</v>
      </c>
      <c r="D309" s="3" t="s">
        <v>4016</v>
      </c>
      <c r="E309" s="583" t="s">
        <v>69</v>
      </c>
      <c r="F309" s="402" t="s">
        <v>4017</v>
      </c>
      <c r="G309" s="597" t="s">
        <v>3655</v>
      </c>
      <c r="H309" s="1" t="s">
        <v>3656</v>
      </c>
      <c r="I309" s="403">
        <f t="shared" si="13"/>
        <v>8829.0674999999992</v>
      </c>
      <c r="J309" s="403">
        <f t="shared" si="14"/>
        <v>2083.5116666666668</v>
      </c>
      <c r="K309" s="351">
        <f>+J309*(0.5556)</f>
        <v>1157.599082</v>
      </c>
      <c r="L309" s="345">
        <f>+K309*Q309</f>
        <v>231.5198164</v>
      </c>
      <c r="M309" s="345" t="s">
        <v>6169</v>
      </c>
      <c r="N309" s="1" t="s">
        <v>3785</v>
      </c>
      <c r="O309" s="1" t="s">
        <v>3986</v>
      </c>
      <c r="P309" s="396" t="s">
        <v>3659</v>
      </c>
      <c r="Q309" s="397">
        <v>0.2</v>
      </c>
      <c r="R309" s="191">
        <v>1900003314</v>
      </c>
      <c r="S309" s="588" t="s">
        <v>3475</v>
      </c>
      <c r="T309" s="588" t="s">
        <v>5915</v>
      </c>
    </row>
    <row r="310" spans="1:21" s="594" customFormat="1" hidden="1" x14ac:dyDescent="0.35">
      <c r="A310" s="595" t="s">
        <v>4039</v>
      </c>
      <c r="B310" s="596" t="s">
        <v>44</v>
      </c>
      <c r="C310" s="583" t="s">
        <v>4016</v>
      </c>
      <c r="D310" s="3" t="s">
        <v>4016</v>
      </c>
      <c r="E310" s="583" t="s">
        <v>70</v>
      </c>
      <c r="F310" s="402" t="s">
        <v>4017</v>
      </c>
      <c r="G310" s="597" t="s">
        <v>3655</v>
      </c>
      <c r="H310" s="1" t="s">
        <v>3656</v>
      </c>
      <c r="I310" s="403">
        <f t="shared" si="13"/>
        <v>8829.0674999999992</v>
      </c>
      <c r="J310" s="403">
        <f t="shared" si="14"/>
        <v>2083.5116666666668</v>
      </c>
      <c r="K310" s="351">
        <f>+J310*(0.5556)</f>
        <v>1157.599082</v>
      </c>
      <c r="L310" s="345">
        <f>+K310*Q310</f>
        <v>231.5198164</v>
      </c>
      <c r="M310" s="345" t="s">
        <v>6169</v>
      </c>
      <c r="N310" s="596" t="s">
        <v>3785</v>
      </c>
      <c r="O310" s="1" t="s">
        <v>3986</v>
      </c>
      <c r="P310" s="396" t="s">
        <v>3659</v>
      </c>
      <c r="Q310" s="397">
        <v>0.2</v>
      </c>
      <c r="R310" s="191">
        <v>1900003314</v>
      </c>
      <c r="S310" s="588" t="s">
        <v>3475</v>
      </c>
      <c r="T310" s="588" t="s">
        <v>5915</v>
      </c>
    </row>
    <row r="311" spans="1:21" s="594" customFormat="1" hidden="1" x14ac:dyDescent="0.35">
      <c r="A311" s="595" t="s">
        <v>4040</v>
      </c>
      <c r="B311" s="596" t="s">
        <v>44</v>
      </c>
      <c r="C311" s="583" t="s">
        <v>4016</v>
      </c>
      <c r="D311" s="3" t="s">
        <v>4016</v>
      </c>
      <c r="E311" s="583"/>
      <c r="F311" s="402" t="s">
        <v>4017</v>
      </c>
      <c r="G311" s="597" t="s">
        <v>3655</v>
      </c>
      <c r="H311" s="1" t="s">
        <v>3656</v>
      </c>
      <c r="I311" s="403">
        <f t="shared" si="13"/>
        <v>8829.0674999999992</v>
      </c>
      <c r="J311" s="403">
        <f t="shared" si="14"/>
        <v>2083.5116666666668</v>
      </c>
      <c r="K311" s="351">
        <f>+J311*(0.5556)</f>
        <v>1157.599082</v>
      </c>
      <c r="L311" s="345">
        <f>+K311*Q311</f>
        <v>231.5198164</v>
      </c>
      <c r="M311" s="345" t="s">
        <v>6169</v>
      </c>
      <c r="N311" s="1" t="s">
        <v>3785</v>
      </c>
      <c r="O311" s="1" t="s">
        <v>3986</v>
      </c>
      <c r="P311" s="396" t="s">
        <v>3659</v>
      </c>
      <c r="Q311" s="397">
        <v>0.2</v>
      </c>
      <c r="R311" s="191">
        <v>1900003314</v>
      </c>
      <c r="S311" s="588" t="s">
        <v>3475</v>
      </c>
      <c r="T311" s="588" t="s">
        <v>5914</v>
      </c>
      <c r="U311" s="594" t="s">
        <v>3475</v>
      </c>
    </row>
    <row r="312" spans="1:21" hidden="1" x14ac:dyDescent="0.35">
      <c r="A312" s="398" t="s">
        <v>4041</v>
      </c>
      <c r="B312" s="1" t="s">
        <v>4042</v>
      </c>
      <c r="C312" s="3" t="s">
        <v>4016</v>
      </c>
      <c r="D312" s="3" t="s">
        <v>4016</v>
      </c>
      <c r="E312" s="3" t="s">
        <v>1592</v>
      </c>
      <c r="F312" s="402" t="s">
        <v>4017</v>
      </c>
      <c r="G312" s="402" t="s">
        <v>1486</v>
      </c>
      <c r="H312" s="1" t="s">
        <v>3656</v>
      </c>
      <c r="I312" s="403">
        <f t="shared" ref="I312:I321" si="15">286127.19/10</f>
        <v>28612.719000000001</v>
      </c>
      <c r="J312" s="403">
        <f t="shared" ref="J312:J321" si="16">67521.21/10</f>
        <v>6752.121000000001</v>
      </c>
      <c r="K312" s="351">
        <f>+J312*(0.5556)</f>
        <v>3751.4784276000005</v>
      </c>
      <c r="L312" s="345">
        <f>+K312*Q312</f>
        <v>750.29568552000012</v>
      </c>
      <c r="M312" s="345" t="s">
        <v>6169</v>
      </c>
      <c r="N312" s="1" t="s">
        <v>3785</v>
      </c>
      <c r="O312" s="1" t="s">
        <v>3986</v>
      </c>
      <c r="P312" s="396" t="s">
        <v>3659</v>
      </c>
      <c r="Q312" s="397">
        <v>0.2</v>
      </c>
      <c r="R312" s="191">
        <v>1900003314</v>
      </c>
      <c r="S312" s="2" t="s">
        <v>6250</v>
      </c>
      <c r="T312" s="2" t="s">
        <v>5915</v>
      </c>
    </row>
    <row r="313" spans="1:21" hidden="1" x14ac:dyDescent="0.35">
      <c r="A313" s="398" t="s">
        <v>4043</v>
      </c>
      <c r="B313" s="1" t="s">
        <v>4042</v>
      </c>
      <c r="C313" s="3" t="s">
        <v>4016</v>
      </c>
      <c r="D313" s="3" t="s">
        <v>4016</v>
      </c>
      <c r="E313" s="3" t="s">
        <v>1612</v>
      </c>
      <c r="F313" s="402" t="s">
        <v>4017</v>
      </c>
      <c r="G313" s="402" t="s">
        <v>1486</v>
      </c>
      <c r="H313" s="1" t="s">
        <v>3656</v>
      </c>
      <c r="I313" s="403">
        <f t="shared" si="15"/>
        <v>28612.719000000001</v>
      </c>
      <c r="J313" s="403">
        <f t="shared" si="16"/>
        <v>6752.121000000001</v>
      </c>
      <c r="K313" s="351">
        <f>+J313*(0.5556)</f>
        <v>3751.4784276000005</v>
      </c>
      <c r="L313" s="345">
        <f>+K313*Q313</f>
        <v>750.29568552000012</v>
      </c>
      <c r="M313" s="345" t="s">
        <v>6169</v>
      </c>
      <c r="N313" s="1" t="s">
        <v>3785</v>
      </c>
      <c r="O313" s="1" t="s">
        <v>3986</v>
      </c>
      <c r="P313" s="396" t="s">
        <v>3659</v>
      </c>
      <c r="Q313" s="397">
        <v>0.2</v>
      </c>
      <c r="R313" s="191">
        <v>1900003314</v>
      </c>
      <c r="S313" s="2" t="s">
        <v>6249</v>
      </c>
      <c r="T313" s="2" t="s">
        <v>5915</v>
      </c>
    </row>
    <row r="314" spans="1:21" hidden="1" x14ac:dyDescent="0.35">
      <c r="A314" s="398" t="s">
        <v>4044</v>
      </c>
      <c r="B314" s="1" t="s">
        <v>4042</v>
      </c>
      <c r="C314" s="3" t="s">
        <v>4016</v>
      </c>
      <c r="D314" s="3" t="s">
        <v>4016</v>
      </c>
      <c r="E314" s="3" t="s">
        <v>1617</v>
      </c>
      <c r="F314" s="402" t="s">
        <v>4017</v>
      </c>
      <c r="G314" s="402" t="s">
        <v>1486</v>
      </c>
      <c r="H314" s="1" t="s">
        <v>3656</v>
      </c>
      <c r="I314" s="403">
        <f t="shared" si="15"/>
        <v>28612.719000000001</v>
      </c>
      <c r="J314" s="403">
        <f t="shared" si="16"/>
        <v>6752.121000000001</v>
      </c>
      <c r="K314" s="351">
        <f>+J314*(0.5556)</f>
        <v>3751.4784276000005</v>
      </c>
      <c r="L314" s="345">
        <f>+K314*Q314</f>
        <v>750.29568552000012</v>
      </c>
      <c r="M314" s="345" t="s">
        <v>6169</v>
      </c>
      <c r="N314" s="1" t="s">
        <v>3785</v>
      </c>
      <c r="O314" s="1" t="s">
        <v>3986</v>
      </c>
      <c r="P314" s="396" t="s">
        <v>3659</v>
      </c>
      <c r="Q314" s="397">
        <v>0.2</v>
      </c>
      <c r="R314" s="191">
        <v>1900003314</v>
      </c>
      <c r="S314" s="2" t="s">
        <v>1364</v>
      </c>
      <c r="T314" s="2" t="s">
        <v>5915</v>
      </c>
    </row>
    <row r="315" spans="1:21" hidden="1" x14ac:dyDescent="0.35">
      <c r="A315" s="398" t="s">
        <v>4045</v>
      </c>
      <c r="B315" s="1" t="s">
        <v>4042</v>
      </c>
      <c r="C315" s="3" t="s">
        <v>4016</v>
      </c>
      <c r="D315" s="3" t="s">
        <v>4016</v>
      </c>
      <c r="E315" s="3" t="s">
        <v>1670</v>
      </c>
      <c r="F315" s="402" t="s">
        <v>4017</v>
      </c>
      <c r="G315" s="402" t="s">
        <v>1486</v>
      </c>
      <c r="H315" s="1" t="s">
        <v>3656</v>
      </c>
      <c r="I315" s="403">
        <f t="shared" si="15"/>
        <v>28612.719000000001</v>
      </c>
      <c r="J315" s="403">
        <f t="shared" si="16"/>
        <v>6752.121000000001</v>
      </c>
      <c r="K315" s="351">
        <f>+J315*(0.5556)</f>
        <v>3751.4784276000005</v>
      </c>
      <c r="L315" s="345">
        <f>+K315*Q315</f>
        <v>750.29568552000012</v>
      </c>
      <c r="M315" s="345" t="s">
        <v>6169</v>
      </c>
      <c r="N315" s="1" t="s">
        <v>3785</v>
      </c>
      <c r="O315" s="1" t="s">
        <v>3986</v>
      </c>
      <c r="P315" s="396" t="s">
        <v>3659</v>
      </c>
      <c r="Q315" s="397">
        <v>0.2</v>
      </c>
      <c r="R315" s="191">
        <v>1900003314</v>
      </c>
      <c r="S315" s="2" t="s">
        <v>57</v>
      </c>
      <c r="T315" s="2" t="s">
        <v>5915</v>
      </c>
    </row>
    <row r="316" spans="1:21" hidden="1" x14ac:dyDescent="0.35">
      <c r="A316" s="398" t="s">
        <v>4046</v>
      </c>
      <c r="B316" s="1" t="s">
        <v>4047</v>
      </c>
      <c r="C316" s="3" t="s">
        <v>4016</v>
      </c>
      <c r="D316" s="3" t="s">
        <v>4016</v>
      </c>
      <c r="E316" s="3" t="s">
        <v>1571</v>
      </c>
      <c r="F316" s="402" t="s">
        <v>4017</v>
      </c>
      <c r="G316" s="402" t="s">
        <v>1486</v>
      </c>
      <c r="H316" s="1" t="s">
        <v>3656</v>
      </c>
      <c r="I316" s="403">
        <f t="shared" si="15"/>
        <v>28612.719000000001</v>
      </c>
      <c r="J316" s="403">
        <f t="shared" si="16"/>
        <v>6752.121000000001</v>
      </c>
      <c r="K316" s="351">
        <f>+J316*(0.5556)</f>
        <v>3751.4784276000005</v>
      </c>
      <c r="L316" s="345">
        <f>+K316*Q316</f>
        <v>750.29568552000012</v>
      </c>
      <c r="M316" s="345" t="s">
        <v>6169</v>
      </c>
      <c r="N316" s="1" t="s">
        <v>3785</v>
      </c>
      <c r="O316" s="1" t="s">
        <v>3986</v>
      </c>
      <c r="P316" s="396" t="s">
        <v>3659</v>
      </c>
      <c r="Q316" s="397">
        <v>0.2</v>
      </c>
      <c r="R316" s="191">
        <v>1900003314</v>
      </c>
      <c r="S316" s="2" t="s">
        <v>1166</v>
      </c>
      <c r="T316" s="2" t="s">
        <v>5915</v>
      </c>
    </row>
    <row r="317" spans="1:21" hidden="1" x14ac:dyDescent="0.35">
      <c r="A317" s="398" t="s">
        <v>4048</v>
      </c>
      <c r="B317" s="1" t="s">
        <v>4049</v>
      </c>
      <c r="C317" s="3" t="s">
        <v>4016</v>
      </c>
      <c r="D317" s="3" t="s">
        <v>4016</v>
      </c>
      <c r="E317" s="415" t="s">
        <v>1546</v>
      </c>
      <c r="F317" s="402" t="s">
        <v>4017</v>
      </c>
      <c r="G317" s="402" t="s">
        <v>1486</v>
      </c>
      <c r="H317" s="1" t="s">
        <v>3656</v>
      </c>
      <c r="I317" s="403">
        <f t="shared" si="15"/>
        <v>28612.719000000001</v>
      </c>
      <c r="J317" s="403">
        <f t="shared" si="16"/>
        <v>6752.121000000001</v>
      </c>
      <c r="K317" s="351">
        <f>+J317*(0.5556)</f>
        <v>3751.4784276000005</v>
      </c>
      <c r="L317" s="345">
        <f>+K317*Q317</f>
        <v>750.29568552000012</v>
      </c>
      <c r="M317" s="345" t="s">
        <v>6169</v>
      </c>
      <c r="N317" s="1" t="s">
        <v>3785</v>
      </c>
      <c r="O317" s="1" t="s">
        <v>3986</v>
      </c>
      <c r="P317" s="396" t="s">
        <v>3659</v>
      </c>
      <c r="Q317" s="397">
        <v>0.2</v>
      </c>
      <c r="R317" s="191">
        <v>1900003314</v>
      </c>
      <c r="S317" s="2" t="s">
        <v>2617</v>
      </c>
      <c r="T317" s="2" t="s">
        <v>5915</v>
      </c>
    </row>
    <row r="318" spans="1:21" hidden="1" x14ac:dyDescent="0.35">
      <c r="A318" s="398" t="s">
        <v>4050</v>
      </c>
      <c r="B318" s="1" t="s">
        <v>4049</v>
      </c>
      <c r="C318" s="3" t="s">
        <v>4016</v>
      </c>
      <c r="D318" s="3" t="s">
        <v>4016</v>
      </c>
      <c r="E318" s="3" t="s">
        <v>1553</v>
      </c>
      <c r="F318" s="402" t="s">
        <v>4017</v>
      </c>
      <c r="G318" s="402" t="s">
        <v>1486</v>
      </c>
      <c r="H318" s="1" t="s">
        <v>3656</v>
      </c>
      <c r="I318" s="403">
        <f t="shared" si="15"/>
        <v>28612.719000000001</v>
      </c>
      <c r="J318" s="403">
        <f t="shared" si="16"/>
        <v>6752.121000000001</v>
      </c>
      <c r="K318" s="351">
        <f>+J318*(0.5556)</f>
        <v>3751.4784276000005</v>
      </c>
      <c r="L318" s="345">
        <f>+K318*Q318</f>
        <v>750.29568552000012</v>
      </c>
      <c r="M318" s="345" t="s">
        <v>6169</v>
      </c>
      <c r="N318" s="1" t="s">
        <v>3785</v>
      </c>
      <c r="O318" s="1" t="s">
        <v>3986</v>
      </c>
      <c r="P318" s="396" t="s">
        <v>3659</v>
      </c>
      <c r="Q318" s="397">
        <v>0.2</v>
      </c>
      <c r="R318" s="191">
        <v>1900003314</v>
      </c>
      <c r="S318" s="2" t="s">
        <v>1552</v>
      </c>
      <c r="T318" s="2" t="s">
        <v>5915</v>
      </c>
    </row>
    <row r="319" spans="1:21" hidden="1" x14ac:dyDescent="0.35">
      <c r="A319" s="398" t="s">
        <v>4051</v>
      </c>
      <c r="B319" s="1" t="s">
        <v>4049</v>
      </c>
      <c r="C319" s="3" t="s">
        <v>4016</v>
      </c>
      <c r="D319" s="3" t="s">
        <v>4016</v>
      </c>
      <c r="E319" s="415" t="s">
        <v>1579</v>
      </c>
      <c r="F319" s="402" t="s">
        <v>4017</v>
      </c>
      <c r="G319" s="402" t="s">
        <v>1486</v>
      </c>
      <c r="H319" s="1" t="s">
        <v>3656</v>
      </c>
      <c r="I319" s="403">
        <f t="shared" si="15"/>
        <v>28612.719000000001</v>
      </c>
      <c r="J319" s="403">
        <f t="shared" si="16"/>
        <v>6752.121000000001</v>
      </c>
      <c r="K319" s="351">
        <f>+J319*(0.5556)</f>
        <v>3751.4784276000005</v>
      </c>
      <c r="L319" s="345">
        <f>+K319*Q319</f>
        <v>750.29568552000012</v>
      </c>
      <c r="M319" s="345" t="s">
        <v>6169</v>
      </c>
      <c r="N319" s="1" t="s">
        <v>3785</v>
      </c>
      <c r="O319" s="1" t="s">
        <v>3986</v>
      </c>
      <c r="P319" s="396" t="s">
        <v>3659</v>
      </c>
      <c r="Q319" s="397">
        <v>0.2</v>
      </c>
      <c r="R319" s="191">
        <v>1900003314</v>
      </c>
      <c r="S319" s="2" t="s">
        <v>330</v>
      </c>
      <c r="T319" s="2" t="s">
        <v>5915</v>
      </c>
    </row>
    <row r="320" spans="1:21" hidden="1" x14ac:dyDescent="0.35">
      <c r="A320" s="398" t="s">
        <v>4052</v>
      </c>
      <c r="B320" s="1" t="s">
        <v>4049</v>
      </c>
      <c r="C320" s="3" t="s">
        <v>4016</v>
      </c>
      <c r="D320" s="3" t="s">
        <v>4016</v>
      </c>
      <c r="E320" s="3" t="s">
        <v>1580</v>
      </c>
      <c r="F320" s="402" t="s">
        <v>4017</v>
      </c>
      <c r="G320" s="402" t="s">
        <v>1486</v>
      </c>
      <c r="H320" s="1" t="s">
        <v>3656</v>
      </c>
      <c r="I320" s="403">
        <f t="shared" si="15"/>
        <v>28612.719000000001</v>
      </c>
      <c r="J320" s="403">
        <f t="shared" si="16"/>
        <v>6752.121000000001</v>
      </c>
      <c r="K320" s="351">
        <f>+J320*(0.5556)</f>
        <v>3751.4784276000005</v>
      </c>
      <c r="L320" s="345">
        <f>+K320*Q320</f>
        <v>750.29568552000012</v>
      </c>
      <c r="M320" s="345" t="s">
        <v>6169</v>
      </c>
      <c r="N320" s="1" t="s">
        <v>3785</v>
      </c>
      <c r="O320" s="1" t="s">
        <v>3986</v>
      </c>
      <c r="P320" s="396" t="s">
        <v>3659</v>
      </c>
      <c r="Q320" s="397">
        <v>0.2</v>
      </c>
      <c r="R320" s="191">
        <v>1900003314</v>
      </c>
      <c r="S320" s="2" t="s">
        <v>1206</v>
      </c>
      <c r="T320" s="2" t="s">
        <v>5915</v>
      </c>
    </row>
    <row r="321" spans="1:20" hidden="1" x14ac:dyDescent="0.35">
      <c r="A321" s="398" t="s">
        <v>4053</v>
      </c>
      <c r="B321" s="1" t="s">
        <v>4049</v>
      </c>
      <c r="C321" s="3" t="s">
        <v>4016</v>
      </c>
      <c r="D321" s="3" t="s">
        <v>4016</v>
      </c>
      <c r="E321" s="3" t="s">
        <v>1591</v>
      </c>
      <c r="F321" s="402" t="s">
        <v>4017</v>
      </c>
      <c r="G321" s="402" t="s">
        <v>1486</v>
      </c>
      <c r="H321" s="1" t="s">
        <v>3656</v>
      </c>
      <c r="I321" s="403">
        <f t="shared" si="15"/>
        <v>28612.719000000001</v>
      </c>
      <c r="J321" s="403">
        <f t="shared" si="16"/>
        <v>6752.121000000001</v>
      </c>
      <c r="K321" s="351">
        <f>+J321*(0.5556)</f>
        <v>3751.4784276000005</v>
      </c>
      <c r="L321" s="345">
        <f>+K321*Q321</f>
        <v>750.29568552000012</v>
      </c>
      <c r="M321" s="345" t="s">
        <v>6169</v>
      </c>
      <c r="N321" s="1" t="s">
        <v>3785</v>
      </c>
      <c r="O321" s="1" t="s">
        <v>3986</v>
      </c>
      <c r="P321" s="396" t="s">
        <v>3659</v>
      </c>
      <c r="Q321" s="397">
        <v>0.2</v>
      </c>
      <c r="R321" s="191">
        <v>1900003314</v>
      </c>
      <c r="S321" s="2" t="s">
        <v>557</v>
      </c>
      <c r="T321" s="2" t="s">
        <v>5915</v>
      </c>
    </row>
    <row r="322" spans="1:20" s="561" customFormat="1" hidden="1" x14ac:dyDescent="0.35">
      <c r="A322" s="556" t="s">
        <v>4054</v>
      </c>
      <c r="B322" s="557" t="s">
        <v>55</v>
      </c>
      <c r="C322" s="558" t="s">
        <v>4016</v>
      </c>
      <c r="D322" s="3" t="s">
        <v>4016</v>
      </c>
      <c r="E322" s="558" t="s">
        <v>72</v>
      </c>
      <c r="F322" s="402" t="s">
        <v>4017</v>
      </c>
      <c r="G322" s="562" t="s">
        <v>3655</v>
      </c>
      <c r="H322" s="1" t="s">
        <v>3656</v>
      </c>
      <c r="I322" s="403">
        <f>137995.01/16</f>
        <v>8624.6881250000006</v>
      </c>
      <c r="J322" s="403">
        <f>32564.5/16</f>
        <v>2035.28125</v>
      </c>
      <c r="K322" s="351">
        <f>+J322*(0.5556)</f>
        <v>1130.8022624999999</v>
      </c>
      <c r="L322" s="345">
        <f>+K322*Q322</f>
        <v>226.16045249999999</v>
      </c>
      <c r="M322" s="345" t="s">
        <v>6169</v>
      </c>
      <c r="N322" s="1" t="s">
        <v>3785</v>
      </c>
      <c r="O322" s="1" t="s">
        <v>3986</v>
      </c>
      <c r="P322" s="396" t="s">
        <v>3659</v>
      </c>
      <c r="Q322" s="397">
        <v>0.2</v>
      </c>
      <c r="R322" s="191">
        <v>1900003314</v>
      </c>
      <c r="S322" s="560" t="s">
        <v>2617</v>
      </c>
      <c r="T322" s="560" t="s">
        <v>5915</v>
      </c>
    </row>
    <row r="323" spans="1:20" s="619" customFormat="1" hidden="1" x14ac:dyDescent="0.35">
      <c r="A323" s="663" t="s">
        <v>4055</v>
      </c>
      <c r="B323" s="658" t="s">
        <v>55</v>
      </c>
      <c r="C323" s="659" t="s">
        <v>4016</v>
      </c>
      <c r="D323" s="3" t="s">
        <v>4016</v>
      </c>
      <c r="E323" s="659" t="s">
        <v>74</v>
      </c>
      <c r="F323" s="402" t="s">
        <v>4017</v>
      </c>
      <c r="G323" s="664" t="s">
        <v>3655</v>
      </c>
      <c r="H323" s="1" t="s">
        <v>3656</v>
      </c>
      <c r="I323" s="403">
        <f>137995.01/16</f>
        <v>8624.6881250000006</v>
      </c>
      <c r="J323" s="403">
        <f>32564.5/16</f>
        <v>2035.28125</v>
      </c>
      <c r="K323" s="351">
        <f>+J323*(0.5556)</f>
        <v>1130.8022624999999</v>
      </c>
      <c r="L323" s="345">
        <f>+K323*Q323</f>
        <v>226.16045249999999</v>
      </c>
      <c r="M323" s="345" t="s">
        <v>6169</v>
      </c>
      <c r="N323" s="658" t="s">
        <v>3785</v>
      </c>
      <c r="O323" s="1" t="s">
        <v>3986</v>
      </c>
      <c r="P323" s="396" t="s">
        <v>3659</v>
      </c>
      <c r="Q323" s="397">
        <v>0.2</v>
      </c>
      <c r="R323" s="191">
        <v>1900003314</v>
      </c>
      <c r="S323" s="618" t="s">
        <v>75</v>
      </c>
      <c r="T323" s="618" t="s">
        <v>5915</v>
      </c>
    </row>
    <row r="324" spans="1:20" s="619" customFormat="1" hidden="1" x14ac:dyDescent="0.35">
      <c r="A324" s="663" t="s">
        <v>4056</v>
      </c>
      <c r="B324" s="658" t="s">
        <v>55</v>
      </c>
      <c r="C324" s="659" t="s">
        <v>4016</v>
      </c>
      <c r="D324" s="3" t="s">
        <v>4016</v>
      </c>
      <c r="E324" s="659" t="s">
        <v>76</v>
      </c>
      <c r="F324" s="402" t="s">
        <v>4017</v>
      </c>
      <c r="G324" s="664" t="s">
        <v>3655</v>
      </c>
      <c r="H324" s="1" t="s">
        <v>3656</v>
      </c>
      <c r="I324" s="403">
        <f>137995.01/16</f>
        <v>8624.6881250000006</v>
      </c>
      <c r="J324" s="403">
        <f>32564.5/16</f>
        <v>2035.28125</v>
      </c>
      <c r="K324" s="351">
        <f>+J324*(0.5556)</f>
        <v>1130.8022624999999</v>
      </c>
      <c r="L324" s="345">
        <f>+K324*Q324</f>
        <v>226.16045249999999</v>
      </c>
      <c r="M324" s="345" t="s">
        <v>6169</v>
      </c>
      <c r="N324" s="658" t="s">
        <v>3785</v>
      </c>
      <c r="O324" s="1" t="s">
        <v>3986</v>
      </c>
      <c r="P324" s="396" t="s">
        <v>3659</v>
      </c>
      <c r="Q324" s="397">
        <v>0.2</v>
      </c>
      <c r="R324" s="191">
        <v>1900003314</v>
      </c>
      <c r="S324" s="618" t="s">
        <v>77</v>
      </c>
      <c r="T324" s="618" t="s">
        <v>5915</v>
      </c>
    </row>
    <row r="325" spans="1:20" s="619" customFormat="1" hidden="1" x14ac:dyDescent="0.35">
      <c r="A325" s="663" t="s">
        <v>4057</v>
      </c>
      <c r="B325" s="658" t="s">
        <v>55</v>
      </c>
      <c r="C325" s="659" t="s">
        <v>4016</v>
      </c>
      <c r="D325" s="3" t="s">
        <v>4016</v>
      </c>
      <c r="E325" s="659" t="s">
        <v>78</v>
      </c>
      <c r="F325" s="402" t="s">
        <v>4017</v>
      </c>
      <c r="G325" s="664" t="s">
        <v>3655</v>
      </c>
      <c r="H325" s="1" t="s">
        <v>3656</v>
      </c>
      <c r="I325" s="403">
        <f>137995.01/16</f>
        <v>8624.6881250000006</v>
      </c>
      <c r="J325" s="403">
        <f>32564.5/16</f>
        <v>2035.28125</v>
      </c>
      <c r="K325" s="351">
        <f>+J325*(0.5556)</f>
        <v>1130.8022624999999</v>
      </c>
      <c r="L325" s="345">
        <f>+K325*Q325</f>
        <v>226.16045249999999</v>
      </c>
      <c r="M325" s="345" t="s">
        <v>6169</v>
      </c>
      <c r="N325" s="658" t="s">
        <v>3785</v>
      </c>
      <c r="O325" s="1" t="s">
        <v>3986</v>
      </c>
      <c r="P325" s="396" t="s">
        <v>3659</v>
      </c>
      <c r="Q325" s="397">
        <v>0.2</v>
      </c>
      <c r="R325" s="191">
        <v>1900003314</v>
      </c>
      <c r="S325" s="618" t="s">
        <v>79</v>
      </c>
      <c r="T325" s="618" t="s">
        <v>5915</v>
      </c>
    </row>
    <row r="326" spans="1:20" s="594" customFormat="1" hidden="1" x14ac:dyDescent="0.35">
      <c r="A326" s="595" t="s">
        <v>4058</v>
      </c>
      <c r="B326" s="596" t="s">
        <v>55</v>
      </c>
      <c r="C326" s="583" t="s">
        <v>4016</v>
      </c>
      <c r="D326" s="3" t="s">
        <v>4016</v>
      </c>
      <c r="E326" s="583" t="s">
        <v>80</v>
      </c>
      <c r="F326" s="402" t="s">
        <v>4017</v>
      </c>
      <c r="G326" s="597" t="s">
        <v>3655</v>
      </c>
      <c r="H326" s="1" t="s">
        <v>3656</v>
      </c>
      <c r="I326" s="403">
        <f>137995.01/16</f>
        <v>8624.6881250000006</v>
      </c>
      <c r="J326" s="403">
        <f>32564.5/16</f>
        <v>2035.28125</v>
      </c>
      <c r="K326" s="351">
        <f>+J326*(0.5556)</f>
        <v>1130.8022624999999</v>
      </c>
      <c r="L326" s="345">
        <f>+K326*Q326</f>
        <v>226.16045249999999</v>
      </c>
      <c r="M326" s="345" t="s">
        <v>6169</v>
      </c>
      <c r="N326" s="596" t="s">
        <v>3785</v>
      </c>
      <c r="O326" s="1" t="s">
        <v>3986</v>
      </c>
      <c r="P326" s="396" t="s">
        <v>3659</v>
      </c>
      <c r="Q326" s="397">
        <v>0.2</v>
      </c>
      <c r="R326" s="191">
        <v>1900003314</v>
      </c>
      <c r="S326" s="588" t="s">
        <v>3475</v>
      </c>
      <c r="T326" s="588" t="s">
        <v>5915</v>
      </c>
    </row>
    <row r="327" spans="1:20" s="594" customFormat="1" hidden="1" x14ac:dyDescent="0.35">
      <c r="A327" s="595" t="s">
        <v>4060</v>
      </c>
      <c r="B327" s="596" t="s">
        <v>55</v>
      </c>
      <c r="C327" s="583" t="s">
        <v>4016</v>
      </c>
      <c r="D327" s="3" t="s">
        <v>4016</v>
      </c>
      <c r="E327" s="583" t="s">
        <v>81</v>
      </c>
      <c r="F327" s="402" t="s">
        <v>4017</v>
      </c>
      <c r="G327" s="597" t="s">
        <v>3655</v>
      </c>
      <c r="H327" s="1" t="s">
        <v>3656</v>
      </c>
      <c r="I327" s="403">
        <f>137995.01/16</f>
        <v>8624.6881250000006</v>
      </c>
      <c r="J327" s="403">
        <f>32564.5/16</f>
        <v>2035.28125</v>
      </c>
      <c r="K327" s="351">
        <f>+J327*(0.5556)</f>
        <v>1130.8022624999999</v>
      </c>
      <c r="L327" s="345">
        <f>+K327*Q327</f>
        <v>226.16045249999999</v>
      </c>
      <c r="M327" s="345" t="s">
        <v>6169</v>
      </c>
      <c r="N327" s="596" t="s">
        <v>3785</v>
      </c>
      <c r="O327" s="1" t="s">
        <v>3986</v>
      </c>
      <c r="P327" s="396" t="s">
        <v>3659</v>
      </c>
      <c r="Q327" s="397">
        <v>0.2</v>
      </c>
      <c r="R327" s="191">
        <v>1900003314</v>
      </c>
      <c r="S327" s="588" t="s">
        <v>3475</v>
      </c>
      <c r="T327" s="588" t="s">
        <v>5915</v>
      </c>
    </row>
    <row r="328" spans="1:20" s="561" customFormat="1" hidden="1" x14ac:dyDescent="0.35">
      <c r="A328" s="556" t="s">
        <v>4061</v>
      </c>
      <c r="B328" s="557" t="s">
        <v>55</v>
      </c>
      <c r="C328" s="558" t="s">
        <v>4016</v>
      </c>
      <c r="D328" s="3" t="s">
        <v>4016</v>
      </c>
      <c r="E328" s="558" t="s">
        <v>82</v>
      </c>
      <c r="F328" s="402" t="s">
        <v>4017</v>
      </c>
      <c r="G328" s="562" t="s">
        <v>3655</v>
      </c>
      <c r="H328" s="557" t="s">
        <v>3656</v>
      </c>
      <c r="I328" s="403">
        <f>137995.01/16</f>
        <v>8624.6881250000006</v>
      </c>
      <c r="J328" s="403">
        <f>32564.5/16</f>
        <v>2035.28125</v>
      </c>
      <c r="K328" s="351">
        <f>+J328*(0.5556)</f>
        <v>1130.8022624999999</v>
      </c>
      <c r="L328" s="345">
        <f>+K328*Q328</f>
        <v>226.16045249999999</v>
      </c>
      <c r="M328" s="345" t="s">
        <v>6169</v>
      </c>
      <c r="N328" s="557" t="s">
        <v>3785</v>
      </c>
      <c r="O328" s="1" t="s">
        <v>3986</v>
      </c>
      <c r="P328" s="396" t="s">
        <v>3659</v>
      </c>
      <c r="Q328" s="397">
        <v>0.2</v>
      </c>
      <c r="R328" s="191">
        <v>1900003314</v>
      </c>
      <c r="S328" s="560" t="s">
        <v>2617</v>
      </c>
      <c r="T328" s="560" t="s">
        <v>5915</v>
      </c>
    </row>
    <row r="329" spans="1:20" s="594" customFormat="1" hidden="1" x14ac:dyDescent="0.35">
      <c r="A329" s="595" t="s">
        <v>4062</v>
      </c>
      <c r="B329" s="596" t="s">
        <v>52</v>
      </c>
      <c r="C329" s="583" t="s">
        <v>4016</v>
      </c>
      <c r="D329" s="3" t="s">
        <v>4016</v>
      </c>
      <c r="E329" s="583" t="s">
        <v>83</v>
      </c>
      <c r="F329" s="402" t="s">
        <v>4017</v>
      </c>
      <c r="G329" s="597" t="s">
        <v>3655</v>
      </c>
      <c r="H329" s="1" t="s">
        <v>3656</v>
      </c>
      <c r="I329" s="403">
        <f>137995.01/16</f>
        <v>8624.6881250000006</v>
      </c>
      <c r="J329" s="403">
        <f>32564.5/16</f>
        <v>2035.28125</v>
      </c>
      <c r="K329" s="351">
        <f>+J329*(0.5556)</f>
        <v>1130.8022624999999</v>
      </c>
      <c r="L329" s="345">
        <f>+K329*Q329</f>
        <v>226.16045249999999</v>
      </c>
      <c r="M329" s="345" t="s">
        <v>6169</v>
      </c>
      <c r="N329" s="596" t="s">
        <v>3785</v>
      </c>
      <c r="O329" s="1" t="s">
        <v>3986</v>
      </c>
      <c r="P329" s="396" t="s">
        <v>3659</v>
      </c>
      <c r="Q329" s="397">
        <v>0.2</v>
      </c>
      <c r="R329" s="191">
        <v>1900003314</v>
      </c>
      <c r="S329" s="588" t="s">
        <v>3475</v>
      </c>
      <c r="T329" s="588" t="s">
        <v>5915</v>
      </c>
    </row>
    <row r="330" spans="1:20" s="594" customFormat="1" hidden="1" x14ac:dyDescent="0.35">
      <c r="A330" s="595" t="s">
        <v>4063</v>
      </c>
      <c r="B330" s="596" t="s">
        <v>52</v>
      </c>
      <c r="C330" s="583" t="s">
        <v>4016</v>
      </c>
      <c r="D330" s="3" t="s">
        <v>4016</v>
      </c>
      <c r="E330" s="583" t="s">
        <v>84</v>
      </c>
      <c r="F330" s="402" t="s">
        <v>4017</v>
      </c>
      <c r="G330" s="597" t="s">
        <v>3655</v>
      </c>
      <c r="H330" s="1" t="s">
        <v>3656</v>
      </c>
      <c r="I330" s="403">
        <f>137995.01/16</f>
        <v>8624.6881250000006</v>
      </c>
      <c r="J330" s="403">
        <f>32564.5/16</f>
        <v>2035.28125</v>
      </c>
      <c r="K330" s="351">
        <f>+J330*(0.5556)</f>
        <v>1130.8022624999999</v>
      </c>
      <c r="L330" s="345">
        <f>+K330*Q330</f>
        <v>226.16045249999999</v>
      </c>
      <c r="M330" s="345" t="s">
        <v>6169</v>
      </c>
      <c r="N330" s="596" t="s">
        <v>3785</v>
      </c>
      <c r="O330" s="1" t="s">
        <v>3986</v>
      </c>
      <c r="P330" s="396" t="s">
        <v>3659</v>
      </c>
      <c r="Q330" s="397">
        <v>0.2</v>
      </c>
      <c r="R330" s="191">
        <v>1900003314</v>
      </c>
      <c r="S330" s="588" t="s">
        <v>3475</v>
      </c>
      <c r="T330" s="588" t="s">
        <v>5915</v>
      </c>
    </row>
    <row r="331" spans="1:20" s="561" customFormat="1" hidden="1" x14ac:dyDescent="0.35">
      <c r="A331" s="556" t="s">
        <v>4064</v>
      </c>
      <c r="B331" s="557" t="s">
        <v>52</v>
      </c>
      <c r="C331" s="558" t="s">
        <v>4016</v>
      </c>
      <c r="D331" s="3" t="s">
        <v>4016</v>
      </c>
      <c r="E331" s="558" t="s">
        <v>85</v>
      </c>
      <c r="F331" s="402" t="s">
        <v>4017</v>
      </c>
      <c r="G331" s="562" t="s">
        <v>3655</v>
      </c>
      <c r="H331" s="1" t="s">
        <v>3656</v>
      </c>
      <c r="I331" s="403">
        <f>137995.01/16</f>
        <v>8624.6881250000006</v>
      </c>
      <c r="J331" s="403">
        <f>32564.5/16</f>
        <v>2035.28125</v>
      </c>
      <c r="K331" s="351">
        <f>+J331*(0.5556)</f>
        <v>1130.8022624999999</v>
      </c>
      <c r="L331" s="345">
        <f>+K331*Q331</f>
        <v>226.16045249999999</v>
      </c>
      <c r="M331" s="345" t="s">
        <v>6169</v>
      </c>
      <c r="N331" s="557" t="s">
        <v>3785</v>
      </c>
      <c r="O331" s="1" t="s">
        <v>3986</v>
      </c>
      <c r="P331" s="396" t="s">
        <v>3659</v>
      </c>
      <c r="Q331" s="397">
        <v>0.2</v>
      </c>
      <c r="R331" s="191">
        <v>1900003314</v>
      </c>
      <c r="S331" s="560" t="s">
        <v>2617</v>
      </c>
      <c r="T331" s="560" t="s">
        <v>5915</v>
      </c>
    </row>
    <row r="332" spans="1:20" s="619" customFormat="1" hidden="1" x14ac:dyDescent="0.35">
      <c r="A332" s="663" t="s">
        <v>4065</v>
      </c>
      <c r="B332" s="658" t="s">
        <v>52</v>
      </c>
      <c r="C332" s="659" t="s">
        <v>4016</v>
      </c>
      <c r="D332" s="3" t="s">
        <v>4016</v>
      </c>
      <c r="E332" s="659" t="s">
        <v>87</v>
      </c>
      <c r="F332" s="402" t="s">
        <v>4017</v>
      </c>
      <c r="G332" s="664" t="s">
        <v>3655</v>
      </c>
      <c r="H332" s="1" t="s">
        <v>3656</v>
      </c>
      <c r="I332" s="403">
        <f>137995.01/16</f>
        <v>8624.6881250000006</v>
      </c>
      <c r="J332" s="403">
        <f>32564.5/16</f>
        <v>2035.28125</v>
      </c>
      <c r="K332" s="351">
        <f>+J332*(0.5556)</f>
        <v>1130.8022624999999</v>
      </c>
      <c r="L332" s="345">
        <f>+K332*Q332</f>
        <v>226.16045249999999</v>
      </c>
      <c r="M332" s="345" t="s">
        <v>6169</v>
      </c>
      <c r="N332" s="658" t="s">
        <v>3785</v>
      </c>
      <c r="O332" s="1" t="s">
        <v>3986</v>
      </c>
      <c r="P332" s="396" t="s">
        <v>3659</v>
      </c>
      <c r="Q332" s="397">
        <v>0.2</v>
      </c>
      <c r="R332" s="191">
        <v>1900003314</v>
      </c>
      <c r="S332" s="618" t="s">
        <v>88</v>
      </c>
      <c r="T332" s="618" t="s">
        <v>5915</v>
      </c>
    </row>
    <row r="333" spans="1:20" s="594" customFormat="1" hidden="1" x14ac:dyDescent="0.35">
      <c r="A333" s="595" t="s">
        <v>4066</v>
      </c>
      <c r="B333" s="596" t="s">
        <v>52</v>
      </c>
      <c r="C333" s="583" t="s">
        <v>4016</v>
      </c>
      <c r="D333" s="3" t="s">
        <v>4016</v>
      </c>
      <c r="E333" s="583" t="s">
        <v>89</v>
      </c>
      <c r="F333" s="402" t="s">
        <v>4017</v>
      </c>
      <c r="G333" s="597" t="s">
        <v>3655</v>
      </c>
      <c r="H333" s="1" t="s">
        <v>3656</v>
      </c>
      <c r="I333" s="403">
        <f>137995.01/16</f>
        <v>8624.6881250000006</v>
      </c>
      <c r="J333" s="403">
        <f>32564.5/16</f>
        <v>2035.28125</v>
      </c>
      <c r="K333" s="351">
        <f>+J333*(0.5556)</f>
        <v>1130.8022624999999</v>
      </c>
      <c r="L333" s="345">
        <f>+K333*Q333</f>
        <v>226.16045249999999</v>
      </c>
      <c r="M333" s="345" t="s">
        <v>6169</v>
      </c>
      <c r="N333" s="596" t="s">
        <v>3785</v>
      </c>
      <c r="O333" s="1" t="s">
        <v>3986</v>
      </c>
      <c r="P333" s="396" t="s">
        <v>3659</v>
      </c>
      <c r="Q333" s="397">
        <v>0.2</v>
      </c>
      <c r="R333" s="191">
        <v>1900003314</v>
      </c>
      <c r="S333" s="588" t="s">
        <v>3475</v>
      </c>
      <c r="T333" s="588" t="s">
        <v>5915</v>
      </c>
    </row>
    <row r="334" spans="1:20" s="594" customFormat="1" hidden="1" x14ac:dyDescent="0.35">
      <c r="A334" s="595" t="s">
        <v>4067</v>
      </c>
      <c r="B334" s="596" t="s">
        <v>52</v>
      </c>
      <c r="C334" s="583" t="s">
        <v>4016</v>
      </c>
      <c r="D334" s="3" t="s">
        <v>4016</v>
      </c>
      <c r="E334" s="583" t="s">
        <v>90</v>
      </c>
      <c r="F334" s="402" t="s">
        <v>4017</v>
      </c>
      <c r="G334" s="597" t="s">
        <v>3655</v>
      </c>
      <c r="H334" s="1" t="s">
        <v>3656</v>
      </c>
      <c r="I334" s="403">
        <f>137995.01/16</f>
        <v>8624.6881250000006</v>
      </c>
      <c r="J334" s="403">
        <f>32564.5/16</f>
        <v>2035.28125</v>
      </c>
      <c r="K334" s="351">
        <f>+J334*(0.5556)</f>
        <v>1130.8022624999999</v>
      </c>
      <c r="L334" s="345">
        <f>+K334*Q334</f>
        <v>226.16045249999999</v>
      </c>
      <c r="M334" s="345" t="s">
        <v>6169</v>
      </c>
      <c r="N334" s="1" t="s">
        <v>3785</v>
      </c>
      <c r="O334" s="1" t="s">
        <v>3986</v>
      </c>
      <c r="P334" s="396" t="s">
        <v>3659</v>
      </c>
      <c r="Q334" s="397">
        <v>0.2</v>
      </c>
      <c r="R334" s="191">
        <v>1900003314</v>
      </c>
      <c r="S334" s="588" t="s">
        <v>3475</v>
      </c>
      <c r="T334" s="588" t="s">
        <v>5915</v>
      </c>
    </row>
    <row r="335" spans="1:20" s="594" customFormat="1" hidden="1" x14ac:dyDescent="0.35">
      <c r="A335" s="595" t="s">
        <v>4068</v>
      </c>
      <c r="B335" s="596" t="s">
        <v>91</v>
      </c>
      <c r="C335" s="583" t="s">
        <v>4016</v>
      </c>
      <c r="D335" s="3" t="s">
        <v>4016</v>
      </c>
      <c r="E335" s="583" t="s">
        <v>92</v>
      </c>
      <c r="F335" s="402" t="s">
        <v>4017</v>
      </c>
      <c r="G335" s="597" t="s">
        <v>3655</v>
      </c>
      <c r="H335" s="1" t="s">
        <v>3656</v>
      </c>
      <c r="I335" s="403">
        <f>137995.01/16</f>
        <v>8624.6881250000006</v>
      </c>
      <c r="J335" s="403">
        <f>32564.5/16</f>
        <v>2035.28125</v>
      </c>
      <c r="K335" s="351">
        <f>+J335*(0.5556)</f>
        <v>1130.8022624999999</v>
      </c>
      <c r="L335" s="345">
        <f>+K335*Q335</f>
        <v>226.16045249999999</v>
      </c>
      <c r="M335" s="345" t="s">
        <v>6169</v>
      </c>
      <c r="N335" s="1" t="s">
        <v>3785</v>
      </c>
      <c r="O335" s="1" t="s">
        <v>3986</v>
      </c>
      <c r="P335" s="396" t="s">
        <v>3659</v>
      </c>
      <c r="Q335" s="397">
        <v>0.2</v>
      </c>
      <c r="R335" s="191">
        <v>1900003314</v>
      </c>
      <c r="S335" s="588" t="s">
        <v>3475</v>
      </c>
      <c r="T335" s="588" t="s">
        <v>5915</v>
      </c>
    </row>
    <row r="336" spans="1:20" s="561" customFormat="1" hidden="1" x14ac:dyDescent="0.35">
      <c r="A336" s="556" t="s">
        <v>4069</v>
      </c>
      <c r="B336" s="557" t="s">
        <v>52</v>
      </c>
      <c r="C336" s="558" t="s">
        <v>4016</v>
      </c>
      <c r="D336" s="3" t="s">
        <v>4016</v>
      </c>
      <c r="E336" s="558" t="s">
        <v>93</v>
      </c>
      <c r="F336" s="402" t="s">
        <v>4017</v>
      </c>
      <c r="G336" s="562" t="s">
        <v>3655</v>
      </c>
      <c r="H336" s="1" t="s">
        <v>3656</v>
      </c>
      <c r="I336" s="403">
        <f>137995.01/16</f>
        <v>8624.6881250000006</v>
      </c>
      <c r="J336" s="403">
        <f>32564.5/16</f>
        <v>2035.28125</v>
      </c>
      <c r="K336" s="351">
        <f>+J336*(0.5556)</f>
        <v>1130.8022624999999</v>
      </c>
      <c r="L336" s="345">
        <f>+K336*Q336</f>
        <v>226.16045249999999</v>
      </c>
      <c r="M336" s="345" t="s">
        <v>6169</v>
      </c>
      <c r="N336" s="557" t="s">
        <v>3785</v>
      </c>
      <c r="O336" s="1" t="s">
        <v>3986</v>
      </c>
      <c r="P336" s="396" t="s">
        <v>3659</v>
      </c>
      <c r="Q336" s="397">
        <v>0.2</v>
      </c>
      <c r="R336" s="191">
        <v>1900003314</v>
      </c>
      <c r="S336" s="560" t="s">
        <v>2617</v>
      </c>
      <c r="T336" s="560" t="s">
        <v>5915</v>
      </c>
    </row>
    <row r="337" spans="1:20" hidden="1" x14ac:dyDescent="0.35">
      <c r="A337" s="398" t="s">
        <v>4070</v>
      </c>
      <c r="B337" s="1" t="s">
        <v>4071</v>
      </c>
      <c r="C337" s="3" t="s">
        <v>4016</v>
      </c>
      <c r="D337" s="3" t="s">
        <v>4016</v>
      </c>
      <c r="E337" s="3" t="s">
        <v>754</v>
      </c>
      <c r="F337" s="402" t="s">
        <v>4017</v>
      </c>
      <c r="G337" s="402" t="s">
        <v>3784</v>
      </c>
      <c r="H337" s="1" t="s">
        <v>3656</v>
      </c>
      <c r="I337" s="403">
        <f t="shared" ref="I337:I342" si="17">93195.83/40</f>
        <v>2329.8957500000001</v>
      </c>
      <c r="J337" s="403">
        <f t="shared" ref="J337:J342" si="18">21992.65/40</f>
        <v>549.81625000000008</v>
      </c>
      <c r="K337" s="351">
        <f>+J337*(0.5556)</f>
        <v>305.47790850000001</v>
      </c>
      <c r="L337" s="345">
        <f>+K337*Q337</f>
        <v>61.095581700000004</v>
      </c>
      <c r="M337" s="345" t="s">
        <v>6169</v>
      </c>
      <c r="N337" s="1" t="s">
        <v>3785</v>
      </c>
      <c r="O337" s="1" t="s">
        <v>3986</v>
      </c>
      <c r="P337" s="396" t="s">
        <v>3659</v>
      </c>
      <c r="Q337" s="397">
        <v>0.2</v>
      </c>
      <c r="R337" s="191">
        <v>1900003314</v>
      </c>
      <c r="S337" s="2" t="s">
        <v>752</v>
      </c>
      <c r="T337" s="2" t="s">
        <v>5915</v>
      </c>
    </row>
    <row r="338" spans="1:20" hidden="1" x14ac:dyDescent="0.35">
      <c r="A338" s="398" t="s">
        <v>4072</v>
      </c>
      <c r="B338" s="1" t="s">
        <v>4071</v>
      </c>
      <c r="C338" s="3" t="s">
        <v>4016</v>
      </c>
      <c r="D338" s="3" t="s">
        <v>4016</v>
      </c>
      <c r="E338" s="3" t="s">
        <v>755</v>
      </c>
      <c r="F338" s="402" t="s">
        <v>4017</v>
      </c>
      <c r="G338" s="402" t="s">
        <v>3784</v>
      </c>
      <c r="H338" s="1" t="s">
        <v>3656</v>
      </c>
      <c r="I338" s="403">
        <f t="shared" si="17"/>
        <v>2329.8957500000001</v>
      </c>
      <c r="J338" s="403">
        <f t="shared" si="18"/>
        <v>549.81625000000008</v>
      </c>
      <c r="K338" s="351">
        <f>+J338*(0.5556)</f>
        <v>305.47790850000001</v>
      </c>
      <c r="L338" s="345">
        <f>+K338*Q338</f>
        <v>61.095581700000004</v>
      </c>
      <c r="M338" s="345" t="s">
        <v>6169</v>
      </c>
      <c r="N338" s="1" t="s">
        <v>3785</v>
      </c>
      <c r="O338" s="1" t="s">
        <v>3986</v>
      </c>
      <c r="P338" s="396" t="s">
        <v>3659</v>
      </c>
      <c r="Q338" s="397">
        <v>0.2</v>
      </c>
      <c r="R338" s="191">
        <v>1900003314</v>
      </c>
      <c r="S338" s="2" t="s">
        <v>752</v>
      </c>
      <c r="T338" s="2" t="s">
        <v>5915</v>
      </c>
    </row>
    <row r="339" spans="1:20" hidden="1" x14ac:dyDescent="0.35">
      <c r="A339" s="398" t="s">
        <v>4073</v>
      </c>
      <c r="B339" s="1" t="s">
        <v>4071</v>
      </c>
      <c r="C339" s="3" t="s">
        <v>4016</v>
      </c>
      <c r="D339" s="3" t="s">
        <v>4016</v>
      </c>
      <c r="E339" s="3" t="s">
        <v>757</v>
      </c>
      <c r="F339" s="402" t="s">
        <v>4017</v>
      </c>
      <c r="G339" s="402" t="s">
        <v>3784</v>
      </c>
      <c r="H339" s="1" t="s">
        <v>3656</v>
      </c>
      <c r="I339" s="403">
        <f t="shared" si="17"/>
        <v>2329.8957500000001</v>
      </c>
      <c r="J339" s="403">
        <f t="shared" si="18"/>
        <v>549.81625000000008</v>
      </c>
      <c r="K339" s="351">
        <f>+J339*(0.5556)</f>
        <v>305.47790850000001</v>
      </c>
      <c r="L339" s="345">
        <f>+K339*Q339</f>
        <v>61.095581700000004</v>
      </c>
      <c r="M339" s="345" t="s">
        <v>6169</v>
      </c>
      <c r="N339" s="1" t="s">
        <v>3785</v>
      </c>
      <c r="O339" s="1" t="s">
        <v>3986</v>
      </c>
      <c r="P339" s="396" t="s">
        <v>3659</v>
      </c>
      <c r="Q339" s="397">
        <v>0.2</v>
      </c>
      <c r="R339" s="191">
        <v>1900003314</v>
      </c>
      <c r="S339" s="2" t="s">
        <v>756</v>
      </c>
      <c r="T339" s="2" t="s">
        <v>5915</v>
      </c>
    </row>
    <row r="340" spans="1:20" hidden="1" x14ac:dyDescent="0.35">
      <c r="A340" s="398" t="s">
        <v>4074</v>
      </c>
      <c r="B340" s="1" t="s">
        <v>4071</v>
      </c>
      <c r="C340" s="3" t="s">
        <v>4016</v>
      </c>
      <c r="D340" s="3" t="s">
        <v>4016</v>
      </c>
      <c r="E340" s="3" t="s">
        <v>793</v>
      </c>
      <c r="F340" s="402" t="s">
        <v>4017</v>
      </c>
      <c r="G340" s="402" t="s">
        <v>3784</v>
      </c>
      <c r="H340" s="1" t="s">
        <v>3656</v>
      </c>
      <c r="I340" s="403">
        <f t="shared" si="17"/>
        <v>2329.8957500000001</v>
      </c>
      <c r="J340" s="403">
        <f t="shared" si="18"/>
        <v>549.81625000000008</v>
      </c>
      <c r="K340" s="351">
        <f>+J340*(0.5556)</f>
        <v>305.47790850000001</v>
      </c>
      <c r="L340" s="345">
        <f>+K340*Q340</f>
        <v>61.095581700000004</v>
      </c>
      <c r="M340" s="345" t="s">
        <v>6169</v>
      </c>
      <c r="N340" s="1" t="s">
        <v>3785</v>
      </c>
      <c r="O340" s="1" t="s">
        <v>3986</v>
      </c>
      <c r="P340" s="396" t="s">
        <v>3659</v>
      </c>
      <c r="Q340" s="397">
        <v>0.2</v>
      </c>
      <c r="R340" s="191">
        <v>1900003314</v>
      </c>
      <c r="S340" s="2" t="s">
        <v>791</v>
      </c>
      <c r="T340" s="2" t="s">
        <v>5915</v>
      </c>
    </row>
    <row r="341" spans="1:20" hidden="1" x14ac:dyDescent="0.35">
      <c r="A341" s="398" t="s">
        <v>4075</v>
      </c>
      <c r="B341" s="1" t="s">
        <v>4071</v>
      </c>
      <c r="C341" s="3" t="s">
        <v>4016</v>
      </c>
      <c r="D341" s="3" t="s">
        <v>4016</v>
      </c>
      <c r="E341" s="3" t="s">
        <v>800</v>
      </c>
      <c r="F341" s="402" t="s">
        <v>4017</v>
      </c>
      <c r="G341" s="402" t="s">
        <v>3784</v>
      </c>
      <c r="H341" s="1" t="s">
        <v>3656</v>
      </c>
      <c r="I341" s="403">
        <f t="shared" si="17"/>
        <v>2329.8957500000001</v>
      </c>
      <c r="J341" s="403">
        <f t="shared" si="18"/>
        <v>549.81625000000008</v>
      </c>
      <c r="K341" s="351">
        <f>+J341*(0.5556)</f>
        <v>305.47790850000001</v>
      </c>
      <c r="L341" s="345">
        <f>+K341*Q341</f>
        <v>61.095581700000004</v>
      </c>
      <c r="M341" s="345" t="s">
        <v>6169</v>
      </c>
      <c r="N341" s="1" t="s">
        <v>3785</v>
      </c>
      <c r="O341" s="1" t="s">
        <v>3986</v>
      </c>
      <c r="P341" s="396" t="s">
        <v>3659</v>
      </c>
      <c r="Q341" s="397">
        <v>0.2</v>
      </c>
      <c r="R341" s="191">
        <v>1900003314</v>
      </c>
      <c r="S341" s="2" t="s">
        <v>797</v>
      </c>
      <c r="T341" s="2" t="s">
        <v>5915</v>
      </c>
    </row>
    <row r="342" spans="1:20" hidden="1" x14ac:dyDescent="0.35">
      <c r="A342" s="398" t="s">
        <v>4076</v>
      </c>
      <c r="B342" s="1" t="s">
        <v>4071</v>
      </c>
      <c r="C342" s="3" t="s">
        <v>4016</v>
      </c>
      <c r="D342" s="3" t="s">
        <v>4016</v>
      </c>
      <c r="E342" s="3" t="s">
        <v>830</v>
      </c>
      <c r="F342" s="402" t="s">
        <v>4017</v>
      </c>
      <c r="G342" s="402" t="s">
        <v>3784</v>
      </c>
      <c r="H342" s="1" t="s">
        <v>3656</v>
      </c>
      <c r="I342" s="403">
        <f t="shared" si="17"/>
        <v>2329.8957500000001</v>
      </c>
      <c r="J342" s="403">
        <f t="shared" si="18"/>
        <v>549.81625000000008</v>
      </c>
      <c r="K342" s="351">
        <f>+J342*(0.5556)</f>
        <v>305.47790850000001</v>
      </c>
      <c r="L342" s="345">
        <f>+K342*Q342</f>
        <v>61.095581700000004</v>
      </c>
      <c r="M342" s="345" t="s">
        <v>6169</v>
      </c>
      <c r="N342" s="1" t="s">
        <v>3785</v>
      </c>
      <c r="O342" s="1" t="s">
        <v>3986</v>
      </c>
      <c r="P342" s="396" t="s">
        <v>3659</v>
      </c>
      <c r="Q342" s="397">
        <v>0.2</v>
      </c>
      <c r="R342" s="191">
        <v>1900003314</v>
      </c>
      <c r="S342" s="2" t="s">
        <v>828</v>
      </c>
      <c r="T342" s="2" t="s">
        <v>5915</v>
      </c>
    </row>
    <row r="343" spans="1:20" hidden="1" x14ac:dyDescent="0.35">
      <c r="A343" s="398" t="s">
        <v>4077</v>
      </c>
      <c r="B343" s="1" t="s">
        <v>4078</v>
      </c>
      <c r="C343" s="3" t="s">
        <v>4016</v>
      </c>
      <c r="D343" s="3" t="s">
        <v>4016</v>
      </c>
      <c r="E343" s="3" t="s">
        <v>842</v>
      </c>
      <c r="F343" s="402" t="s">
        <v>4017</v>
      </c>
      <c r="G343" s="402" t="s">
        <v>3784</v>
      </c>
      <c r="H343" s="1" t="s">
        <v>3656</v>
      </c>
      <c r="I343" s="403">
        <f t="shared" ref="I343:I375" si="19">151199.94/30</f>
        <v>5039.9980000000005</v>
      </c>
      <c r="J343" s="403">
        <f t="shared" ref="J343:J375" si="20">35680.65/30</f>
        <v>1189.355</v>
      </c>
      <c r="K343" s="351">
        <f>+J343*(0.5556)</f>
        <v>660.80563800000004</v>
      </c>
      <c r="L343" s="345">
        <f>+K343*Q343</f>
        <v>132.16112760000001</v>
      </c>
      <c r="M343" s="345" t="s">
        <v>6169</v>
      </c>
      <c r="N343" s="1" t="s">
        <v>3785</v>
      </c>
      <c r="O343" s="1" t="s">
        <v>3986</v>
      </c>
      <c r="P343" s="396" t="s">
        <v>3659</v>
      </c>
      <c r="Q343" s="397">
        <v>0.2</v>
      </c>
      <c r="R343" s="191">
        <v>1900003314</v>
      </c>
      <c r="S343" s="2" t="s">
        <v>369</v>
      </c>
      <c r="T343" s="2" t="s">
        <v>5915</v>
      </c>
    </row>
    <row r="344" spans="1:20" hidden="1" x14ac:dyDescent="0.35">
      <c r="A344" s="398" t="s">
        <v>4079</v>
      </c>
      <c r="B344" s="1" t="s">
        <v>4078</v>
      </c>
      <c r="C344" s="3" t="s">
        <v>4016</v>
      </c>
      <c r="D344" s="3" t="s">
        <v>4016</v>
      </c>
      <c r="E344" s="3" t="s">
        <v>851</v>
      </c>
      <c r="F344" s="402" t="s">
        <v>4017</v>
      </c>
      <c r="G344" s="402" t="s">
        <v>3784</v>
      </c>
      <c r="H344" s="1" t="s">
        <v>3656</v>
      </c>
      <c r="I344" s="403">
        <f t="shared" si="19"/>
        <v>5039.9980000000005</v>
      </c>
      <c r="J344" s="403">
        <f t="shared" si="20"/>
        <v>1189.355</v>
      </c>
      <c r="K344" s="351">
        <f>+J344*(0.5556)</f>
        <v>660.80563800000004</v>
      </c>
      <c r="L344" s="345">
        <f>+K344*Q344</f>
        <v>132.16112760000001</v>
      </c>
      <c r="M344" s="345" t="s">
        <v>6169</v>
      </c>
      <c r="N344" s="1" t="s">
        <v>3785</v>
      </c>
      <c r="O344" s="1" t="s">
        <v>3986</v>
      </c>
      <c r="P344" s="396" t="s">
        <v>3659</v>
      </c>
      <c r="Q344" s="397">
        <v>0.2</v>
      </c>
      <c r="R344" s="191">
        <v>1900003314</v>
      </c>
      <c r="S344" s="2" t="s">
        <v>850</v>
      </c>
      <c r="T344" s="2" t="s">
        <v>5915</v>
      </c>
    </row>
    <row r="345" spans="1:20" hidden="1" x14ac:dyDescent="0.35">
      <c r="A345" s="398" t="s">
        <v>4080</v>
      </c>
      <c r="B345" s="1" t="s">
        <v>4078</v>
      </c>
      <c r="C345" s="3" t="s">
        <v>4016</v>
      </c>
      <c r="D345" s="3" t="s">
        <v>4016</v>
      </c>
      <c r="E345" s="3" t="s">
        <v>861</v>
      </c>
      <c r="F345" s="402" t="s">
        <v>4017</v>
      </c>
      <c r="G345" s="402" t="s">
        <v>3784</v>
      </c>
      <c r="H345" s="1" t="s">
        <v>3656</v>
      </c>
      <c r="I345" s="403">
        <f t="shared" si="19"/>
        <v>5039.9980000000005</v>
      </c>
      <c r="J345" s="403">
        <f t="shared" si="20"/>
        <v>1189.355</v>
      </c>
      <c r="K345" s="351">
        <f>+J345*(0.5556)</f>
        <v>660.80563800000004</v>
      </c>
      <c r="L345" s="345">
        <f>+K345*Q345</f>
        <v>132.16112760000001</v>
      </c>
      <c r="M345" s="345" t="s">
        <v>6169</v>
      </c>
      <c r="N345" s="1" t="s">
        <v>3785</v>
      </c>
      <c r="O345" s="1" t="s">
        <v>3986</v>
      </c>
      <c r="P345" s="396" t="s">
        <v>3659</v>
      </c>
      <c r="Q345" s="397">
        <v>0.2</v>
      </c>
      <c r="R345" s="191">
        <v>1900003314</v>
      </c>
      <c r="S345" s="2" t="s">
        <v>725</v>
      </c>
      <c r="T345" s="2" t="s">
        <v>5915</v>
      </c>
    </row>
    <row r="346" spans="1:20" hidden="1" x14ac:dyDescent="0.35">
      <c r="A346" s="398" t="s">
        <v>4081</v>
      </c>
      <c r="B346" s="1" t="s">
        <v>4078</v>
      </c>
      <c r="C346" s="3" t="s">
        <v>4016</v>
      </c>
      <c r="D346" s="3" t="s">
        <v>4016</v>
      </c>
      <c r="E346" s="3" t="s">
        <v>867</v>
      </c>
      <c r="F346" s="402" t="s">
        <v>4017</v>
      </c>
      <c r="G346" s="402" t="s">
        <v>3784</v>
      </c>
      <c r="H346" s="1" t="s">
        <v>3656</v>
      </c>
      <c r="I346" s="403">
        <f t="shared" si="19"/>
        <v>5039.9980000000005</v>
      </c>
      <c r="J346" s="403">
        <f t="shared" si="20"/>
        <v>1189.355</v>
      </c>
      <c r="K346" s="351">
        <f>+J346*(0.5556)</f>
        <v>660.80563800000004</v>
      </c>
      <c r="L346" s="345">
        <f>+K346*Q346</f>
        <v>132.16112760000001</v>
      </c>
      <c r="M346" s="345" t="s">
        <v>6169</v>
      </c>
      <c r="N346" s="1" t="s">
        <v>3785</v>
      </c>
      <c r="O346" s="1" t="s">
        <v>3986</v>
      </c>
      <c r="P346" s="396" t="s">
        <v>3659</v>
      </c>
      <c r="Q346" s="397">
        <v>0.2</v>
      </c>
      <c r="R346" s="191">
        <v>1900003314</v>
      </c>
      <c r="S346" s="2" t="s">
        <v>866</v>
      </c>
      <c r="T346" s="2" t="s">
        <v>5915</v>
      </c>
    </row>
    <row r="347" spans="1:20" hidden="1" x14ac:dyDescent="0.35">
      <c r="A347" s="398" t="s">
        <v>4082</v>
      </c>
      <c r="B347" s="1" t="s">
        <v>4078</v>
      </c>
      <c r="C347" s="3" t="s">
        <v>4016</v>
      </c>
      <c r="D347" s="3" t="s">
        <v>4016</v>
      </c>
      <c r="E347" s="3" t="s">
        <v>871</v>
      </c>
      <c r="F347" s="402" t="s">
        <v>4017</v>
      </c>
      <c r="G347" s="402" t="s">
        <v>3784</v>
      </c>
      <c r="H347" s="1" t="s">
        <v>3656</v>
      </c>
      <c r="I347" s="403">
        <f t="shared" si="19"/>
        <v>5039.9980000000005</v>
      </c>
      <c r="J347" s="403">
        <f t="shared" si="20"/>
        <v>1189.355</v>
      </c>
      <c r="K347" s="351">
        <f>+J347*(0.5556)</f>
        <v>660.80563800000004</v>
      </c>
      <c r="L347" s="345">
        <f>+K347*Q347</f>
        <v>132.16112760000001</v>
      </c>
      <c r="M347" s="345" t="s">
        <v>6169</v>
      </c>
      <c r="N347" s="1" t="s">
        <v>3785</v>
      </c>
      <c r="O347" s="1" t="s">
        <v>3986</v>
      </c>
      <c r="P347" s="396" t="s">
        <v>3659</v>
      </c>
      <c r="Q347" s="397">
        <v>0.2</v>
      </c>
      <c r="R347" s="191">
        <v>1900003314</v>
      </c>
      <c r="S347" s="2" t="s">
        <v>869</v>
      </c>
      <c r="T347" s="2" t="s">
        <v>5915</v>
      </c>
    </row>
    <row r="348" spans="1:20" hidden="1" x14ac:dyDescent="0.35">
      <c r="A348" s="398" t="s">
        <v>4083</v>
      </c>
      <c r="B348" s="1" t="s">
        <v>4078</v>
      </c>
      <c r="C348" s="3" t="s">
        <v>4016</v>
      </c>
      <c r="D348" s="3" t="s">
        <v>4016</v>
      </c>
      <c r="E348" s="3" t="s">
        <v>875</v>
      </c>
      <c r="F348" s="402" t="s">
        <v>4017</v>
      </c>
      <c r="G348" s="402" t="s">
        <v>3784</v>
      </c>
      <c r="H348" s="1" t="s">
        <v>3656</v>
      </c>
      <c r="I348" s="403">
        <f t="shared" si="19"/>
        <v>5039.9980000000005</v>
      </c>
      <c r="J348" s="403">
        <f t="shared" si="20"/>
        <v>1189.355</v>
      </c>
      <c r="K348" s="351">
        <f>+J348*(0.5556)</f>
        <v>660.80563800000004</v>
      </c>
      <c r="L348" s="345">
        <f>+K348*Q348</f>
        <v>132.16112760000001</v>
      </c>
      <c r="M348" s="345" t="s">
        <v>6169</v>
      </c>
      <c r="N348" s="1" t="s">
        <v>3785</v>
      </c>
      <c r="O348" s="1" t="s">
        <v>3986</v>
      </c>
      <c r="P348" s="396" t="s">
        <v>3659</v>
      </c>
      <c r="Q348" s="397">
        <v>0.2</v>
      </c>
      <c r="R348" s="191">
        <v>1900003314</v>
      </c>
      <c r="S348" s="2" t="s">
        <v>670</v>
      </c>
      <c r="T348" s="2" t="s">
        <v>5915</v>
      </c>
    </row>
    <row r="349" spans="1:20" hidden="1" x14ac:dyDescent="0.35">
      <c r="A349" s="398" t="s">
        <v>4084</v>
      </c>
      <c r="B349" s="1" t="s">
        <v>4078</v>
      </c>
      <c r="C349" s="3" t="s">
        <v>4016</v>
      </c>
      <c r="D349" s="3" t="s">
        <v>4016</v>
      </c>
      <c r="E349" s="3" t="s">
        <v>891</v>
      </c>
      <c r="F349" s="402" t="s">
        <v>4017</v>
      </c>
      <c r="G349" s="402" t="s">
        <v>3784</v>
      </c>
      <c r="H349" s="1" t="s">
        <v>3656</v>
      </c>
      <c r="I349" s="403">
        <f t="shared" si="19"/>
        <v>5039.9980000000005</v>
      </c>
      <c r="J349" s="403">
        <f t="shared" si="20"/>
        <v>1189.355</v>
      </c>
      <c r="K349" s="351">
        <f>+J349*(0.5556)</f>
        <v>660.80563800000004</v>
      </c>
      <c r="L349" s="345">
        <f>+K349*Q349</f>
        <v>132.16112760000001</v>
      </c>
      <c r="M349" s="345" t="s">
        <v>6169</v>
      </c>
      <c r="N349" s="1" t="s">
        <v>3785</v>
      </c>
      <c r="O349" s="1" t="s">
        <v>3986</v>
      </c>
      <c r="P349" s="396" t="s">
        <v>3659</v>
      </c>
      <c r="Q349" s="397">
        <v>0.2</v>
      </c>
      <c r="R349" s="191">
        <v>1900003314</v>
      </c>
      <c r="S349" s="2" t="s">
        <v>889</v>
      </c>
      <c r="T349" s="2" t="s">
        <v>5915</v>
      </c>
    </row>
    <row r="350" spans="1:20" hidden="1" x14ac:dyDescent="0.35">
      <c r="A350" s="398" t="s">
        <v>4085</v>
      </c>
      <c r="B350" s="1" t="s">
        <v>4078</v>
      </c>
      <c r="C350" s="3" t="s">
        <v>4016</v>
      </c>
      <c r="D350" s="3" t="s">
        <v>4016</v>
      </c>
      <c r="E350" s="3" t="s">
        <v>896</v>
      </c>
      <c r="F350" s="402" t="s">
        <v>4017</v>
      </c>
      <c r="G350" s="402" t="s">
        <v>3784</v>
      </c>
      <c r="H350" s="1" t="s">
        <v>3656</v>
      </c>
      <c r="I350" s="403">
        <f t="shared" si="19"/>
        <v>5039.9980000000005</v>
      </c>
      <c r="J350" s="403">
        <f t="shared" si="20"/>
        <v>1189.355</v>
      </c>
      <c r="K350" s="351">
        <f>+J350*(0.5556)</f>
        <v>660.80563800000004</v>
      </c>
      <c r="L350" s="345">
        <f>+K350*Q350</f>
        <v>132.16112760000001</v>
      </c>
      <c r="M350" s="345" t="s">
        <v>6169</v>
      </c>
      <c r="N350" s="1" t="s">
        <v>3785</v>
      </c>
      <c r="O350" s="1" t="s">
        <v>3986</v>
      </c>
      <c r="P350" s="396" t="s">
        <v>3659</v>
      </c>
      <c r="Q350" s="397">
        <v>0.2</v>
      </c>
      <c r="R350" s="191">
        <v>1900003314</v>
      </c>
      <c r="S350" s="2" t="s">
        <v>586</v>
      </c>
      <c r="T350" s="2" t="s">
        <v>5915</v>
      </c>
    </row>
    <row r="351" spans="1:20" hidden="1" x14ac:dyDescent="0.35">
      <c r="A351" s="398" t="s">
        <v>4086</v>
      </c>
      <c r="B351" s="1" t="s">
        <v>4078</v>
      </c>
      <c r="C351" s="3" t="s">
        <v>4016</v>
      </c>
      <c r="D351" s="3" t="s">
        <v>4016</v>
      </c>
      <c r="E351" s="3" t="s">
        <v>905</v>
      </c>
      <c r="F351" s="402" t="s">
        <v>4017</v>
      </c>
      <c r="G351" s="402" t="s">
        <v>3784</v>
      </c>
      <c r="H351" s="1" t="s">
        <v>3656</v>
      </c>
      <c r="I351" s="403">
        <f t="shared" si="19"/>
        <v>5039.9980000000005</v>
      </c>
      <c r="J351" s="403">
        <f t="shared" si="20"/>
        <v>1189.355</v>
      </c>
      <c r="K351" s="351">
        <f>+J351*(0.5556)</f>
        <v>660.80563800000004</v>
      </c>
      <c r="L351" s="345">
        <f>+K351*Q351</f>
        <v>132.16112760000001</v>
      </c>
      <c r="M351" s="345" t="s">
        <v>6169</v>
      </c>
      <c r="N351" s="1" t="s">
        <v>3785</v>
      </c>
      <c r="O351" s="1" t="s">
        <v>3986</v>
      </c>
      <c r="P351" s="396" t="s">
        <v>3659</v>
      </c>
      <c r="Q351" s="397">
        <v>0.2</v>
      </c>
      <c r="R351" s="191">
        <v>1900003314</v>
      </c>
      <c r="S351" s="2" t="s">
        <v>259</v>
      </c>
      <c r="T351" s="2" t="s">
        <v>5915</v>
      </c>
    </row>
    <row r="352" spans="1:20" hidden="1" x14ac:dyDescent="0.35">
      <c r="A352" s="398" t="s">
        <v>4087</v>
      </c>
      <c r="B352" s="1" t="s">
        <v>4078</v>
      </c>
      <c r="C352" s="3" t="s">
        <v>4016</v>
      </c>
      <c r="D352" s="3" t="s">
        <v>4016</v>
      </c>
      <c r="E352" s="3" t="s">
        <v>924</v>
      </c>
      <c r="F352" s="402" t="s">
        <v>4017</v>
      </c>
      <c r="G352" s="402" t="s">
        <v>3784</v>
      </c>
      <c r="H352" s="1" t="s">
        <v>3656</v>
      </c>
      <c r="I352" s="403">
        <f t="shared" si="19"/>
        <v>5039.9980000000005</v>
      </c>
      <c r="J352" s="403">
        <f t="shared" si="20"/>
        <v>1189.355</v>
      </c>
      <c r="K352" s="351">
        <f>+J352*(0.5556)</f>
        <v>660.80563800000004</v>
      </c>
      <c r="L352" s="345">
        <f>+K352*Q352</f>
        <v>132.16112760000001</v>
      </c>
      <c r="M352" s="345" t="s">
        <v>6169</v>
      </c>
      <c r="N352" s="1" t="s">
        <v>3785</v>
      </c>
      <c r="O352" s="1" t="s">
        <v>3986</v>
      </c>
      <c r="P352" s="396" t="s">
        <v>3659</v>
      </c>
      <c r="Q352" s="397">
        <v>0.2</v>
      </c>
      <c r="R352" s="191">
        <v>1900003314</v>
      </c>
      <c r="S352" s="2" t="s">
        <v>922</v>
      </c>
      <c r="T352" s="2" t="s">
        <v>5915</v>
      </c>
    </row>
    <row r="353" spans="1:20" hidden="1" x14ac:dyDescent="0.35">
      <c r="A353" s="398" t="s">
        <v>4088</v>
      </c>
      <c r="B353" s="1" t="s">
        <v>4078</v>
      </c>
      <c r="C353" s="3" t="s">
        <v>4016</v>
      </c>
      <c r="D353" s="3" t="s">
        <v>4016</v>
      </c>
      <c r="E353" s="3" t="s">
        <v>955</v>
      </c>
      <c r="F353" s="402" t="s">
        <v>4017</v>
      </c>
      <c r="G353" s="402" t="s">
        <v>3784</v>
      </c>
      <c r="H353" s="1" t="s">
        <v>3656</v>
      </c>
      <c r="I353" s="403">
        <f t="shared" si="19"/>
        <v>5039.9980000000005</v>
      </c>
      <c r="J353" s="403">
        <f t="shared" si="20"/>
        <v>1189.355</v>
      </c>
      <c r="K353" s="351">
        <f>+J353*(0.5556)</f>
        <v>660.80563800000004</v>
      </c>
      <c r="L353" s="345">
        <f>+K353*Q353</f>
        <v>132.16112760000001</v>
      </c>
      <c r="M353" s="345" t="s">
        <v>6169</v>
      </c>
      <c r="N353" s="1" t="s">
        <v>3785</v>
      </c>
      <c r="O353" s="1" t="s">
        <v>3986</v>
      </c>
      <c r="P353" s="396" t="s">
        <v>3659</v>
      </c>
      <c r="Q353" s="397">
        <v>0.2</v>
      </c>
      <c r="R353" s="191">
        <v>1900003314</v>
      </c>
      <c r="S353" s="2" t="s">
        <v>953</v>
      </c>
      <c r="T353" s="2" t="s">
        <v>5915</v>
      </c>
    </row>
    <row r="354" spans="1:20" hidden="1" x14ac:dyDescent="0.35">
      <c r="A354" s="398" t="s">
        <v>4089</v>
      </c>
      <c r="B354" s="1" t="s">
        <v>4078</v>
      </c>
      <c r="C354" s="3" t="s">
        <v>4016</v>
      </c>
      <c r="D354" s="3" t="s">
        <v>4016</v>
      </c>
      <c r="E354" s="3" t="s">
        <v>992</v>
      </c>
      <c r="F354" s="402" t="s">
        <v>4017</v>
      </c>
      <c r="G354" s="402" t="s">
        <v>3784</v>
      </c>
      <c r="H354" s="1" t="s">
        <v>3656</v>
      </c>
      <c r="I354" s="403">
        <f t="shared" si="19"/>
        <v>5039.9980000000005</v>
      </c>
      <c r="J354" s="403">
        <f t="shared" si="20"/>
        <v>1189.355</v>
      </c>
      <c r="K354" s="351">
        <f>+J354*(0.5556)</f>
        <v>660.80563800000004</v>
      </c>
      <c r="L354" s="345">
        <f>+K354*Q354</f>
        <v>132.16112760000001</v>
      </c>
      <c r="M354" s="345" t="s">
        <v>6169</v>
      </c>
      <c r="N354" s="1" t="s">
        <v>3785</v>
      </c>
      <c r="O354" s="1" t="s">
        <v>3986</v>
      </c>
      <c r="P354" s="396" t="s">
        <v>3659</v>
      </c>
      <c r="Q354" s="397">
        <v>0.2</v>
      </c>
      <c r="R354" s="191">
        <v>1900003314</v>
      </c>
      <c r="S354" s="2" t="s">
        <v>990</v>
      </c>
      <c r="T354" s="2" t="s">
        <v>5915</v>
      </c>
    </row>
    <row r="355" spans="1:20" hidden="1" x14ac:dyDescent="0.35">
      <c r="A355" s="398" t="s">
        <v>4090</v>
      </c>
      <c r="B355" s="1" t="s">
        <v>4078</v>
      </c>
      <c r="C355" s="3" t="s">
        <v>4016</v>
      </c>
      <c r="D355" s="3" t="s">
        <v>4016</v>
      </c>
      <c r="E355" s="3" t="s">
        <v>992</v>
      </c>
      <c r="F355" s="402" t="s">
        <v>4017</v>
      </c>
      <c r="G355" s="402" t="s">
        <v>3784</v>
      </c>
      <c r="H355" s="1" t="s">
        <v>3656</v>
      </c>
      <c r="I355" s="403">
        <f t="shared" si="19"/>
        <v>5039.9980000000005</v>
      </c>
      <c r="J355" s="403">
        <f t="shared" si="20"/>
        <v>1189.355</v>
      </c>
      <c r="K355" s="351">
        <f>+J355*(0.5556)</f>
        <v>660.80563800000004</v>
      </c>
      <c r="L355" s="345">
        <f>+K355*Q355</f>
        <v>132.16112760000001</v>
      </c>
      <c r="M355" s="345" t="s">
        <v>6169</v>
      </c>
      <c r="N355" s="1" t="s">
        <v>3785</v>
      </c>
      <c r="O355" s="1" t="s">
        <v>3986</v>
      </c>
      <c r="P355" s="396" t="s">
        <v>3659</v>
      </c>
      <c r="Q355" s="397">
        <v>0.2</v>
      </c>
      <c r="R355" s="191">
        <v>1900003314</v>
      </c>
      <c r="S355" s="2" t="s">
        <v>1023</v>
      </c>
      <c r="T355" s="2" t="s">
        <v>5915</v>
      </c>
    </row>
    <row r="356" spans="1:20" hidden="1" x14ac:dyDescent="0.35">
      <c r="A356" s="398" t="s">
        <v>4091</v>
      </c>
      <c r="B356" s="1" t="s">
        <v>4078</v>
      </c>
      <c r="C356" s="3" t="s">
        <v>4016</v>
      </c>
      <c r="D356" s="3" t="s">
        <v>4016</v>
      </c>
      <c r="E356" s="3" t="s">
        <v>1033</v>
      </c>
      <c r="F356" s="402" t="s">
        <v>4017</v>
      </c>
      <c r="G356" s="402" t="s">
        <v>3784</v>
      </c>
      <c r="H356" s="1" t="s">
        <v>3656</v>
      </c>
      <c r="I356" s="403">
        <f t="shared" si="19"/>
        <v>5039.9980000000005</v>
      </c>
      <c r="J356" s="403">
        <f t="shared" si="20"/>
        <v>1189.355</v>
      </c>
      <c r="K356" s="351">
        <f>+J356*(0.5556)</f>
        <v>660.80563800000004</v>
      </c>
      <c r="L356" s="345">
        <f>+K356*Q356</f>
        <v>132.16112760000001</v>
      </c>
      <c r="M356" s="345" t="s">
        <v>6169</v>
      </c>
      <c r="N356" s="1" t="s">
        <v>3785</v>
      </c>
      <c r="O356" s="1" t="s">
        <v>3986</v>
      </c>
      <c r="P356" s="396" t="s">
        <v>3659</v>
      </c>
      <c r="Q356" s="397">
        <v>0.2</v>
      </c>
      <c r="R356" s="191">
        <v>1900003314</v>
      </c>
      <c r="S356" s="2" t="s">
        <v>1031</v>
      </c>
      <c r="T356" s="2" t="s">
        <v>5915</v>
      </c>
    </row>
    <row r="357" spans="1:20" hidden="1" x14ac:dyDescent="0.35">
      <c r="A357" s="398" t="s">
        <v>4092</v>
      </c>
      <c r="B357" s="1" t="s">
        <v>4078</v>
      </c>
      <c r="C357" s="3" t="s">
        <v>4016</v>
      </c>
      <c r="D357" s="3" t="s">
        <v>4016</v>
      </c>
      <c r="E357" s="3" t="s">
        <v>1034</v>
      </c>
      <c r="F357" s="402" t="s">
        <v>4017</v>
      </c>
      <c r="G357" s="402" t="s">
        <v>3784</v>
      </c>
      <c r="H357" s="1" t="s">
        <v>3656</v>
      </c>
      <c r="I357" s="403">
        <f t="shared" si="19"/>
        <v>5039.9980000000005</v>
      </c>
      <c r="J357" s="403">
        <f t="shared" si="20"/>
        <v>1189.355</v>
      </c>
      <c r="K357" s="351">
        <f>+J357*(0.5556)</f>
        <v>660.80563800000004</v>
      </c>
      <c r="L357" s="345">
        <f>+K357*Q357</f>
        <v>132.16112760000001</v>
      </c>
      <c r="M357" s="345" t="s">
        <v>6169</v>
      </c>
      <c r="N357" s="1" t="s">
        <v>3785</v>
      </c>
      <c r="O357" s="1" t="s">
        <v>3986</v>
      </c>
      <c r="P357" s="396" t="s">
        <v>3659</v>
      </c>
      <c r="Q357" s="397">
        <v>0.2</v>
      </c>
      <c r="R357" s="191">
        <v>1900003314</v>
      </c>
      <c r="S357" s="2" t="s">
        <v>1031</v>
      </c>
      <c r="T357" s="2" t="s">
        <v>5915</v>
      </c>
    </row>
    <row r="358" spans="1:20" hidden="1" x14ac:dyDescent="0.35">
      <c r="A358" s="398" t="s">
        <v>4093</v>
      </c>
      <c r="B358" s="1" t="s">
        <v>4078</v>
      </c>
      <c r="C358" s="3" t="s">
        <v>4016</v>
      </c>
      <c r="D358" s="3" t="s">
        <v>4016</v>
      </c>
      <c r="E358" s="3" t="s">
        <v>1036</v>
      </c>
      <c r="F358" s="402" t="s">
        <v>4017</v>
      </c>
      <c r="G358" s="402" t="s">
        <v>3784</v>
      </c>
      <c r="H358" s="1" t="s">
        <v>3656</v>
      </c>
      <c r="I358" s="403">
        <f t="shared" si="19"/>
        <v>5039.9980000000005</v>
      </c>
      <c r="J358" s="403">
        <f t="shared" si="20"/>
        <v>1189.355</v>
      </c>
      <c r="K358" s="351">
        <f>+J358*(0.5556)</f>
        <v>660.80563800000004</v>
      </c>
      <c r="L358" s="345">
        <f>+K358*Q358</f>
        <v>132.16112760000001</v>
      </c>
      <c r="M358" s="345" t="s">
        <v>6169</v>
      </c>
      <c r="N358" s="1" t="s">
        <v>3785</v>
      </c>
      <c r="O358" s="1" t="s">
        <v>3986</v>
      </c>
      <c r="P358" s="396" t="s">
        <v>3659</v>
      </c>
      <c r="Q358" s="397">
        <v>0.2</v>
      </c>
      <c r="R358" s="191">
        <v>1900003314</v>
      </c>
      <c r="S358" s="2" t="s">
        <v>1035</v>
      </c>
      <c r="T358" s="2" t="s">
        <v>5915</v>
      </c>
    </row>
    <row r="359" spans="1:20" hidden="1" x14ac:dyDescent="0.35">
      <c r="A359" s="398" t="s">
        <v>4094</v>
      </c>
      <c r="B359" s="1" t="s">
        <v>4078</v>
      </c>
      <c r="C359" s="3" t="s">
        <v>4016</v>
      </c>
      <c r="D359" s="3" t="s">
        <v>4016</v>
      </c>
      <c r="E359" s="3" t="s">
        <v>1037</v>
      </c>
      <c r="F359" s="402" t="s">
        <v>4017</v>
      </c>
      <c r="G359" s="402" t="s">
        <v>3784</v>
      </c>
      <c r="H359" s="1" t="s">
        <v>3656</v>
      </c>
      <c r="I359" s="403">
        <f t="shared" si="19"/>
        <v>5039.9980000000005</v>
      </c>
      <c r="J359" s="403">
        <f t="shared" si="20"/>
        <v>1189.355</v>
      </c>
      <c r="K359" s="351">
        <f>+J359*(0.5556)</f>
        <v>660.80563800000004</v>
      </c>
      <c r="L359" s="345">
        <f>+K359*Q359</f>
        <v>132.16112760000001</v>
      </c>
      <c r="M359" s="345" t="s">
        <v>6169</v>
      </c>
      <c r="N359" s="1" t="s">
        <v>3785</v>
      </c>
      <c r="O359" s="1" t="s">
        <v>3986</v>
      </c>
      <c r="P359" s="396" t="s">
        <v>3659</v>
      </c>
      <c r="Q359" s="397">
        <v>0.2</v>
      </c>
      <c r="R359" s="191">
        <v>1900003314</v>
      </c>
      <c r="S359" s="2" t="s">
        <v>1035</v>
      </c>
      <c r="T359" s="2" t="s">
        <v>5915</v>
      </c>
    </row>
    <row r="360" spans="1:20" s="815" customFormat="1" hidden="1" x14ac:dyDescent="0.35">
      <c r="B360" s="1" t="s">
        <v>4078</v>
      </c>
      <c r="C360" s="3" t="s">
        <v>4016</v>
      </c>
      <c r="D360" s="3"/>
      <c r="E360" s="816" t="s">
        <v>6286</v>
      </c>
      <c r="F360" s="402"/>
      <c r="G360" s="402" t="s">
        <v>3784</v>
      </c>
      <c r="H360" s="1" t="s">
        <v>3656</v>
      </c>
      <c r="I360" s="403"/>
      <c r="J360" s="403"/>
      <c r="K360" s="351"/>
      <c r="L360" s="345"/>
      <c r="M360" s="345"/>
      <c r="N360" s="1" t="s">
        <v>3785</v>
      </c>
      <c r="O360" s="1"/>
      <c r="P360" s="396"/>
      <c r="Q360" s="397"/>
      <c r="R360" s="191"/>
      <c r="S360" s="890" t="s">
        <v>700</v>
      </c>
    </row>
    <row r="361" spans="1:20" hidden="1" x14ac:dyDescent="0.35">
      <c r="A361" s="398" t="s">
        <v>4095</v>
      </c>
      <c r="B361" s="1" t="s">
        <v>4078</v>
      </c>
      <c r="C361" s="3" t="s">
        <v>4016</v>
      </c>
      <c r="D361" s="3" t="s">
        <v>4016</v>
      </c>
      <c r="E361" s="3" t="s">
        <v>1039</v>
      </c>
      <c r="F361" s="402" t="s">
        <v>4017</v>
      </c>
      <c r="G361" s="402" t="s">
        <v>3784</v>
      </c>
      <c r="H361" s="1" t="s">
        <v>3656</v>
      </c>
      <c r="I361" s="403">
        <f t="shared" si="19"/>
        <v>5039.9980000000005</v>
      </c>
      <c r="J361" s="403">
        <f t="shared" si="20"/>
        <v>1189.355</v>
      </c>
      <c r="K361" s="351">
        <f>+J361*(0.5556)</f>
        <v>660.80563800000004</v>
      </c>
      <c r="L361" s="345">
        <f>+K361*Q361</f>
        <v>132.16112760000001</v>
      </c>
      <c r="M361" s="345" t="s">
        <v>6169</v>
      </c>
      <c r="N361" s="1" t="s">
        <v>3785</v>
      </c>
      <c r="O361" s="1" t="s">
        <v>3986</v>
      </c>
      <c r="P361" s="396" t="s">
        <v>3659</v>
      </c>
      <c r="Q361" s="397">
        <v>0.2</v>
      </c>
      <c r="R361" s="191">
        <v>1900003314</v>
      </c>
      <c r="S361" s="2" t="s">
        <v>1038</v>
      </c>
      <c r="T361" s="2" t="s">
        <v>5915</v>
      </c>
    </row>
    <row r="362" spans="1:20" hidden="1" x14ac:dyDescent="0.35">
      <c r="A362" s="398" t="s">
        <v>4096</v>
      </c>
      <c r="B362" s="1" t="s">
        <v>4078</v>
      </c>
      <c r="C362" s="3" t="s">
        <v>4016</v>
      </c>
      <c r="D362" s="3" t="s">
        <v>4016</v>
      </c>
      <c r="E362" s="3" t="s">
        <v>1063</v>
      </c>
      <c r="F362" s="402" t="s">
        <v>4017</v>
      </c>
      <c r="G362" s="402" t="s">
        <v>3784</v>
      </c>
      <c r="H362" s="1" t="s">
        <v>3656</v>
      </c>
      <c r="I362" s="403">
        <f t="shared" si="19"/>
        <v>5039.9980000000005</v>
      </c>
      <c r="J362" s="403">
        <f t="shared" si="20"/>
        <v>1189.355</v>
      </c>
      <c r="K362" s="351">
        <f>+J362*(0.5556)</f>
        <v>660.80563800000004</v>
      </c>
      <c r="L362" s="345">
        <f>+K362*Q362</f>
        <v>132.16112760000001</v>
      </c>
      <c r="M362" s="345" t="s">
        <v>6169</v>
      </c>
      <c r="N362" s="1" t="s">
        <v>3785</v>
      </c>
      <c r="O362" s="1" t="s">
        <v>3986</v>
      </c>
      <c r="P362" s="396" t="s">
        <v>3659</v>
      </c>
      <c r="Q362" s="397">
        <v>0.2</v>
      </c>
      <c r="R362" s="191">
        <v>1900003314</v>
      </c>
      <c r="S362" s="2" t="s">
        <v>400</v>
      </c>
      <c r="T362" s="2" t="s">
        <v>5915</v>
      </c>
    </row>
    <row r="363" spans="1:20" hidden="1" x14ac:dyDescent="0.35">
      <c r="A363" s="398" t="s">
        <v>4097</v>
      </c>
      <c r="B363" s="1" t="s">
        <v>4078</v>
      </c>
      <c r="C363" s="3" t="s">
        <v>4016</v>
      </c>
      <c r="D363" s="3" t="s">
        <v>4016</v>
      </c>
      <c r="E363" s="3" t="s">
        <v>1067</v>
      </c>
      <c r="F363" s="402" t="s">
        <v>4017</v>
      </c>
      <c r="G363" s="402" t="s">
        <v>3784</v>
      </c>
      <c r="H363" s="1" t="s">
        <v>3656</v>
      </c>
      <c r="I363" s="403">
        <f t="shared" si="19"/>
        <v>5039.9980000000005</v>
      </c>
      <c r="J363" s="403">
        <f t="shared" si="20"/>
        <v>1189.355</v>
      </c>
      <c r="K363" s="351">
        <f>+J363*(0.5556)</f>
        <v>660.80563800000004</v>
      </c>
      <c r="L363" s="345">
        <f>+K363*Q363</f>
        <v>132.16112760000001</v>
      </c>
      <c r="M363" s="345" t="s">
        <v>6169</v>
      </c>
      <c r="N363" s="1" t="s">
        <v>3785</v>
      </c>
      <c r="O363" s="1" t="s">
        <v>3986</v>
      </c>
      <c r="P363" s="396" t="s">
        <v>3659</v>
      </c>
      <c r="Q363" s="397">
        <v>0.2</v>
      </c>
      <c r="R363" s="191">
        <v>1900003314</v>
      </c>
      <c r="S363" s="2" t="s">
        <v>625</v>
      </c>
      <c r="T363" s="2" t="s">
        <v>5915</v>
      </c>
    </row>
    <row r="364" spans="1:20" hidden="1" x14ac:dyDescent="0.35">
      <c r="A364" s="398" t="s">
        <v>4098</v>
      </c>
      <c r="B364" s="1" t="s">
        <v>4078</v>
      </c>
      <c r="C364" s="3" t="s">
        <v>4016</v>
      </c>
      <c r="D364" s="3" t="s">
        <v>4016</v>
      </c>
      <c r="E364" s="3" t="s">
        <v>1072</v>
      </c>
      <c r="F364" s="402" t="s">
        <v>4017</v>
      </c>
      <c r="G364" s="402" t="s">
        <v>3784</v>
      </c>
      <c r="H364" s="1" t="s">
        <v>3656</v>
      </c>
      <c r="I364" s="403">
        <f t="shared" si="19"/>
        <v>5039.9980000000005</v>
      </c>
      <c r="J364" s="403">
        <f t="shared" si="20"/>
        <v>1189.355</v>
      </c>
      <c r="K364" s="351">
        <f>+J364*(0.5556)</f>
        <v>660.80563800000004</v>
      </c>
      <c r="L364" s="345">
        <f>+K364*Q364</f>
        <v>132.16112760000001</v>
      </c>
      <c r="M364" s="345" t="s">
        <v>6169</v>
      </c>
      <c r="N364" s="1" t="s">
        <v>3785</v>
      </c>
      <c r="O364" s="1" t="s">
        <v>3986</v>
      </c>
      <c r="P364" s="396" t="s">
        <v>3659</v>
      </c>
      <c r="Q364" s="397">
        <v>0.2</v>
      </c>
      <c r="R364" s="191">
        <v>1900003314</v>
      </c>
      <c r="S364" s="2" t="s">
        <v>6248</v>
      </c>
      <c r="T364" s="2" t="s">
        <v>5915</v>
      </c>
    </row>
    <row r="365" spans="1:20" hidden="1" x14ac:dyDescent="0.35">
      <c r="A365" s="398" t="s">
        <v>4099</v>
      </c>
      <c r="B365" s="1" t="s">
        <v>4078</v>
      </c>
      <c r="C365" s="3" t="s">
        <v>4016</v>
      </c>
      <c r="D365" s="3" t="s">
        <v>4016</v>
      </c>
      <c r="E365" s="3" t="s">
        <v>1076</v>
      </c>
      <c r="F365" s="402" t="s">
        <v>4017</v>
      </c>
      <c r="G365" s="402" t="s">
        <v>3784</v>
      </c>
      <c r="H365" s="1" t="s">
        <v>3656</v>
      </c>
      <c r="I365" s="403">
        <f t="shared" si="19"/>
        <v>5039.9980000000005</v>
      </c>
      <c r="J365" s="403">
        <f t="shared" si="20"/>
        <v>1189.355</v>
      </c>
      <c r="K365" s="351">
        <f>+J365*(0.5556)</f>
        <v>660.80563800000004</v>
      </c>
      <c r="L365" s="345">
        <f>+K365*Q365</f>
        <v>132.16112760000001</v>
      </c>
      <c r="M365" s="345" t="s">
        <v>6169</v>
      </c>
      <c r="N365" s="1" t="s">
        <v>3785</v>
      </c>
      <c r="O365" s="1" t="s">
        <v>3986</v>
      </c>
      <c r="P365" s="396" t="s">
        <v>3659</v>
      </c>
      <c r="Q365" s="397">
        <v>0.2</v>
      </c>
      <c r="R365" s="191">
        <v>1900003314</v>
      </c>
      <c r="S365" s="2" t="s">
        <v>1075</v>
      </c>
      <c r="T365" s="2" t="s">
        <v>5915</v>
      </c>
    </row>
    <row r="366" spans="1:20" hidden="1" x14ac:dyDescent="0.35">
      <c r="A366" s="398" t="s">
        <v>4100</v>
      </c>
      <c r="B366" s="1" t="s">
        <v>4078</v>
      </c>
      <c r="C366" s="3" t="s">
        <v>4016</v>
      </c>
      <c r="D366" s="3" t="s">
        <v>4016</v>
      </c>
      <c r="E366" s="3" t="s">
        <v>1096</v>
      </c>
      <c r="F366" s="402" t="s">
        <v>4017</v>
      </c>
      <c r="G366" s="402" t="s">
        <v>3784</v>
      </c>
      <c r="H366" s="1" t="s">
        <v>3656</v>
      </c>
      <c r="I366" s="403">
        <f t="shared" si="19"/>
        <v>5039.9980000000005</v>
      </c>
      <c r="J366" s="403">
        <f t="shared" si="20"/>
        <v>1189.355</v>
      </c>
      <c r="K366" s="351">
        <f>+J366*(0.5556)</f>
        <v>660.80563800000004</v>
      </c>
      <c r="L366" s="345">
        <f>+K366*Q366</f>
        <v>132.16112760000001</v>
      </c>
      <c r="M366" s="345" t="s">
        <v>6169</v>
      </c>
      <c r="N366" s="1" t="s">
        <v>3785</v>
      </c>
      <c r="O366" s="1" t="s">
        <v>3986</v>
      </c>
      <c r="P366" s="396" t="s">
        <v>3659</v>
      </c>
      <c r="Q366" s="397">
        <v>0.2</v>
      </c>
      <c r="R366" s="191">
        <v>1900003314</v>
      </c>
      <c r="S366" s="2" t="s">
        <v>1089</v>
      </c>
      <c r="T366" s="2" t="s">
        <v>5915</v>
      </c>
    </row>
    <row r="367" spans="1:20" hidden="1" x14ac:dyDescent="0.35">
      <c r="A367" s="398" t="s">
        <v>4101</v>
      </c>
      <c r="B367" s="1" t="s">
        <v>4078</v>
      </c>
      <c r="C367" s="3" t="s">
        <v>4016</v>
      </c>
      <c r="D367" s="3" t="s">
        <v>4016</v>
      </c>
      <c r="E367" s="3" t="s">
        <v>1109</v>
      </c>
      <c r="F367" s="402" t="s">
        <v>4017</v>
      </c>
      <c r="G367" s="402" t="s">
        <v>3784</v>
      </c>
      <c r="H367" s="1" t="s">
        <v>3656</v>
      </c>
      <c r="I367" s="403">
        <f t="shared" si="19"/>
        <v>5039.9980000000005</v>
      </c>
      <c r="J367" s="403">
        <f t="shared" si="20"/>
        <v>1189.355</v>
      </c>
      <c r="K367" s="351">
        <f>+J367*(0.5556)</f>
        <v>660.80563800000004</v>
      </c>
      <c r="L367" s="345">
        <f>+K367*Q367</f>
        <v>132.16112760000001</v>
      </c>
      <c r="M367" s="345" t="s">
        <v>6169</v>
      </c>
      <c r="N367" s="1" t="s">
        <v>3785</v>
      </c>
      <c r="O367" s="1" t="s">
        <v>3986</v>
      </c>
      <c r="P367" s="396" t="s">
        <v>3659</v>
      </c>
      <c r="Q367" s="397">
        <v>0.2</v>
      </c>
      <c r="R367" s="191">
        <v>1900003314</v>
      </c>
      <c r="S367" s="2" t="s">
        <v>1110</v>
      </c>
      <c r="T367" s="2" t="s">
        <v>5915</v>
      </c>
    </row>
    <row r="368" spans="1:20" hidden="1" x14ac:dyDescent="0.35">
      <c r="A368" s="398" t="s">
        <v>4102</v>
      </c>
      <c r="B368" s="1" t="s">
        <v>4078</v>
      </c>
      <c r="C368" s="3" t="s">
        <v>4016</v>
      </c>
      <c r="D368" s="3" t="s">
        <v>4016</v>
      </c>
      <c r="E368" s="3" t="s">
        <v>1111</v>
      </c>
      <c r="F368" s="402" t="s">
        <v>4017</v>
      </c>
      <c r="G368" s="402" t="s">
        <v>3784</v>
      </c>
      <c r="H368" s="1" t="s">
        <v>3656</v>
      </c>
      <c r="I368" s="403">
        <f t="shared" si="19"/>
        <v>5039.9980000000005</v>
      </c>
      <c r="J368" s="403">
        <f t="shared" si="20"/>
        <v>1189.355</v>
      </c>
      <c r="K368" s="351">
        <f>+J368*(0.5556)</f>
        <v>660.80563800000004</v>
      </c>
      <c r="L368" s="345">
        <f>+K368*Q368</f>
        <v>132.16112760000001</v>
      </c>
      <c r="M368" s="345" t="s">
        <v>6169</v>
      </c>
      <c r="N368" s="1" t="s">
        <v>3785</v>
      </c>
      <c r="O368" s="1" t="s">
        <v>3986</v>
      </c>
      <c r="P368" s="396" t="s">
        <v>3659</v>
      </c>
      <c r="Q368" s="397">
        <v>0.2</v>
      </c>
      <c r="R368" s="191">
        <v>1900003314</v>
      </c>
      <c r="S368" s="2" t="s">
        <v>1110</v>
      </c>
      <c r="T368" s="2" t="s">
        <v>5915</v>
      </c>
    </row>
    <row r="369" spans="1:21" hidden="1" x14ac:dyDescent="0.35">
      <c r="A369" s="398" t="s">
        <v>4103</v>
      </c>
      <c r="B369" s="1" t="s">
        <v>4078</v>
      </c>
      <c r="C369" s="3" t="s">
        <v>4016</v>
      </c>
      <c r="D369" s="3" t="s">
        <v>4016</v>
      </c>
      <c r="E369" s="3" t="s">
        <v>1115</v>
      </c>
      <c r="F369" s="402" t="s">
        <v>4017</v>
      </c>
      <c r="G369" s="402" t="s">
        <v>3784</v>
      </c>
      <c r="H369" s="1" t="s">
        <v>3656</v>
      </c>
      <c r="I369" s="403">
        <f t="shared" si="19"/>
        <v>5039.9980000000005</v>
      </c>
      <c r="J369" s="403">
        <f t="shared" si="20"/>
        <v>1189.355</v>
      </c>
      <c r="K369" s="351">
        <f>+J369*(0.5556)</f>
        <v>660.80563800000004</v>
      </c>
      <c r="L369" s="345">
        <f>+K369*Q369</f>
        <v>132.16112760000001</v>
      </c>
      <c r="M369" s="345" t="s">
        <v>6169</v>
      </c>
      <c r="N369" s="1" t="s">
        <v>3785</v>
      </c>
      <c r="O369" s="1" t="s">
        <v>3986</v>
      </c>
      <c r="P369" s="396" t="s">
        <v>3659</v>
      </c>
      <c r="Q369" s="397">
        <v>0.2</v>
      </c>
      <c r="R369" s="191">
        <v>1900003314</v>
      </c>
      <c r="S369" s="2" t="s">
        <v>353</v>
      </c>
      <c r="T369" s="2" t="s">
        <v>5915</v>
      </c>
    </row>
    <row r="370" spans="1:21" hidden="1" x14ac:dyDescent="0.35">
      <c r="A370" s="398" t="s">
        <v>4104</v>
      </c>
      <c r="B370" s="1" t="s">
        <v>4078</v>
      </c>
      <c r="C370" s="3" t="s">
        <v>4016</v>
      </c>
      <c r="D370" s="3" t="s">
        <v>4016</v>
      </c>
      <c r="E370" s="3" t="s">
        <v>1119</v>
      </c>
      <c r="F370" s="402" t="s">
        <v>4017</v>
      </c>
      <c r="G370" s="402" t="s">
        <v>3784</v>
      </c>
      <c r="H370" s="1" t="s">
        <v>3656</v>
      </c>
      <c r="I370" s="403">
        <f t="shared" si="19"/>
        <v>5039.9980000000005</v>
      </c>
      <c r="J370" s="403">
        <f t="shared" si="20"/>
        <v>1189.355</v>
      </c>
      <c r="K370" s="351">
        <f>+J370*(0.5556)</f>
        <v>660.80563800000004</v>
      </c>
      <c r="L370" s="345">
        <f>+K370*Q370</f>
        <v>132.16112760000001</v>
      </c>
      <c r="M370" s="345" t="s">
        <v>6169</v>
      </c>
      <c r="N370" s="1" t="s">
        <v>3785</v>
      </c>
      <c r="O370" s="1" t="s">
        <v>3986</v>
      </c>
      <c r="P370" s="396" t="s">
        <v>3659</v>
      </c>
      <c r="Q370" s="397">
        <v>0.2</v>
      </c>
      <c r="R370" s="191">
        <v>1900003314</v>
      </c>
      <c r="S370" s="2" t="s">
        <v>1118</v>
      </c>
      <c r="T370" s="2" t="s">
        <v>5915</v>
      </c>
    </row>
    <row r="371" spans="1:21" hidden="1" x14ac:dyDescent="0.35">
      <c r="A371" s="398" t="s">
        <v>4105</v>
      </c>
      <c r="B371" s="1" t="s">
        <v>4078</v>
      </c>
      <c r="C371" s="3" t="s">
        <v>4016</v>
      </c>
      <c r="D371" s="3" t="s">
        <v>4016</v>
      </c>
      <c r="E371" s="3" t="s">
        <v>1122</v>
      </c>
      <c r="F371" s="402" t="s">
        <v>4017</v>
      </c>
      <c r="G371" s="402" t="s">
        <v>3784</v>
      </c>
      <c r="H371" s="1" t="s">
        <v>3656</v>
      </c>
      <c r="I371" s="403">
        <f t="shared" si="19"/>
        <v>5039.9980000000005</v>
      </c>
      <c r="J371" s="403">
        <f t="shared" si="20"/>
        <v>1189.355</v>
      </c>
      <c r="K371" s="351">
        <f>+J371*(0.5556)</f>
        <v>660.80563800000004</v>
      </c>
      <c r="L371" s="345">
        <f>+K371*Q371</f>
        <v>132.16112760000001</v>
      </c>
      <c r="M371" s="345" t="s">
        <v>6169</v>
      </c>
      <c r="N371" s="1" t="s">
        <v>3785</v>
      </c>
      <c r="O371" s="1" t="s">
        <v>3986</v>
      </c>
      <c r="P371" s="396" t="s">
        <v>3659</v>
      </c>
      <c r="Q371" s="397">
        <v>0.2</v>
      </c>
      <c r="R371" s="191">
        <v>1900003314</v>
      </c>
      <c r="S371" s="2" t="s">
        <v>1121</v>
      </c>
      <c r="T371" s="2" t="s">
        <v>5915</v>
      </c>
    </row>
    <row r="372" spans="1:21" hidden="1" x14ac:dyDescent="0.35">
      <c r="A372" s="398" t="s">
        <v>4106</v>
      </c>
      <c r="B372" s="1" t="s">
        <v>4078</v>
      </c>
      <c r="C372" s="3" t="s">
        <v>4016</v>
      </c>
      <c r="D372" s="3" t="s">
        <v>4016</v>
      </c>
      <c r="E372" s="3" t="s">
        <v>1134</v>
      </c>
      <c r="F372" s="402" t="s">
        <v>4017</v>
      </c>
      <c r="G372" s="402" t="s">
        <v>3784</v>
      </c>
      <c r="H372" s="1" t="s">
        <v>3656</v>
      </c>
      <c r="I372" s="403">
        <f t="shared" si="19"/>
        <v>5039.9980000000005</v>
      </c>
      <c r="J372" s="403">
        <f t="shared" si="20"/>
        <v>1189.355</v>
      </c>
      <c r="K372" s="351">
        <f>+J372*(0.5556)</f>
        <v>660.80563800000004</v>
      </c>
      <c r="L372" s="345">
        <f>+K372*Q372</f>
        <v>132.16112760000001</v>
      </c>
      <c r="M372" s="345" t="s">
        <v>6169</v>
      </c>
      <c r="N372" s="1" t="s">
        <v>3785</v>
      </c>
      <c r="O372" s="1" t="s">
        <v>3986</v>
      </c>
      <c r="P372" s="396" t="s">
        <v>3659</v>
      </c>
      <c r="Q372" s="397">
        <v>0.2</v>
      </c>
      <c r="R372" s="191">
        <v>1900003314</v>
      </c>
      <c r="S372" s="2" t="s">
        <v>548</v>
      </c>
      <c r="T372" s="2" t="s">
        <v>5915</v>
      </c>
    </row>
    <row r="373" spans="1:21" hidden="1" x14ac:dyDescent="0.35">
      <c r="A373" s="398" t="s">
        <v>4107</v>
      </c>
      <c r="B373" s="1" t="s">
        <v>4078</v>
      </c>
      <c r="C373" s="3" t="s">
        <v>4016</v>
      </c>
      <c r="D373" s="3"/>
      <c r="E373" s="16" t="s">
        <v>6304</v>
      </c>
      <c r="F373" s="402"/>
      <c r="G373" s="402" t="s">
        <v>3784</v>
      </c>
      <c r="H373" s="1" t="s">
        <v>3656</v>
      </c>
      <c r="I373" s="403"/>
      <c r="J373" s="403"/>
      <c r="K373" s="351"/>
      <c r="L373" s="345"/>
      <c r="M373" s="345"/>
      <c r="N373" s="1" t="s">
        <v>3785</v>
      </c>
      <c r="O373" s="1"/>
      <c r="P373" s="396"/>
      <c r="Q373" s="397"/>
      <c r="R373" s="191"/>
      <c r="S373" s="2" t="s">
        <v>1664</v>
      </c>
      <c r="T373" s="2"/>
    </row>
    <row r="374" spans="1:21" hidden="1" x14ac:dyDescent="0.35">
      <c r="A374" s="398" t="s">
        <v>6441</v>
      </c>
      <c r="B374" s="1" t="s">
        <v>4078</v>
      </c>
      <c r="C374" s="3" t="s">
        <v>4016</v>
      </c>
      <c r="D374" s="3"/>
      <c r="E374" s="16" t="s">
        <v>6305</v>
      </c>
      <c r="F374" s="402"/>
      <c r="G374" s="402" t="s">
        <v>3784</v>
      </c>
      <c r="H374" s="1"/>
      <c r="I374" s="403"/>
      <c r="J374" s="403"/>
      <c r="K374" s="351"/>
      <c r="L374" s="345"/>
      <c r="M374" s="345"/>
      <c r="N374" s="1" t="s">
        <v>3785</v>
      </c>
      <c r="O374" s="1"/>
      <c r="P374" s="396"/>
      <c r="Q374" s="397"/>
      <c r="R374" s="191"/>
      <c r="S374" s="2" t="s">
        <v>1664</v>
      </c>
      <c r="T374" s="2"/>
    </row>
    <row r="375" spans="1:21" hidden="1" x14ac:dyDescent="0.35">
      <c r="A375" s="398" t="s">
        <v>6443</v>
      </c>
      <c r="B375" s="1" t="s">
        <v>4078</v>
      </c>
      <c r="C375" s="3" t="s">
        <v>4016</v>
      </c>
      <c r="D375" s="3" t="s">
        <v>4016</v>
      </c>
      <c r="E375" s="3" t="s">
        <v>1142</v>
      </c>
      <c r="F375" s="402" t="s">
        <v>4017</v>
      </c>
      <c r="G375" s="402" t="s">
        <v>3784</v>
      </c>
      <c r="H375" s="1" t="s">
        <v>3656</v>
      </c>
      <c r="I375" s="403">
        <f t="shared" si="19"/>
        <v>5039.9980000000005</v>
      </c>
      <c r="J375" s="403">
        <f t="shared" si="20"/>
        <v>1189.355</v>
      </c>
      <c r="K375" s="351">
        <f>+J375*(0.5556)</f>
        <v>660.80563800000004</v>
      </c>
      <c r="L375" s="345">
        <f>+K375*Q375</f>
        <v>132.16112760000001</v>
      </c>
      <c r="M375" s="345" t="s">
        <v>6169</v>
      </c>
      <c r="N375" s="1" t="s">
        <v>3785</v>
      </c>
      <c r="O375" s="1" t="s">
        <v>3986</v>
      </c>
      <c r="P375" s="396" t="s">
        <v>3659</v>
      </c>
      <c r="Q375" s="397">
        <v>0.2</v>
      </c>
      <c r="R375" s="191">
        <v>1900003314</v>
      </c>
      <c r="S375" s="2" t="s">
        <v>1131</v>
      </c>
      <c r="T375" s="2" t="s">
        <v>5915</v>
      </c>
    </row>
    <row r="376" spans="1:21" hidden="1" x14ac:dyDescent="0.35">
      <c r="A376" s="398" t="s">
        <v>4108</v>
      </c>
      <c r="B376" s="539" t="s">
        <v>4109</v>
      </c>
      <c r="C376" s="3" t="s">
        <v>4110</v>
      </c>
      <c r="D376" s="3" t="s">
        <v>4110</v>
      </c>
      <c r="E376" s="3"/>
      <c r="F376" s="402" t="s">
        <v>4111</v>
      </c>
      <c r="G376" s="416"/>
      <c r="H376" s="1" t="s">
        <v>3656</v>
      </c>
      <c r="I376" s="403">
        <f>75701.44/4</f>
        <v>18925.36</v>
      </c>
      <c r="J376" s="403">
        <f>18457.24/4</f>
        <v>4614.3100000000004</v>
      </c>
      <c r="K376" s="351">
        <f>+J376*(0.5556)</f>
        <v>2563.7106360000002</v>
      </c>
      <c r="L376" s="345">
        <f>+K376*Q376</f>
        <v>512.74212720000003</v>
      </c>
      <c r="M376" s="345" t="s">
        <v>6169</v>
      </c>
      <c r="N376" s="1" t="s">
        <v>3785</v>
      </c>
      <c r="O376" s="1" t="s">
        <v>3986</v>
      </c>
      <c r="P376" s="396" t="s">
        <v>3659</v>
      </c>
      <c r="Q376" s="397">
        <v>0.2</v>
      </c>
      <c r="R376" s="191">
        <v>1900000521</v>
      </c>
      <c r="S376" s="2" t="s">
        <v>3475</v>
      </c>
      <c r="T376" s="2" t="s">
        <v>5914</v>
      </c>
      <c r="U376" s="9" t="s">
        <v>3475</v>
      </c>
    </row>
    <row r="377" spans="1:21" hidden="1" x14ac:dyDescent="0.35">
      <c r="A377" s="398" t="s">
        <v>4112</v>
      </c>
      <c r="B377" s="539" t="s">
        <v>4109</v>
      </c>
      <c r="C377" s="3" t="s">
        <v>4110</v>
      </c>
      <c r="D377" s="3" t="s">
        <v>4110</v>
      </c>
      <c r="E377" s="3"/>
      <c r="F377" s="402" t="s">
        <v>4111</v>
      </c>
      <c r="G377" s="416"/>
      <c r="H377" s="1" t="s">
        <v>3656</v>
      </c>
      <c r="I377" s="403">
        <f>75701.44/4</f>
        <v>18925.36</v>
      </c>
      <c r="J377" s="403">
        <f>18457.24/4</f>
        <v>4614.3100000000004</v>
      </c>
      <c r="K377" s="351">
        <f>+J377*(0.5556)</f>
        <v>2563.7106360000002</v>
      </c>
      <c r="L377" s="345">
        <f>+K377*Q377</f>
        <v>512.74212720000003</v>
      </c>
      <c r="M377" s="345" t="s">
        <v>6169</v>
      </c>
      <c r="N377" s="1" t="s">
        <v>3785</v>
      </c>
      <c r="O377" s="1" t="s">
        <v>3986</v>
      </c>
      <c r="P377" s="396" t="s">
        <v>3659</v>
      </c>
      <c r="Q377" s="397">
        <v>0.2</v>
      </c>
      <c r="R377" s="191">
        <v>1900000521</v>
      </c>
      <c r="S377" s="391" t="s">
        <v>3475</v>
      </c>
      <c r="T377" s="2" t="s">
        <v>5914</v>
      </c>
      <c r="U377" s="9" t="s">
        <v>3475</v>
      </c>
    </row>
    <row r="378" spans="1:21" hidden="1" x14ac:dyDescent="0.35">
      <c r="A378" s="398" t="s">
        <v>4113</v>
      </c>
      <c r="B378" s="539" t="s">
        <v>4109</v>
      </c>
      <c r="C378" s="3" t="s">
        <v>4110</v>
      </c>
      <c r="D378" s="3" t="s">
        <v>4110</v>
      </c>
      <c r="E378" s="3"/>
      <c r="F378" s="402" t="s">
        <v>4111</v>
      </c>
      <c r="G378" s="416"/>
      <c r="H378" s="1" t="s">
        <v>3656</v>
      </c>
      <c r="I378" s="403">
        <f>75701.44/4</f>
        <v>18925.36</v>
      </c>
      <c r="J378" s="403">
        <f>18457.24/4</f>
        <v>4614.3100000000004</v>
      </c>
      <c r="K378" s="351">
        <f>+J378*(0.5556)</f>
        <v>2563.7106360000002</v>
      </c>
      <c r="L378" s="345">
        <f>+K378*Q378</f>
        <v>512.74212720000003</v>
      </c>
      <c r="M378" s="345" t="s">
        <v>6169</v>
      </c>
      <c r="N378" s="1" t="s">
        <v>3785</v>
      </c>
      <c r="O378" s="1" t="s">
        <v>3986</v>
      </c>
      <c r="P378" s="396" t="s">
        <v>3659</v>
      </c>
      <c r="Q378" s="397">
        <v>0.2</v>
      </c>
      <c r="R378" s="191">
        <v>1900000521</v>
      </c>
      <c r="S378" s="417" t="s">
        <v>3475</v>
      </c>
      <c r="T378" s="2" t="s">
        <v>5914</v>
      </c>
      <c r="U378" s="9" t="s">
        <v>3475</v>
      </c>
    </row>
    <row r="379" spans="1:21" hidden="1" x14ac:dyDescent="0.35">
      <c r="A379" s="398" t="s">
        <v>4114</v>
      </c>
      <c r="B379" s="539" t="s">
        <v>4109</v>
      </c>
      <c r="C379" s="3" t="s">
        <v>4110</v>
      </c>
      <c r="D379" s="3" t="s">
        <v>4110</v>
      </c>
      <c r="E379" s="3"/>
      <c r="F379" s="402" t="s">
        <v>4111</v>
      </c>
      <c r="G379" s="416"/>
      <c r="H379" s="1" t="s">
        <v>3656</v>
      </c>
      <c r="I379" s="403">
        <f>75701.44/4</f>
        <v>18925.36</v>
      </c>
      <c r="J379" s="403">
        <f>18457.24/4</f>
        <v>4614.3100000000004</v>
      </c>
      <c r="K379" s="351">
        <f>+J379*(0.5556)</f>
        <v>2563.7106360000002</v>
      </c>
      <c r="L379" s="345">
        <f>+K379*Q379</f>
        <v>512.74212720000003</v>
      </c>
      <c r="M379" s="345" t="s">
        <v>6169</v>
      </c>
      <c r="N379" s="1" t="s">
        <v>3785</v>
      </c>
      <c r="O379" s="1" t="s">
        <v>3986</v>
      </c>
      <c r="P379" s="396" t="s">
        <v>3659</v>
      </c>
      <c r="Q379" s="397">
        <v>0.2</v>
      </c>
      <c r="R379" s="191">
        <v>1900000521</v>
      </c>
      <c r="S379" s="533" t="s">
        <v>3475</v>
      </c>
      <c r="T379" s="2" t="s">
        <v>5914</v>
      </c>
      <c r="U379" s="9" t="s">
        <v>3475</v>
      </c>
    </row>
    <row r="380" spans="1:21" hidden="1" x14ac:dyDescent="0.35">
      <c r="A380" s="398" t="s">
        <v>4115</v>
      </c>
      <c r="B380" s="1" t="s">
        <v>2487</v>
      </c>
      <c r="C380" s="3">
        <v>43012</v>
      </c>
      <c r="D380" s="3">
        <v>43012</v>
      </c>
      <c r="E380" s="3" t="s">
        <v>2488</v>
      </c>
      <c r="F380" s="402" t="s">
        <v>4116</v>
      </c>
      <c r="G380" s="402" t="s">
        <v>3937</v>
      </c>
      <c r="H380" s="1" t="s">
        <v>3656</v>
      </c>
      <c r="I380" s="403">
        <f>52134.47/2</f>
        <v>26067.235000000001</v>
      </c>
      <c r="J380" s="403">
        <f>11626.67/2</f>
        <v>5813.335</v>
      </c>
      <c r="K380" s="351">
        <f>+J380*(0.5556)</f>
        <v>3229.8889260000001</v>
      </c>
      <c r="L380" s="345">
        <f>+K380*Q380</f>
        <v>645.97778520000008</v>
      </c>
      <c r="M380" s="345" t="s">
        <v>6169</v>
      </c>
      <c r="N380" s="1" t="s">
        <v>3785</v>
      </c>
      <c r="O380" s="1" t="s">
        <v>3978</v>
      </c>
      <c r="P380" s="396" t="s">
        <v>3659</v>
      </c>
      <c r="Q380" s="397">
        <v>0.2</v>
      </c>
      <c r="R380" s="191">
        <v>1900001810</v>
      </c>
      <c r="S380" s="2" t="s">
        <v>2504</v>
      </c>
      <c r="T380" s="2" t="s">
        <v>5915</v>
      </c>
    </row>
    <row r="381" spans="1:21" hidden="1" x14ac:dyDescent="0.35">
      <c r="A381" s="398" t="s">
        <v>4117</v>
      </c>
      <c r="B381" s="1" t="s">
        <v>2487</v>
      </c>
      <c r="C381" s="3">
        <v>43012</v>
      </c>
      <c r="D381" s="3">
        <v>43012</v>
      </c>
      <c r="E381" s="3" t="s">
        <v>2489</v>
      </c>
      <c r="F381" s="402" t="s">
        <v>4116</v>
      </c>
      <c r="G381" s="402" t="s">
        <v>3937</v>
      </c>
      <c r="H381" s="1" t="s">
        <v>3656</v>
      </c>
      <c r="I381" s="403">
        <f>52134.47/2</f>
        <v>26067.235000000001</v>
      </c>
      <c r="J381" s="403">
        <f>11626.67/2</f>
        <v>5813.335</v>
      </c>
      <c r="K381" s="351">
        <f>+J381*(0.5556)</f>
        <v>3229.8889260000001</v>
      </c>
      <c r="L381" s="345">
        <f>+K381*Q381</f>
        <v>645.97778520000008</v>
      </c>
      <c r="M381" s="345" t="s">
        <v>6169</v>
      </c>
      <c r="N381" s="1" t="s">
        <v>3785</v>
      </c>
      <c r="O381" s="1" t="s">
        <v>3978</v>
      </c>
      <c r="P381" s="396" t="s">
        <v>3659</v>
      </c>
      <c r="Q381" s="397">
        <v>0.2</v>
      </c>
      <c r="R381" s="191">
        <v>1900001810</v>
      </c>
      <c r="S381" s="2" t="s">
        <v>2504</v>
      </c>
      <c r="T381" s="2" t="s">
        <v>5915</v>
      </c>
    </row>
    <row r="382" spans="1:21" s="594" customFormat="1" hidden="1" x14ac:dyDescent="0.35">
      <c r="A382" s="595" t="s">
        <v>4118</v>
      </c>
      <c r="B382" s="596" t="s">
        <v>44</v>
      </c>
      <c r="C382" s="583">
        <v>43182</v>
      </c>
      <c r="D382" s="3">
        <v>43182</v>
      </c>
      <c r="E382" s="583"/>
      <c r="F382" s="394" t="s">
        <v>4119</v>
      </c>
      <c r="G382" s="601" t="s">
        <v>3655</v>
      </c>
      <c r="H382" s="1" t="s">
        <v>3656</v>
      </c>
      <c r="I382" s="418">
        <f>78843.82/15</f>
        <v>5256.2546666666667</v>
      </c>
      <c r="J382" s="418">
        <f>17748.02/15</f>
        <v>1183.2013333333334</v>
      </c>
      <c r="K382" s="351">
        <f t="shared" ref="K382:K443" si="21">+J382*(0.5556)</f>
        <v>657.38666080000007</v>
      </c>
      <c r="L382" s="350">
        <f t="shared" ref="L382:L443" si="22">+K382*Q382</f>
        <v>131.47733216000003</v>
      </c>
      <c r="M382" s="345" t="s">
        <v>6169</v>
      </c>
      <c r="N382" s="1" t="s">
        <v>3785</v>
      </c>
      <c r="O382" s="1" t="s">
        <v>4120</v>
      </c>
      <c r="P382" s="396" t="s">
        <v>3659</v>
      </c>
      <c r="Q382" s="397">
        <v>0.2</v>
      </c>
      <c r="R382" s="396">
        <v>1900001869</v>
      </c>
      <c r="S382" s="588" t="s">
        <v>3475</v>
      </c>
      <c r="T382" s="588" t="s">
        <v>5914</v>
      </c>
      <c r="U382" s="594" t="s">
        <v>3475</v>
      </c>
    </row>
    <row r="383" spans="1:21" s="594" customFormat="1" hidden="1" x14ac:dyDescent="0.35">
      <c r="A383" s="595" t="s">
        <v>4121</v>
      </c>
      <c r="B383" s="596" t="s">
        <v>44</v>
      </c>
      <c r="C383" s="583">
        <v>43182</v>
      </c>
      <c r="D383" s="3">
        <v>43182</v>
      </c>
      <c r="E383" s="583"/>
      <c r="F383" s="394" t="s">
        <v>4119</v>
      </c>
      <c r="G383" s="601" t="s">
        <v>3655</v>
      </c>
      <c r="H383" s="1" t="s">
        <v>3656</v>
      </c>
      <c r="I383" s="418">
        <f t="shared" ref="I383:I396" si="23">78843.82/15</f>
        <v>5256.2546666666667</v>
      </c>
      <c r="J383" s="418">
        <f t="shared" ref="J383:J396" si="24">17748.02/15</f>
        <v>1183.2013333333334</v>
      </c>
      <c r="K383" s="351">
        <f t="shared" si="21"/>
        <v>657.38666080000007</v>
      </c>
      <c r="L383" s="350">
        <f t="shared" si="22"/>
        <v>131.47733216000003</v>
      </c>
      <c r="M383" s="345" t="s">
        <v>6169</v>
      </c>
      <c r="N383" s="1" t="s">
        <v>3785</v>
      </c>
      <c r="O383" s="1" t="s">
        <v>4120</v>
      </c>
      <c r="P383" s="396" t="s">
        <v>3659</v>
      </c>
      <c r="Q383" s="397">
        <v>0.2</v>
      </c>
      <c r="R383" s="396">
        <v>1900001869</v>
      </c>
      <c r="S383" s="588" t="s">
        <v>3475</v>
      </c>
      <c r="T383" s="588" t="s">
        <v>5914</v>
      </c>
      <c r="U383" s="594" t="s">
        <v>3475</v>
      </c>
    </row>
    <row r="384" spans="1:21" s="594" customFormat="1" hidden="1" x14ac:dyDescent="0.35">
      <c r="A384" s="595" t="s">
        <v>4122</v>
      </c>
      <c r="B384" s="596" t="s">
        <v>44</v>
      </c>
      <c r="C384" s="583">
        <v>43182</v>
      </c>
      <c r="D384" s="3">
        <v>43182</v>
      </c>
      <c r="E384" s="583"/>
      <c r="F384" s="394" t="s">
        <v>4119</v>
      </c>
      <c r="G384" s="601" t="s">
        <v>3655</v>
      </c>
      <c r="H384" s="1" t="s">
        <v>3656</v>
      </c>
      <c r="I384" s="418">
        <f t="shared" si="23"/>
        <v>5256.2546666666667</v>
      </c>
      <c r="J384" s="418">
        <f t="shared" si="24"/>
        <v>1183.2013333333334</v>
      </c>
      <c r="K384" s="351">
        <f t="shared" si="21"/>
        <v>657.38666080000007</v>
      </c>
      <c r="L384" s="350">
        <f t="shared" si="22"/>
        <v>131.47733216000003</v>
      </c>
      <c r="M384" s="345" t="s">
        <v>6169</v>
      </c>
      <c r="N384" s="1" t="s">
        <v>3785</v>
      </c>
      <c r="O384" s="1" t="s">
        <v>4120</v>
      </c>
      <c r="P384" s="396" t="s">
        <v>3659</v>
      </c>
      <c r="Q384" s="397">
        <v>0.2</v>
      </c>
      <c r="R384" s="396">
        <v>1900001869</v>
      </c>
      <c r="S384" s="588" t="s">
        <v>3475</v>
      </c>
      <c r="T384" s="588" t="s">
        <v>5914</v>
      </c>
      <c r="U384" s="594" t="s">
        <v>3475</v>
      </c>
    </row>
    <row r="385" spans="1:21" s="594" customFormat="1" hidden="1" x14ac:dyDescent="0.35">
      <c r="A385" s="595" t="s">
        <v>4123</v>
      </c>
      <c r="B385" s="596" t="s">
        <v>44</v>
      </c>
      <c r="C385" s="583">
        <v>43182</v>
      </c>
      <c r="D385" s="3">
        <v>43182</v>
      </c>
      <c r="E385" s="583"/>
      <c r="F385" s="394" t="s">
        <v>4119</v>
      </c>
      <c r="G385" s="601" t="s">
        <v>3655</v>
      </c>
      <c r="H385" s="1" t="s">
        <v>3656</v>
      </c>
      <c r="I385" s="418">
        <f t="shared" si="23"/>
        <v>5256.2546666666667</v>
      </c>
      <c r="J385" s="418">
        <f t="shared" si="24"/>
        <v>1183.2013333333334</v>
      </c>
      <c r="K385" s="351">
        <f t="shared" si="21"/>
        <v>657.38666080000007</v>
      </c>
      <c r="L385" s="350">
        <f t="shared" si="22"/>
        <v>131.47733216000003</v>
      </c>
      <c r="M385" s="345" t="s">
        <v>6169</v>
      </c>
      <c r="N385" s="1" t="s">
        <v>3785</v>
      </c>
      <c r="O385" s="1" t="s">
        <v>4120</v>
      </c>
      <c r="P385" s="396" t="s">
        <v>3659</v>
      </c>
      <c r="Q385" s="397">
        <v>0.2</v>
      </c>
      <c r="R385" s="396">
        <v>1900001869</v>
      </c>
      <c r="S385" s="588" t="s">
        <v>3475</v>
      </c>
      <c r="T385" s="588" t="s">
        <v>5914</v>
      </c>
      <c r="U385" s="594" t="s">
        <v>3475</v>
      </c>
    </row>
    <row r="386" spans="1:21" s="594" customFormat="1" hidden="1" x14ac:dyDescent="0.35">
      <c r="A386" s="595" t="s">
        <v>4124</v>
      </c>
      <c r="B386" s="596" t="s">
        <v>44</v>
      </c>
      <c r="C386" s="583">
        <v>43182</v>
      </c>
      <c r="D386" s="3">
        <v>43182</v>
      </c>
      <c r="E386" s="583"/>
      <c r="F386" s="394" t="s">
        <v>4119</v>
      </c>
      <c r="G386" s="601" t="s">
        <v>3655</v>
      </c>
      <c r="H386" s="1" t="s">
        <v>3656</v>
      </c>
      <c r="I386" s="418">
        <f t="shared" si="23"/>
        <v>5256.2546666666667</v>
      </c>
      <c r="J386" s="418">
        <f t="shared" si="24"/>
        <v>1183.2013333333334</v>
      </c>
      <c r="K386" s="351">
        <f t="shared" si="21"/>
        <v>657.38666080000007</v>
      </c>
      <c r="L386" s="350">
        <f t="shared" si="22"/>
        <v>131.47733216000003</v>
      </c>
      <c r="M386" s="345" t="s">
        <v>6169</v>
      </c>
      <c r="N386" s="1" t="s">
        <v>3785</v>
      </c>
      <c r="O386" s="1" t="s">
        <v>4120</v>
      </c>
      <c r="P386" s="396" t="s">
        <v>3659</v>
      </c>
      <c r="Q386" s="397">
        <v>0.2</v>
      </c>
      <c r="R386" s="396">
        <v>1900001869</v>
      </c>
      <c r="S386" s="588" t="s">
        <v>3475</v>
      </c>
      <c r="T386" s="588" t="s">
        <v>5914</v>
      </c>
      <c r="U386" s="594" t="s">
        <v>3475</v>
      </c>
    </row>
    <row r="387" spans="1:21" s="594" customFormat="1" hidden="1" x14ac:dyDescent="0.35">
      <c r="A387" s="595" t="s">
        <v>4125</v>
      </c>
      <c r="B387" s="596" t="s">
        <v>44</v>
      </c>
      <c r="C387" s="583">
        <v>43182</v>
      </c>
      <c r="D387" s="3">
        <v>43182</v>
      </c>
      <c r="E387" s="583"/>
      <c r="F387" s="394" t="s">
        <v>4119</v>
      </c>
      <c r="G387" s="601" t="s">
        <v>3655</v>
      </c>
      <c r="H387" s="1" t="s">
        <v>3656</v>
      </c>
      <c r="I387" s="418">
        <f t="shared" si="23"/>
        <v>5256.2546666666667</v>
      </c>
      <c r="J387" s="418">
        <f t="shared" si="24"/>
        <v>1183.2013333333334</v>
      </c>
      <c r="K387" s="351">
        <f t="shared" si="21"/>
        <v>657.38666080000007</v>
      </c>
      <c r="L387" s="350">
        <f t="shared" si="22"/>
        <v>131.47733216000003</v>
      </c>
      <c r="M387" s="345" t="s">
        <v>6169</v>
      </c>
      <c r="N387" s="1" t="s">
        <v>3785</v>
      </c>
      <c r="O387" s="1" t="s">
        <v>4120</v>
      </c>
      <c r="P387" s="396" t="s">
        <v>3659</v>
      </c>
      <c r="Q387" s="397">
        <v>0.2</v>
      </c>
      <c r="R387" s="396">
        <v>1900001869</v>
      </c>
      <c r="S387" s="588" t="s">
        <v>3475</v>
      </c>
      <c r="T387" s="588" t="s">
        <v>5914</v>
      </c>
      <c r="U387" s="594" t="s">
        <v>3475</v>
      </c>
    </row>
    <row r="388" spans="1:21" s="594" customFormat="1" hidden="1" x14ac:dyDescent="0.35">
      <c r="A388" s="595" t="s">
        <v>4126</v>
      </c>
      <c r="B388" s="596" t="s">
        <v>44</v>
      </c>
      <c r="C388" s="583">
        <v>43182</v>
      </c>
      <c r="D388" s="3">
        <v>43182</v>
      </c>
      <c r="E388" s="583"/>
      <c r="F388" s="394" t="s">
        <v>4119</v>
      </c>
      <c r="G388" s="601" t="s">
        <v>3655</v>
      </c>
      <c r="H388" s="1" t="s">
        <v>3656</v>
      </c>
      <c r="I388" s="418">
        <f t="shared" si="23"/>
        <v>5256.2546666666667</v>
      </c>
      <c r="J388" s="418">
        <f t="shared" si="24"/>
        <v>1183.2013333333334</v>
      </c>
      <c r="K388" s="351">
        <f t="shared" si="21"/>
        <v>657.38666080000007</v>
      </c>
      <c r="L388" s="350">
        <f t="shared" si="22"/>
        <v>131.47733216000003</v>
      </c>
      <c r="M388" s="345" t="s">
        <v>6169</v>
      </c>
      <c r="N388" s="1" t="s">
        <v>3785</v>
      </c>
      <c r="O388" s="1" t="s">
        <v>4120</v>
      </c>
      <c r="P388" s="396" t="s">
        <v>3659</v>
      </c>
      <c r="Q388" s="397">
        <v>0.2</v>
      </c>
      <c r="R388" s="396">
        <v>1900001869</v>
      </c>
      <c r="S388" s="588" t="s">
        <v>3475</v>
      </c>
      <c r="T388" s="588" t="s">
        <v>5914</v>
      </c>
      <c r="U388" s="594" t="s">
        <v>3475</v>
      </c>
    </row>
    <row r="389" spans="1:21" s="594" customFormat="1" hidden="1" x14ac:dyDescent="0.35">
      <c r="A389" s="595" t="s">
        <v>4127</v>
      </c>
      <c r="B389" s="596" t="s">
        <v>44</v>
      </c>
      <c r="C389" s="583">
        <v>43182</v>
      </c>
      <c r="D389" s="3">
        <v>43182</v>
      </c>
      <c r="E389" s="583"/>
      <c r="F389" s="394" t="s">
        <v>4119</v>
      </c>
      <c r="G389" s="601" t="s">
        <v>3655</v>
      </c>
      <c r="H389" s="1" t="s">
        <v>3656</v>
      </c>
      <c r="I389" s="418">
        <f t="shared" si="23"/>
        <v>5256.2546666666667</v>
      </c>
      <c r="J389" s="418">
        <f t="shared" si="24"/>
        <v>1183.2013333333334</v>
      </c>
      <c r="K389" s="351">
        <f t="shared" si="21"/>
        <v>657.38666080000007</v>
      </c>
      <c r="L389" s="350">
        <f t="shared" si="22"/>
        <v>131.47733216000003</v>
      </c>
      <c r="M389" s="345" t="s">
        <v>6169</v>
      </c>
      <c r="N389" s="1" t="s">
        <v>3785</v>
      </c>
      <c r="O389" s="1" t="s">
        <v>4120</v>
      </c>
      <c r="P389" s="396" t="s">
        <v>3659</v>
      </c>
      <c r="Q389" s="397">
        <v>0.2</v>
      </c>
      <c r="R389" s="396">
        <v>1900001869</v>
      </c>
      <c r="S389" s="588" t="s">
        <v>3475</v>
      </c>
      <c r="T389" s="588" t="s">
        <v>5914</v>
      </c>
      <c r="U389" s="594" t="s">
        <v>3475</v>
      </c>
    </row>
    <row r="390" spans="1:21" s="594" customFormat="1" hidden="1" x14ac:dyDescent="0.35">
      <c r="A390" s="595" t="s">
        <v>4128</v>
      </c>
      <c r="B390" s="596" t="s">
        <v>44</v>
      </c>
      <c r="C390" s="583">
        <v>43182</v>
      </c>
      <c r="D390" s="3">
        <v>43182</v>
      </c>
      <c r="E390" s="583"/>
      <c r="F390" s="394" t="s">
        <v>4119</v>
      </c>
      <c r="G390" s="601" t="s">
        <v>3655</v>
      </c>
      <c r="H390" s="1" t="s">
        <v>3656</v>
      </c>
      <c r="I390" s="418">
        <f t="shared" si="23"/>
        <v>5256.2546666666667</v>
      </c>
      <c r="J390" s="418">
        <f t="shared" si="24"/>
        <v>1183.2013333333334</v>
      </c>
      <c r="K390" s="351">
        <f t="shared" si="21"/>
        <v>657.38666080000007</v>
      </c>
      <c r="L390" s="350">
        <f t="shared" si="22"/>
        <v>131.47733216000003</v>
      </c>
      <c r="M390" s="345" t="s">
        <v>6169</v>
      </c>
      <c r="N390" s="1" t="s">
        <v>3785</v>
      </c>
      <c r="O390" s="1" t="s">
        <v>4120</v>
      </c>
      <c r="P390" s="396" t="s">
        <v>3659</v>
      </c>
      <c r="Q390" s="397">
        <v>0.2</v>
      </c>
      <c r="R390" s="396">
        <v>1900001869</v>
      </c>
      <c r="S390" s="588" t="s">
        <v>3475</v>
      </c>
      <c r="T390" s="588" t="s">
        <v>5914</v>
      </c>
      <c r="U390" s="594" t="s">
        <v>3475</v>
      </c>
    </row>
    <row r="391" spans="1:21" s="594" customFormat="1" hidden="1" x14ac:dyDescent="0.35">
      <c r="A391" s="595" t="s">
        <v>4129</v>
      </c>
      <c r="B391" s="596" t="s">
        <v>44</v>
      </c>
      <c r="C391" s="583">
        <v>43182</v>
      </c>
      <c r="D391" s="3">
        <v>43182</v>
      </c>
      <c r="E391" s="583"/>
      <c r="F391" s="394" t="s">
        <v>4119</v>
      </c>
      <c r="G391" s="601" t="s">
        <v>3655</v>
      </c>
      <c r="H391" s="1" t="s">
        <v>3656</v>
      </c>
      <c r="I391" s="418">
        <f t="shared" si="23"/>
        <v>5256.2546666666667</v>
      </c>
      <c r="J391" s="418">
        <f t="shared" si="24"/>
        <v>1183.2013333333334</v>
      </c>
      <c r="K391" s="351">
        <f t="shared" si="21"/>
        <v>657.38666080000007</v>
      </c>
      <c r="L391" s="350">
        <f t="shared" si="22"/>
        <v>131.47733216000003</v>
      </c>
      <c r="M391" s="345" t="s">
        <v>6169</v>
      </c>
      <c r="N391" s="1" t="s">
        <v>3785</v>
      </c>
      <c r="O391" s="1" t="s">
        <v>4120</v>
      </c>
      <c r="P391" s="396" t="s">
        <v>3659</v>
      </c>
      <c r="Q391" s="397">
        <v>0.2</v>
      </c>
      <c r="R391" s="396">
        <v>1900001869</v>
      </c>
      <c r="S391" s="588" t="s">
        <v>3475</v>
      </c>
      <c r="T391" s="588" t="s">
        <v>5914</v>
      </c>
      <c r="U391" s="594" t="s">
        <v>3475</v>
      </c>
    </row>
    <row r="392" spans="1:21" s="594" customFormat="1" hidden="1" x14ac:dyDescent="0.35">
      <c r="A392" s="595" t="s">
        <v>4130</v>
      </c>
      <c r="B392" s="596" t="s">
        <v>44</v>
      </c>
      <c r="C392" s="583">
        <v>43182</v>
      </c>
      <c r="D392" s="3">
        <v>43182</v>
      </c>
      <c r="E392" s="583"/>
      <c r="F392" s="394" t="s">
        <v>4119</v>
      </c>
      <c r="G392" s="601" t="s">
        <v>3655</v>
      </c>
      <c r="H392" s="1" t="s">
        <v>3656</v>
      </c>
      <c r="I392" s="418">
        <f t="shared" si="23"/>
        <v>5256.2546666666667</v>
      </c>
      <c r="J392" s="418">
        <f t="shared" si="24"/>
        <v>1183.2013333333334</v>
      </c>
      <c r="K392" s="351">
        <f t="shared" si="21"/>
        <v>657.38666080000007</v>
      </c>
      <c r="L392" s="350">
        <f t="shared" si="22"/>
        <v>131.47733216000003</v>
      </c>
      <c r="M392" s="345" t="s">
        <v>6169</v>
      </c>
      <c r="N392" s="1" t="s">
        <v>3785</v>
      </c>
      <c r="O392" s="1" t="s">
        <v>4120</v>
      </c>
      <c r="P392" s="396" t="s">
        <v>3659</v>
      </c>
      <c r="Q392" s="397">
        <v>0.2</v>
      </c>
      <c r="R392" s="396">
        <v>1900001869</v>
      </c>
      <c r="S392" s="588" t="s">
        <v>3475</v>
      </c>
      <c r="T392" s="588" t="s">
        <v>5914</v>
      </c>
      <c r="U392" s="594" t="s">
        <v>3475</v>
      </c>
    </row>
    <row r="393" spans="1:21" s="594" customFormat="1" hidden="1" x14ac:dyDescent="0.35">
      <c r="A393" s="595" t="s">
        <v>4131</v>
      </c>
      <c r="B393" s="596" t="s">
        <v>44</v>
      </c>
      <c r="C393" s="583">
        <v>43182</v>
      </c>
      <c r="D393" s="3">
        <v>43182</v>
      </c>
      <c r="E393" s="583"/>
      <c r="F393" s="394" t="s">
        <v>4119</v>
      </c>
      <c r="G393" s="601" t="s">
        <v>3655</v>
      </c>
      <c r="H393" s="1" t="s">
        <v>3656</v>
      </c>
      <c r="I393" s="418">
        <f t="shared" si="23"/>
        <v>5256.2546666666667</v>
      </c>
      <c r="J393" s="418">
        <f t="shared" si="24"/>
        <v>1183.2013333333334</v>
      </c>
      <c r="K393" s="351">
        <f t="shared" si="21"/>
        <v>657.38666080000007</v>
      </c>
      <c r="L393" s="350">
        <f t="shared" si="22"/>
        <v>131.47733216000003</v>
      </c>
      <c r="M393" s="345" t="s">
        <v>6169</v>
      </c>
      <c r="N393" s="1" t="s">
        <v>3785</v>
      </c>
      <c r="O393" s="1" t="s">
        <v>4120</v>
      </c>
      <c r="P393" s="396" t="s">
        <v>3659</v>
      </c>
      <c r="Q393" s="397">
        <v>0.2</v>
      </c>
      <c r="R393" s="396">
        <v>1900001869</v>
      </c>
      <c r="S393" s="588" t="s">
        <v>3475</v>
      </c>
      <c r="T393" s="588" t="s">
        <v>5914</v>
      </c>
      <c r="U393" s="594" t="s">
        <v>3475</v>
      </c>
    </row>
    <row r="394" spans="1:21" s="594" customFormat="1" hidden="1" x14ac:dyDescent="0.35">
      <c r="A394" s="595" t="s">
        <v>4132</v>
      </c>
      <c r="B394" s="596" t="s">
        <v>44</v>
      </c>
      <c r="C394" s="583">
        <v>43182</v>
      </c>
      <c r="D394" s="3">
        <v>43182</v>
      </c>
      <c r="E394" s="583"/>
      <c r="F394" s="394" t="s">
        <v>4119</v>
      </c>
      <c r="G394" s="601" t="s">
        <v>3655</v>
      </c>
      <c r="H394" s="1" t="s">
        <v>3656</v>
      </c>
      <c r="I394" s="418">
        <f t="shared" si="23"/>
        <v>5256.2546666666667</v>
      </c>
      <c r="J394" s="418">
        <f t="shared" si="24"/>
        <v>1183.2013333333334</v>
      </c>
      <c r="K394" s="351">
        <f t="shared" si="21"/>
        <v>657.38666080000007</v>
      </c>
      <c r="L394" s="350">
        <f t="shared" si="22"/>
        <v>131.47733216000003</v>
      </c>
      <c r="M394" s="345" t="s">
        <v>6169</v>
      </c>
      <c r="N394" s="1" t="s">
        <v>3785</v>
      </c>
      <c r="O394" s="1" t="s">
        <v>4120</v>
      </c>
      <c r="P394" s="396" t="s">
        <v>3659</v>
      </c>
      <c r="Q394" s="397">
        <v>0.2</v>
      </c>
      <c r="R394" s="396">
        <v>1900001869</v>
      </c>
      <c r="S394" s="588" t="s">
        <v>3475</v>
      </c>
      <c r="T394" s="588" t="s">
        <v>5914</v>
      </c>
      <c r="U394" s="594" t="s">
        <v>3475</v>
      </c>
    </row>
    <row r="395" spans="1:21" s="594" customFormat="1" hidden="1" x14ac:dyDescent="0.35">
      <c r="A395" s="595" t="s">
        <v>4133</v>
      </c>
      <c r="B395" s="596" t="s">
        <v>44</v>
      </c>
      <c r="C395" s="583">
        <v>43182</v>
      </c>
      <c r="D395" s="3">
        <v>43182</v>
      </c>
      <c r="E395" s="583"/>
      <c r="F395" s="394" t="s">
        <v>4119</v>
      </c>
      <c r="G395" s="601" t="s">
        <v>3655</v>
      </c>
      <c r="H395" s="1" t="s">
        <v>3656</v>
      </c>
      <c r="I395" s="418">
        <f t="shared" si="23"/>
        <v>5256.2546666666667</v>
      </c>
      <c r="J395" s="418">
        <f t="shared" si="24"/>
        <v>1183.2013333333334</v>
      </c>
      <c r="K395" s="351">
        <f t="shared" si="21"/>
        <v>657.38666080000007</v>
      </c>
      <c r="L395" s="350">
        <f t="shared" si="22"/>
        <v>131.47733216000003</v>
      </c>
      <c r="M395" s="345" t="s">
        <v>6169</v>
      </c>
      <c r="N395" s="1" t="s">
        <v>3785</v>
      </c>
      <c r="O395" s="1" t="s">
        <v>4120</v>
      </c>
      <c r="P395" s="396" t="s">
        <v>3659</v>
      </c>
      <c r="Q395" s="397">
        <v>0.2</v>
      </c>
      <c r="R395" s="396">
        <v>1900001869</v>
      </c>
      <c r="S395" s="588" t="s">
        <v>3475</v>
      </c>
      <c r="T395" s="588" t="s">
        <v>5914</v>
      </c>
      <c r="U395" s="594" t="s">
        <v>3475</v>
      </c>
    </row>
    <row r="396" spans="1:21" s="594" customFormat="1" hidden="1" x14ac:dyDescent="0.35">
      <c r="A396" s="595" t="s">
        <v>4134</v>
      </c>
      <c r="B396" s="596" t="s">
        <v>44</v>
      </c>
      <c r="C396" s="583">
        <v>43182</v>
      </c>
      <c r="D396" s="3">
        <v>43182</v>
      </c>
      <c r="E396" s="583"/>
      <c r="F396" s="394" t="s">
        <v>4119</v>
      </c>
      <c r="G396" s="601" t="s">
        <v>3655</v>
      </c>
      <c r="H396" s="1" t="s">
        <v>3656</v>
      </c>
      <c r="I396" s="418">
        <f t="shared" si="23"/>
        <v>5256.2546666666667</v>
      </c>
      <c r="J396" s="418">
        <f t="shared" si="24"/>
        <v>1183.2013333333334</v>
      </c>
      <c r="K396" s="351">
        <f t="shared" si="21"/>
        <v>657.38666080000007</v>
      </c>
      <c r="L396" s="350">
        <f t="shared" si="22"/>
        <v>131.47733216000003</v>
      </c>
      <c r="M396" s="345" t="s">
        <v>6169</v>
      </c>
      <c r="N396" s="1" t="s">
        <v>3785</v>
      </c>
      <c r="O396" s="1" t="s">
        <v>4120</v>
      </c>
      <c r="P396" s="396" t="s">
        <v>3659</v>
      </c>
      <c r="Q396" s="397">
        <v>0.2</v>
      </c>
      <c r="R396" s="396">
        <v>1900001869</v>
      </c>
      <c r="S396" s="588" t="s">
        <v>3475</v>
      </c>
      <c r="T396" s="588" t="s">
        <v>5914</v>
      </c>
      <c r="U396" s="594" t="s">
        <v>3475</v>
      </c>
    </row>
    <row r="397" spans="1:21" hidden="1" x14ac:dyDescent="0.35">
      <c r="A397" s="398" t="s">
        <v>4135</v>
      </c>
      <c r="B397" s="1" t="s">
        <v>3967</v>
      </c>
      <c r="C397" s="3">
        <v>43178</v>
      </c>
      <c r="D397" s="3">
        <v>43178</v>
      </c>
      <c r="E397" s="3" t="s">
        <v>1492</v>
      </c>
      <c r="F397" s="394" t="s">
        <v>4136</v>
      </c>
      <c r="G397" s="394" t="s">
        <v>1486</v>
      </c>
      <c r="H397" s="1" t="s">
        <v>3656</v>
      </c>
      <c r="I397" s="418">
        <f t="shared" ref="I397:I458" si="25">J397*4.4195</f>
        <v>3570.2457863499999</v>
      </c>
      <c r="J397" s="418">
        <f>784.31*1.03</f>
        <v>807.83929999999998</v>
      </c>
      <c r="K397" s="351">
        <f t="shared" si="21"/>
        <v>448.83551507999999</v>
      </c>
      <c r="L397" s="350">
        <f t="shared" si="22"/>
        <v>89.767103016000007</v>
      </c>
      <c r="M397" s="345" t="s">
        <v>6169</v>
      </c>
      <c r="N397" s="1" t="s">
        <v>3785</v>
      </c>
      <c r="O397" s="1" t="s">
        <v>4137</v>
      </c>
      <c r="P397" s="396" t="s">
        <v>3659</v>
      </c>
      <c r="Q397" s="397">
        <v>0.2</v>
      </c>
      <c r="R397" s="396">
        <v>1900001489</v>
      </c>
      <c r="S397" s="2" t="s">
        <v>835</v>
      </c>
      <c r="T397" s="2" t="s">
        <v>5915</v>
      </c>
    </row>
    <row r="398" spans="1:21" hidden="1" x14ac:dyDescent="0.35">
      <c r="A398" s="398" t="s">
        <v>4138</v>
      </c>
      <c r="B398" s="1" t="s">
        <v>3967</v>
      </c>
      <c r="C398" s="3">
        <v>43178</v>
      </c>
      <c r="D398" s="3">
        <v>43178</v>
      </c>
      <c r="E398" s="3" t="s">
        <v>1493</v>
      </c>
      <c r="F398" s="394" t="s">
        <v>4136</v>
      </c>
      <c r="G398" s="394" t="s">
        <v>1486</v>
      </c>
      <c r="H398" s="1" t="s">
        <v>3656</v>
      </c>
      <c r="I398" s="418">
        <f t="shared" si="25"/>
        <v>3570.2457863499999</v>
      </c>
      <c r="J398" s="418">
        <f t="shared" ref="J398:J424" si="26">784.31*1.03</f>
        <v>807.83929999999998</v>
      </c>
      <c r="K398" s="351">
        <f t="shared" si="21"/>
        <v>448.83551507999999</v>
      </c>
      <c r="L398" s="350">
        <f t="shared" si="22"/>
        <v>89.767103016000007</v>
      </c>
      <c r="M398" s="345" t="s">
        <v>6169</v>
      </c>
      <c r="N398" s="1" t="s">
        <v>3785</v>
      </c>
      <c r="O398" s="1" t="s">
        <v>4137</v>
      </c>
      <c r="P398" s="396" t="s">
        <v>3659</v>
      </c>
      <c r="Q398" s="397">
        <v>0.2</v>
      </c>
      <c r="R398" s="396">
        <v>1900001489</v>
      </c>
      <c r="S398" s="2" t="s">
        <v>6246</v>
      </c>
      <c r="T398" s="2" t="s">
        <v>5915</v>
      </c>
    </row>
    <row r="399" spans="1:21" hidden="1" x14ac:dyDescent="0.35">
      <c r="A399" s="398" t="s">
        <v>4139</v>
      </c>
      <c r="B399" s="1" t="s">
        <v>3967</v>
      </c>
      <c r="C399" s="3">
        <v>43178</v>
      </c>
      <c r="D399" s="3">
        <v>43178</v>
      </c>
      <c r="E399" s="3" t="s">
        <v>1511</v>
      </c>
      <c r="F399" s="394" t="s">
        <v>4136</v>
      </c>
      <c r="G399" s="394" t="s">
        <v>1486</v>
      </c>
      <c r="H399" s="1" t="s">
        <v>3656</v>
      </c>
      <c r="I399" s="418">
        <f t="shared" si="25"/>
        <v>3570.2457863499999</v>
      </c>
      <c r="J399" s="418">
        <f t="shared" si="26"/>
        <v>807.83929999999998</v>
      </c>
      <c r="K399" s="351">
        <f t="shared" si="21"/>
        <v>448.83551507999999</v>
      </c>
      <c r="L399" s="350">
        <f t="shared" si="22"/>
        <v>89.767103016000007</v>
      </c>
      <c r="M399" s="345" t="s">
        <v>6169</v>
      </c>
      <c r="N399" s="1" t="s">
        <v>3785</v>
      </c>
      <c r="O399" s="1" t="s">
        <v>4137</v>
      </c>
      <c r="P399" s="396" t="s">
        <v>3659</v>
      </c>
      <c r="Q399" s="397">
        <v>0.2</v>
      </c>
      <c r="R399" s="396">
        <v>1900001489</v>
      </c>
      <c r="S399" s="2" t="s">
        <v>815</v>
      </c>
      <c r="T399" s="2" t="s">
        <v>5915</v>
      </c>
    </row>
    <row r="400" spans="1:21" hidden="1" x14ac:dyDescent="0.35">
      <c r="A400" s="398" t="s">
        <v>4140</v>
      </c>
      <c r="B400" s="1" t="s">
        <v>3967</v>
      </c>
      <c r="C400" s="3">
        <v>43178</v>
      </c>
      <c r="D400" s="3">
        <v>43178</v>
      </c>
      <c r="E400" s="3" t="s">
        <v>1512</v>
      </c>
      <c r="F400" s="394" t="s">
        <v>4136</v>
      </c>
      <c r="G400" s="394" t="s">
        <v>1486</v>
      </c>
      <c r="H400" s="1" t="s">
        <v>3656</v>
      </c>
      <c r="I400" s="418">
        <f t="shared" si="25"/>
        <v>3570.2457863499999</v>
      </c>
      <c r="J400" s="418">
        <f t="shared" si="26"/>
        <v>807.83929999999998</v>
      </c>
      <c r="K400" s="351">
        <f t="shared" si="21"/>
        <v>448.83551507999999</v>
      </c>
      <c r="L400" s="350">
        <f t="shared" si="22"/>
        <v>89.767103016000007</v>
      </c>
      <c r="M400" s="345" t="s">
        <v>6169</v>
      </c>
      <c r="N400" s="1" t="s">
        <v>3785</v>
      </c>
      <c r="O400" s="1" t="s">
        <v>4137</v>
      </c>
      <c r="P400" s="396" t="s">
        <v>3659</v>
      </c>
      <c r="Q400" s="397">
        <v>0.2</v>
      </c>
      <c r="R400" s="396">
        <v>1900001489</v>
      </c>
      <c r="S400" s="2" t="s">
        <v>844</v>
      </c>
      <c r="T400" s="2" t="s">
        <v>5915</v>
      </c>
    </row>
    <row r="401" spans="1:20" hidden="1" x14ac:dyDescent="0.35">
      <c r="A401" s="398" t="s">
        <v>4141</v>
      </c>
      <c r="B401" s="1" t="s">
        <v>3967</v>
      </c>
      <c r="C401" s="3">
        <v>43178</v>
      </c>
      <c r="D401" s="3">
        <v>43178</v>
      </c>
      <c r="E401" s="3" t="s">
        <v>1524</v>
      </c>
      <c r="F401" s="394" t="s">
        <v>4136</v>
      </c>
      <c r="G401" s="394" t="s">
        <v>1486</v>
      </c>
      <c r="H401" s="1" t="s">
        <v>3656</v>
      </c>
      <c r="I401" s="418">
        <f t="shared" si="25"/>
        <v>3570.2457863499999</v>
      </c>
      <c r="J401" s="418">
        <f t="shared" si="26"/>
        <v>807.83929999999998</v>
      </c>
      <c r="K401" s="351">
        <f t="shared" si="21"/>
        <v>448.83551507999999</v>
      </c>
      <c r="L401" s="350">
        <f t="shared" si="22"/>
        <v>89.767103016000007</v>
      </c>
      <c r="M401" s="345" t="s">
        <v>6169</v>
      </c>
      <c r="N401" s="1" t="s">
        <v>3785</v>
      </c>
      <c r="O401" s="1" t="s">
        <v>4137</v>
      </c>
      <c r="P401" s="396" t="s">
        <v>3659</v>
      </c>
      <c r="Q401" s="397">
        <v>0.2</v>
      </c>
      <c r="R401" s="396">
        <v>1900001489</v>
      </c>
      <c r="S401" s="2" t="s">
        <v>1000</v>
      </c>
      <c r="T401" s="2" t="s">
        <v>5915</v>
      </c>
    </row>
    <row r="402" spans="1:20" hidden="1" x14ac:dyDescent="0.35">
      <c r="A402" s="398" t="s">
        <v>4142</v>
      </c>
      <c r="B402" s="1" t="s">
        <v>3967</v>
      </c>
      <c r="C402" s="3">
        <v>43178</v>
      </c>
      <c r="D402" s="3">
        <v>43178</v>
      </c>
      <c r="E402" s="3" t="s">
        <v>1551</v>
      </c>
      <c r="F402" s="394" t="s">
        <v>4136</v>
      </c>
      <c r="G402" s="394" t="s">
        <v>1486</v>
      </c>
      <c r="H402" s="1" t="s">
        <v>3656</v>
      </c>
      <c r="I402" s="418">
        <f t="shared" si="25"/>
        <v>3570.2457863499999</v>
      </c>
      <c r="J402" s="418">
        <f t="shared" si="26"/>
        <v>807.83929999999998</v>
      </c>
      <c r="K402" s="351">
        <f t="shared" si="21"/>
        <v>448.83551507999999</v>
      </c>
      <c r="L402" s="350">
        <f t="shared" si="22"/>
        <v>89.767103016000007</v>
      </c>
      <c r="M402" s="345" t="s">
        <v>6169</v>
      </c>
      <c r="N402" s="1" t="s">
        <v>3785</v>
      </c>
      <c r="O402" s="1" t="s">
        <v>4137</v>
      </c>
      <c r="P402" s="396" t="s">
        <v>3659</v>
      </c>
      <c r="Q402" s="397">
        <v>0.2</v>
      </c>
      <c r="R402" s="396">
        <v>1900001489</v>
      </c>
      <c r="S402" s="2" t="s">
        <v>1550</v>
      </c>
      <c r="T402" s="2" t="s">
        <v>5915</v>
      </c>
    </row>
    <row r="403" spans="1:20" hidden="1" x14ac:dyDescent="0.35">
      <c r="A403" s="398" t="s">
        <v>4143</v>
      </c>
      <c r="B403" s="1" t="s">
        <v>3967</v>
      </c>
      <c r="C403" s="3">
        <v>43178</v>
      </c>
      <c r="D403" s="3">
        <v>43178</v>
      </c>
      <c r="E403" s="3" t="s">
        <v>1560</v>
      </c>
      <c r="F403" s="394" t="s">
        <v>4136</v>
      </c>
      <c r="G403" s="394" t="s">
        <v>1486</v>
      </c>
      <c r="H403" s="1" t="s">
        <v>3656</v>
      </c>
      <c r="I403" s="418">
        <f t="shared" si="25"/>
        <v>3570.2457863499999</v>
      </c>
      <c r="J403" s="418">
        <f t="shared" si="26"/>
        <v>807.83929999999998</v>
      </c>
      <c r="K403" s="351">
        <f t="shared" si="21"/>
        <v>448.83551507999999</v>
      </c>
      <c r="L403" s="350">
        <f t="shared" si="22"/>
        <v>89.767103016000007</v>
      </c>
      <c r="M403" s="345" t="s">
        <v>6169</v>
      </c>
      <c r="N403" s="1" t="s">
        <v>3785</v>
      </c>
      <c r="O403" s="1" t="s">
        <v>4137</v>
      </c>
      <c r="P403" s="396" t="s">
        <v>3659</v>
      </c>
      <c r="Q403" s="397">
        <v>0.2</v>
      </c>
      <c r="R403" s="396">
        <v>1900001489</v>
      </c>
      <c r="S403" s="2" t="s">
        <v>4144</v>
      </c>
      <c r="T403" s="2" t="s">
        <v>5915</v>
      </c>
    </row>
    <row r="404" spans="1:20" hidden="1" x14ac:dyDescent="0.35">
      <c r="A404" s="398" t="s">
        <v>4145</v>
      </c>
      <c r="B404" s="1" t="s">
        <v>3967</v>
      </c>
      <c r="C404" s="3">
        <v>43178</v>
      </c>
      <c r="D404" s="3">
        <v>43178</v>
      </c>
      <c r="E404" s="3" t="s">
        <v>1600</v>
      </c>
      <c r="F404" s="394" t="s">
        <v>4136</v>
      </c>
      <c r="G404" s="394" t="s">
        <v>1486</v>
      </c>
      <c r="H404" s="1" t="s">
        <v>3656</v>
      </c>
      <c r="I404" s="418">
        <f t="shared" si="25"/>
        <v>3570.2457863499999</v>
      </c>
      <c r="J404" s="418">
        <f t="shared" si="26"/>
        <v>807.83929999999998</v>
      </c>
      <c r="K404" s="351">
        <f t="shared" si="21"/>
        <v>448.83551507999999</v>
      </c>
      <c r="L404" s="350">
        <f t="shared" si="22"/>
        <v>89.767103016000007</v>
      </c>
      <c r="M404" s="345" t="s">
        <v>6169</v>
      </c>
      <c r="N404" s="1" t="s">
        <v>3785</v>
      </c>
      <c r="O404" s="1" t="s">
        <v>4137</v>
      </c>
      <c r="P404" s="396" t="s">
        <v>3659</v>
      </c>
      <c r="Q404" s="397">
        <v>0.2</v>
      </c>
      <c r="R404" s="396">
        <v>1900001489</v>
      </c>
      <c r="S404" s="2" t="s">
        <v>1354</v>
      </c>
      <c r="T404" s="2" t="s">
        <v>5915</v>
      </c>
    </row>
    <row r="405" spans="1:20" hidden="1" x14ac:dyDescent="0.35">
      <c r="A405" s="398" t="s">
        <v>4146</v>
      </c>
      <c r="B405" s="1" t="s">
        <v>3967</v>
      </c>
      <c r="C405" s="3">
        <v>43178</v>
      </c>
      <c r="D405" s="3">
        <v>43178</v>
      </c>
      <c r="E405" s="3" t="s">
        <v>1603</v>
      </c>
      <c r="F405" s="394" t="s">
        <v>4136</v>
      </c>
      <c r="G405" s="394" t="s">
        <v>1486</v>
      </c>
      <c r="H405" s="1" t="s">
        <v>3656</v>
      </c>
      <c r="I405" s="418">
        <f t="shared" si="25"/>
        <v>3570.2457863499999</v>
      </c>
      <c r="J405" s="418">
        <f t="shared" si="26"/>
        <v>807.83929999999998</v>
      </c>
      <c r="K405" s="351">
        <f t="shared" si="21"/>
        <v>448.83551507999999</v>
      </c>
      <c r="L405" s="350">
        <f t="shared" si="22"/>
        <v>89.767103016000007</v>
      </c>
      <c r="M405" s="345" t="s">
        <v>6169</v>
      </c>
      <c r="N405" s="1" t="s">
        <v>3785</v>
      </c>
      <c r="O405" s="1" t="s">
        <v>4137</v>
      </c>
      <c r="P405" s="396" t="s">
        <v>3659</v>
      </c>
      <c r="Q405" s="397">
        <v>0.2</v>
      </c>
      <c r="R405" s="396">
        <v>1900001489</v>
      </c>
      <c r="S405" s="2" t="s">
        <v>1330</v>
      </c>
      <c r="T405" s="2" t="s">
        <v>5915</v>
      </c>
    </row>
    <row r="406" spans="1:20" hidden="1" x14ac:dyDescent="0.35">
      <c r="A406" s="398" t="s">
        <v>4147</v>
      </c>
      <c r="B406" s="1" t="s">
        <v>3967</v>
      </c>
      <c r="C406" s="3">
        <v>43178</v>
      </c>
      <c r="D406" s="3">
        <v>43178</v>
      </c>
      <c r="E406" s="3" t="s">
        <v>1607</v>
      </c>
      <c r="F406" s="394" t="s">
        <v>4136</v>
      </c>
      <c r="G406" s="394" t="s">
        <v>1486</v>
      </c>
      <c r="H406" s="1" t="s">
        <v>3656</v>
      </c>
      <c r="I406" s="418">
        <f t="shared" si="25"/>
        <v>3570.2457863499999</v>
      </c>
      <c r="J406" s="418">
        <f t="shared" si="26"/>
        <v>807.83929999999998</v>
      </c>
      <c r="K406" s="351">
        <f t="shared" si="21"/>
        <v>448.83551507999999</v>
      </c>
      <c r="L406" s="350">
        <f t="shared" si="22"/>
        <v>89.767103016000007</v>
      </c>
      <c r="M406" s="345" t="s">
        <v>6169</v>
      </c>
      <c r="N406" s="1" t="s">
        <v>3785</v>
      </c>
      <c r="O406" s="1" t="s">
        <v>4137</v>
      </c>
      <c r="P406" s="396" t="s">
        <v>3659</v>
      </c>
      <c r="Q406" s="397">
        <v>0.2</v>
      </c>
      <c r="R406" s="396">
        <v>1900001489</v>
      </c>
      <c r="S406" s="2" t="s">
        <v>6248</v>
      </c>
      <c r="T406" s="2" t="s">
        <v>5915</v>
      </c>
    </row>
    <row r="407" spans="1:20" hidden="1" x14ac:dyDescent="0.35">
      <c r="A407" s="398" t="s">
        <v>4148</v>
      </c>
      <c r="B407" s="1" t="s">
        <v>3967</v>
      </c>
      <c r="C407" s="3">
        <v>43178</v>
      </c>
      <c r="D407" s="3">
        <v>43178</v>
      </c>
      <c r="E407" s="3" t="s">
        <v>1615</v>
      </c>
      <c r="F407" s="394" t="s">
        <v>4136</v>
      </c>
      <c r="G407" s="394" t="s">
        <v>1486</v>
      </c>
      <c r="H407" s="1" t="s">
        <v>3656</v>
      </c>
      <c r="I407" s="418">
        <f t="shared" si="25"/>
        <v>3570.2457863499999</v>
      </c>
      <c r="J407" s="418">
        <f t="shared" si="26"/>
        <v>807.83929999999998</v>
      </c>
      <c r="K407" s="351">
        <f t="shared" si="21"/>
        <v>448.83551507999999</v>
      </c>
      <c r="L407" s="350">
        <f t="shared" si="22"/>
        <v>89.767103016000007</v>
      </c>
      <c r="M407" s="345" t="s">
        <v>6169</v>
      </c>
      <c r="N407" s="1" t="s">
        <v>3785</v>
      </c>
      <c r="O407" s="1" t="s">
        <v>4137</v>
      </c>
      <c r="P407" s="396" t="s">
        <v>3659</v>
      </c>
      <c r="Q407" s="397">
        <v>0.2</v>
      </c>
      <c r="R407" s="396">
        <v>1900001489</v>
      </c>
      <c r="S407" s="2" t="s">
        <v>1364</v>
      </c>
      <c r="T407" s="2" t="s">
        <v>5915</v>
      </c>
    </row>
    <row r="408" spans="1:20" hidden="1" x14ac:dyDescent="0.35">
      <c r="A408" s="398" t="s">
        <v>4149</v>
      </c>
      <c r="B408" s="1" t="s">
        <v>3967</v>
      </c>
      <c r="C408" s="3">
        <v>43178</v>
      </c>
      <c r="D408" s="3">
        <v>43178</v>
      </c>
      <c r="E408" s="3" t="s">
        <v>1637</v>
      </c>
      <c r="F408" s="394" t="s">
        <v>4136</v>
      </c>
      <c r="G408" s="394" t="s">
        <v>1486</v>
      </c>
      <c r="H408" s="1" t="s">
        <v>3656</v>
      </c>
      <c r="I408" s="418">
        <f t="shared" si="25"/>
        <v>3570.2457863499999</v>
      </c>
      <c r="J408" s="418">
        <f t="shared" si="26"/>
        <v>807.83929999999998</v>
      </c>
      <c r="K408" s="351">
        <f t="shared" si="21"/>
        <v>448.83551507999999</v>
      </c>
      <c r="L408" s="350">
        <f t="shared" si="22"/>
        <v>89.767103016000007</v>
      </c>
      <c r="M408" s="345" t="s">
        <v>6169</v>
      </c>
      <c r="N408" s="1" t="s">
        <v>3785</v>
      </c>
      <c r="O408" s="1" t="s">
        <v>4137</v>
      </c>
      <c r="P408" s="396" t="s">
        <v>3659</v>
      </c>
      <c r="Q408" s="397">
        <v>0.2</v>
      </c>
      <c r="R408" s="396">
        <v>1900001489</v>
      </c>
      <c r="S408" s="2" t="s">
        <v>1377</v>
      </c>
      <c r="T408" s="2" t="s">
        <v>5915</v>
      </c>
    </row>
    <row r="409" spans="1:20" hidden="1" x14ac:dyDescent="0.35">
      <c r="A409" s="398" t="s">
        <v>4150</v>
      </c>
      <c r="B409" s="1" t="s">
        <v>3967</v>
      </c>
      <c r="C409" s="3">
        <v>43178</v>
      </c>
      <c r="D409" s="3">
        <v>43178</v>
      </c>
      <c r="E409" s="3" t="s">
        <v>1640</v>
      </c>
      <c r="F409" s="394" t="s">
        <v>4136</v>
      </c>
      <c r="G409" s="394" t="s">
        <v>1486</v>
      </c>
      <c r="H409" s="1" t="s">
        <v>3656</v>
      </c>
      <c r="I409" s="418">
        <f t="shared" si="25"/>
        <v>3570.2457863499999</v>
      </c>
      <c r="J409" s="418">
        <f t="shared" si="26"/>
        <v>807.83929999999998</v>
      </c>
      <c r="K409" s="351">
        <f t="shared" si="21"/>
        <v>448.83551507999999</v>
      </c>
      <c r="L409" s="350">
        <f t="shared" si="22"/>
        <v>89.767103016000007</v>
      </c>
      <c r="M409" s="345" t="s">
        <v>6169</v>
      </c>
      <c r="N409" s="1" t="s">
        <v>3785</v>
      </c>
      <c r="O409" s="1" t="s">
        <v>4137</v>
      </c>
      <c r="P409" s="396" t="s">
        <v>3659</v>
      </c>
      <c r="Q409" s="397">
        <v>0.2</v>
      </c>
      <c r="R409" s="396">
        <v>1900001489</v>
      </c>
      <c r="S409" s="2" t="s">
        <v>1377</v>
      </c>
      <c r="T409" s="2" t="s">
        <v>5915</v>
      </c>
    </row>
    <row r="410" spans="1:20" hidden="1" x14ac:dyDescent="0.35">
      <c r="A410" s="398" t="s">
        <v>4151</v>
      </c>
      <c r="B410" s="1" t="s">
        <v>3967</v>
      </c>
      <c r="C410" s="3">
        <v>43178</v>
      </c>
      <c r="D410" s="3">
        <v>43178</v>
      </c>
      <c r="E410" s="3" t="s">
        <v>1651</v>
      </c>
      <c r="F410" s="394" t="s">
        <v>4136</v>
      </c>
      <c r="G410" s="394" t="s">
        <v>1486</v>
      </c>
      <c r="H410" s="1" t="s">
        <v>3656</v>
      </c>
      <c r="I410" s="418">
        <f t="shared" si="25"/>
        <v>3570.2457863499999</v>
      </c>
      <c r="J410" s="418">
        <f t="shared" si="26"/>
        <v>807.83929999999998</v>
      </c>
      <c r="K410" s="351">
        <f t="shared" si="21"/>
        <v>448.83551507999999</v>
      </c>
      <c r="L410" s="350">
        <f t="shared" si="22"/>
        <v>89.767103016000007</v>
      </c>
      <c r="M410" s="345" t="s">
        <v>6169</v>
      </c>
      <c r="N410" s="1" t="s">
        <v>3785</v>
      </c>
      <c r="O410" s="1" t="s">
        <v>4137</v>
      </c>
      <c r="P410" s="396" t="s">
        <v>3659</v>
      </c>
      <c r="Q410" s="397">
        <v>0.2</v>
      </c>
      <c r="R410" s="396">
        <v>1900001489</v>
      </c>
      <c r="S410" s="2" t="s">
        <v>1377</v>
      </c>
      <c r="T410" s="2" t="s">
        <v>5915</v>
      </c>
    </row>
    <row r="411" spans="1:20" hidden="1" x14ac:dyDescent="0.35">
      <c r="A411" s="398" t="s">
        <v>4152</v>
      </c>
      <c r="B411" s="1" t="s">
        <v>3967</v>
      </c>
      <c r="C411" s="3">
        <v>43178</v>
      </c>
      <c r="D411" s="3">
        <v>43178</v>
      </c>
      <c r="E411" s="3" t="s">
        <v>1652</v>
      </c>
      <c r="F411" s="394" t="s">
        <v>4136</v>
      </c>
      <c r="G411" s="394" t="s">
        <v>1486</v>
      </c>
      <c r="H411" s="1" t="s">
        <v>3656</v>
      </c>
      <c r="I411" s="418">
        <f t="shared" si="25"/>
        <v>3570.2457863499999</v>
      </c>
      <c r="J411" s="418">
        <f t="shared" si="26"/>
        <v>807.83929999999998</v>
      </c>
      <c r="K411" s="351">
        <f t="shared" si="21"/>
        <v>448.83551507999999</v>
      </c>
      <c r="L411" s="350">
        <f t="shared" si="22"/>
        <v>89.767103016000007</v>
      </c>
      <c r="M411" s="345" t="s">
        <v>6169</v>
      </c>
      <c r="N411" s="1" t="s">
        <v>3785</v>
      </c>
      <c r="O411" s="1" t="s">
        <v>4137</v>
      </c>
      <c r="P411" s="396" t="s">
        <v>3659</v>
      </c>
      <c r="Q411" s="397">
        <v>0.2</v>
      </c>
      <c r="R411" s="396">
        <v>1900001489</v>
      </c>
      <c r="S411" s="2" t="s">
        <v>1377</v>
      </c>
      <c r="T411" s="2" t="s">
        <v>5915</v>
      </c>
    </row>
    <row r="412" spans="1:20" hidden="1" x14ac:dyDescent="0.35">
      <c r="A412" s="398" t="s">
        <v>4153</v>
      </c>
      <c r="B412" s="1" t="s">
        <v>3967</v>
      </c>
      <c r="C412" s="3">
        <v>43178</v>
      </c>
      <c r="D412" s="3">
        <v>43178</v>
      </c>
      <c r="E412" s="3" t="s">
        <v>1654</v>
      </c>
      <c r="F412" s="394" t="s">
        <v>4136</v>
      </c>
      <c r="G412" s="394" t="s">
        <v>1486</v>
      </c>
      <c r="H412" s="1" t="s">
        <v>3656</v>
      </c>
      <c r="I412" s="418">
        <f t="shared" si="25"/>
        <v>3570.2457863499999</v>
      </c>
      <c r="J412" s="418">
        <f t="shared" si="26"/>
        <v>807.83929999999998</v>
      </c>
      <c r="K412" s="351">
        <f t="shared" si="21"/>
        <v>448.83551507999999</v>
      </c>
      <c r="L412" s="350">
        <f t="shared" si="22"/>
        <v>89.767103016000007</v>
      </c>
      <c r="M412" s="345" t="s">
        <v>6169</v>
      </c>
      <c r="N412" s="1" t="s">
        <v>3785</v>
      </c>
      <c r="O412" s="1" t="s">
        <v>4137</v>
      </c>
      <c r="P412" s="396" t="s">
        <v>3659</v>
      </c>
      <c r="Q412" s="397">
        <v>0.2</v>
      </c>
      <c r="R412" s="396">
        <v>1900001489</v>
      </c>
      <c r="S412" s="2" t="s">
        <v>1377</v>
      </c>
      <c r="T412" s="2" t="s">
        <v>5915</v>
      </c>
    </row>
    <row r="413" spans="1:20" hidden="1" x14ac:dyDescent="0.35">
      <c r="A413" s="398" t="s">
        <v>4154</v>
      </c>
      <c r="B413" s="1" t="s">
        <v>3967</v>
      </c>
      <c r="C413" s="3">
        <v>43178</v>
      </c>
      <c r="D413" s="3">
        <v>43178</v>
      </c>
      <c r="E413" s="3" t="s">
        <v>1657</v>
      </c>
      <c r="F413" s="394" t="s">
        <v>4136</v>
      </c>
      <c r="G413" s="394" t="s">
        <v>1486</v>
      </c>
      <c r="H413" s="1" t="s">
        <v>3656</v>
      </c>
      <c r="I413" s="418">
        <f t="shared" si="25"/>
        <v>3570.2457863499999</v>
      </c>
      <c r="J413" s="418">
        <f t="shared" si="26"/>
        <v>807.83929999999998</v>
      </c>
      <c r="K413" s="351">
        <f t="shared" si="21"/>
        <v>448.83551507999999</v>
      </c>
      <c r="L413" s="350">
        <f t="shared" si="22"/>
        <v>89.767103016000007</v>
      </c>
      <c r="M413" s="345" t="s">
        <v>6169</v>
      </c>
      <c r="N413" s="1" t="s">
        <v>3785</v>
      </c>
      <c r="O413" s="1" t="s">
        <v>4137</v>
      </c>
      <c r="P413" s="396" t="s">
        <v>3659</v>
      </c>
      <c r="Q413" s="397">
        <v>0.2</v>
      </c>
      <c r="R413" s="396">
        <v>1900001489</v>
      </c>
      <c r="S413" s="2" t="s">
        <v>1377</v>
      </c>
      <c r="T413" s="2" t="s">
        <v>5915</v>
      </c>
    </row>
    <row r="414" spans="1:20" hidden="1" x14ac:dyDescent="0.35">
      <c r="A414" s="398" t="s">
        <v>4155</v>
      </c>
      <c r="B414" s="1" t="s">
        <v>3967</v>
      </c>
      <c r="C414" s="3">
        <v>43178</v>
      </c>
      <c r="D414" s="3">
        <v>43178</v>
      </c>
      <c r="E414" s="3" t="s">
        <v>1660</v>
      </c>
      <c r="F414" s="394" t="s">
        <v>4136</v>
      </c>
      <c r="G414" s="394" t="s">
        <v>1486</v>
      </c>
      <c r="H414" s="1" t="s">
        <v>3656</v>
      </c>
      <c r="I414" s="418">
        <f t="shared" si="25"/>
        <v>3570.2457863499999</v>
      </c>
      <c r="J414" s="418">
        <f t="shared" si="26"/>
        <v>807.83929999999998</v>
      </c>
      <c r="K414" s="351">
        <f t="shared" si="21"/>
        <v>448.83551507999999</v>
      </c>
      <c r="L414" s="350">
        <f t="shared" si="22"/>
        <v>89.767103016000007</v>
      </c>
      <c r="M414" s="345" t="s">
        <v>6169</v>
      </c>
      <c r="N414" s="1" t="s">
        <v>3785</v>
      </c>
      <c r="O414" s="1" t="s">
        <v>4137</v>
      </c>
      <c r="P414" s="396" t="s">
        <v>3659</v>
      </c>
      <c r="Q414" s="397">
        <v>0.2</v>
      </c>
      <c r="R414" s="396">
        <v>1900001489</v>
      </c>
      <c r="S414" s="2" t="s">
        <v>1377</v>
      </c>
      <c r="T414" s="2" t="s">
        <v>5915</v>
      </c>
    </row>
    <row r="415" spans="1:20" hidden="1" x14ac:dyDescent="0.35">
      <c r="A415" s="398" t="s">
        <v>4156</v>
      </c>
      <c r="B415" s="1" t="s">
        <v>3967</v>
      </c>
      <c r="C415" s="3">
        <v>43178</v>
      </c>
      <c r="D415" s="3">
        <v>43178</v>
      </c>
      <c r="E415" s="3" t="s">
        <v>1663</v>
      </c>
      <c r="F415" s="394" t="s">
        <v>4136</v>
      </c>
      <c r="G415" s="394" t="s">
        <v>1486</v>
      </c>
      <c r="H415" s="1" t="s">
        <v>3656</v>
      </c>
      <c r="I415" s="418">
        <f t="shared" si="25"/>
        <v>3570.2457863499999</v>
      </c>
      <c r="J415" s="418">
        <f t="shared" si="26"/>
        <v>807.83929999999998</v>
      </c>
      <c r="K415" s="351">
        <f t="shared" si="21"/>
        <v>448.83551507999999</v>
      </c>
      <c r="L415" s="350">
        <f t="shared" si="22"/>
        <v>89.767103016000007</v>
      </c>
      <c r="M415" s="345" t="s">
        <v>6169</v>
      </c>
      <c r="N415" s="1" t="s">
        <v>3785</v>
      </c>
      <c r="O415" s="1" t="s">
        <v>4137</v>
      </c>
      <c r="P415" s="396" t="s">
        <v>3659</v>
      </c>
      <c r="Q415" s="397">
        <v>0.2</v>
      </c>
      <c r="R415" s="396">
        <v>1900001489</v>
      </c>
      <c r="S415" s="2" t="s">
        <v>2617</v>
      </c>
      <c r="T415" s="2" t="s">
        <v>5915</v>
      </c>
    </row>
    <row r="416" spans="1:20" hidden="1" x14ac:dyDescent="0.35">
      <c r="A416" s="398" t="s">
        <v>4157</v>
      </c>
      <c r="B416" s="1" t="s">
        <v>3967</v>
      </c>
      <c r="C416" s="3">
        <v>43178</v>
      </c>
      <c r="D416" s="3">
        <v>43178</v>
      </c>
      <c r="E416" s="3" t="s">
        <v>1665</v>
      </c>
      <c r="F416" s="394" t="s">
        <v>4136</v>
      </c>
      <c r="G416" s="394" t="s">
        <v>1486</v>
      </c>
      <c r="H416" s="1" t="s">
        <v>3656</v>
      </c>
      <c r="I416" s="418">
        <f t="shared" si="25"/>
        <v>3570.2457863499999</v>
      </c>
      <c r="J416" s="418">
        <f t="shared" si="26"/>
        <v>807.83929999999998</v>
      </c>
      <c r="K416" s="351">
        <f t="shared" si="21"/>
        <v>448.83551507999999</v>
      </c>
      <c r="L416" s="350">
        <f t="shared" si="22"/>
        <v>89.767103016000007</v>
      </c>
      <c r="M416" s="345" t="s">
        <v>6169</v>
      </c>
      <c r="N416" s="1" t="s">
        <v>3785</v>
      </c>
      <c r="O416" s="1" t="s">
        <v>4137</v>
      </c>
      <c r="P416" s="396" t="s">
        <v>3659</v>
      </c>
      <c r="Q416" s="397">
        <v>0.2</v>
      </c>
      <c r="R416" s="396">
        <v>1900001489</v>
      </c>
      <c r="S416" s="2" t="s">
        <v>2617</v>
      </c>
      <c r="T416" s="2" t="s">
        <v>5915</v>
      </c>
    </row>
    <row r="417" spans="1:21" hidden="1" x14ac:dyDescent="0.35">
      <c r="A417" s="398" t="s">
        <v>4158</v>
      </c>
      <c r="B417" s="1" t="s">
        <v>4159</v>
      </c>
      <c r="C417" s="3">
        <v>43178</v>
      </c>
      <c r="D417" s="3">
        <v>43178</v>
      </c>
      <c r="E417" s="3" t="s">
        <v>1564</v>
      </c>
      <c r="F417" s="394" t="s">
        <v>4136</v>
      </c>
      <c r="G417" s="394" t="s">
        <v>1486</v>
      </c>
      <c r="H417" s="1" t="s">
        <v>3656</v>
      </c>
      <c r="I417" s="418">
        <f t="shared" si="25"/>
        <v>3570.2457863499999</v>
      </c>
      <c r="J417" s="418">
        <f t="shared" si="26"/>
        <v>807.83929999999998</v>
      </c>
      <c r="K417" s="351">
        <f t="shared" si="21"/>
        <v>448.83551507999999</v>
      </c>
      <c r="L417" s="350">
        <f t="shared" si="22"/>
        <v>89.767103016000007</v>
      </c>
      <c r="M417" s="345" t="s">
        <v>6169</v>
      </c>
      <c r="N417" s="1" t="s">
        <v>3785</v>
      </c>
      <c r="O417" s="1" t="s">
        <v>4137</v>
      </c>
      <c r="P417" s="396" t="s">
        <v>3659</v>
      </c>
      <c r="Q417" s="397">
        <v>0.2</v>
      </c>
      <c r="R417" s="396">
        <v>1900001489</v>
      </c>
      <c r="S417" s="2" t="s">
        <v>1559</v>
      </c>
      <c r="T417" s="2" t="s">
        <v>5915</v>
      </c>
    </row>
    <row r="418" spans="1:21" hidden="1" x14ac:dyDescent="0.35">
      <c r="A418" s="398" t="s">
        <v>4160</v>
      </c>
      <c r="B418" s="539" t="s">
        <v>3967</v>
      </c>
      <c r="C418" s="3">
        <v>43178</v>
      </c>
      <c r="D418" s="3">
        <v>43178</v>
      </c>
      <c r="E418" s="387"/>
      <c r="F418" s="394" t="s">
        <v>4136</v>
      </c>
      <c r="G418" s="394" t="s">
        <v>1486</v>
      </c>
      <c r="H418" s="1" t="s">
        <v>3656</v>
      </c>
      <c r="I418" s="418">
        <f t="shared" si="25"/>
        <v>3570.2457863499999</v>
      </c>
      <c r="J418" s="418">
        <f t="shared" si="26"/>
        <v>807.83929999999998</v>
      </c>
      <c r="K418" s="351">
        <f t="shared" si="21"/>
        <v>448.83551507999999</v>
      </c>
      <c r="L418" s="350">
        <f t="shared" si="22"/>
        <v>89.767103016000007</v>
      </c>
      <c r="M418" s="345" t="s">
        <v>6169</v>
      </c>
      <c r="N418" s="1" t="s">
        <v>3785</v>
      </c>
      <c r="O418" s="1" t="s">
        <v>4137</v>
      </c>
      <c r="P418" s="396" t="s">
        <v>3659</v>
      </c>
      <c r="Q418" s="397">
        <v>0.2</v>
      </c>
      <c r="R418" s="396">
        <v>1900001489</v>
      </c>
      <c r="S418" s="2" t="s">
        <v>3475</v>
      </c>
      <c r="T418" s="2" t="s">
        <v>5914</v>
      </c>
      <c r="U418" s="9" t="s">
        <v>3475</v>
      </c>
    </row>
    <row r="419" spans="1:21" hidden="1" x14ac:dyDescent="0.35">
      <c r="A419" s="398" t="s">
        <v>4161</v>
      </c>
      <c r="B419" s="539" t="s">
        <v>3967</v>
      </c>
      <c r="C419" s="3">
        <v>43178</v>
      </c>
      <c r="D419" s="3">
        <v>43178</v>
      </c>
      <c r="E419" s="387"/>
      <c r="F419" s="394" t="s">
        <v>4136</v>
      </c>
      <c r="G419" s="394" t="s">
        <v>1486</v>
      </c>
      <c r="H419" s="1" t="s">
        <v>3656</v>
      </c>
      <c r="I419" s="418">
        <f t="shared" si="25"/>
        <v>3570.2457863499999</v>
      </c>
      <c r="J419" s="418">
        <f t="shared" si="26"/>
        <v>807.83929999999998</v>
      </c>
      <c r="K419" s="351">
        <f t="shared" si="21"/>
        <v>448.83551507999999</v>
      </c>
      <c r="L419" s="350">
        <f t="shared" si="22"/>
        <v>89.767103016000007</v>
      </c>
      <c r="M419" s="345" t="s">
        <v>6169</v>
      </c>
      <c r="N419" s="1" t="s">
        <v>3785</v>
      </c>
      <c r="O419" s="1" t="s">
        <v>4137</v>
      </c>
      <c r="P419" s="396" t="s">
        <v>3659</v>
      </c>
      <c r="Q419" s="397">
        <v>0.2</v>
      </c>
      <c r="R419" s="396">
        <v>1900001489</v>
      </c>
      <c r="S419" s="2" t="s">
        <v>3475</v>
      </c>
      <c r="T419" s="2" t="s">
        <v>5914</v>
      </c>
      <c r="U419" s="9" t="s">
        <v>3475</v>
      </c>
    </row>
    <row r="420" spans="1:21" hidden="1" x14ac:dyDescent="0.35">
      <c r="A420" s="398" t="s">
        <v>4162</v>
      </c>
      <c r="B420" s="539" t="s">
        <v>3967</v>
      </c>
      <c r="C420" s="3">
        <v>43178</v>
      </c>
      <c r="D420" s="3">
        <v>43178</v>
      </c>
      <c r="E420" s="387"/>
      <c r="F420" s="394" t="s">
        <v>4136</v>
      </c>
      <c r="G420" s="394" t="s">
        <v>1486</v>
      </c>
      <c r="H420" s="1" t="s">
        <v>3656</v>
      </c>
      <c r="I420" s="418">
        <f t="shared" si="25"/>
        <v>3570.2457863499999</v>
      </c>
      <c r="J420" s="418">
        <f t="shared" si="26"/>
        <v>807.83929999999998</v>
      </c>
      <c r="K420" s="351">
        <f t="shared" si="21"/>
        <v>448.83551507999999</v>
      </c>
      <c r="L420" s="350">
        <f t="shared" si="22"/>
        <v>89.767103016000007</v>
      </c>
      <c r="M420" s="345" t="s">
        <v>6169</v>
      </c>
      <c r="N420" s="1" t="s">
        <v>3785</v>
      </c>
      <c r="O420" s="1" t="s">
        <v>4137</v>
      </c>
      <c r="P420" s="396" t="s">
        <v>3659</v>
      </c>
      <c r="Q420" s="397">
        <v>0.2</v>
      </c>
      <c r="R420" s="396">
        <v>1900001489</v>
      </c>
      <c r="S420" s="2" t="s">
        <v>3475</v>
      </c>
      <c r="T420" s="2" t="s">
        <v>5914</v>
      </c>
      <c r="U420" s="9" t="s">
        <v>3475</v>
      </c>
    </row>
    <row r="421" spans="1:21" hidden="1" x14ac:dyDescent="0.35">
      <c r="A421" s="398" t="s">
        <v>4163</v>
      </c>
      <c r="B421" s="539" t="s">
        <v>3967</v>
      </c>
      <c r="C421" s="3">
        <v>43178</v>
      </c>
      <c r="D421" s="3">
        <v>43178</v>
      </c>
      <c r="E421" s="387"/>
      <c r="F421" s="394" t="s">
        <v>4136</v>
      </c>
      <c r="G421" s="394" t="s">
        <v>1486</v>
      </c>
      <c r="H421" s="1" t="s">
        <v>3656</v>
      </c>
      <c r="I421" s="418">
        <f t="shared" si="25"/>
        <v>3570.2457863499999</v>
      </c>
      <c r="J421" s="418">
        <f t="shared" si="26"/>
        <v>807.83929999999998</v>
      </c>
      <c r="K421" s="351">
        <f t="shared" si="21"/>
        <v>448.83551507999999</v>
      </c>
      <c r="L421" s="350">
        <f t="shared" si="22"/>
        <v>89.767103016000007</v>
      </c>
      <c r="M421" s="345" t="s">
        <v>6169</v>
      </c>
      <c r="N421" s="1" t="s">
        <v>3785</v>
      </c>
      <c r="O421" s="1" t="s">
        <v>4137</v>
      </c>
      <c r="P421" s="396" t="s">
        <v>3659</v>
      </c>
      <c r="Q421" s="397">
        <v>0.2</v>
      </c>
      <c r="R421" s="396">
        <v>1900001489</v>
      </c>
      <c r="S421" s="2" t="s">
        <v>3475</v>
      </c>
      <c r="T421" s="2" t="s">
        <v>5914</v>
      </c>
      <c r="U421" s="9" t="s">
        <v>3475</v>
      </c>
    </row>
    <row r="422" spans="1:21" hidden="1" x14ac:dyDescent="0.35">
      <c r="A422" s="398" t="s">
        <v>4164</v>
      </c>
      <c r="B422" s="539" t="s">
        <v>3967</v>
      </c>
      <c r="C422" s="3">
        <v>43178</v>
      </c>
      <c r="D422" s="3">
        <v>43178</v>
      </c>
      <c r="E422" s="387"/>
      <c r="F422" s="394" t="s">
        <v>4136</v>
      </c>
      <c r="G422" s="394" t="s">
        <v>1486</v>
      </c>
      <c r="H422" s="1" t="s">
        <v>3656</v>
      </c>
      <c r="I422" s="418">
        <f t="shared" si="25"/>
        <v>3570.2457863499999</v>
      </c>
      <c r="J422" s="418">
        <f t="shared" si="26"/>
        <v>807.83929999999998</v>
      </c>
      <c r="K422" s="351">
        <f t="shared" si="21"/>
        <v>448.83551507999999</v>
      </c>
      <c r="L422" s="350">
        <f t="shared" si="22"/>
        <v>89.767103016000007</v>
      </c>
      <c r="M422" s="345" t="s">
        <v>6169</v>
      </c>
      <c r="N422" s="1" t="s">
        <v>3785</v>
      </c>
      <c r="O422" s="1" t="s">
        <v>4137</v>
      </c>
      <c r="P422" s="396" t="s">
        <v>3659</v>
      </c>
      <c r="Q422" s="397">
        <v>0.2</v>
      </c>
      <c r="R422" s="396">
        <v>1900001489</v>
      </c>
      <c r="S422" s="2" t="s">
        <v>3475</v>
      </c>
      <c r="T422" s="2" t="s">
        <v>5914</v>
      </c>
      <c r="U422" s="9" t="s">
        <v>3475</v>
      </c>
    </row>
    <row r="423" spans="1:21" hidden="1" x14ac:dyDescent="0.35">
      <c r="A423" s="398" t="s">
        <v>4165</v>
      </c>
      <c r="B423" s="539" t="s">
        <v>3967</v>
      </c>
      <c r="C423" s="3">
        <v>43178</v>
      </c>
      <c r="D423" s="3">
        <v>43178</v>
      </c>
      <c r="E423" s="387"/>
      <c r="F423" s="394" t="s">
        <v>4136</v>
      </c>
      <c r="G423" s="394" t="s">
        <v>1486</v>
      </c>
      <c r="H423" s="1" t="s">
        <v>3656</v>
      </c>
      <c r="I423" s="418">
        <f t="shared" si="25"/>
        <v>3570.2457863499999</v>
      </c>
      <c r="J423" s="418">
        <f t="shared" si="26"/>
        <v>807.83929999999998</v>
      </c>
      <c r="K423" s="351">
        <f t="shared" si="21"/>
        <v>448.83551507999999</v>
      </c>
      <c r="L423" s="350">
        <f t="shared" si="22"/>
        <v>89.767103016000007</v>
      </c>
      <c r="M423" s="345" t="s">
        <v>6169</v>
      </c>
      <c r="N423" s="1" t="s">
        <v>3785</v>
      </c>
      <c r="O423" s="1" t="s">
        <v>4137</v>
      </c>
      <c r="P423" s="396" t="s">
        <v>3659</v>
      </c>
      <c r="Q423" s="397">
        <v>0.2</v>
      </c>
      <c r="R423" s="396">
        <v>1900001489</v>
      </c>
      <c r="S423" s="2" t="s">
        <v>3475</v>
      </c>
      <c r="T423" s="2" t="s">
        <v>5914</v>
      </c>
      <c r="U423" s="9" t="s">
        <v>3475</v>
      </c>
    </row>
    <row r="424" spans="1:21" hidden="1" x14ac:dyDescent="0.35">
      <c r="A424" s="398" t="s">
        <v>4168</v>
      </c>
      <c r="B424" s="539" t="s">
        <v>3967</v>
      </c>
      <c r="C424" s="3">
        <v>43178</v>
      </c>
      <c r="D424" s="3">
        <v>43178</v>
      </c>
      <c r="E424" s="387"/>
      <c r="F424" s="394" t="s">
        <v>4136</v>
      </c>
      <c r="G424" s="394" t="s">
        <v>1486</v>
      </c>
      <c r="H424" s="1" t="s">
        <v>3656</v>
      </c>
      <c r="I424" s="418">
        <f t="shared" si="25"/>
        <v>3570.2457863499999</v>
      </c>
      <c r="J424" s="418">
        <f t="shared" si="26"/>
        <v>807.83929999999998</v>
      </c>
      <c r="K424" s="351">
        <f t="shared" si="21"/>
        <v>448.83551507999999</v>
      </c>
      <c r="L424" s="350">
        <f t="shared" si="22"/>
        <v>89.767103016000007</v>
      </c>
      <c r="M424" s="345" t="s">
        <v>6169</v>
      </c>
      <c r="N424" s="1" t="s">
        <v>3785</v>
      </c>
      <c r="O424" s="1" t="s">
        <v>4137</v>
      </c>
      <c r="P424" s="396" t="s">
        <v>3659</v>
      </c>
      <c r="Q424" s="397">
        <v>0.2</v>
      </c>
      <c r="R424" s="396">
        <v>1900001489</v>
      </c>
      <c r="S424" s="2" t="s">
        <v>3475</v>
      </c>
      <c r="T424" s="2" t="s">
        <v>5914</v>
      </c>
      <c r="U424" s="9" t="s">
        <v>3475</v>
      </c>
    </row>
    <row r="425" spans="1:21" hidden="1" x14ac:dyDescent="0.35">
      <c r="A425" s="398" t="s">
        <v>4169</v>
      </c>
      <c r="B425" s="1" t="s">
        <v>4170</v>
      </c>
      <c r="C425" s="3">
        <v>43178</v>
      </c>
      <c r="D425" s="3">
        <v>43178</v>
      </c>
      <c r="E425" s="3" t="s">
        <v>1251</v>
      </c>
      <c r="F425" s="394" t="s">
        <v>4136</v>
      </c>
      <c r="G425" s="394" t="s">
        <v>3784</v>
      </c>
      <c r="H425" s="1" t="s">
        <v>3656</v>
      </c>
      <c r="I425" s="418">
        <f t="shared" si="25"/>
        <v>1882.4692309000002</v>
      </c>
      <c r="J425" s="418">
        <f>413.54*1.03</f>
        <v>425.94620000000003</v>
      </c>
      <c r="K425" s="351">
        <f t="shared" si="21"/>
        <v>236.65570872000001</v>
      </c>
      <c r="L425" s="350">
        <f t="shared" si="22"/>
        <v>47.331141744000007</v>
      </c>
      <c r="M425" s="345" t="s">
        <v>6169</v>
      </c>
      <c r="N425" s="1" t="s">
        <v>3785</v>
      </c>
      <c r="O425" s="1" t="s">
        <v>4137</v>
      </c>
      <c r="P425" s="396" t="s">
        <v>3659</v>
      </c>
      <c r="Q425" s="397">
        <v>0.2</v>
      </c>
      <c r="R425" s="396">
        <v>1900001489</v>
      </c>
      <c r="S425" s="2" t="s">
        <v>1247</v>
      </c>
      <c r="T425" s="2" t="s">
        <v>5915</v>
      </c>
    </row>
    <row r="426" spans="1:21" hidden="1" x14ac:dyDescent="0.35">
      <c r="A426" s="398" t="s">
        <v>4171</v>
      </c>
      <c r="B426" s="1" t="s">
        <v>4170</v>
      </c>
      <c r="C426" s="3">
        <v>43178</v>
      </c>
      <c r="D426" s="3">
        <v>43178</v>
      </c>
      <c r="E426" s="3" t="s">
        <v>1255</v>
      </c>
      <c r="F426" s="394" t="s">
        <v>4136</v>
      </c>
      <c r="G426" s="394" t="s">
        <v>3784</v>
      </c>
      <c r="H426" s="1" t="s">
        <v>3656</v>
      </c>
      <c r="I426" s="418">
        <f t="shared" si="25"/>
        <v>1882.4692309000002</v>
      </c>
      <c r="J426" s="418">
        <f t="shared" ref="J426:J434" si="27">413.54*1.03</f>
        <v>425.94620000000003</v>
      </c>
      <c r="K426" s="351">
        <f t="shared" si="21"/>
        <v>236.65570872000001</v>
      </c>
      <c r="L426" s="350">
        <f t="shared" si="22"/>
        <v>47.331141744000007</v>
      </c>
      <c r="M426" s="345" t="s">
        <v>6169</v>
      </c>
      <c r="N426" s="1" t="s">
        <v>3785</v>
      </c>
      <c r="O426" s="1" t="s">
        <v>4137</v>
      </c>
      <c r="P426" s="396" t="s">
        <v>3659</v>
      </c>
      <c r="Q426" s="397">
        <v>0.2</v>
      </c>
      <c r="R426" s="396">
        <v>1900001489</v>
      </c>
      <c r="S426" s="2" t="s">
        <v>1254</v>
      </c>
      <c r="T426" s="2" t="s">
        <v>5915</v>
      </c>
    </row>
    <row r="427" spans="1:21" hidden="1" x14ac:dyDescent="0.35">
      <c r="A427" s="398" t="s">
        <v>4172</v>
      </c>
      <c r="B427" s="1" t="s">
        <v>4170</v>
      </c>
      <c r="C427" s="3">
        <v>43178</v>
      </c>
      <c r="D427" s="3">
        <v>43178</v>
      </c>
      <c r="E427" s="3" t="s">
        <v>1274</v>
      </c>
      <c r="F427" s="394" t="s">
        <v>4136</v>
      </c>
      <c r="G427" s="394" t="s">
        <v>3784</v>
      </c>
      <c r="H427" s="1" t="s">
        <v>3656</v>
      </c>
      <c r="I427" s="418">
        <f t="shared" si="25"/>
        <v>1882.4692309000002</v>
      </c>
      <c r="J427" s="418">
        <f t="shared" si="27"/>
        <v>425.94620000000003</v>
      </c>
      <c r="K427" s="351">
        <f t="shared" si="21"/>
        <v>236.65570872000001</v>
      </c>
      <c r="L427" s="350">
        <f t="shared" si="22"/>
        <v>47.331141744000007</v>
      </c>
      <c r="M427" s="345" t="s">
        <v>6169</v>
      </c>
      <c r="N427" s="1" t="s">
        <v>3785</v>
      </c>
      <c r="O427" s="1" t="s">
        <v>4137</v>
      </c>
      <c r="P427" s="396" t="s">
        <v>3659</v>
      </c>
      <c r="Q427" s="397">
        <v>0.2</v>
      </c>
      <c r="R427" s="396">
        <v>1900001489</v>
      </c>
      <c r="S427" s="2" t="s">
        <v>1273</v>
      </c>
      <c r="T427" s="2" t="s">
        <v>5915</v>
      </c>
    </row>
    <row r="428" spans="1:21" hidden="1" x14ac:dyDescent="0.35">
      <c r="A428" s="398" t="s">
        <v>4173</v>
      </c>
      <c r="B428" s="1" t="s">
        <v>4170</v>
      </c>
      <c r="C428" s="3">
        <v>43178</v>
      </c>
      <c r="D428" s="3">
        <v>43178</v>
      </c>
      <c r="E428" s="3" t="s">
        <v>1275</v>
      </c>
      <c r="F428" s="394" t="s">
        <v>4136</v>
      </c>
      <c r="G428" s="394" t="s">
        <v>3784</v>
      </c>
      <c r="H428" s="1" t="s">
        <v>3656</v>
      </c>
      <c r="I428" s="418">
        <f t="shared" si="25"/>
        <v>1882.4692309000002</v>
      </c>
      <c r="J428" s="418">
        <f t="shared" si="27"/>
        <v>425.94620000000003</v>
      </c>
      <c r="K428" s="351">
        <f t="shared" si="21"/>
        <v>236.65570872000001</v>
      </c>
      <c r="L428" s="350">
        <f t="shared" si="22"/>
        <v>47.331141744000007</v>
      </c>
      <c r="M428" s="345" t="s">
        <v>6169</v>
      </c>
      <c r="N428" s="1" t="s">
        <v>3785</v>
      </c>
      <c r="O428" s="1" t="s">
        <v>4137</v>
      </c>
      <c r="P428" s="396" t="s">
        <v>3659</v>
      </c>
      <c r="Q428" s="397">
        <v>0.2</v>
      </c>
      <c r="R428" s="396">
        <v>1900001489</v>
      </c>
      <c r="S428" s="2" t="s">
        <v>1273</v>
      </c>
      <c r="T428" s="2" t="s">
        <v>5915</v>
      </c>
    </row>
    <row r="429" spans="1:21" hidden="1" x14ac:dyDescent="0.35">
      <c r="A429" s="398" t="s">
        <v>4174</v>
      </c>
      <c r="B429" s="1" t="s">
        <v>4170</v>
      </c>
      <c r="C429" s="3">
        <v>43178</v>
      </c>
      <c r="D429" s="3">
        <v>43178</v>
      </c>
      <c r="E429" s="3" t="s">
        <v>1277</v>
      </c>
      <c r="F429" s="394" t="s">
        <v>4136</v>
      </c>
      <c r="G429" s="394" t="s">
        <v>3784</v>
      </c>
      <c r="H429" s="1" t="s">
        <v>3656</v>
      </c>
      <c r="I429" s="418">
        <f t="shared" si="25"/>
        <v>1882.4692309000002</v>
      </c>
      <c r="J429" s="418">
        <f t="shared" si="27"/>
        <v>425.94620000000003</v>
      </c>
      <c r="K429" s="351">
        <f t="shared" si="21"/>
        <v>236.65570872000001</v>
      </c>
      <c r="L429" s="350">
        <f t="shared" si="22"/>
        <v>47.331141744000007</v>
      </c>
      <c r="M429" s="345" t="s">
        <v>6169</v>
      </c>
      <c r="N429" s="1" t="s">
        <v>3785</v>
      </c>
      <c r="O429" s="1" t="s">
        <v>4137</v>
      </c>
      <c r="P429" s="396" t="s">
        <v>3659</v>
      </c>
      <c r="Q429" s="397">
        <v>0.2</v>
      </c>
      <c r="R429" s="396">
        <v>1900001489</v>
      </c>
      <c r="S429" s="2" t="s">
        <v>1276</v>
      </c>
      <c r="T429" s="2" t="s">
        <v>5915</v>
      </c>
    </row>
    <row r="430" spans="1:21" hidden="1" x14ac:dyDescent="0.35">
      <c r="A430" s="398" t="s">
        <v>4175</v>
      </c>
      <c r="B430" s="1" t="s">
        <v>4170</v>
      </c>
      <c r="C430" s="3">
        <v>43178</v>
      </c>
      <c r="D430" s="3">
        <v>43178</v>
      </c>
      <c r="E430" s="3" t="s">
        <v>1278</v>
      </c>
      <c r="F430" s="394" t="s">
        <v>4136</v>
      </c>
      <c r="G430" s="394" t="s">
        <v>3784</v>
      </c>
      <c r="H430" s="1" t="s">
        <v>3656</v>
      </c>
      <c r="I430" s="418">
        <f t="shared" si="25"/>
        <v>1882.4692309000002</v>
      </c>
      <c r="J430" s="418">
        <f t="shared" si="27"/>
        <v>425.94620000000003</v>
      </c>
      <c r="K430" s="351">
        <f t="shared" si="21"/>
        <v>236.65570872000001</v>
      </c>
      <c r="L430" s="350">
        <f t="shared" si="22"/>
        <v>47.331141744000007</v>
      </c>
      <c r="M430" s="345" t="s">
        <v>6169</v>
      </c>
      <c r="N430" s="1" t="s">
        <v>3785</v>
      </c>
      <c r="O430" s="1" t="s">
        <v>4137</v>
      </c>
      <c r="P430" s="396" t="s">
        <v>3659</v>
      </c>
      <c r="Q430" s="397">
        <v>0.2</v>
      </c>
      <c r="R430" s="396">
        <v>1900001489</v>
      </c>
      <c r="S430" s="2" t="s">
        <v>1276</v>
      </c>
      <c r="T430" s="2" t="s">
        <v>5915</v>
      </c>
    </row>
    <row r="431" spans="1:21" hidden="1" x14ac:dyDescent="0.35">
      <c r="A431" s="398" t="s">
        <v>4176</v>
      </c>
      <c r="B431" s="1" t="s">
        <v>4170</v>
      </c>
      <c r="C431" s="3">
        <v>43178</v>
      </c>
      <c r="D431" s="3">
        <v>43178</v>
      </c>
      <c r="E431" s="3" t="s">
        <v>1279</v>
      </c>
      <c r="F431" s="394" t="s">
        <v>4136</v>
      </c>
      <c r="G431" s="394" t="s">
        <v>3784</v>
      </c>
      <c r="H431" s="1" t="s">
        <v>3656</v>
      </c>
      <c r="I431" s="418">
        <f t="shared" si="25"/>
        <v>1882.4692309000002</v>
      </c>
      <c r="J431" s="418">
        <f t="shared" si="27"/>
        <v>425.94620000000003</v>
      </c>
      <c r="K431" s="351">
        <f t="shared" si="21"/>
        <v>236.65570872000001</v>
      </c>
      <c r="L431" s="350">
        <f t="shared" si="22"/>
        <v>47.331141744000007</v>
      </c>
      <c r="M431" s="345" t="s">
        <v>6169</v>
      </c>
      <c r="N431" s="1" t="s">
        <v>3785</v>
      </c>
      <c r="O431" s="1" t="s">
        <v>4137</v>
      </c>
      <c r="P431" s="396" t="s">
        <v>3659</v>
      </c>
      <c r="Q431" s="397">
        <v>0.2</v>
      </c>
      <c r="R431" s="396">
        <v>1900001489</v>
      </c>
      <c r="S431" s="2" t="s">
        <v>6442</v>
      </c>
      <c r="T431" s="2" t="s">
        <v>5915</v>
      </c>
    </row>
    <row r="432" spans="1:21" s="357" customFormat="1" hidden="1" x14ac:dyDescent="0.35">
      <c r="A432" s="398" t="s">
        <v>4177</v>
      </c>
      <c r="B432" s="1" t="s">
        <v>4170</v>
      </c>
      <c r="C432" s="3">
        <v>43178</v>
      </c>
      <c r="D432" s="3">
        <v>43178</v>
      </c>
      <c r="E432" s="3"/>
      <c r="F432" s="394" t="s">
        <v>4136</v>
      </c>
      <c r="G432" s="394" t="s">
        <v>3784</v>
      </c>
      <c r="H432" s="1" t="s">
        <v>3656</v>
      </c>
      <c r="I432" s="418">
        <f t="shared" si="25"/>
        <v>1882.4692309000002</v>
      </c>
      <c r="J432" s="418">
        <f t="shared" si="27"/>
        <v>425.94620000000003</v>
      </c>
      <c r="K432" s="351">
        <f t="shared" si="21"/>
        <v>236.65570872000001</v>
      </c>
      <c r="L432" s="350">
        <f t="shared" si="22"/>
        <v>47.331141744000007</v>
      </c>
      <c r="M432" s="345" t="s">
        <v>6169</v>
      </c>
      <c r="N432" s="1" t="s">
        <v>3785</v>
      </c>
      <c r="O432" s="1" t="s">
        <v>4137</v>
      </c>
      <c r="P432" s="396" t="s">
        <v>3659</v>
      </c>
      <c r="Q432" s="397">
        <v>0.2</v>
      </c>
      <c r="R432" s="396">
        <v>1900001489</v>
      </c>
      <c r="S432" s="2" t="s">
        <v>507</v>
      </c>
      <c r="T432" s="2" t="s">
        <v>5915</v>
      </c>
    </row>
    <row r="433" spans="1:20" hidden="1" x14ac:dyDescent="0.35">
      <c r="A433" s="398" t="s">
        <v>4178</v>
      </c>
      <c r="B433" s="1" t="s">
        <v>4170</v>
      </c>
      <c r="C433" s="3">
        <v>43178</v>
      </c>
      <c r="D433" s="3">
        <v>43178</v>
      </c>
      <c r="E433" s="3" t="s">
        <v>1288</v>
      </c>
      <c r="F433" s="394" t="s">
        <v>4136</v>
      </c>
      <c r="G433" s="394" t="s">
        <v>3784</v>
      </c>
      <c r="H433" s="1" t="s">
        <v>3656</v>
      </c>
      <c r="I433" s="418">
        <f t="shared" si="25"/>
        <v>1882.4692309000002</v>
      </c>
      <c r="J433" s="418">
        <f t="shared" si="27"/>
        <v>425.94620000000003</v>
      </c>
      <c r="K433" s="351">
        <f t="shared" si="21"/>
        <v>236.65570872000001</v>
      </c>
      <c r="L433" s="350">
        <f t="shared" si="22"/>
        <v>47.331141744000007</v>
      </c>
      <c r="M433" s="345" t="s">
        <v>6169</v>
      </c>
      <c r="N433" s="1" t="s">
        <v>3785</v>
      </c>
      <c r="O433" s="1" t="s">
        <v>4137</v>
      </c>
      <c r="P433" s="396" t="s">
        <v>3659</v>
      </c>
      <c r="Q433" s="397">
        <v>0.2</v>
      </c>
      <c r="R433" s="396">
        <v>1900001489</v>
      </c>
      <c r="S433" s="2" t="s">
        <v>1287</v>
      </c>
      <c r="T433" s="2" t="s">
        <v>5915</v>
      </c>
    </row>
    <row r="434" spans="1:20" hidden="1" x14ac:dyDescent="0.35">
      <c r="A434" s="398" t="s">
        <v>4179</v>
      </c>
      <c r="B434" s="1" t="s">
        <v>4170</v>
      </c>
      <c r="C434" s="3">
        <v>43178</v>
      </c>
      <c r="D434" s="3">
        <v>43178</v>
      </c>
      <c r="E434" s="3" t="s">
        <v>1299</v>
      </c>
      <c r="F434" s="394" t="s">
        <v>4136</v>
      </c>
      <c r="G434" s="394" t="s">
        <v>3784</v>
      </c>
      <c r="H434" s="1" t="s">
        <v>3656</v>
      </c>
      <c r="I434" s="418">
        <f t="shared" si="25"/>
        <v>1882.4692309000002</v>
      </c>
      <c r="J434" s="418">
        <f t="shared" si="27"/>
        <v>425.94620000000003</v>
      </c>
      <c r="K434" s="351">
        <f t="shared" si="21"/>
        <v>236.65570872000001</v>
      </c>
      <c r="L434" s="350">
        <f t="shared" si="22"/>
        <v>47.331141744000007</v>
      </c>
      <c r="M434" s="345" t="s">
        <v>6169</v>
      </c>
      <c r="N434" s="1" t="s">
        <v>3785</v>
      </c>
      <c r="O434" s="1" t="s">
        <v>4137</v>
      </c>
      <c r="P434" s="396" t="s">
        <v>3659</v>
      </c>
      <c r="Q434" s="397">
        <v>0.2</v>
      </c>
      <c r="R434" s="396">
        <v>1900001489</v>
      </c>
      <c r="S434" s="2" t="s">
        <v>1597</v>
      </c>
      <c r="T434" s="2" t="s">
        <v>5915</v>
      </c>
    </row>
    <row r="435" spans="1:20" hidden="1" x14ac:dyDescent="0.35">
      <c r="A435" s="398" t="s">
        <v>4180</v>
      </c>
      <c r="B435" s="1" t="s">
        <v>4170</v>
      </c>
      <c r="C435" s="3">
        <v>43178</v>
      </c>
      <c r="D435" s="3">
        <v>43178</v>
      </c>
      <c r="E435" s="3" t="s">
        <v>759</v>
      </c>
      <c r="F435" s="394" t="s">
        <v>4136</v>
      </c>
      <c r="G435" s="394" t="s">
        <v>3784</v>
      </c>
      <c r="H435" s="1" t="s">
        <v>3656</v>
      </c>
      <c r="I435" s="418">
        <f t="shared" si="25"/>
        <v>1136.0183326000001</v>
      </c>
      <c r="J435" s="418">
        <f>249.56*1.03</f>
        <v>257.04680000000002</v>
      </c>
      <c r="K435" s="351">
        <f t="shared" si="21"/>
        <v>142.81520208000001</v>
      </c>
      <c r="L435" s="350">
        <f t="shared" si="22"/>
        <v>28.563040416000003</v>
      </c>
      <c r="M435" s="345" t="s">
        <v>6169</v>
      </c>
      <c r="N435" s="1" t="s">
        <v>3785</v>
      </c>
      <c r="O435" s="1" t="s">
        <v>4137</v>
      </c>
      <c r="P435" s="396" t="s">
        <v>3659</v>
      </c>
      <c r="Q435" s="397">
        <v>0.2</v>
      </c>
      <c r="R435" s="396">
        <v>1900001489</v>
      </c>
      <c r="S435" s="2" t="s">
        <v>756</v>
      </c>
      <c r="T435" s="2" t="s">
        <v>5915</v>
      </c>
    </row>
    <row r="436" spans="1:20" hidden="1" x14ac:dyDescent="0.35">
      <c r="A436" s="398" t="s">
        <v>4181</v>
      </c>
      <c r="B436" s="1" t="s">
        <v>4170</v>
      </c>
      <c r="C436" s="3">
        <v>43178</v>
      </c>
      <c r="D436" s="3">
        <v>43178</v>
      </c>
      <c r="E436" s="3" t="s">
        <v>762</v>
      </c>
      <c r="F436" s="394" t="s">
        <v>4136</v>
      </c>
      <c r="G436" s="394" t="s">
        <v>3784</v>
      </c>
      <c r="H436" s="1" t="s">
        <v>3656</v>
      </c>
      <c r="I436" s="418">
        <f t="shared" si="25"/>
        <v>1136.0183326000001</v>
      </c>
      <c r="J436" s="418">
        <f t="shared" ref="J436:J499" si="28">249.56*1.03</f>
        <v>257.04680000000002</v>
      </c>
      <c r="K436" s="351">
        <f t="shared" si="21"/>
        <v>142.81520208000001</v>
      </c>
      <c r="L436" s="350">
        <f t="shared" si="22"/>
        <v>28.563040416000003</v>
      </c>
      <c r="M436" s="345" t="s">
        <v>6169</v>
      </c>
      <c r="N436" s="1" t="s">
        <v>3785</v>
      </c>
      <c r="O436" s="1" t="s">
        <v>4137</v>
      </c>
      <c r="P436" s="396" t="s">
        <v>3659</v>
      </c>
      <c r="Q436" s="397">
        <v>0.2</v>
      </c>
      <c r="R436" s="396">
        <v>1900001489</v>
      </c>
      <c r="S436" s="2" t="s">
        <v>760</v>
      </c>
      <c r="T436" s="2" t="s">
        <v>5915</v>
      </c>
    </row>
    <row r="437" spans="1:20" hidden="1" x14ac:dyDescent="0.35">
      <c r="A437" s="398" t="s">
        <v>4182</v>
      </c>
      <c r="B437" s="1" t="s">
        <v>4170</v>
      </c>
      <c r="C437" s="3">
        <v>43178</v>
      </c>
      <c r="D437" s="3">
        <v>43178</v>
      </c>
      <c r="E437" s="3" t="s">
        <v>766</v>
      </c>
      <c r="F437" s="394" t="s">
        <v>4136</v>
      </c>
      <c r="G437" s="394" t="s">
        <v>3784</v>
      </c>
      <c r="H437" s="1" t="s">
        <v>3656</v>
      </c>
      <c r="I437" s="418">
        <f t="shared" si="25"/>
        <v>1136.0183326000001</v>
      </c>
      <c r="J437" s="418">
        <f t="shared" si="28"/>
        <v>257.04680000000002</v>
      </c>
      <c r="K437" s="351">
        <f t="shared" si="21"/>
        <v>142.81520208000001</v>
      </c>
      <c r="L437" s="350">
        <f t="shared" si="22"/>
        <v>28.563040416000003</v>
      </c>
      <c r="M437" s="345" t="s">
        <v>6169</v>
      </c>
      <c r="N437" s="1" t="s">
        <v>3785</v>
      </c>
      <c r="O437" s="1" t="s">
        <v>4137</v>
      </c>
      <c r="P437" s="396" t="s">
        <v>3659</v>
      </c>
      <c r="Q437" s="397">
        <v>0.2</v>
      </c>
      <c r="R437" s="396">
        <v>1900001489</v>
      </c>
      <c r="S437" s="2" t="s">
        <v>765</v>
      </c>
      <c r="T437" s="2" t="s">
        <v>5915</v>
      </c>
    </row>
    <row r="438" spans="1:20" hidden="1" x14ac:dyDescent="0.35">
      <c r="A438" s="398" t="s">
        <v>4183</v>
      </c>
      <c r="B438" s="1" t="s">
        <v>4170</v>
      </c>
      <c r="C438" s="3">
        <v>43178</v>
      </c>
      <c r="D438" s="3">
        <v>43178</v>
      </c>
      <c r="E438" s="3" t="s">
        <v>769</v>
      </c>
      <c r="F438" s="394" t="s">
        <v>4136</v>
      </c>
      <c r="G438" s="394" t="s">
        <v>3784</v>
      </c>
      <c r="H438" s="1" t="s">
        <v>3656</v>
      </c>
      <c r="I438" s="418">
        <f t="shared" si="25"/>
        <v>1136.0183326000001</v>
      </c>
      <c r="J438" s="418">
        <f t="shared" si="28"/>
        <v>257.04680000000002</v>
      </c>
      <c r="K438" s="351">
        <f t="shared" si="21"/>
        <v>142.81520208000001</v>
      </c>
      <c r="L438" s="350">
        <f t="shared" si="22"/>
        <v>28.563040416000003</v>
      </c>
      <c r="M438" s="345" t="s">
        <v>6169</v>
      </c>
      <c r="N438" s="1" t="s">
        <v>3785</v>
      </c>
      <c r="O438" s="1" t="s">
        <v>4137</v>
      </c>
      <c r="P438" s="396" t="s">
        <v>3659</v>
      </c>
      <c r="Q438" s="397">
        <v>0.2</v>
      </c>
      <c r="R438" s="396">
        <v>1900001489</v>
      </c>
      <c r="S438" s="2" t="s">
        <v>768</v>
      </c>
      <c r="T438" s="2" t="s">
        <v>5915</v>
      </c>
    </row>
    <row r="439" spans="1:20" hidden="1" x14ac:dyDescent="0.35">
      <c r="A439" s="398" t="s">
        <v>4184</v>
      </c>
      <c r="B439" s="1" t="s">
        <v>4170</v>
      </c>
      <c r="C439" s="3">
        <v>43178</v>
      </c>
      <c r="D439" s="3">
        <v>43178</v>
      </c>
      <c r="E439" s="3" t="s">
        <v>770</v>
      </c>
      <c r="F439" s="394" t="s">
        <v>4136</v>
      </c>
      <c r="G439" s="394" t="s">
        <v>3784</v>
      </c>
      <c r="H439" s="1" t="s">
        <v>3656</v>
      </c>
      <c r="I439" s="418">
        <f t="shared" si="25"/>
        <v>1136.0183326000001</v>
      </c>
      <c r="J439" s="418">
        <f t="shared" si="28"/>
        <v>257.04680000000002</v>
      </c>
      <c r="K439" s="351">
        <f t="shared" si="21"/>
        <v>142.81520208000001</v>
      </c>
      <c r="L439" s="350">
        <f t="shared" si="22"/>
        <v>28.563040416000003</v>
      </c>
      <c r="M439" s="345" t="s">
        <v>6169</v>
      </c>
      <c r="N439" s="1" t="s">
        <v>3785</v>
      </c>
      <c r="O439" s="1" t="s">
        <v>4137</v>
      </c>
      <c r="P439" s="396" t="s">
        <v>3659</v>
      </c>
      <c r="Q439" s="397">
        <v>0.2</v>
      </c>
      <c r="R439" s="396">
        <v>1900001489</v>
      </c>
      <c r="S439" s="2" t="s">
        <v>768</v>
      </c>
      <c r="T439" s="2" t="s">
        <v>5915</v>
      </c>
    </row>
    <row r="440" spans="1:20" hidden="1" x14ac:dyDescent="0.35">
      <c r="A440" s="398" t="s">
        <v>4185</v>
      </c>
      <c r="B440" s="1" t="s">
        <v>4170</v>
      </c>
      <c r="C440" s="3">
        <v>43178</v>
      </c>
      <c r="D440" s="3">
        <v>43178</v>
      </c>
      <c r="E440" s="3" t="s">
        <v>774</v>
      </c>
      <c r="F440" s="394" t="s">
        <v>4136</v>
      </c>
      <c r="G440" s="394" t="s">
        <v>3784</v>
      </c>
      <c r="H440" s="1" t="s">
        <v>3656</v>
      </c>
      <c r="I440" s="418">
        <f t="shared" si="25"/>
        <v>1136.0183326000001</v>
      </c>
      <c r="J440" s="418">
        <f t="shared" si="28"/>
        <v>257.04680000000002</v>
      </c>
      <c r="K440" s="351">
        <f t="shared" si="21"/>
        <v>142.81520208000001</v>
      </c>
      <c r="L440" s="350">
        <f t="shared" si="22"/>
        <v>28.563040416000003</v>
      </c>
      <c r="M440" s="345" t="s">
        <v>6169</v>
      </c>
      <c r="N440" s="1" t="s">
        <v>3785</v>
      </c>
      <c r="O440" s="1" t="s">
        <v>4137</v>
      </c>
      <c r="P440" s="396" t="s">
        <v>3659</v>
      </c>
      <c r="Q440" s="397">
        <v>0.2</v>
      </c>
      <c r="R440" s="396">
        <v>1900001489</v>
      </c>
      <c r="S440" s="2" t="s">
        <v>771</v>
      </c>
      <c r="T440" s="2" t="s">
        <v>5915</v>
      </c>
    </row>
    <row r="441" spans="1:20" hidden="1" x14ac:dyDescent="0.35">
      <c r="A441" s="398" t="s">
        <v>4186</v>
      </c>
      <c r="B441" s="1" t="s">
        <v>4170</v>
      </c>
      <c r="C441" s="3">
        <v>43178</v>
      </c>
      <c r="D441" s="3">
        <v>43178</v>
      </c>
      <c r="E441" s="3" t="s">
        <v>776</v>
      </c>
      <c r="F441" s="394" t="s">
        <v>4136</v>
      </c>
      <c r="G441" s="394" t="s">
        <v>3784</v>
      </c>
      <c r="H441" s="1" t="s">
        <v>3656</v>
      </c>
      <c r="I441" s="418">
        <f t="shared" si="25"/>
        <v>1136.0183326000001</v>
      </c>
      <c r="J441" s="418">
        <f t="shared" si="28"/>
        <v>257.04680000000002</v>
      </c>
      <c r="K441" s="351">
        <f t="shared" si="21"/>
        <v>142.81520208000001</v>
      </c>
      <c r="L441" s="350">
        <f t="shared" si="22"/>
        <v>28.563040416000003</v>
      </c>
      <c r="M441" s="345" t="s">
        <v>6169</v>
      </c>
      <c r="N441" s="1" t="s">
        <v>3785</v>
      </c>
      <c r="O441" s="1" t="s">
        <v>4137</v>
      </c>
      <c r="P441" s="396" t="s">
        <v>3659</v>
      </c>
      <c r="Q441" s="397">
        <v>0.2</v>
      </c>
      <c r="R441" s="396">
        <v>1900001489</v>
      </c>
      <c r="S441" s="2" t="s">
        <v>775</v>
      </c>
      <c r="T441" s="2" t="s">
        <v>5915</v>
      </c>
    </row>
    <row r="442" spans="1:20" hidden="1" x14ac:dyDescent="0.35">
      <c r="A442" s="398" t="s">
        <v>4187</v>
      </c>
      <c r="B442" s="1" t="s">
        <v>4170</v>
      </c>
      <c r="C442" s="3">
        <v>43178</v>
      </c>
      <c r="D442" s="3">
        <v>43178</v>
      </c>
      <c r="E442" s="3" t="s">
        <v>786</v>
      </c>
      <c r="F442" s="394" t="s">
        <v>4136</v>
      </c>
      <c r="G442" s="394" t="s">
        <v>3784</v>
      </c>
      <c r="H442" s="1" t="s">
        <v>3656</v>
      </c>
      <c r="I442" s="418">
        <f t="shared" si="25"/>
        <v>1136.0183326000001</v>
      </c>
      <c r="J442" s="418">
        <f t="shared" si="28"/>
        <v>257.04680000000002</v>
      </c>
      <c r="K442" s="351">
        <f t="shared" si="21"/>
        <v>142.81520208000001</v>
      </c>
      <c r="L442" s="350">
        <f t="shared" si="22"/>
        <v>28.563040416000003</v>
      </c>
      <c r="M442" s="345" t="s">
        <v>6169</v>
      </c>
      <c r="N442" s="1" t="s">
        <v>3785</v>
      </c>
      <c r="O442" s="1" t="s">
        <v>4137</v>
      </c>
      <c r="P442" s="396" t="s">
        <v>3659</v>
      </c>
      <c r="Q442" s="397">
        <v>0.2</v>
      </c>
      <c r="R442" s="396">
        <v>1900001489</v>
      </c>
      <c r="S442" s="2" t="s">
        <v>784</v>
      </c>
      <c r="T442" s="2" t="s">
        <v>5915</v>
      </c>
    </row>
    <row r="443" spans="1:20" hidden="1" x14ac:dyDescent="0.35">
      <c r="A443" s="398" t="s">
        <v>4188</v>
      </c>
      <c r="B443" s="1" t="s">
        <v>4170</v>
      </c>
      <c r="C443" s="3">
        <v>43178</v>
      </c>
      <c r="D443" s="3">
        <v>43178</v>
      </c>
      <c r="E443" s="3" t="s">
        <v>803</v>
      </c>
      <c r="F443" s="394" t="s">
        <v>4136</v>
      </c>
      <c r="G443" s="394" t="s">
        <v>3784</v>
      </c>
      <c r="H443" s="1" t="s">
        <v>3656</v>
      </c>
      <c r="I443" s="418">
        <f t="shared" si="25"/>
        <v>1136.0183326000001</v>
      </c>
      <c r="J443" s="418">
        <f t="shared" si="28"/>
        <v>257.04680000000002</v>
      </c>
      <c r="K443" s="351">
        <f t="shared" si="21"/>
        <v>142.81520208000001</v>
      </c>
      <c r="L443" s="350">
        <f t="shared" si="22"/>
        <v>28.563040416000003</v>
      </c>
      <c r="M443" s="345" t="s">
        <v>6169</v>
      </c>
      <c r="N443" s="1" t="s">
        <v>3785</v>
      </c>
      <c r="O443" s="1" t="s">
        <v>4137</v>
      </c>
      <c r="P443" s="396" t="s">
        <v>3659</v>
      </c>
      <c r="Q443" s="397">
        <v>0.2</v>
      </c>
      <c r="R443" s="396">
        <v>1900001489</v>
      </c>
      <c r="S443" s="2" t="s">
        <v>801</v>
      </c>
      <c r="T443" s="2" t="s">
        <v>5915</v>
      </c>
    </row>
    <row r="444" spans="1:20" hidden="1" x14ac:dyDescent="0.35">
      <c r="A444" s="398" t="s">
        <v>4189</v>
      </c>
      <c r="B444" s="1" t="s">
        <v>4170</v>
      </c>
      <c r="C444" s="3">
        <v>43178</v>
      </c>
      <c r="D444" s="3">
        <v>43178</v>
      </c>
      <c r="E444" s="3" t="s">
        <v>804</v>
      </c>
      <c r="F444" s="394" t="s">
        <v>4136</v>
      </c>
      <c r="G444" s="394" t="s">
        <v>3784</v>
      </c>
      <c r="H444" s="1" t="s">
        <v>3656</v>
      </c>
      <c r="I444" s="418">
        <f t="shared" si="25"/>
        <v>1136.0183326000001</v>
      </c>
      <c r="J444" s="418">
        <f t="shared" si="28"/>
        <v>257.04680000000002</v>
      </c>
      <c r="K444" s="351">
        <f t="shared" ref="K444:K507" si="29">+J444*(0.5556)</f>
        <v>142.81520208000001</v>
      </c>
      <c r="L444" s="350">
        <f t="shared" ref="L444:L507" si="30">+K444*Q444</f>
        <v>28.563040416000003</v>
      </c>
      <c r="M444" s="345" t="s">
        <v>6169</v>
      </c>
      <c r="N444" s="1" t="s">
        <v>3785</v>
      </c>
      <c r="O444" s="1" t="s">
        <v>4137</v>
      </c>
      <c r="P444" s="396" t="s">
        <v>3659</v>
      </c>
      <c r="Q444" s="397">
        <v>0.2</v>
      </c>
      <c r="R444" s="396">
        <v>1900001489</v>
      </c>
      <c r="S444" s="2" t="s">
        <v>514</v>
      </c>
      <c r="T444" s="2" t="s">
        <v>5915</v>
      </c>
    </row>
    <row r="445" spans="1:20" hidden="1" x14ac:dyDescent="0.35">
      <c r="A445" s="398" t="s">
        <v>4190</v>
      </c>
      <c r="B445" s="1" t="s">
        <v>4170</v>
      </c>
      <c r="C445" s="3">
        <v>43178</v>
      </c>
      <c r="D445" s="3">
        <v>43178</v>
      </c>
      <c r="E445" s="3" t="s">
        <v>862</v>
      </c>
      <c r="F445" s="394" t="s">
        <v>4136</v>
      </c>
      <c r="G445" s="394" t="s">
        <v>3784</v>
      </c>
      <c r="H445" s="1" t="s">
        <v>3656</v>
      </c>
      <c r="I445" s="418">
        <f t="shared" si="25"/>
        <v>1136.0183326000001</v>
      </c>
      <c r="J445" s="418">
        <f t="shared" si="28"/>
        <v>257.04680000000002</v>
      </c>
      <c r="K445" s="351">
        <f t="shared" si="29"/>
        <v>142.81520208000001</v>
      </c>
      <c r="L445" s="350">
        <f t="shared" si="30"/>
        <v>28.563040416000003</v>
      </c>
      <c r="M445" s="345" t="s">
        <v>6169</v>
      </c>
      <c r="N445" s="1" t="s">
        <v>3785</v>
      </c>
      <c r="O445" s="1" t="s">
        <v>4137</v>
      </c>
      <c r="P445" s="396" t="s">
        <v>3659</v>
      </c>
      <c r="Q445" s="397">
        <v>0.2</v>
      </c>
      <c r="R445" s="396">
        <v>1900001489</v>
      </c>
      <c r="S445" s="2" t="s">
        <v>432</v>
      </c>
      <c r="T445" s="2" t="s">
        <v>5915</v>
      </c>
    </row>
    <row r="446" spans="1:20" hidden="1" x14ac:dyDescent="0.35">
      <c r="A446" s="398" t="s">
        <v>4191</v>
      </c>
      <c r="B446" s="1" t="s">
        <v>4170</v>
      </c>
      <c r="C446" s="3">
        <v>43178</v>
      </c>
      <c r="D446" s="3">
        <v>43178</v>
      </c>
      <c r="E446" s="3" t="s">
        <v>865</v>
      </c>
      <c r="F446" s="394" t="s">
        <v>4136</v>
      </c>
      <c r="G446" s="394" t="s">
        <v>3784</v>
      </c>
      <c r="H446" s="1" t="s">
        <v>3656</v>
      </c>
      <c r="I446" s="418">
        <f t="shared" si="25"/>
        <v>1136.0183326000001</v>
      </c>
      <c r="J446" s="418">
        <f t="shared" si="28"/>
        <v>257.04680000000002</v>
      </c>
      <c r="K446" s="351">
        <f t="shared" si="29"/>
        <v>142.81520208000001</v>
      </c>
      <c r="L446" s="350">
        <f t="shared" si="30"/>
        <v>28.563040416000003</v>
      </c>
      <c r="M446" s="345" t="s">
        <v>6169</v>
      </c>
      <c r="N446" s="1" t="s">
        <v>3785</v>
      </c>
      <c r="O446" s="1" t="s">
        <v>4137</v>
      </c>
      <c r="P446" s="396" t="s">
        <v>3659</v>
      </c>
      <c r="Q446" s="397">
        <v>0.2</v>
      </c>
      <c r="R446" s="396">
        <v>1900001489</v>
      </c>
      <c r="S446" s="2" t="s">
        <v>415</v>
      </c>
      <c r="T446" s="2" t="s">
        <v>5915</v>
      </c>
    </row>
    <row r="447" spans="1:20" hidden="1" x14ac:dyDescent="0.35">
      <c r="A447" s="398" t="s">
        <v>4192</v>
      </c>
      <c r="B447" s="1" t="s">
        <v>4170</v>
      </c>
      <c r="C447" s="3">
        <v>43178</v>
      </c>
      <c r="D447" s="3">
        <v>43178</v>
      </c>
      <c r="E447" s="3" t="s">
        <v>876</v>
      </c>
      <c r="F447" s="394" t="s">
        <v>4136</v>
      </c>
      <c r="G447" s="394" t="s">
        <v>3784</v>
      </c>
      <c r="H447" s="1" t="s">
        <v>3656</v>
      </c>
      <c r="I447" s="418">
        <f t="shared" si="25"/>
        <v>1136.0183326000001</v>
      </c>
      <c r="J447" s="418">
        <f t="shared" si="28"/>
        <v>257.04680000000002</v>
      </c>
      <c r="K447" s="351">
        <f t="shared" si="29"/>
        <v>142.81520208000001</v>
      </c>
      <c r="L447" s="350">
        <f t="shared" si="30"/>
        <v>28.563040416000003</v>
      </c>
      <c r="M447" s="345" t="s">
        <v>6169</v>
      </c>
      <c r="N447" s="1" t="s">
        <v>3785</v>
      </c>
      <c r="O447" s="1" t="s">
        <v>4137</v>
      </c>
      <c r="P447" s="396" t="s">
        <v>3659</v>
      </c>
      <c r="Q447" s="397">
        <v>0.2</v>
      </c>
      <c r="R447" s="396">
        <v>1900001489</v>
      </c>
      <c r="S447" s="2" t="s">
        <v>670</v>
      </c>
      <c r="T447" s="2" t="s">
        <v>5915</v>
      </c>
    </row>
    <row r="448" spans="1:20" hidden="1" x14ac:dyDescent="0.35">
      <c r="A448" s="398" t="s">
        <v>4193</v>
      </c>
      <c r="B448" s="1" t="s">
        <v>4170</v>
      </c>
      <c r="C448" s="3">
        <v>43178</v>
      </c>
      <c r="D448" s="3">
        <v>43178</v>
      </c>
      <c r="E448" s="3" t="s">
        <v>881</v>
      </c>
      <c r="F448" s="394" t="s">
        <v>4136</v>
      </c>
      <c r="G448" s="394" t="s">
        <v>3784</v>
      </c>
      <c r="H448" s="1" t="s">
        <v>3656</v>
      </c>
      <c r="I448" s="418">
        <f t="shared" si="25"/>
        <v>1136.0183326000001</v>
      </c>
      <c r="J448" s="418">
        <f t="shared" si="28"/>
        <v>257.04680000000002</v>
      </c>
      <c r="K448" s="351">
        <f t="shared" si="29"/>
        <v>142.81520208000001</v>
      </c>
      <c r="L448" s="350">
        <f t="shared" si="30"/>
        <v>28.563040416000003</v>
      </c>
      <c r="M448" s="345" t="s">
        <v>6169</v>
      </c>
      <c r="N448" s="1" t="s">
        <v>3785</v>
      </c>
      <c r="O448" s="1" t="s">
        <v>4137</v>
      </c>
      <c r="P448" s="396" t="s">
        <v>3659</v>
      </c>
      <c r="Q448" s="397">
        <v>0.2</v>
      </c>
      <c r="R448" s="396">
        <v>1900001489</v>
      </c>
      <c r="S448" s="2" t="s">
        <v>880</v>
      </c>
      <c r="T448" s="2" t="s">
        <v>5915</v>
      </c>
    </row>
    <row r="449" spans="1:20" hidden="1" x14ac:dyDescent="0.35">
      <c r="A449" s="398" t="s">
        <v>4194</v>
      </c>
      <c r="B449" s="1" t="s">
        <v>4170</v>
      </c>
      <c r="C449" s="3">
        <v>43178</v>
      </c>
      <c r="D449" s="3">
        <v>43178</v>
      </c>
      <c r="E449" s="3" t="s">
        <v>885</v>
      </c>
      <c r="F449" s="394" t="s">
        <v>4136</v>
      </c>
      <c r="G449" s="394" t="s">
        <v>3784</v>
      </c>
      <c r="H449" s="1" t="s">
        <v>3656</v>
      </c>
      <c r="I449" s="418">
        <f t="shared" si="25"/>
        <v>1136.0183326000001</v>
      </c>
      <c r="J449" s="418">
        <f t="shared" si="28"/>
        <v>257.04680000000002</v>
      </c>
      <c r="K449" s="351">
        <f t="shared" si="29"/>
        <v>142.81520208000001</v>
      </c>
      <c r="L449" s="350">
        <f t="shared" si="30"/>
        <v>28.563040416000003</v>
      </c>
      <c r="M449" s="345" t="s">
        <v>6169</v>
      </c>
      <c r="N449" s="1" t="s">
        <v>3785</v>
      </c>
      <c r="O449" s="1" t="s">
        <v>4137</v>
      </c>
      <c r="P449" s="396" t="s">
        <v>3659</v>
      </c>
      <c r="Q449" s="397">
        <v>0.2</v>
      </c>
      <c r="R449" s="396">
        <v>1900001489</v>
      </c>
      <c r="S449" s="2" t="s">
        <v>577</v>
      </c>
      <c r="T449" s="2" t="s">
        <v>5915</v>
      </c>
    </row>
    <row r="450" spans="1:20" hidden="1" x14ac:dyDescent="0.35">
      <c r="A450" s="398" t="s">
        <v>4195</v>
      </c>
      <c r="B450" s="1" t="s">
        <v>4170</v>
      </c>
      <c r="C450" s="3">
        <v>43178</v>
      </c>
      <c r="D450" s="3">
        <v>43178</v>
      </c>
      <c r="E450" s="3" t="s">
        <v>888</v>
      </c>
      <c r="F450" s="394" t="s">
        <v>4136</v>
      </c>
      <c r="G450" s="394" t="s">
        <v>3784</v>
      </c>
      <c r="H450" s="1" t="s">
        <v>3656</v>
      </c>
      <c r="I450" s="418">
        <f t="shared" si="25"/>
        <v>1136.0183326000001</v>
      </c>
      <c r="J450" s="418">
        <f t="shared" si="28"/>
        <v>257.04680000000002</v>
      </c>
      <c r="K450" s="351">
        <f t="shared" si="29"/>
        <v>142.81520208000001</v>
      </c>
      <c r="L450" s="350">
        <f t="shared" si="30"/>
        <v>28.563040416000003</v>
      </c>
      <c r="M450" s="345" t="s">
        <v>6169</v>
      </c>
      <c r="N450" s="1" t="s">
        <v>3785</v>
      </c>
      <c r="O450" s="1" t="s">
        <v>4137</v>
      </c>
      <c r="P450" s="396" t="s">
        <v>3659</v>
      </c>
      <c r="Q450" s="397">
        <v>0.2</v>
      </c>
      <c r="R450" s="396">
        <v>1900001489</v>
      </c>
      <c r="S450" s="2" t="s">
        <v>886</v>
      </c>
      <c r="T450" s="2" t="s">
        <v>5915</v>
      </c>
    </row>
    <row r="451" spans="1:20" hidden="1" x14ac:dyDescent="0.35">
      <c r="A451" s="398" t="s">
        <v>4196</v>
      </c>
      <c r="B451" s="1" t="s">
        <v>4170</v>
      </c>
      <c r="C451" s="3">
        <v>43178</v>
      </c>
      <c r="D451" s="3">
        <v>43178</v>
      </c>
      <c r="E451" s="3" t="s">
        <v>890</v>
      </c>
      <c r="F451" s="394" t="s">
        <v>4136</v>
      </c>
      <c r="G451" s="394" t="s">
        <v>3784</v>
      </c>
      <c r="H451" s="1" t="s">
        <v>3656</v>
      </c>
      <c r="I451" s="418">
        <f t="shared" si="25"/>
        <v>1136.0183326000001</v>
      </c>
      <c r="J451" s="418">
        <f t="shared" si="28"/>
        <v>257.04680000000002</v>
      </c>
      <c r="K451" s="351">
        <f t="shared" si="29"/>
        <v>142.81520208000001</v>
      </c>
      <c r="L451" s="350">
        <f t="shared" si="30"/>
        <v>28.563040416000003</v>
      </c>
      <c r="M451" s="345" t="s">
        <v>6169</v>
      </c>
      <c r="N451" s="1" t="s">
        <v>3785</v>
      </c>
      <c r="O451" s="1" t="s">
        <v>4137</v>
      </c>
      <c r="P451" s="396" t="s">
        <v>3659</v>
      </c>
      <c r="Q451" s="397">
        <v>0.2</v>
      </c>
      <c r="R451" s="396">
        <v>1900001489</v>
      </c>
      <c r="S451" s="2" t="s">
        <v>2617</v>
      </c>
      <c r="T451" s="2" t="s">
        <v>5915</v>
      </c>
    </row>
    <row r="452" spans="1:20" hidden="1" x14ac:dyDescent="0.35">
      <c r="A452" s="398" t="s">
        <v>4197</v>
      </c>
      <c r="B452" s="1" t="s">
        <v>4170</v>
      </c>
      <c r="C452" s="3">
        <v>43178</v>
      </c>
      <c r="D452" s="3">
        <v>43178</v>
      </c>
      <c r="E452" s="3" t="s">
        <v>894</v>
      </c>
      <c r="F452" s="394" t="s">
        <v>4136</v>
      </c>
      <c r="G452" s="394" t="s">
        <v>3784</v>
      </c>
      <c r="H452" s="1" t="s">
        <v>3656</v>
      </c>
      <c r="I452" s="418">
        <f t="shared" si="25"/>
        <v>1136.0183326000001</v>
      </c>
      <c r="J452" s="418">
        <f t="shared" si="28"/>
        <v>257.04680000000002</v>
      </c>
      <c r="K452" s="351">
        <f t="shared" si="29"/>
        <v>142.81520208000001</v>
      </c>
      <c r="L452" s="350">
        <f t="shared" si="30"/>
        <v>28.563040416000003</v>
      </c>
      <c r="M452" s="345" t="s">
        <v>6169</v>
      </c>
      <c r="N452" s="1" t="s">
        <v>3785</v>
      </c>
      <c r="O452" s="1" t="s">
        <v>4137</v>
      </c>
      <c r="P452" s="396" t="s">
        <v>3659</v>
      </c>
      <c r="Q452" s="397">
        <v>0.2</v>
      </c>
      <c r="R452" s="396">
        <v>1900001489</v>
      </c>
      <c r="S452" s="2" t="s">
        <v>892</v>
      </c>
      <c r="T452" s="2" t="s">
        <v>5915</v>
      </c>
    </row>
    <row r="453" spans="1:20" hidden="1" x14ac:dyDescent="0.35">
      <c r="A453" s="398" t="s">
        <v>4198</v>
      </c>
      <c r="B453" s="1" t="s">
        <v>4170</v>
      </c>
      <c r="C453" s="3">
        <v>43178</v>
      </c>
      <c r="D453" s="3">
        <v>43178</v>
      </c>
      <c r="E453" s="3" t="s">
        <v>897</v>
      </c>
      <c r="F453" s="394" t="s">
        <v>4136</v>
      </c>
      <c r="G453" s="394" t="s">
        <v>3784</v>
      </c>
      <c r="H453" s="1" t="s">
        <v>3656</v>
      </c>
      <c r="I453" s="418">
        <f t="shared" si="25"/>
        <v>1136.0183326000001</v>
      </c>
      <c r="J453" s="418">
        <f t="shared" si="28"/>
        <v>257.04680000000002</v>
      </c>
      <c r="K453" s="351">
        <f t="shared" si="29"/>
        <v>142.81520208000001</v>
      </c>
      <c r="L453" s="350">
        <f t="shared" si="30"/>
        <v>28.563040416000003</v>
      </c>
      <c r="M453" s="345" t="s">
        <v>6169</v>
      </c>
      <c r="N453" s="1" t="s">
        <v>3785</v>
      </c>
      <c r="O453" s="1" t="s">
        <v>4137</v>
      </c>
      <c r="P453" s="396" t="s">
        <v>3659</v>
      </c>
      <c r="Q453" s="397">
        <v>0.2</v>
      </c>
      <c r="R453" s="396">
        <v>1900001489</v>
      </c>
      <c r="S453" s="2" t="s">
        <v>666</v>
      </c>
      <c r="T453" s="2" t="s">
        <v>5915</v>
      </c>
    </row>
    <row r="454" spans="1:20" hidden="1" x14ac:dyDescent="0.35">
      <c r="A454" s="398" t="s">
        <v>4199</v>
      </c>
      <c r="B454" s="1" t="s">
        <v>4170</v>
      </c>
      <c r="C454" s="3">
        <v>43178</v>
      </c>
      <c r="D454" s="3">
        <v>43178</v>
      </c>
      <c r="E454" s="3" t="s">
        <v>906</v>
      </c>
      <c r="F454" s="394" t="s">
        <v>4136</v>
      </c>
      <c r="G454" s="394" t="s">
        <v>3784</v>
      </c>
      <c r="H454" s="1" t="s">
        <v>3656</v>
      </c>
      <c r="I454" s="418">
        <f t="shared" si="25"/>
        <v>1136.0183326000001</v>
      </c>
      <c r="J454" s="418">
        <f t="shared" si="28"/>
        <v>257.04680000000002</v>
      </c>
      <c r="K454" s="351">
        <f t="shared" si="29"/>
        <v>142.81520208000001</v>
      </c>
      <c r="L454" s="350">
        <f t="shared" si="30"/>
        <v>28.563040416000003</v>
      </c>
      <c r="M454" s="345" t="s">
        <v>6169</v>
      </c>
      <c r="N454" s="1" t="s">
        <v>3785</v>
      </c>
      <c r="O454" s="1" t="s">
        <v>4137</v>
      </c>
      <c r="P454" s="396" t="s">
        <v>3659</v>
      </c>
      <c r="Q454" s="397">
        <v>0.2</v>
      </c>
      <c r="R454" s="396">
        <v>1900001489</v>
      </c>
      <c r="S454" s="2" t="s">
        <v>259</v>
      </c>
      <c r="T454" s="2" t="s">
        <v>5915</v>
      </c>
    </row>
    <row r="455" spans="1:20" hidden="1" x14ac:dyDescent="0.35">
      <c r="A455" s="398" t="s">
        <v>4200</v>
      </c>
      <c r="B455" s="1" t="s">
        <v>4170</v>
      </c>
      <c r="C455" s="3">
        <v>43178</v>
      </c>
      <c r="D455" s="3">
        <v>43178</v>
      </c>
      <c r="E455" s="3" t="s">
        <v>908</v>
      </c>
      <c r="F455" s="394" t="s">
        <v>4136</v>
      </c>
      <c r="G455" s="394" t="s">
        <v>3784</v>
      </c>
      <c r="H455" s="1" t="s">
        <v>3656</v>
      </c>
      <c r="I455" s="418">
        <f t="shared" si="25"/>
        <v>1136.0183326000001</v>
      </c>
      <c r="J455" s="418">
        <f t="shared" si="28"/>
        <v>257.04680000000002</v>
      </c>
      <c r="K455" s="351">
        <f t="shared" si="29"/>
        <v>142.81520208000001</v>
      </c>
      <c r="L455" s="350">
        <f t="shared" si="30"/>
        <v>28.563040416000003</v>
      </c>
      <c r="M455" s="345" t="s">
        <v>6169</v>
      </c>
      <c r="N455" s="1" t="s">
        <v>3785</v>
      </c>
      <c r="O455" s="1" t="s">
        <v>4137</v>
      </c>
      <c r="P455" s="396" t="s">
        <v>3659</v>
      </c>
      <c r="Q455" s="397">
        <v>0.2</v>
      </c>
      <c r="R455" s="396">
        <v>1900001489</v>
      </c>
      <c r="S455" s="2" t="s">
        <v>907</v>
      </c>
      <c r="T455" s="2" t="s">
        <v>5915</v>
      </c>
    </row>
    <row r="456" spans="1:20" hidden="1" x14ac:dyDescent="0.35">
      <c r="A456" s="398" t="s">
        <v>4201</v>
      </c>
      <c r="B456" s="1" t="s">
        <v>4170</v>
      </c>
      <c r="C456" s="3">
        <v>43178</v>
      </c>
      <c r="D456" s="3">
        <v>43178</v>
      </c>
      <c r="E456" s="3" t="s">
        <v>911</v>
      </c>
      <c r="F456" s="394" t="s">
        <v>4136</v>
      </c>
      <c r="G456" s="394" t="s">
        <v>3784</v>
      </c>
      <c r="H456" s="1" t="s">
        <v>3656</v>
      </c>
      <c r="I456" s="418">
        <f t="shared" si="25"/>
        <v>1136.0183326000001</v>
      </c>
      <c r="J456" s="418">
        <f t="shared" si="28"/>
        <v>257.04680000000002</v>
      </c>
      <c r="K456" s="351">
        <f t="shared" si="29"/>
        <v>142.81520208000001</v>
      </c>
      <c r="L456" s="350">
        <f t="shared" si="30"/>
        <v>28.563040416000003</v>
      </c>
      <c r="M456" s="345" t="s">
        <v>6169</v>
      </c>
      <c r="N456" s="1" t="s">
        <v>3785</v>
      </c>
      <c r="O456" s="1" t="s">
        <v>4137</v>
      </c>
      <c r="P456" s="396" t="s">
        <v>3659</v>
      </c>
      <c r="Q456" s="397">
        <v>0.2</v>
      </c>
      <c r="R456" s="396">
        <v>1900001489</v>
      </c>
      <c r="S456" s="2" t="s">
        <v>910</v>
      </c>
      <c r="T456" s="2" t="s">
        <v>5915</v>
      </c>
    </row>
    <row r="457" spans="1:20" hidden="1" x14ac:dyDescent="0.35">
      <c r="A457" s="398" t="s">
        <v>4202</v>
      </c>
      <c r="B457" s="1" t="s">
        <v>4170</v>
      </c>
      <c r="C457" s="3">
        <v>43178</v>
      </c>
      <c r="D457" s="3">
        <v>43178</v>
      </c>
      <c r="E457" s="3" t="s">
        <v>933</v>
      </c>
      <c r="F457" s="394" t="s">
        <v>4136</v>
      </c>
      <c r="G457" s="394" t="s">
        <v>3784</v>
      </c>
      <c r="H457" s="1" t="s">
        <v>3656</v>
      </c>
      <c r="I457" s="418">
        <f t="shared" si="25"/>
        <v>1136.0183326000001</v>
      </c>
      <c r="J457" s="418">
        <f t="shared" si="28"/>
        <v>257.04680000000002</v>
      </c>
      <c r="K457" s="351">
        <f t="shared" si="29"/>
        <v>142.81520208000001</v>
      </c>
      <c r="L457" s="350">
        <f t="shared" si="30"/>
        <v>28.563040416000003</v>
      </c>
      <c r="M457" s="345" t="s">
        <v>6169</v>
      </c>
      <c r="N457" s="1" t="s">
        <v>3785</v>
      </c>
      <c r="O457" s="1" t="s">
        <v>4137</v>
      </c>
      <c r="P457" s="396" t="s">
        <v>3659</v>
      </c>
      <c r="Q457" s="397">
        <v>0.2</v>
      </c>
      <c r="R457" s="396">
        <v>1900001489</v>
      </c>
      <c r="S457" s="2" t="s">
        <v>262</v>
      </c>
      <c r="T457" s="2" t="s">
        <v>5915</v>
      </c>
    </row>
    <row r="458" spans="1:20" hidden="1" x14ac:dyDescent="0.35">
      <c r="A458" s="398" t="s">
        <v>4203</v>
      </c>
      <c r="B458" s="1" t="s">
        <v>4170</v>
      </c>
      <c r="C458" s="3">
        <v>43178</v>
      </c>
      <c r="D458" s="3">
        <v>43178</v>
      </c>
      <c r="E458" s="3" t="s">
        <v>936</v>
      </c>
      <c r="F458" s="394" t="s">
        <v>4136</v>
      </c>
      <c r="G458" s="394" t="s">
        <v>3784</v>
      </c>
      <c r="H458" s="1" t="s">
        <v>3656</v>
      </c>
      <c r="I458" s="418">
        <f t="shared" si="25"/>
        <v>1136.0183326000001</v>
      </c>
      <c r="J458" s="418">
        <f t="shared" si="28"/>
        <v>257.04680000000002</v>
      </c>
      <c r="K458" s="351">
        <f t="shared" si="29"/>
        <v>142.81520208000001</v>
      </c>
      <c r="L458" s="350">
        <f t="shared" si="30"/>
        <v>28.563040416000003</v>
      </c>
      <c r="M458" s="345" t="s">
        <v>6169</v>
      </c>
      <c r="N458" s="1" t="s">
        <v>3785</v>
      </c>
      <c r="O458" s="1" t="s">
        <v>4137</v>
      </c>
      <c r="P458" s="396" t="s">
        <v>3659</v>
      </c>
      <c r="Q458" s="397">
        <v>0.2</v>
      </c>
      <c r="R458" s="396">
        <v>1900001489</v>
      </c>
      <c r="S458" s="2" t="s">
        <v>6281</v>
      </c>
      <c r="T458" s="2" t="s">
        <v>5915</v>
      </c>
    </row>
    <row r="459" spans="1:20" hidden="1" x14ac:dyDescent="0.35">
      <c r="A459" s="398" t="s">
        <v>4204</v>
      </c>
      <c r="B459" s="1" t="s">
        <v>4170</v>
      </c>
      <c r="C459" s="3">
        <v>43178</v>
      </c>
      <c r="D459" s="3">
        <v>43178</v>
      </c>
      <c r="E459" s="3" t="s">
        <v>937</v>
      </c>
      <c r="F459" s="394" t="s">
        <v>4136</v>
      </c>
      <c r="G459" s="394" t="s">
        <v>3784</v>
      </c>
      <c r="H459" s="1" t="s">
        <v>3656</v>
      </c>
      <c r="I459" s="418">
        <f t="shared" ref="I459:I522" si="31">J459*4.4195</f>
        <v>1136.0183326000001</v>
      </c>
      <c r="J459" s="418">
        <f t="shared" si="28"/>
        <v>257.04680000000002</v>
      </c>
      <c r="K459" s="351">
        <f t="shared" si="29"/>
        <v>142.81520208000001</v>
      </c>
      <c r="L459" s="350">
        <f t="shared" si="30"/>
        <v>28.563040416000003</v>
      </c>
      <c r="M459" s="345" t="s">
        <v>6169</v>
      </c>
      <c r="N459" s="1" t="s">
        <v>3785</v>
      </c>
      <c r="O459" s="1" t="s">
        <v>4137</v>
      </c>
      <c r="P459" s="396" t="s">
        <v>3659</v>
      </c>
      <c r="Q459" s="397">
        <v>0.2</v>
      </c>
      <c r="R459" s="396">
        <v>1900001489</v>
      </c>
      <c r="S459" s="2" t="s">
        <v>6281</v>
      </c>
      <c r="T459" s="2" t="s">
        <v>5915</v>
      </c>
    </row>
    <row r="460" spans="1:20" hidden="1" x14ac:dyDescent="0.35">
      <c r="A460" s="398" t="s">
        <v>4205</v>
      </c>
      <c r="B460" s="1" t="s">
        <v>4170</v>
      </c>
      <c r="C460" s="3">
        <v>43178</v>
      </c>
      <c r="D460" s="3">
        <v>43178</v>
      </c>
      <c r="E460" s="3" t="s">
        <v>940</v>
      </c>
      <c r="F460" s="394" t="s">
        <v>4136</v>
      </c>
      <c r="G460" s="394" t="s">
        <v>3784</v>
      </c>
      <c r="H460" s="1" t="s">
        <v>3656</v>
      </c>
      <c r="I460" s="418">
        <f t="shared" si="31"/>
        <v>1136.0183326000001</v>
      </c>
      <c r="J460" s="418">
        <f t="shared" si="28"/>
        <v>257.04680000000002</v>
      </c>
      <c r="K460" s="351">
        <f t="shared" si="29"/>
        <v>142.81520208000001</v>
      </c>
      <c r="L460" s="350">
        <f t="shared" si="30"/>
        <v>28.563040416000003</v>
      </c>
      <c r="M460" s="345" t="s">
        <v>6169</v>
      </c>
      <c r="N460" s="1" t="s">
        <v>3785</v>
      </c>
      <c r="O460" s="1" t="s">
        <v>4137</v>
      </c>
      <c r="P460" s="396" t="s">
        <v>3659</v>
      </c>
      <c r="Q460" s="397">
        <v>0.2</v>
      </c>
      <c r="R460" s="396">
        <v>1900001489</v>
      </c>
      <c r="S460" s="2" t="s">
        <v>938</v>
      </c>
      <c r="T460" s="2" t="s">
        <v>5915</v>
      </c>
    </row>
    <row r="461" spans="1:20" hidden="1" x14ac:dyDescent="0.35">
      <c r="A461" s="398" t="s">
        <v>4206</v>
      </c>
      <c r="B461" s="1" t="s">
        <v>4170</v>
      </c>
      <c r="C461" s="3">
        <v>43178</v>
      </c>
      <c r="D461" s="3">
        <v>43178</v>
      </c>
      <c r="E461" s="3" t="s">
        <v>943</v>
      </c>
      <c r="F461" s="394" t="s">
        <v>4136</v>
      </c>
      <c r="G461" s="394" t="s">
        <v>3784</v>
      </c>
      <c r="H461" s="1" t="s">
        <v>3656</v>
      </c>
      <c r="I461" s="418">
        <f t="shared" si="31"/>
        <v>1136.0183326000001</v>
      </c>
      <c r="J461" s="418">
        <f t="shared" si="28"/>
        <v>257.04680000000002</v>
      </c>
      <c r="K461" s="351">
        <f t="shared" si="29"/>
        <v>142.81520208000001</v>
      </c>
      <c r="L461" s="350">
        <f t="shared" si="30"/>
        <v>28.563040416000003</v>
      </c>
      <c r="M461" s="345" t="s">
        <v>6169</v>
      </c>
      <c r="N461" s="1" t="s">
        <v>3785</v>
      </c>
      <c r="O461" s="1" t="s">
        <v>4137</v>
      </c>
      <c r="P461" s="396" t="s">
        <v>3659</v>
      </c>
      <c r="Q461" s="397">
        <v>0.2</v>
      </c>
      <c r="R461" s="396">
        <v>1900001489</v>
      </c>
      <c r="S461" s="2" t="s">
        <v>298</v>
      </c>
      <c r="T461" s="2" t="s">
        <v>5915</v>
      </c>
    </row>
    <row r="462" spans="1:20" hidden="1" x14ac:dyDescent="0.35">
      <c r="A462" s="398" t="s">
        <v>4207</v>
      </c>
      <c r="B462" s="1" t="s">
        <v>4170</v>
      </c>
      <c r="C462" s="3">
        <v>43178</v>
      </c>
      <c r="D462" s="3">
        <v>43178</v>
      </c>
      <c r="E462" s="3" t="s">
        <v>951</v>
      </c>
      <c r="F462" s="394" t="s">
        <v>4136</v>
      </c>
      <c r="G462" s="394" t="s">
        <v>3784</v>
      </c>
      <c r="H462" s="1" t="s">
        <v>3656</v>
      </c>
      <c r="I462" s="418">
        <f t="shared" si="31"/>
        <v>1136.0183326000001</v>
      </c>
      <c r="J462" s="418">
        <f t="shared" si="28"/>
        <v>257.04680000000002</v>
      </c>
      <c r="K462" s="351">
        <f t="shared" si="29"/>
        <v>142.81520208000001</v>
      </c>
      <c r="L462" s="350">
        <f t="shared" si="30"/>
        <v>28.563040416000003</v>
      </c>
      <c r="M462" s="345" t="s">
        <v>6169</v>
      </c>
      <c r="N462" s="1" t="s">
        <v>3785</v>
      </c>
      <c r="O462" s="1" t="s">
        <v>4137</v>
      </c>
      <c r="P462" s="396" t="s">
        <v>3659</v>
      </c>
      <c r="Q462" s="397">
        <v>0.2</v>
      </c>
      <c r="R462" s="396">
        <v>1900001489</v>
      </c>
      <c r="S462" s="2" t="s">
        <v>950</v>
      </c>
      <c r="T462" s="2" t="s">
        <v>5915</v>
      </c>
    </row>
    <row r="463" spans="1:20" hidden="1" x14ac:dyDescent="0.35">
      <c r="A463" s="398" t="s">
        <v>4208</v>
      </c>
      <c r="B463" s="1" t="s">
        <v>4170</v>
      </c>
      <c r="C463" s="3">
        <v>43178</v>
      </c>
      <c r="D463" s="3">
        <v>43178</v>
      </c>
      <c r="E463" s="3" t="s">
        <v>952</v>
      </c>
      <c r="F463" s="394" t="s">
        <v>4136</v>
      </c>
      <c r="G463" s="394" t="s">
        <v>3784</v>
      </c>
      <c r="H463" s="1" t="s">
        <v>3656</v>
      </c>
      <c r="I463" s="418">
        <f t="shared" si="31"/>
        <v>1136.0183326000001</v>
      </c>
      <c r="J463" s="418">
        <f t="shared" si="28"/>
        <v>257.04680000000002</v>
      </c>
      <c r="K463" s="351">
        <f t="shared" si="29"/>
        <v>142.81520208000001</v>
      </c>
      <c r="L463" s="350">
        <f t="shared" si="30"/>
        <v>28.563040416000003</v>
      </c>
      <c r="M463" s="345" t="s">
        <v>6169</v>
      </c>
      <c r="N463" s="1" t="s">
        <v>3785</v>
      </c>
      <c r="O463" s="1" t="s">
        <v>4137</v>
      </c>
      <c r="P463" s="396" t="s">
        <v>3659</v>
      </c>
      <c r="Q463" s="397">
        <v>0.2</v>
      </c>
      <c r="R463" s="396">
        <v>1900001489</v>
      </c>
      <c r="S463" s="2" t="s">
        <v>950</v>
      </c>
      <c r="T463" s="2" t="s">
        <v>5915</v>
      </c>
    </row>
    <row r="464" spans="1:20" hidden="1" x14ac:dyDescent="0.35">
      <c r="A464" s="398" t="s">
        <v>4209</v>
      </c>
      <c r="B464" s="1" t="s">
        <v>4170</v>
      </c>
      <c r="C464" s="3">
        <v>43178</v>
      </c>
      <c r="D464" s="3">
        <v>43178</v>
      </c>
      <c r="E464" s="3" t="s">
        <v>962</v>
      </c>
      <c r="F464" s="394" t="s">
        <v>4136</v>
      </c>
      <c r="G464" s="394" t="s">
        <v>3784</v>
      </c>
      <c r="H464" s="1" t="s">
        <v>3656</v>
      </c>
      <c r="I464" s="418">
        <f t="shared" si="31"/>
        <v>1136.0183326000001</v>
      </c>
      <c r="J464" s="418">
        <f t="shared" si="28"/>
        <v>257.04680000000002</v>
      </c>
      <c r="K464" s="351">
        <f t="shared" si="29"/>
        <v>142.81520208000001</v>
      </c>
      <c r="L464" s="350">
        <f t="shared" si="30"/>
        <v>28.563040416000003</v>
      </c>
      <c r="M464" s="345" t="s">
        <v>6169</v>
      </c>
      <c r="N464" s="1" t="s">
        <v>3785</v>
      </c>
      <c r="O464" s="1" t="s">
        <v>4137</v>
      </c>
      <c r="P464" s="396" t="s">
        <v>3659</v>
      </c>
      <c r="Q464" s="397">
        <v>0.2</v>
      </c>
      <c r="R464" s="396">
        <v>1900001489</v>
      </c>
      <c r="S464" s="2" t="s">
        <v>4210</v>
      </c>
      <c r="T464" s="2" t="s">
        <v>5915</v>
      </c>
    </row>
    <row r="465" spans="1:20" hidden="1" x14ac:dyDescent="0.35">
      <c r="A465" s="398" t="s">
        <v>4211</v>
      </c>
      <c r="B465" s="1" t="s">
        <v>4170</v>
      </c>
      <c r="C465" s="3">
        <v>43178</v>
      </c>
      <c r="D465" s="3">
        <v>43178</v>
      </c>
      <c r="E465" s="3" t="s">
        <v>965</v>
      </c>
      <c r="F465" s="394" t="s">
        <v>4136</v>
      </c>
      <c r="G465" s="394" t="s">
        <v>3784</v>
      </c>
      <c r="H465" s="1" t="s">
        <v>3656</v>
      </c>
      <c r="I465" s="418">
        <f t="shared" si="31"/>
        <v>1136.0183326000001</v>
      </c>
      <c r="J465" s="418">
        <f t="shared" si="28"/>
        <v>257.04680000000002</v>
      </c>
      <c r="K465" s="351">
        <f t="shared" si="29"/>
        <v>142.81520208000001</v>
      </c>
      <c r="L465" s="350">
        <f t="shared" si="30"/>
        <v>28.563040416000003</v>
      </c>
      <c r="M465" s="345" t="s">
        <v>6169</v>
      </c>
      <c r="N465" s="1" t="s">
        <v>3785</v>
      </c>
      <c r="O465" s="1" t="s">
        <v>4137</v>
      </c>
      <c r="P465" s="396" t="s">
        <v>3659</v>
      </c>
      <c r="Q465" s="397">
        <v>0.2</v>
      </c>
      <c r="R465" s="396">
        <v>1900001489</v>
      </c>
      <c r="S465" s="2" t="s">
        <v>300</v>
      </c>
      <c r="T465" s="2" t="s">
        <v>5915</v>
      </c>
    </row>
    <row r="466" spans="1:20" hidden="1" x14ac:dyDescent="0.35">
      <c r="A466" s="398" t="s">
        <v>4212</v>
      </c>
      <c r="B466" s="1" t="s">
        <v>4170</v>
      </c>
      <c r="C466" s="3">
        <v>43178</v>
      </c>
      <c r="D466" s="3">
        <v>43178</v>
      </c>
      <c r="E466" s="3" t="s">
        <v>966</v>
      </c>
      <c r="F466" s="394" t="s">
        <v>4136</v>
      </c>
      <c r="G466" s="394" t="s">
        <v>3784</v>
      </c>
      <c r="H466" s="1" t="s">
        <v>3656</v>
      </c>
      <c r="I466" s="418">
        <f t="shared" si="31"/>
        <v>1136.0183326000001</v>
      </c>
      <c r="J466" s="418">
        <f t="shared" si="28"/>
        <v>257.04680000000002</v>
      </c>
      <c r="K466" s="351">
        <f t="shared" si="29"/>
        <v>142.81520208000001</v>
      </c>
      <c r="L466" s="350">
        <f t="shared" si="30"/>
        <v>28.563040416000003</v>
      </c>
      <c r="M466" s="345" t="s">
        <v>6169</v>
      </c>
      <c r="N466" s="1" t="s">
        <v>3785</v>
      </c>
      <c r="O466" s="1" t="s">
        <v>4137</v>
      </c>
      <c r="P466" s="396" t="s">
        <v>3659</v>
      </c>
      <c r="Q466" s="397">
        <v>0.2</v>
      </c>
      <c r="R466" s="396">
        <v>1900001489</v>
      </c>
      <c r="S466" s="2" t="s">
        <v>300</v>
      </c>
      <c r="T466" s="2" t="s">
        <v>5915</v>
      </c>
    </row>
    <row r="467" spans="1:20" hidden="1" x14ac:dyDescent="0.35">
      <c r="A467" s="398" t="s">
        <v>4213</v>
      </c>
      <c r="B467" s="1" t="s">
        <v>4170</v>
      </c>
      <c r="C467" s="3">
        <v>43178</v>
      </c>
      <c r="D467" s="3">
        <v>43178</v>
      </c>
      <c r="E467" s="3" t="s">
        <v>967</v>
      </c>
      <c r="F467" s="394" t="s">
        <v>4136</v>
      </c>
      <c r="G467" s="394" t="s">
        <v>3784</v>
      </c>
      <c r="H467" s="1" t="s">
        <v>3656</v>
      </c>
      <c r="I467" s="418">
        <f t="shared" si="31"/>
        <v>1136.0183326000001</v>
      </c>
      <c r="J467" s="418">
        <f t="shared" si="28"/>
        <v>257.04680000000002</v>
      </c>
      <c r="K467" s="351">
        <f t="shared" si="29"/>
        <v>142.81520208000001</v>
      </c>
      <c r="L467" s="350">
        <f t="shared" si="30"/>
        <v>28.563040416000003</v>
      </c>
      <c r="M467" s="345" t="s">
        <v>6169</v>
      </c>
      <c r="N467" s="1" t="s">
        <v>3785</v>
      </c>
      <c r="O467" s="1" t="s">
        <v>4137</v>
      </c>
      <c r="P467" s="396" t="s">
        <v>3659</v>
      </c>
      <c r="Q467" s="397">
        <v>0.2</v>
      </c>
      <c r="R467" s="396">
        <v>1900001489</v>
      </c>
      <c r="S467" s="2" t="s">
        <v>638</v>
      </c>
      <c r="T467" s="2" t="s">
        <v>5915</v>
      </c>
    </row>
    <row r="468" spans="1:20" hidden="1" x14ac:dyDescent="0.35">
      <c r="A468" s="398" t="s">
        <v>4214</v>
      </c>
      <c r="B468" s="1" t="s">
        <v>4170</v>
      </c>
      <c r="C468" s="3">
        <v>43178</v>
      </c>
      <c r="D468" s="3">
        <v>43178</v>
      </c>
      <c r="E468" s="3" t="s">
        <v>972</v>
      </c>
      <c r="F468" s="394" t="s">
        <v>4136</v>
      </c>
      <c r="G468" s="394" t="s">
        <v>3784</v>
      </c>
      <c r="H468" s="1" t="s">
        <v>3656</v>
      </c>
      <c r="I468" s="418">
        <f t="shared" si="31"/>
        <v>1136.0183326000001</v>
      </c>
      <c r="J468" s="418">
        <f t="shared" si="28"/>
        <v>257.04680000000002</v>
      </c>
      <c r="K468" s="351">
        <f t="shared" si="29"/>
        <v>142.81520208000001</v>
      </c>
      <c r="L468" s="350">
        <f t="shared" si="30"/>
        <v>28.563040416000003</v>
      </c>
      <c r="M468" s="345" t="s">
        <v>6169</v>
      </c>
      <c r="N468" s="1" t="s">
        <v>3785</v>
      </c>
      <c r="O468" s="1" t="s">
        <v>4137</v>
      </c>
      <c r="P468" s="396" t="s">
        <v>3659</v>
      </c>
      <c r="Q468" s="397">
        <v>0.2</v>
      </c>
      <c r="R468" s="396">
        <v>1900001489</v>
      </c>
      <c r="S468" s="2" t="s">
        <v>971</v>
      </c>
      <c r="T468" s="2" t="s">
        <v>5915</v>
      </c>
    </row>
    <row r="469" spans="1:20" hidden="1" x14ac:dyDescent="0.35">
      <c r="A469" s="398" t="s">
        <v>4215</v>
      </c>
      <c r="B469" s="1" t="s">
        <v>4170</v>
      </c>
      <c r="C469" s="3">
        <v>43178</v>
      </c>
      <c r="D469" s="3">
        <v>43178</v>
      </c>
      <c r="E469" s="3" t="s">
        <v>978</v>
      </c>
      <c r="F469" s="394" t="s">
        <v>4136</v>
      </c>
      <c r="G469" s="394" t="s">
        <v>3784</v>
      </c>
      <c r="H469" s="1" t="s">
        <v>3656</v>
      </c>
      <c r="I469" s="418">
        <f t="shared" si="31"/>
        <v>1136.0183326000001</v>
      </c>
      <c r="J469" s="418">
        <f t="shared" si="28"/>
        <v>257.04680000000002</v>
      </c>
      <c r="K469" s="351">
        <f t="shared" si="29"/>
        <v>142.81520208000001</v>
      </c>
      <c r="L469" s="350">
        <f t="shared" si="30"/>
        <v>28.563040416000003</v>
      </c>
      <c r="M469" s="345" t="s">
        <v>6169</v>
      </c>
      <c r="N469" s="1" t="s">
        <v>3785</v>
      </c>
      <c r="O469" s="1" t="s">
        <v>4137</v>
      </c>
      <c r="P469" s="396" t="s">
        <v>3659</v>
      </c>
      <c r="Q469" s="397">
        <v>0.2</v>
      </c>
      <c r="R469" s="396">
        <v>1900001489</v>
      </c>
      <c r="S469" s="2" t="s">
        <v>977</v>
      </c>
      <c r="T469" s="2" t="s">
        <v>5915</v>
      </c>
    </row>
    <row r="470" spans="1:20" hidden="1" x14ac:dyDescent="0.35">
      <c r="A470" s="398" t="s">
        <v>4216</v>
      </c>
      <c r="B470" s="1" t="s">
        <v>4170</v>
      </c>
      <c r="C470" s="3">
        <v>43178</v>
      </c>
      <c r="D470" s="3">
        <v>43178</v>
      </c>
      <c r="E470" s="3" t="s">
        <v>979</v>
      </c>
      <c r="F470" s="394" t="s">
        <v>4136</v>
      </c>
      <c r="G470" s="394" t="s">
        <v>3784</v>
      </c>
      <c r="H470" s="1" t="s">
        <v>3656</v>
      </c>
      <c r="I470" s="418">
        <f t="shared" si="31"/>
        <v>1136.0183326000001</v>
      </c>
      <c r="J470" s="418">
        <f t="shared" si="28"/>
        <v>257.04680000000002</v>
      </c>
      <c r="K470" s="351">
        <f t="shared" si="29"/>
        <v>142.81520208000001</v>
      </c>
      <c r="L470" s="350">
        <f t="shared" si="30"/>
        <v>28.563040416000003</v>
      </c>
      <c r="M470" s="345" t="s">
        <v>6169</v>
      </c>
      <c r="N470" s="1" t="s">
        <v>3785</v>
      </c>
      <c r="O470" s="1" t="s">
        <v>4137</v>
      </c>
      <c r="P470" s="396" t="s">
        <v>3659</v>
      </c>
      <c r="Q470" s="397">
        <v>0.2</v>
      </c>
      <c r="R470" s="396">
        <v>1900001489</v>
      </c>
      <c r="S470" s="2" t="s">
        <v>977</v>
      </c>
      <c r="T470" s="2" t="s">
        <v>5915</v>
      </c>
    </row>
    <row r="471" spans="1:20" hidden="1" x14ac:dyDescent="0.35">
      <c r="A471" s="398" t="s">
        <v>4217</v>
      </c>
      <c r="B471" s="1" t="s">
        <v>4170</v>
      </c>
      <c r="C471" s="3">
        <v>43178</v>
      </c>
      <c r="D471" s="3">
        <v>43178</v>
      </c>
      <c r="E471" s="3" t="s">
        <v>982</v>
      </c>
      <c r="F471" s="394" t="s">
        <v>4136</v>
      </c>
      <c r="G471" s="394" t="s">
        <v>3784</v>
      </c>
      <c r="H471" s="1" t="s">
        <v>3656</v>
      </c>
      <c r="I471" s="418">
        <f t="shared" si="31"/>
        <v>1136.0183326000001</v>
      </c>
      <c r="J471" s="418">
        <f t="shared" si="28"/>
        <v>257.04680000000002</v>
      </c>
      <c r="K471" s="351">
        <f t="shared" si="29"/>
        <v>142.81520208000001</v>
      </c>
      <c r="L471" s="350">
        <f t="shared" si="30"/>
        <v>28.563040416000003</v>
      </c>
      <c r="M471" s="345" t="s">
        <v>6169</v>
      </c>
      <c r="N471" s="1" t="s">
        <v>3785</v>
      </c>
      <c r="O471" s="1" t="s">
        <v>4137</v>
      </c>
      <c r="P471" s="396" t="s">
        <v>3659</v>
      </c>
      <c r="Q471" s="397">
        <v>0.2</v>
      </c>
      <c r="R471" s="396">
        <v>1900001489</v>
      </c>
      <c r="S471" s="2" t="s">
        <v>980</v>
      </c>
      <c r="T471" s="2" t="s">
        <v>5915</v>
      </c>
    </row>
    <row r="472" spans="1:20" hidden="1" x14ac:dyDescent="0.35">
      <c r="A472" s="398" t="s">
        <v>4218</v>
      </c>
      <c r="B472" s="1" t="s">
        <v>4170</v>
      </c>
      <c r="C472" s="3">
        <v>43178</v>
      </c>
      <c r="D472" s="3">
        <v>43178</v>
      </c>
      <c r="E472" s="3" t="s">
        <v>991</v>
      </c>
      <c r="F472" s="394" t="s">
        <v>4136</v>
      </c>
      <c r="G472" s="394" t="s">
        <v>3784</v>
      </c>
      <c r="H472" s="1" t="s">
        <v>3656</v>
      </c>
      <c r="I472" s="418">
        <f t="shared" si="31"/>
        <v>1136.0183326000001</v>
      </c>
      <c r="J472" s="418">
        <f t="shared" si="28"/>
        <v>257.04680000000002</v>
      </c>
      <c r="K472" s="351">
        <f t="shared" si="29"/>
        <v>142.81520208000001</v>
      </c>
      <c r="L472" s="350">
        <f t="shared" si="30"/>
        <v>28.563040416000003</v>
      </c>
      <c r="M472" s="345" t="s">
        <v>6169</v>
      </c>
      <c r="N472" s="1" t="s">
        <v>3785</v>
      </c>
      <c r="O472" s="1" t="s">
        <v>4137</v>
      </c>
      <c r="P472" s="396" t="s">
        <v>3659</v>
      </c>
      <c r="Q472" s="397">
        <v>0.2</v>
      </c>
      <c r="R472" s="396">
        <v>1900001489</v>
      </c>
      <c r="S472" s="2" t="s">
        <v>990</v>
      </c>
      <c r="T472" s="2" t="s">
        <v>5915</v>
      </c>
    </row>
    <row r="473" spans="1:20" hidden="1" x14ac:dyDescent="0.35">
      <c r="A473" s="398" t="s">
        <v>4219</v>
      </c>
      <c r="B473" s="1" t="s">
        <v>4170</v>
      </c>
      <c r="C473" s="3">
        <v>43178</v>
      </c>
      <c r="D473" s="3">
        <v>43178</v>
      </c>
      <c r="E473" s="3" t="s">
        <v>993</v>
      </c>
      <c r="F473" s="394" t="s">
        <v>4136</v>
      </c>
      <c r="G473" s="394" t="s">
        <v>3784</v>
      </c>
      <c r="H473" s="1" t="s">
        <v>3656</v>
      </c>
      <c r="I473" s="418">
        <f t="shared" si="31"/>
        <v>1136.0183326000001</v>
      </c>
      <c r="J473" s="418">
        <f t="shared" si="28"/>
        <v>257.04680000000002</v>
      </c>
      <c r="K473" s="351">
        <f t="shared" si="29"/>
        <v>142.81520208000001</v>
      </c>
      <c r="L473" s="350">
        <f t="shared" si="30"/>
        <v>28.563040416000003</v>
      </c>
      <c r="M473" s="345" t="s">
        <v>6169</v>
      </c>
      <c r="N473" s="1" t="s">
        <v>3785</v>
      </c>
      <c r="O473" s="1" t="s">
        <v>4137</v>
      </c>
      <c r="P473" s="396" t="s">
        <v>3659</v>
      </c>
      <c r="Q473" s="397">
        <v>0.2</v>
      </c>
      <c r="R473" s="396">
        <v>1900001489</v>
      </c>
      <c r="S473" s="2" t="s">
        <v>421</v>
      </c>
      <c r="T473" s="2" t="s">
        <v>5915</v>
      </c>
    </row>
    <row r="474" spans="1:20" hidden="1" x14ac:dyDescent="0.35">
      <c r="A474" s="398" t="s">
        <v>4220</v>
      </c>
      <c r="B474" s="1" t="s">
        <v>4170</v>
      </c>
      <c r="C474" s="3">
        <v>43178</v>
      </c>
      <c r="D474" s="3">
        <v>43178</v>
      </c>
      <c r="E474" s="3" t="s">
        <v>998</v>
      </c>
      <c r="F474" s="394" t="s">
        <v>4136</v>
      </c>
      <c r="G474" s="394" t="s">
        <v>3784</v>
      </c>
      <c r="H474" s="1" t="s">
        <v>3656</v>
      </c>
      <c r="I474" s="418">
        <f t="shared" si="31"/>
        <v>1136.0183326000001</v>
      </c>
      <c r="J474" s="418">
        <f t="shared" si="28"/>
        <v>257.04680000000002</v>
      </c>
      <c r="K474" s="351">
        <f t="shared" si="29"/>
        <v>142.81520208000001</v>
      </c>
      <c r="L474" s="350">
        <f t="shared" si="30"/>
        <v>28.563040416000003</v>
      </c>
      <c r="M474" s="345" t="s">
        <v>6169</v>
      </c>
      <c r="N474" s="1" t="s">
        <v>3785</v>
      </c>
      <c r="O474" s="1" t="s">
        <v>4137</v>
      </c>
      <c r="P474" s="396" t="s">
        <v>3659</v>
      </c>
      <c r="Q474" s="397">
        <v>0.2</v>
      </c>
      <c r="R474" s="396">
        <v>1900001489</v>
      </c>
      <c r="S474" s="2" t="s">
        <v>997</v>
      </c>
      <c r="T474" s="2" t="s">
        <v>5915</v>
      </c>
    </row>
    <row r="475" spans="1:20" hidden="1" x14ac:dyDescent="0.35">
      <c r="A475" s="398" t="s">
        <v>4221</v>
      </c>
      <c r="B475" s="1" t="s">
        <v>4170</v>
      </c>
      <c r="C475" s="3">
        <v>43178</v>
      </c>
      <c r="D475" s="3">
        <v>43178</v>
      </c>
      <c r="E475" s="3" t="s">
        <v>1002</v>
      </c>
      <c r="F475" s="394" t="s">
        <v>4136</v>
      </c>
      <c r="G475" s="394" t="s">
        <v>3784</v>
      </c>
      <c r="H475" s="1" t="s">
        <v>3656</v>
      </c>
      <c r="I475" s="418">
        <f t="shared" si="31"/>
        <v>1136.0183326000001</v>
      </c>
      <c r="J475" s="418">
        <f t="shared" si="28"/>
        <v>257.04680000000002</v>
      </c>
      <c r="K475" s="351">
        <f t="shared" si="29"/>
        <v>142.81520208000001</v>
      </c>
      <c r="L475" s="350">
        <f t="shared" si="30"/>
        <v>28.563040416000003</v>
      </c>
      <c r="M475" s="345" t="s">
        <v>6169</v>
      </c>
      <c r="N475" s="1" t="s">
        <v>3785</v>
      </c>
      <c r="O475" s="1" t="s">
        <v>4137</v>
      </c>
      <c r="P475" s="396" t="s">
        <v>3659</v>
      </c>
      <c r="Q475" s="397">
        <v>0.2</v>
      </c>
      <c r="R475" s="396">
        <v>1900001489</v>
      </c>
      <c r="S475" s="2" t="s">
        <v>1000</v>
      </c>
      <c r="T475" s="2" t="s">
        <v>5915</v>
      </c>
    </row>
    <row r="476" spans="1:20" hidden="1" x14ac:dyDescent="0.35">
      <c r="A476" s="398" t="s">
        <v>4222</v>
      </c>
      <c r="B476" s="1" t="s">
        <v>4170</v>
      </c>
      <c r="C476" s="3">
        <v>43178</v>
      </c>
      <c r="D476" s="3">
        <v>43178</v>
      </c>
      <c r="E476" s="3" t="s">
        <v>1004</v>
      </c>
      <c r="F476" s="394" t="s">
        <v>4136</v>
      </c>
      <c r="G476" s="394" t="s">
        <v>3784</v>
      </c>
      <c r="H476" s="1" t="s">
        <v>3656</v>
      </c>
      <c r="I476" s="418">
        <f t="shared" si="31"/>
        <v>1136.0183326000001</v>
      </c>
      <c r="J476" s="418">
        <f t="shared" si="28"/>
        <v>257.04680000000002</v>
      </c>
      <c r="K476" s="351">
        <f t="shared" si="29"/>
        <v>142.81520208000001</v>
      </c>
      <c r="L476" s="350">
        <f t="shared" si="30"/>
        <v>28.563040416000003</v>
      </c>
      <c r="M476" s="345" t="s">
        <v>6169</v>
      </c>
      <c r="N476" s="1" t="s">
        <v>3785</v>
      </c>
      <c r="O476" s="1" t="s">
        <v>4137</v>
      </c>
      <c r="P476" s="396" t="s">
        <v>3659</v>
      </c>
      <c r="Q476" s="397">
        <v>0.2</v>
      </c>
      <c r="R476" s="396">
        <v>1900001489</v>
      </c>
      <c r="S476" s="2" t="s">
        <v>1003</v>
      </c>
      <c r="T476" s="2" t="s">
        <v>5915</v>
      </c>
    </row>
    <row r="477" spans="1:20" hidden="1" x14ac:dyDescent="0.35">
      <c r="A477" s="398" t="s">
        <v>4223</v>
      </c>
      <c r="B477" s="1" t="s">
        <v>4170</v>
      </c>
      <c r="C477" s="3">
        <v>43178</v>
      </c>
      <c r="D477" s="3">
        <v>43178</v>
      </c>
      <c r="E477" s="3" t="s">
        <v>1008</v>
      </c>
      <c r="F477" s="394" t="s">
        <v>4136</v>
      </c>
      <c r="G477" s="394" t="s">
        <v>3784</v>
      </c>
      <c r="H477" s="1" t="s">
        <v>3656</v>
      </c>
      <c r="I477" s="418">
        <f t="shared" si="31"/>
        <v>1136.0183326000001</v>
      </c>
      <c r="J477" s="418">
        <f t="shared" si="28"/>
        <v>257.04680000000002</v>
      </c>
      <c r="K477" s="351">
        <f t="shared" si="29"/>
        <v>142.81520208000001</v>
      </c>
      <c r="L477" s="350">
        <f t="shared" si="30"/>
        <v>28.563040416000003</v>
      </c>
      <c r="M477" s="345" t="s">
        <v>6169</v>
      </c>
      <c r="N477" s="1" t="s">
        <v>3785</v>
      </c>
      <c r="O477" s="1" t="s">
        <v>4137</v>
      </c>
      <c r="P477" s="396" t="s">
        <v>3659</v>
      </c>
      <c r="Q477" s="397">
        <v>0.2</v>
      </c>
      <c r="R477" s="396">
        <v>1900001489</v>
      </c>
      <c r="S477" s="2" t="s">
        <v>465</v>
      </c>
      <c r="T477" s="2" t="s">
        <v>5915</v>
      </c>
    </row>
    <row r="478" spans="1:20" hidden="1" x14ac:dyDescent="0.35">
      <c r="A478" s="398" t="s">
        <v>4224</v>
      </c>
      <c r="B478" s="1" t="s">
        <v>4170</v>
      </c>
      <c r="C478" s="3">
        <v>43178</v>
      </c>
      <c r="D478" s="3">
        <v>43178</v>
      </c>
      <c r="E478" s="3" t="s">
        <v>1015</v>
      </c>
      <c r="F478" s="394" t="s">
        <v>4136</v>
      </c>
      <c r="G478" s="394" t="s">
        <v>3784</v>
      </c>
      <c r="H478" s="1" t="s">
        <v>3656</v>
      </c>
      <c r="I478" s="418">
        <f t="shared" si="31"/>
        <v>1136.0183326000001</v>
      </c>
      <c r="J478" s="418">
        <f t="shared" si="28"/>
        <v>257.04680000000002</v>
      </c>
      <c r="K478" s="351">
        <f t="shared" si="29"/>
        <v>142.81520208000001</v>
      </c>
      <c r="L478" s="350">
        <f t="shared" si="30"/>
        <v>28.563040416000003</v>
      </c>
      <c r="M478" s="345" t="s">
        <v>6169</v>
      </c>
      <c r="N478" s="1" t="s">
        <v>3785</v>
      </c>
      <c r="O478" s="1" t="s">
        <v>4137</v>
      </c>
      <c r="P478" s="396" t="s">
        <v>3659</v>
      </c>
      <c r="Q478" s="397">
        <v>0.2</v>
      </c>
      <c r="R478" s="396">
        <v>1900001489</v>
      </c>
      <c r="S478" s="2" t="s">
        <v>1012</v>
      </c>
      <c r="T478" s="2" t="s">
        <v>5915</v>
      </c>
    </row>
    <row r="479" spans="1:20" hidden="1" x14ac:dyDescent="0.35">
      <c r="A479" s="398" t="s">
        <v>4225</v>
      </c>
      <c r="B479" s="1" t="s">
        <v>4170</v>
      </c>
      <c r="C479" s="3">
        <v>43178</v>
      </c>
      <c r="D479" s="3">
        <v>43178</v>
      </c>
      <c r="E479" s="3" t="s">
        <v>1020</v>
      </c>
      <c r="F479" s="394" t="s">
        <v>4136</v>
      </c>
      <c r="G479" s="394" t="s">
        <v>3784</v>
      </c>
      <c r="H479" s="1" t="s">
        <v>3656</v>
      </c>
      <c r="I479" s="418">
        <f t="shared" si="31"/>
        <v>1136.0183326000001</v>
      </c>
      <c r="J479" s="418">
        <f t="shared" si="28"/>
        <v>257.04680000000002</v>
      </c>
      <c r="K479" s="351">
        <f t="shared" si="29"/>
        <v>142.81520208000001</v>
      </c>
      <c r="L479" s="350">
        <f t="shared" si="30"/>
        <v>28.563040416000003</v>
      </c>
      <c r="M479" s="345" t="s">
        <v>6169</v>
      </c>
      <c r="N479" s="1" t="s">
        <v>3785</v>
      </c>
      <c r="O479" s="1" t="s">
        <v>4137</v>
      </c>
      <c r="P479" s="396" t="s">
        <v>3659</v>
      </c>
      <c r="Q479" s="397">
        <v>0.2</v>
      </c>
      <c r="R479" s="396">
        <v>1900001489</v>
      </c>
      <c r="S479" s="2" t="s">
        <v>1017</v>
      </c>
      <c r="T479" s="2" t="s">
        <v>5915</v>
      </c>
    </row>
    <row r="480" spans="1:20" hidden="1" x14ac:dyDescent="0.35">
      <c r="A480" s="398" t="s">
        <v>4226</v>
      </c>
      <c r="B480" s="1" t="s">
        <v>4170</v>
      </c>
      <c r="C480" s="3">
        <v>43178</v>
      </c>
      <c r="D480" s="3">
        <v>43178</v>
      </c>
      <c r="E480" s="3" t="s">
        <v>1022</v>
      </c>
      <c r="F480" s="394" t="s">
        <v>4136</v>
      </c>
      <c r="G480" s="394" t="s">
        <v>3784</v>
      </c>
      <c r="H480" s="1" t="s">
        <v>3656</v>
      </c>
      <c r="I480" s="418">
        <f t="shared" si="31"/>
        <v>1136.0183326000001</v>
      </c>
      <c r="J480" s="418">
        <f t="shared" si="28"/>
        <v>257.04680000000002</v>
      </c>
      <c r="K480" s="351">
        <f t="shared" si="29"/>
        <v>142.81520208000001</v>
      </c>
      <c r="L480" s="350">
        <f t="shared" si="30"/>
        <v>28.563040416000003</v>
      </c>
      <c r="M480" s="345" t="s">
        <v>6169</v>
      </c>
      <c r="N480" s="1" t="s">
        <v>3785</v>
      </c>
      <c r="O480" s="1" t="s">
        <v>4137</v>
      </c>
      <c r="P480" s="396" t="s">
        <v>3659</v>
      </c>
      <c r="Q480" s="397">
        <v>0.2</v>
      </c>
      <c r="R480" s="396">
        <v>1900001489</v>
      </c>
      <c r="S480" s="2" t="s">
        <v>303</v>
      </c>
      <c r="T480" s="2" t="s">
        <v>5915</v>
      </c>
    </row>
    <row r="481" spans="1:20" hidden="1" x14ac:dyDescent="0.35">
      <c r="A481" s="398" t="s">
        <v>4227</v>
      </c>
      <c r="B481" s="1" t="s">
        <v>4170</v>
      </c>
      <c r="C481" s="3">
        <v>43178</v>
      </c>
      <c r="D481" s="3">
        <v>43178</v>
      </c>
      <c r="E481" s="3" t="s">
        <v>1024</v>
      </c>
      <c r="F481" s="394" t="s">
        <v>4136</v>
      </c>
      <c r="G481" s="394" t="s">
        <v>3784</v>
      </c>
      <c r="H481" s="1" t="s">
        <v>3656</v>
      </c>
      <c r="I481" s="418">
        <f t="shared" si="31"/>
        <v>1136.0183326000001</v>
      </c>
      <c r="J481" s="418">
        <f t="shared" si="28"/>
        <v>257.04680000000002</v>
      </c>
      <c r="K481" s="351">
        <f t="shared" si="29"/>
        <v>142.81520208000001</v>
      </c>
      <c r="L481" s="350">
        <f t="shared" si="30"/>
        <v>28.563040416000003</v>
      </c>
      <c r="M481" s="345" t="s">
        <v>6169</v>
      </c>
      <c r="N481" s="1" t="s">
        <v>3785</v>
      </c>
      <c r="O481" s="1" t="s">
        <v>4137</v>
      </c>
      <c r="P481" s="396" t="s">
        <v>3659</v>
      </c>
      <c r="Q481" s="397">
        <v>0.2</v>
      </c>
      <c r="R481" s="396">
        <v>1900001489</v>
      </c>
      <c r="S481" s="2" t="s">
        <v>1023</v>
      </c>
      <c r="T481" s="2" t="s">
        <v>5915</v>
      </c>
    </row>
    <row r="482" spans="1:20" hidden="1" x14ac:dyDescent="0.35">
      <c r="A482" s="398" t="s">
        <v>4228</v>
      </c>
      <c r="B482" s="1" t="s">
        <v>4170</v>
      </c>
      <c r="C482" s="3">
        <v>43178</v>
      </c>
      <c r="D482" s="3">
        <v>43178</v>
      </c>
      <c r="E482" s="3" t="s">
        <v>1028</v>
      </c>
      <c r="F482" s="394" t="s">
        <v>4136</v>
      </c>
      <c r="G482" s="394" t="s">
        <v>3784</v>
      </c>
      <c r="H482" s="1" t="s">
        <v>3656</v>
      </c>
      <c r="I482" s="418">
        <f t="shared" si="31"/>
        <v>1136.0183326000001</v>
      </c>
      <c r="J482" s="418">
        <f t="shared" si="28"/>
        <v>257.04680000000002</v>
      </c>
      <c r="K482" s="351">
        <f t="shared" si="29"/>
        <v>142.81520208000001</v>
      </c>
      <c r="L482" s="350">
        <f t="shared" si="30"/>
        <v>28.563040416000003</v>
      </c>
      <c r="M482" s="345" t="s">
        <v>6169</v>
      </c>
      <c r="N482" s="1" t="s">
        <v>3785</v>
      </c>
      <c r="O482" s="1" t="s">
        <v>4137</v>
      </c>
      <c r="P482" s="396" t="s">
        <v>3659</v>
      </c>
      <c r="Q482" s="397">
        <v>0.2</v>
      </c>
      <c r="R482" s="396">
        <v>1900001489</v>
      </c>
      <c r="S482" s="2" t="s">
        <v>1029</v>
      </c>
      <c r="T482" s="2" t="s">
        <v>5915</v>
      </c>
    </row>
    <row r="483" spans="1:20" hidden="1" x14ac:dyDescent="0.35">
      <c r="A483" s="398" t="s">
        <v>4229</v>
      </c>
      <c r="B483" s="1" t="s">
        <v>4170</v>
      </c>
      <c r="C483" s="3">
        <v>43178</v>
      </c>
      <c r="D483" s="3">
        <v>43178</v>
      </c>
      <c r="E483" s="3" t="s">
        <v>1030</v>
      </c>
      <c r="F483" s="394" t="s">
        <v>4136</v>
      </c>
      <c r="G483" s="394" t="s">
        <v>3784</v>
      </c>
      <c r="H483" s="1" t="s">
        <v>3656</v>
      </c>
      <c r="I483" s="418">
        <f t="shared" si="31"/>
        <v>1136.0183326000001</v>
      </c>
      <c r="J483" s="418">
        <f t="shared" si="28"/>
        <v>257.04680000000002</v>
      </c>
      <c r="K483" s="351">
        <f t="shared" si="29"/>
        <v>142.81520208000001</v>
      </c>
      <c r="L483" s="350">
        <f t="shared" si="30"/>
        <v>28.563040416000003</v>
      </c>
      <c r="M483" s="345" t="s">
        <v>6169</v>
      </c>
      <c r="N483" s="1" t="s">
        <v>3785</v>
      </c>
      <c r="O483" s="1" t="s">
        <v>4137</v>
      </c>
      <c r="P483" s="396" t="s">
        <v>3659</v>
      </c>
      <c r="Q483" s="397">
        <v>0.2</v>
      </c>
      <c r="R483" s="396">
        <v>1900001489</v>
      </c>
      <c r="S483" s="2" t="s">
        <v>1029</v>
      </c>
      <c r="T483" s="2" t="s">
        <v>5915</v>
      </c>
    </row>
    <row r="484" spans="1:20" hidden="1" x14ac:dyDescent="0.35">
      <c r="A484" s="398" t="s">
        <v>4230</v>
      </c>
      <c r="B484" s="1" t="s">
        <v>4170</v>
      </c>
      <c r="C484" s="3">
        <v>43178</v>
      </c>
      <c r="D484" s="3">
        <v>43178</v>
      </c>
      <c r="E484" s="3" t="s">
        <v>1040</v>
      </c>
      <c r="F484" s="394" t="s">
        <v>4136</v>
      </c>
      <c r="G484" s="394" t="s">
        <v>3784</v>
      </c>
      <c r="H484" s="1" t="s">
        <v>3656</v>
      </c>
      <c r="I484" s="418">
        <f t="shared" si="31"/>
        <v>1136.0183326000001</v>
      </c>
      <c r="J484" s="418">
        <f t="shared" si="28"/>
        <v>257.04680000000002</v>
      </c>
      <c r="K484" s="351">
        <f t="shared" si="29"/>
        <v>142.81520208000001</v>
      </c>
      <c r="L484" s="350">
        <f t="shared" si="30"/>
        <v>28.563040416000003</v>
      </c>
      <c r="M484" s="345" t="s">
        <v>6169</v>
      </c>
      <c r="N484" s="1" t="s">
        <v>3785</v>
      </c>
      <c r="O484" s="1" t="s">
        <v>4137</v>
      </c>
      <c r="P484" s="396" t="s">
        <v>3659</v>
      </c>
      <c r="Q484" s="397">
        <v>0.2</v>
      </c>
      <c r="R484" s="396">
        <v>1900001489</v>
      </c>
      <c r="S484" s="2" t="s">
        <v>1038</v>
      </c>
      <c r="T484" s="2" t="s">
        <v>5915</v>
      </c>
    </row>
    <row r="485" spans="1:20" hidden="1" x14ac:dyDescent="0.35">
      <c r="A485" s="398" t="s">
        <v>4231</v>
      </c>
      <c r="B485" s="1" t="s">
        <v>4170</v>
      </c>
      <c r="C485" s="3">
        <v>43178</v>
      </c>
      <c r="D485" s="3">
        <v>43178</v>
      </c>
      <c r="E485" s="3" t="s">
        <v>1047</v>
      </c>
      <c r="F485" s="394" t="s">
        <v>4136</v>
      </c>
      <c r="G485" s="394" t="s">
        <v>3784</v>
      </c>
      <c r="H485" s="1" t="s">
        <v>3656</v>
      </c>
      <c r="I485" s="418">
        <f t="shared" si="31"/>
        <v>1136.0183326000001</v>
      </c>
      <c r="J485" s="418">
        <f t="shared" si="28"/>
        <v>257.04680000000002</v>
      </c>
      <c r="K485" s="351">
        <f t="shared" si="29"/>
        <v>142.81520208000001</v>
      </c>
      <c r="L485" s="350">
        <f t="shared" si="30"/>
        <v>28.563040416000003</v>
      </c>
      <c r="M485" s="345" t="s">
        <v>6169</v>
      </c>
      <c r="N485" s="1" t="s">
        <v>3785</v>
      </c>
      <c r="O485" s="1" t="s">
        <v>4137</v>
      </c>
      <c r="P485" s="396" t="s">
        <v>3659</v>
      </c>
      <c r="Q485" s="397">
        <v>0.2</v>
      </c>
      <c r="R485" s="396">
        <v>1900001489</v>
      </c>
      <c r="S485" s="2" t="s">
        <v>385</v>
      </c>
      <c r="T485" s="2" t="s">
        <v>5915</v>
      </c>
    </row>
    <row r="486" spans="1:20" hidden="1" x14ac:dyDescent="0.35">
      <c r="A486" s="398" t="s">
        <v>4232</v>
      </c>
      <c r="B486" s="1" t="s">
        <v>4170</v>
      </c>
      <c r="C486" s="3">
        <v>43178</v>
      </c>
      <c r="D486" s="3">
        <v>43178</v>
      </c>
      <c r="E486" s="3" t="s">
        <v>1051</v>
      </c>
      <c r="F486" s="394" t="s">
        <v>4136</v>
      </c>
      <c r="G486" s="394" t="s">
        <v>3784</v>
      </c>
      <c r="H486" s="1" t="s">
        <v>3656</v>
      </c>
      <c r="I486" s="418">
        <f t="shared" si="31"/>
        <v>1136.0183326000001</v>
      </c>
      <c r="J486" s="418">
        <f t="shared" si="28"/>
        <v>257.04680000000002</v>
      </c>
      <c r="K486" s="351">
        <f t="shared" si="29"/>
        <v>142.81520208000001</v>
      </c>
      <c r="L486" s="350">
        <f t="shared" si="30"/>
        <v>28.563040416000003</v>
      </c>
      <c r="M486" s="345" t="s">
        <v>6169</v>
      </c>
      <c r="N486" s="1" t="s">
        <v>3785</v>
      </c>
      <c r="O486" s="1" t="s">
        <v>4137</v>
      </c>
      <c r="P486" s="396" t="s">
        <v>3659</v>
      </c>
      <c r="Q486" s="397">
        <v>0.2</v>
      </c>
      <c r="R486" s="396">
        <v>1900001489</v>
      </c>
      <c r="S486" s="2" t="s">
        <v>1050</v>
      </c>
      <c r="T486" s="2" t="s">
        <v>5915</v>
      </c>
    </row>
    <row r="487" spans="1:20" hidden="1" x14ac:dyDescent="0.35">
      <c r="A487" s="398" t="s">
        <v>4233</v>
      </c>
      <c r="B487" s="1" t="s">
        <v>4170</v>
      </c>
      <c r="C487" s="3">
        <v>43178</v>
      </c>
      <c r="D487" s="3">
        <v>43178</v>
      </c>
      <c r="E487" s="3" t="s">
        <v>1054</v>
      </c>
      <c r="F487" s="394" t="s">
        <v>4136</v>
      </c>
      <c r="G487" s="394" t="s">
        <v>3784</v>
      </c>
      <c r="H487" s="1" t="s">
        <v>3656</v>
      </c>
      <c r="I487" s="418">
        <f t="shared" si="31"/>
        <v>1136.0183326000001</v>
      </c>
      <c r="J487" s="418">
        <f t="shared" si="28"/>
        <v>257.04680000000002</v>
      </c>
      <c r="K487" s="351">
        <f t="shared" si="29"/>
        <v>142.81520208000001</v>
      </c>
      <c r="L487" s="350">
        <f t="shared" si="30"/>
        <v>28.563040416000003</v>
      </c>
      <c r="M487" s="345" t="s">
        <v>6169</v>
      </c>
      <c r="N487" s="1" t="s">
        <v>3785</v>
      </c>
      <c r="O487" s="1" t="s">
        <v>4137</v>
      </c>
      <c r="P487" s="396" t="s">
        <v>3659</v>
      </c>
      <c r="Q487" s="397">
        <v>0.2</v>
      </c>
      <c r="R487" s="396">
        <v>1900001489</v>
      </c>
      <c r="S487" s="2" t="s">
        <v>1052</v>
      </c>
      <c r="T487" s="2" t="s">
        <v>5915</v>
      </c>
    </row>
    <row r="488" spans="1:20" hidden="1" x14ac:dyDescent="0.35">
      <c r="A488" s="398" t="s">
        <v>4234</v>
      </c>
      <c r="B488" s="1" t="s">
        <v>4170</v>
      </c>
      <c r="C488" s="3">
        <v>43178</v>
      </c>
      <c r="D488" s="3">
        <v>43178</v>
      </c>
      <c r="E488" s="3" t="s">
        <v>1062</v>
      </c>
      <c r="F488" s="394" t="s">
        <v>4136</v>
      </c>
      <c r="G488" s="394" t="s">
        <v>3784</v>
      </c>
      <c r="H488" s="1" t="s">
        <v>3656</v>
      </c>
      <c r="I488" s="418">
        <f t="shared" si="31"/>
        <v>1136.0183326000001</v>
      </c>
      <c r="J488" s="418">
        <f t="shared" si="28"/>
        <v>257.04680000000002</v>
      </c>
      <c r="K488" s="351">
        <f t="shared" si="29"/>
        <v>142.81520208000001</v>
      </c>
      <c r="L488" s="350">
        <f t="shared" si="30"/>
        <v>28.563040416000003</v>
      </c>
      <c r="M488" s="345" t="s">
        <v>6169</v>
      </c>
      <c r="N488" s="1" t="s">
        <v>3785</v>
      </c>
      <c r="O488" s="1" t="s">
        <v>4137</v>
      </c>
      <c r="P488" s="396" t="s">
        <v>3659</v>
      </c>
      <c r="Q488" s="397">
        <v>0.2</v>
      </c>
      <c r="R488" s="396">
        <v>1900001489</v>
      </c>
      <c r="S488" s="2" t="s">
        <v>1061</v>
      </c>
      <c r="T488" s="2" t="s">
        <v>5915</v>
      </c>
    </row>
    <row r="489" spans="1:20" hidden="1" x14ac:dyDescent="0.35">
      <c r="A489" s="398" t="s">
        <v>4235</v>
      </c>
      <c r="B489" s="1" t="s">
        <v>4170</v>
      </c>
      <c r="C489" s="3">
        <v>43178</v>
      </c>
      <c r="D489" s="3">
        <v>43178</v>
      </c>
      <c r="E489" s="3" t="s">
        <v>1065</v>
      </c>
      <c r="F489" s="394" t="s">
        <v>4136</v>
      </c>
      <c r="G489" s="394" t="s">
        <v>3784</v>
      </c>
      <c r="H489" s="1" t="s">
        <v>3656</v>
      </c>
      <c r="I489" s="418">
        <f t="shared" si="31"/>
        <v>1136.0183326000001</v>
      </c>
      <c r="J489" s="418">
        <f t="shared" si="28"/>
        <v>257.04680000000002</v>
      </c>
      <c r="K489" s="351">
        <f t="shared" si="29"/>
        <v>142.81520208000001</v>
      </c>
      <c r="L489" s="350">
        <f t="shared" si="30"/>
        <v>28.563040416000003</v>
      </c>
      <c r="M489" s="345" t="s">
        <v>6169</v>
      </c>
      <c r="N489" s="1" t="s">
        <v>3785</v>
      </c>
      <c r="O489" s="1" t="s">
        <v>4137</v>
      </c>
      <c r="P489" s="396" t="s">
        <v>3659</v>
      </c>
      <c r="Q489" s="397">
        <v>0.2</v>
      </c>
      <c r="R489" s="396">
        <v>1900001489</v>
      </c>
      <c r="S489" s="2" t="s">
        <v>417</v>
      </c>
      <c r="T489" s="2" t="s">
        <v>5915</v>
      </c>
    </row>
    <row r="490" spans="1:20" hidden="1" x14ac:dyDescent="0.35">
      <c r="A490" s="398" t="s">
        <v>4236</v>
      </c>
      <c r="B490" s="1" t="s">
        <v>4170</v>
      </c>
      <c r="C490" s="3">
        <v>43178</v>
      </c>
      <c r="D490" s="3">
        <v>43178</v>
      </c>
      <c r="E490" s="3" t="s">
        <v>1066</v>
      </c>
      <c r="F490" s="394" t="s">
        <v>4136</v>
      </c>
      <c r="G490" s="394" t="s">
        <v>3784</v>
      </c>
      <c r="H490" s="1" t="s">
        <v>3656</v>
      </c>
      <c r="I490" s="418">
        <f t="shared" si="31"/>
        <v>1136.0183326000001</v>
      </c>
      <c r="J490" s="418">
        <f t="shared" si="28"/>
        <v>257.04680000000002</v>
      </c>
      <c r="K490" s="351">
        <f t="shared" si="29"/>
        <v>142.81520208000001</v>
      </c>
      <c r="L490" s="350">
        <f t="shared" si="30"/>
        <v>28.563040416000003</v>
      </c>
      <c r="M490" s="345" t="s">
        <v>6169</v>
      </c>
      <c r="N490" s="1" t="s">
        <v>3785</v>
      </c>
      <c r="O490" s="1" t="s">
        <v>4137</v>
      </c>
      <c r="P490" s="396" t="s">
        <v>3659</v>
      </c>
      <c r="Q490" s="397">
        <v>0.2</v>
      </c>
      <c r="R490" s="396">
        <v>1900001489</v>
      </c>
      <c r="S490" s="2" t="s">
        <v>417</v>
      </c>
      <c r="T490" s="2" t="s">
        <v>5915</v>
      </c>
    </row>
    <row r="491" spans="1:20" hidden="1" x14ac:dyDescent="0.35">
      <c r="A491" s="398" t="s">
        <v>4011</v>
      </c>
      <c r="B491" s="1" t="s">
        <v>4170</v>
      </c>
      <c r="C491" s="3">
        <v>43178</v>
      </c>
      <c r="D491" s="3">
        <v>43178</v>
      </c>
      <c r="E491" s="3" t="s">
        <v>1068</v>
      </c>
      <c r="F491" s="394" t="s">
        <v>4136</v>
      </c>
      <c r="G491" s="394" t="s">
        <v>3784</v>
      </c>
      <c r="H491" s="1" t="s">
        <v>3656</v>
      </c>
      <c r="I491" s="418">
        <f t="shared" si="31"/>
        <v>1136.0183326000001</v>
      </c>
      <c r="J491" s="418">
        <f t="shared" si="28"/>
        <v>257.04680000000002</v>
      </c>
      <c r="K491" s="351">
        <f t="shared" si="29"/>
        <v>142.81520208000001</v>
      </c>
      <c r="L491" s="350">
        <f t="shared" si="30"/>
        <v>28.563040416000003</v>
      </c>
      <c r="M491" s="345" t="s">
        <v>6169</v>
      </c>
      <c r="N491" s="1" t="s">
        <v>3785</v>
      </c>
      <c r="O491" s="1" t="s">
        <v>4137</v>
      </c>
      <c r="P491" s="396" t="s">
        <v>3659</v>
      </c>
      <c r="Q491" s="397">
        <v>0.2</v>
      </c>
      <c r="R491" s="396">
        <v>1900001489</v>
      </c>
      <c r="S491" s="2" t="s">
        <v>625</v>
      </c>
      <c r="T491" s="2" t="s">
        <v>5915</v>
      </c>
    </row>
    <row r="492" spans="1:20" hidden="1" x14ac:dyDescent="0.35">
      <c r="A492" s="398" t="s">
        <v>4014</v>
      </c>
      <c r="B492" s="1" t="s">
        <v>4170</v>
      </c>
      <c r="C492" s="3">
        <v>43178</v>
      </c>
      <c r="D492" s="3">
        <v>43178</v>
      </c>
      <c r="E492" s="3" t="s">
        <v>1070</v>
      </c>
      <c r="F492" s="394" t="s">
        <v>4136</v>
      </c>
      <c r="G492" s="394" t="s">
        <v>3784</v>
      </c>
      <c r="H492" s="1" t="s">
        <v>3656</v>
      </c>
      <c r="I492" s="418">
        <f t="shared" si="31"/>
        <v>1136.0183326000001</v>
      </c>
      <c r="J492" s="418">
        <f t="shared" si="28"/>
        <v>257.04680000000002</v>
      </c>
      <c r="K492" s="351">
        <f t="shared" si="29"/>
        <v>142.81520208000001</v>
      </c>
      <c r="L492" s="350">
        <f t="shared" si="30"/>
        <v>28.563040416000003</v>
      </c>
      <c r="M492" s="345" t="s">
        <v>6169</v>
      </c>
      <c r="N492" s="1" t="s">
        <v>3785</v>
      </c>
      <c r="O492" s="1" t="s">
        <v>4137</v>
      </c>
      <c r="P492" s="396" t="s">
        <v>3659</v>
      </c>
      <c r="Q492" s="397">
        <v>0.2</v>
      </c>
      <c r="R492" s="396">
        <v>1900001489</v>
      </c>
      <c r="S492" s="2" t="s">
        <v>1069</v>
      </c>
      <c r="T492" s="2" t="s">
        <v>5915</v>
      </c>
    </row>
    <row r="493" spans="1:20" hidden="1" x14ac:dyDescent="0.35">
      <c r="A493" s="398" t="s">
        <v>4015</v>
      </c>
      <c r="B493" s="1" t="s">
        <v>4170</v>
      </c>
      <c r="C493" s="3">
        <v>43178</v>
      </c>
      <c r="D493" s="3">
        <v>43178</v>
      </c>
      <c r="E493" s="3" t="s">
        <v>1082</v>
      </c>
      <c r="F493" s="394" t="s">
        <v>4136</v>
      </c>
      <c r="G493" s="394" t="s">
        <v>3784</v>
      </c>
      <c r="H493" s="1" t="s">
        <v>3656</v>
      </c>
      <c r="I493" s="418">
        <f t="shared" si="31"/>
        <v>1136.0183326000001</v>
      </c>
      <c r="J493" s="418">
        <f t="shared" si="28"/>
        <v>257.04680000000002</v>
      </c>
      <c r="K493" s="351">
        <f t="shared" si="29"/>
        <v>142.81520208000001</v>
      </c>
      <c r="L493" s="350">
        <f t="shared" si="30"/>
        <v>28.563040416000003</v>
      </c>
      <c r="M493" s="345" t="s">
        <v>6169</v>
      </c>
      <c r="N493" s="1" t="s">
        <v>3785</v>
      </c>
      <c r="O493" s="1" t="s">
        <v>4137</v>
      </c>
      <c r="P493" s="396" t="s">
        <v>3659</v>
      </c>
      <c r="Q493" s="397">
        <v>0.2</v>
      </c>
      <c r="R493" s="396">
        <v>1900001489</v>
      </c>
      <c r="S493" s="2" t="s">
        <v>1081</v>
      </c>
      <c r="T493" s="2" t="s">
        <v>5915</v>
      </c>
    </row>
    <row r="494" spans="1:20" hidden="1" x14ac:dyDescent="0.35">
      <c r="A494" s="398" t="s">
        <v>4018</v>
      </c>
      <c r="B494" s="1" t="s">
        <v>4170</v>
      </c>
      <c r="C494" s="3">
        <v>43178</v>
      </c>
      <c r="D494" s="3">
        <v>43178</v>
      </c>
      <c r="E494" s="3" t="s">
        <v>1093</v>
      </c>
      <c r="F494" s="394" t="s">
        <v>4136</v>
      </c>
      <c r="G494" s="394" t="s">
        <v>3784</v>
      </c>
      <c r="H494" s="1" t="s">
        <v>3656</v>
      </c>
      <c r="I494" s="418">
        <f t="shared" si="31"/>
        <v>1136.0183326000001</v>
      </c>
      <c r="J494" s="418">
        <f t="shared" si="28"/>
        <v>257.04680000000002</v>
      </c>
      <c r="K494" s="351">
        <f t="shared" si="29"/>
        <v>142.81520208000001</v>
      </c>
      <c r="L494" s="350">
        <f t="shared" si="30"/>
        <v>28.563040416000003</v>
      </c>
      <c r="M494" s="345" t="s">
        <v>6169</v>
      </c>
      <c r="N494" s="1" t="s">
        <v>3785</v>
      </c>
      <c r="O494" s="1" t="s">
        <v>4137</v>
      </c>
      <c r="P494" s="396" t="s">
        <v>3659</v>
      </c>
      <c r="Q494" s="397">
        <v>0.2</v>
      </c>
      <c r="R494" s="396">
        <v>1900001489</v>
      </c>
      <c r="S494" s="2" t="s">
        <v>1091</v>
      </c>
      <c r="T494" s="2" t="s">
        <v>5915</v>
      </c>
    </row>
    <row r="495" spans="1:20" hidden="1" x14ac:dyDescent="0.35">
      <c r="A495" s="398" t="s">
        <v>4019</v>
      </c>
      <c r="B495" s="1" t="s">
        <v>4170</v>
      </c>
      <c r="C495" s="3">
        <v>43178</v>
      </c>
      <c r="D495" s="3">
        <v>43178</v>
      </c>
      <c r="E495" s="3" t="s">
        <v>1098</v>
      </c>
      <c r="F495" s="394" t="s">
        <v>4136</v>
      </c>
      <c r="G495" s="394" t="s">
        <v>3784</v>
      </c>
      <c r="H495" s="1" t="s">
        <v>3656</v>
      </c>
      <c r="I495" s="418">
        <f t="shared" si="31"/>
        <v>1136.0183326000001</v>
      </c>
      <c r="J495" s="418">
        <f t="shared" si="28"/>
        <v>257.04680000000002</v>
      </c>
      <c r="K495" s="351">
        <f t="shared" si="29"/>
        <v>142.81520208000001</v>
      </c>
      <c r="L495" s="350">
        <f t="shared" si="30"/>
        <v>28.563040416000003</v>
      </c>
      <c r="M495" s="345" t="s">
        <v>6169</v>
      </c>
      <c r="N495" s="1" t="s">
        <v>3785</v>
      </c>
      <c r="O495" s="1" t="s">
        <v>4137</v>
      </c>
      <c r="P495" s="396" t="s">
        <v>3659</v>
      </c>
      <c r="Q495" s="397">
        <v>0.2</v>
      </c>
      <c r="R495" s="396">
        <v>1900001489</v>
      </c>
      <c r="S495" s="2" t="s">
        <v>1089</v>
      </c>
      <c r="T495" s="2" t="s">
        <v>5915</v>
      </c>
    </row>
    <row r="496" spans="1:20" hidden="1" x14ac:dyDescent="0.35">
      <c r="A496" s="398" t="s">
        <v>4020</v>
      </c>
      <c r="B496" s="1" t="s">
        <v>4170</v>
      </c>
      <c r="C496" s="3">
        <v>43178</v>
      </c>
      <c r="D496" s="3">
        <v>43178</v>
      </c>
      <c r="E496" s="3" t="s">
        <v>1099</v>
      </c>
      <c r="F496" s="394" t="s">
        <v>4136</v>
      </c>
      <c r="G496" s="394" t="s">
        <v>3784</v>
      </c>
      <c r="H496" s="1" t="s">
        <v>3656</v>
      </c>
      <c r="I496" s="418">
        <f t="shared" si="31"/>
        <v>1136.0183326000001</v>
      </c>
      <c r="J496" s="418">
        <f t="shared" si="28"/>
        <v>257.04680000000002</v>
      </c>
      <c r="K496" s="351">
        <f t="shared" si="29"/>
        <v>142.81520208000001</v>
      </c>
      <c r="L496" s="350">
        <f t="shared" si="30"/>
        <v>28.563040416000003</v>
      </c>
      <c r="M496" s="345" t="s">
        <v>6169</v>
      </c>
      <c r="N496" s="1" t="s">
        <v>3785</v>
      </c>
      <c r="O496" s="1" t="s">
        <v>4137</v>
      </c>
      <c r="P496" s="396" t="s">
        <v>3659</v>
      </c>
      <c r="Q496" s="397">
        <v>0.2</v>
      </c>
      <c r="R496" s="396">
        <v>1900001489</v>
      </c>
      <c r="S496" s="2" t="s">
        <v>1089</v>
      </c>
      <c r="T496" s="2" t="s">
        <v>5915</v>
      </c>
    </row>
    <row r="497" spans="1:20" hidden="1" x14ac:dyDescent="0.35">
      <c r="A497" s="398" t="s">
        <v>4021</v>
      </c>
      <c r="B497" s="1" t="s">
        <v>4170</v>
      </c>
      <c r="C497" s="3">
        <v>43178</v>
      </c>
      <c r="D497" s="3">
        <v>43178</v>
      </c>
      <c r="E497" s="3" t="s">
        <v>1112</v>
      </c>
      <c r="F497" s="394" t="s">
        <v>4136</v>
      </c>
      <c r="G497" s="394" t="s">
        <v>3784</v>
      </c>
      <c r="H497" s="1" t="s">
        <v>3656</v>
      </c>
      <c r="I497" s="418">
        <f t="shared" si="31"/>
        <v>1136.0183326000001</v>
      </c>
      <c r="J497" s="418">
        <f t="shared" si="28"/>
        <v>257.04680000000002</v>
      </c>
      <c r="K497" s="351">
        <f t="shared" si="29"/>
        <v>142.81520208000001</v>
      </c>
      <c r="L497" s="350">
        <f t="shared" si="30"/>
        <v>28.563040416000003</v>
      </c>
      <c r="M497" s="345" t="s">
        <v>6169</v>
      </c>
      <c r="N497" s="1" t="s">
        <v>3785</v>
      </c>
      <c r="O497" s="1" t="s">
        <v>4137</v>
      </c>
      <c r="P497" s="396" t="s">
        <v>3659</v>
      </c>
      <c r="Q497" s="397">
        <v>0.2</v>
      </c>
      <c r="R497" s="396">
        <v>1900001489</v>
      </c>
      <c r="S497" s="2" t="s">
        <v>569</v>
      </c>
      <c r="T497" s="2" t="s">
        <v>5915</v>
      </c>
    </row>
    <row r="498" spans="1:20" hidden="1" x14ac:dyDescent="0.35">
      <c r="A498" s="398" t="s">
        <v>4022</v>
      </c>
      <c r="B498" s="1" t="s">
        <v>4170</v>
      </c>
      <c r="C498" s="3">
        <v>43178</v>
      </c>
      <c r="D498" s="3">
        <v>43178</v>
      </c>
      <c r="E498" s="3" t="s">
        <v>1114</v>
      </c>
      <c r="F498" s="394" t="s">
        <v>4136</v>
      </c>
      <c r="G498" s="394" t="s">
        <v>3784</v>
      </c>
      <c r="H498" s="1" t="s">
        <v>3656</v>
      </c>
      <c r="I498" s="418">
        <f t="shared" si="31"/>
        <v>1136.0183326000001</v>
      </c>
      <c r="J498" s="418">
        <f t="shared" si="28"/>
        <v>257.04680000000002</v>
      </c>
      <c r="K498" s="351">
        <f t="shared" si="29"/>
        <v>142.81520208000001</v>
      </c>
      <c r="L498" s="350">
        <f t="shared" si="30"/>
        <v>28.563040416000003</v>
      </c>
      <c r="M498" s="345" t="s">
        <v>6169</v>
      </c>
      <c r="N498" s="1" t="s">
        <v>3785</v>
      </c>
      <c r="O498" s="1" t="s">
        <v>4137</v>
      </c>
      <c r="P498" s="396" t="s">
        <v>3659</v>
      </c>
      <c r="Q498" s="397">
        <v>0.2</v>
      </c>
      <c r="R498" s="396">
        <v>1900001489</v>
      </c>
      <c r="S498" s="2" t="s">
        <v>353</v>
      </c>
      <c r="T498" s="2" t="s">
        <v>5915</v>
      </c>
    </row>
    <row r="499" spans="1:20" hidden="1" x14ac:dyDescent="0.35">
      <c r="A499" s="398" t="s">
        <v>4023</v>
      </c>
      <c r="B499" s="1" t="s">
        <v>4170</v>
      </c>
      <c r="C499" s="3">
        <v>43178</v>
      </c>
      <c r="D499" s="3">
        <v>43178</v>
      </c>
      <c r="E499" s="3" t="s">
        <v>1117</v>
      </c>
      <c r="F499" s="394" t="s">
        <v>4136</v>
      </c>
      <c r="G499" s="394" t="s">
        <v>3784</v>
      </c>
      <c r="H499" s="1" t="s">
        <v>3656</v>
      </c>
      <c r="I499" s="418">
        <f t="shared" si="31"/>
        <v>1136.0183326000001</v>
      </c>
      <c r="J499" s="418">
        <f t="shared" si="28"/>
        <v>257.04680000000002</v>
      </c>
      <c r="K499" s="351">
        <f t="shared" si="29"/>
        <v>142.81520208000001</v>
      </c>
      <c r="L499" s="350">
        <f t="shared" si="30"/>
        <v>28.563040416000003</v>
      </c>
      <c r="M499" s="345" t="s">
        <v>6169</v>
      </c>
      <c r="N499" s="1" t="s">
        <v>3785</v>
      </c>
      <c r="O499" s="1" t="s">
        <v>4137</v>
      </c>
      <c r="P499" s="396" t="s">
        <v>3659</v>
      </c>
      <c r="Q499" s="397">
        <v>0.2</v>
      </c>
      <c r="R499" s="396">
        <v>1900001489</v>
      </c>
      <c r="S499" s="2" t="s">
        <v>503</v>
      </c>
      <c r="T499" s="2" t="s">
        <v>5915</v>
      </c>
    </row>
    <row r="500" spans="1:20" hidden="1" x14ac:dyDescent="0.35">
      <c r="A500" s="398" t="s">
        <v>4024</v>
      </c>
      <c r="B500" s="1" t="s">
        <v>4170</v>
      </c>
      <c r="C500" s="3">
        <v>43178</v>
      </c>
      <c r="D500" s="3">
        <v>43178</v>
      </c>
      <c r="E500" s="3" t="s">
        <v>1130</v>
      </c>
      <c r="F500" s="394" t="s">
        <v>4136</v>
      </c>
      <c r="G500" s="394" t="s">
        <v>3784</v>
      </c>
      <c r="H500" s="1" t="s">
        <v>3656</v>
      </c>
      <c r="I500" s="418">
        <f t="shared" si="31"/>
        <v>1136.0183326000001</v>
      </c>
      <c r="J500" s="418">
        <f t="shared" ref="J500:J536" si="32">249.56*1.03</f>
        <v>257.04680000000002</v>
      </c>
      <c r="K500" s="351">
        <f t="shared" si="29"/>
        <v>142.81520208000001</v>
      </c>
      <c r="L500" s="350">
        <f t="shared" si="30"/>
        <v>28.563040416000003</v>
      </c>
      <c r="M500" s="345" t="s">
        <v>6169</v>
      </c>
      <c r="N500" s="1" t="s">
        <v>3785</v>
      </c>
      <c r="O500" s="1" t="s">
        <v>4137</v>
      </c>
      <c r="P500" s="396" t="s">
        <v>3659</v>
      </c>
      <c r="Q500" s="397">
        <v>0.2</v>
      </c>
      <c r="R500" s="396">
        <v>1900001489</v>
      </c>
      <c r="S500" s="2" t="s">
        <v>1131</v>
      </c>
      <c r="T500" s="2" t="s">
        <v>5915</v>
      </c>
    </row>
    <row r="501" spans="1:20" hidden="1" x14ac:dyDescent="0.35">
      <c r="A501" s="398" t="s">
        <v>4025</v>
      </c>
      <c r="B501" s="1" t="s">
        <v>4170</v>
      </c>
      <c r="C501" s="3">
        <v>43178</v>
      </c>
      <c r="D501" s="3">
        <v>43178</v>
      </c>
      <c r="E501" s="3" t="s">
        <v>1133</v>
      </c>
      <c r="F501" s="394" t="s">
        <v>4136</v>
      </c>
      <c r="G501" s="394" t="s">
        <v>3784</v>
      </c>
      <c r="H501" s="1" t="s">
        <v>3656</v>
      </c>
      <c r="I501" s="418">
        <f t="shared" si="31"/>
        <v>1136.0183326000001</v>
      </c>
      <c r="J501" s="418">
        <f t="shared" si="32"/>
        <v>257.04680000000002</v>
      </c>
      <c r="K501" s="351">
        <f t="shared" si="29"/>
        <v>142.81520208000001</v>
      </c>
      <c r="L501" s="350">
        <f t="shared" si="30"/>
        <v>28.563040416000003</v>
      </c>
      <c r="M501" s="345" t="s">
        <v>6169</v>
      </c>
      <c r="N501" s="1" t="s">
        <v>3785</v>
      </c>
      <c r="O501" s="1" t="s">
        <v>4137</v>
      </c>
      <c r="P501" s="396" t="s">
        <v>3659</v>
      </c>
      <c r="Q501" s="397">
        <v>0.2</v>
      </c>
      <c r="R501" s="396">
        <v>1900001489</v>
      </c>
      <c r="S501" s="2" t="s">
        <v>1131</v>
      </c>
      <c r="T501" s="2" t="s">
        <v>5915</v>
      </c>
    </row>
    <row r="502" spans="1:20" hidden="1" x14ac:dyDescent="0.35">
      <c r="A502" s="398" t="s">
        <v>4026</v>
      </c>
      <c r="B502" s="1" t="s">
        <v>4170</v>
      </c>
      <c r="C502" s="3">
        <v>43178</v>
      </c>
      <c r="D502" s="3">
        <v>43178</v>
      </c>
      <c r="E502" s="3" t="s">
        <v>1155</v>
      </c>
      <c r="F502" s="394" t="s">
        <v>4136</v>
      </c>
      <c r="G502" s="394" t="s">
        <v>3784</v>
      </c>
      <c r="H502" s="1" t="s">
        <v>3656</v>
      </c>
      <c r="I502" s="418">
        <f t="shared" si="31"/>
        <v>1136.0183326000001</v>
      </c>
      <c r="J502" s="418">
        <f t="shared" si="32"/>
        <v>257.04680000000002</v>
      </c>
      <c r="K502" s="351">
        <f t="shared" si="29"/>
        <v>142.81520208000001</v>
      </c>
      <c r="L502" s="350">
        <f t="shared" si="30"/>
        <v>28.563040416000003</v>
      </c>
      <c r="M502" s="345" t="s">
        <v>6169</v>
      </c>
      <c r="N502" s="1" t="s">
        <v>3785</v>
      </c>
      <c r="O502" s="1" t="s">
        <v>4137</v>
      </c>
      <c r="P502" s="396" t="s">
        <v>3659</v>
      </c>
      <c r="Q502" s="397">
        <v>0.2</v>
      </c>
      <c r="R502" s="396">
        <v>1900001489</v>
      </c>
      <c r="S502" s="2" t="s">
        <v>1153</v>
      </c>
      <c r="T502" s="2" t="s">
        <v>5915</v>
      </c>
    </row>
    <row r="503" spans="1:20" hidden="1" x14ac:dyDescent="0.35">
      <c r="A503" s="398" t="s">
        <v>4027</v>
      </c>
      <c r="B503" s="1" t="s">
        <v>4170</v>
      </c>
      <c r="C503" s="3">
        <v>43178</v>
      </c>
      <c r="D503" s="3">
        <v>43178</v>
      </c>
      <c r="E503" s="3" t="s">
        <v>1181</v>
      </c>
      <c r="F503" s="394" t="s">
        <v>4136</v>
      </c>
      <c r="G503" s="394" t="s">
        <v>3784</v>
      </c>
      <c r="H503" s="1" t="s">
        <v>3656</v>
      </c>
      <c r="I503" s="418">
        <f t="shared" si="31"/>
        <v>1136.0183326000001</v>
      </c>
      <c r="J503" s="418">
        <f t="shared" si="32"/>
        <v>257.04680000000002</v>
      </c>
      <c r="K503" s="351">
        <f t="shared" si="29"/>
        <v>142.81520208000001</v>
      </c>
      <c r="L503" s="350">
        <f t="shared" si="30"/>
        <v>28.563040416000003</v>
      </c>
      <c r="M503" s="345" t="s">
        <v>6169</v>
      </c>
      <c r="N503" s="1" t="s">
        <v>3785</v>
      </c>
      <c r="O503" s="1" t="s">
        <v>4137</v>
      </c>
      <c r="P503" s="396" t="s">
        <v>3659</v>
      </c>
      <c r="Q503" s="397">
        <v>0.2</v>
      </c>
      <c r="R503" s="396">
        <v>1900001489</v>
      </c>
      <c r="S503" s="2" t="s">
        <v>609</v>
      </c>
      <c r="T503" s="2" t="s">
        <v>5915</v>
      </c>
    </row>
    <row r="504" spans="1:20" hidden="1" x14ac:dyDescent="0.35">
      <c r="A504" s="398" t="s">
        <v>4028</v>
      </c>
      <c r="B504" s="1" t="s">
        <v>4170</v>
      </c>
      <c r="C504" s="3">
        <v>43178</v>
      </c>
      <c r="D504" s="3">
        <v>43178</v>
      </c>
      <c r="E504" s="3" t="s">
        <v>1210</v>
      </c>
      <c r="F504" s="394" t="s">
        <v>4136</v>
      </c>
      <c r="G504" s="394" t="s">
        <v>3784</v>
      </c>
      <c r="H504" s="1" t="s">
        <v>3656</v>
      </c>
      <c r="I504" s="418">
        <f t="shared" si="31"/>
        <v>1136.0183326000001</v>
      </c>
      <c r="J504" s="418">
        <f t="shared" si="32"/>
        <v>257.04680000000002</v>
      </c>
      <c r="K504" s="351">
        <f t="shared" si="29"/>
        <v>142.81520208000001</v>
      </c>
      <c r="L504" s="350">
        <f t="shared" si="30"/>
        <v>28.563040416000003</v>
      </c>
      <c r="M504" s="345" t="s">
        <v>6169</v>
      </c>
      <c r="N504" s="1" t="s">
        <v>3785</v>
      </c>
      <c r="O504" s="1" t="s">
        <v>4137</v>
      </c>
      <c r="P504" s="396" t="s">
        <v>3659</v>
      </c>
      <c r="Q504" s="397">
        <v>0.2</v>
      </c>
      <c r="R504" s="396">
        <v>1900001489</v>
      </c>
      <c r="S504" s="2" t="s">
        <v>1209</v>
      </c>
      <c r="T504" s="2" t="s">
        <v>5915</v>
      </c>
    </row>
    <row r="505" spans="1:20" hidden="1" x14ac:dyDescent="0.35">
      <c r="A505" s="398" t="s">
        <v>4029</v>
      </c>
      <c r="B505" s="1" t="s">
        <v>4170</v>
      </c>
      <c r="C505" s="3">
        <v>43178</v>
      </c>
      <c r="D505" s="3">
        <v>43178</v>
      </c>
      <c r="E505" s="3" t="s">
        <v>1215</v>
      </c>
      <c r="F505" s="394" t="s">
        <v>4136</v>
      </c>
      <c r="G505" s="394" t="s">
        <v>3784</v>
      </c>
      <c r="H505" s="1" t="s">
        <v>3656</v>
      </c>
      <c r="I505" s="418">
        <f t="shared" si="31"/>
        <v>1136.0183326000001</v>
      </c>
      <c r="J505" s="418">
        <f t="shared" si="32"/>
        <v>257.04680000000002</v>
      </c>
      <c r="K505" s="351">
        <f t="shared" si="29"/>
        <v>142.81520208000001</v>
      </c>
      <c r="L505" s="350">
        <f t="shared" si="30"/>
        <v>28.563040416000003</v>
      </c>
      <c r="M505" s="345" t="s">
        <v>6169</v>
      </c>
      <c r="N505" s="1" t="s">
        <v>3785</v>
      </c>
      <c r="O505" s="1" t="s">
        <v>4137</v>
      </c>
      <c r="P505" s="396" t="s">
        <v>3659</v>
      </c>
      <c r="Q505" s="397">
        <v>0.2</v>
      </c>
      <c r="R505" s="396">
        <v>1900001489</v>
      </c>
      <c r="S505" s="2" t="s">
        <v>1201</v>
      </c>
      <c r="T505" s="2" t="s">
        <v>5915</v>
      </c>
    </row>
    <row r="506" spans="1:20" hidden="1" x14ac:dyDescent="0.35">
      <c r="A506" s="398" t="s">
        <v>4030</v>
      </c>
      <c r="B506" s="1" t="s">
        <v>4170</v>
      </c>
      <c r="C506" s="3">
        <v>43178</v>
      </c>
      <c r="D506" s="3">
        <v>43178</v>
      </c>
      <c r="E506" s="3" t="s">
        <v>1284</v>
      </c>
      <c r="F506" s="394" t="s">
        <v>4136</v>
      </c>
      <c r="G506" s="394" t="s">
        <v>3784</v>
      </c>
      <c r="H506" s="1" t="s">
        <v>3656</v>
      </c>
      <c r="I506" s="418">
        <f t="shared" si="31"/>
        <v>1136.0183326000001</v>
      </c>
      <c r="J506" s="418">
        <f t="shared" si="32"/>
        <v>257.04680000000002</v>
      </c>
      <c r="K506" s="351">
        <f t="shared" si="29"/>
        <v>142.81520208000001</v>
      </c>
      <c r="L506" s="350">
        <f t="shared" si="30"/>
        <v>28.563040416000003</v>
      </c>
      <c r="M506" s="345" t="s">
        <v>6169</v>
      </c>
      <c r="N506" s="1" t="s">
        <v>3785</v>
      </c>
      <c r="O506" s="1" t="s">
        <v>4137</v>
      </c>
      <c r="P506" s="396" t="s">
        <v>3659</v>
      </c>
      <c r="Q506" s="397">
        <v>0.2</v>
      </c>
      <c r="R506" s="396">
        <v>1900001489</v>
      </c>
      <c r="S506" s="2" t="s">
        <v>1283</v>
      </c>
      <c r="T506" s="2" t="s">
        <v>5915</v>
      </c>
    </row>
    <row r="507" spans="1:20" hidden="1" x14ac:dyDescent="0.35">
      <c r="A507" s="398" t="s">
        <v>4031</v>
      </c>
      <c r="B507" s="1" t="s">
        <v>4170</v>
      </c>
      <c r="C507" s="3">
        <v>43178</v>
      </c>
      <c r="D507" s="3">
        <v>43178</v>
      </c>
      <c r="E507" s="3" t="s">
        <v>1292</v>
      </c>
      <c r="F507" s="394" t="s">
        <v>4136</v>
      </c>
      <c r="G507" s="394" t="s">
        <v>3784</v>
      </c>
      <c r="H507" s="1" t="s">
        <v>3656</v>
      </c>
      <c r="I507" s="418">
        <f t="shared" si="31"/>
        <v>1136.0183326000001</v>
      </c>
      <c r="J507" s="418">
        <f t="shared" si="32"/>
        <v>257.04680000000002</v>
      </c>
      <c r="K507" s="351">
        <f t="shared" si="29"/>
        <v>142.81520208000001</v>
      </c>
      <c r="L507" s="350">
        <f t="shared" si="30"/>
        <v>28.563040416000003</v>
      </c>
      <c r="M507" s="345" t="s">
        <v>6169</v>
      </c>
      <c r="N507" s="1" t="s">
        <v>3785</v>
      </c>
      <c r="O507" s="1" t="s">
        <v>4137</v>
      </c>
      <c r="P507" s="396" t="s">
        <v>3659</v>
      </c>
      <c r="Q507" s="397">
        <v>0.2</v>
      </c>
      <c r="R507" s="396">
        <v>1900001489</v>
      </c>
      <c r="S507" s="2" t="s">
        <v>1291</v>
      </c>
      <c r="T507" s="2" t="s">
        <v>5915</v>
      </c>
    </row>
    <row r="508" spans="1:20" hidden="1" x14ac:dyDescent="0.35">
      <c r="A508" s="398" t="s">
        <v>4032</v>
      </c>
      <c r="B508" s="1" t="s">
        <v>4170</v>
      </c>
      <c r="C508" s="3">
        <v>43178</v>
      </c>
      <c r="D508" s="3">
        <v>43178</v>
      </c>
      <c r="E508" s="3" t="s">
        <v>1300</v>
      </c>
      <c r="F508" s="394" t="s">
        <v>4136</v>
      </c>
      <c r="G508" s="394" t="s">
        <v>3784</v>
      </c>
      <c r="H508" s="1" t="s">
        <v>3656</v>
      </c>
      <c r="I508" s="418">
        <f t="shared" si="31"/>
        <v>1136.0183326000001</v>
      </c>
      <c r="J508" s="418">
        <f t="shared" si="32"/>
        <v>257.04680000000002</v>
      </c>
      <c r="K508" s="351">
        <f t="shared" ref="K508:K573" si="33">+J508*(0.5556)</f>
        <v>142.81520208000001</v>
      </c>
      <c r="L508" s="350">
        <f t="shared" ref="L508:L573" si="34">+K508*Q508</f>
        <v>28.563040416000003</v>
      </c>
      <c r="M508" s="345" t="s">
        <v>6169</v>
      </c>
      <c r="N508" s="1" t="s">
        <v>3785</v>
      </c>
      <c r="O508" s="1" t="s">
        <v>4137</v>
      </c>
      <c r="P508" s="396" t="s">
        <v>3659</v>
      </c>
      <c r="Q508" s="397">
        <v>0.2</v>
      </c>
      <c r="R508" s="396">
        <v>1900001489</v>
      </c>
      <c r="S508" s="2" t="s">
        <v>501</v>
      </c>
      <c r="T508" s="2" t="s">
        <v>5915</v>
      </c>
    </row>
    <row r="509" spans="1:20" hidden="1" x14ac:dyDescent="0.35">
      <c r="A509" s="398" t="s">
        <v>4033</v>
      </c>
      <c r="B509" s="1" t="s">
        <v>4170</v>
      </c>
      <c r="C509" s="3">
        <v>43178</v>
      </c>
      <c r="D509" s="3">
        <v>43178</v>
      </c>
      <c r="E509" s="3" t="s">
        <v>1303</v>
      </c>
      <c r="F509" s="394" t="s">
        <v>4136</v>
      </c>
      <c r="G509" s="394" t="s">
        <v>3784</v>
      </c>
      <c r="H509" s="1" t="s">
        <v>3656</v>
      </c>
      <c r="I509" s="418">
        <f t="shared" si="31"/>
        <v>1136.0183326000001</v>
      </c>
      <c r="J509" s="418">
        <f t="shared" si="32"/>
        <v>257.04680000000002</v>
      </c>
      <c r="K509" s="351">
        <f t="shared" si="33"/>
        <v>142.81520208000001</v>
      </c>
      <c r="L509" s="350">
        <f t="shared" si="34"/>
        <v>28.563040416000003</v>
      </c>
      <c r="M509" s="345" t="s">
        <v>6169</v>
      </c>
      <c r="N509" s="1" t="s">
        <v>3785</v>
      </c>
      <c r="O509" s="1" t="s">
        <v>4137</v>
      </c>
      <c r="P509" s="396" t="s">
        <v>3659</v>
      </c>
      <c r="Q509" s="397">
        <v>0.2</v>
      </c>
      <c r="R509" s="396">
        <v>1900001489</v>
      </c>
      <c r="S509" s="2" t="s">
        <v>1302</v>
      </c>
      <c r="T509" s="2" t="s">
        <v>5915</v>
      </c>
    </row>
    <row r="510" spans="1:20" hidden="1" x14ac:dyDescent="0.35">
      <c r="A510" s="398" t="s">
        <v>4034</v>
      </c>
      <c r="B510" s="1" t="s">
        <v>4170</v>
      </c>
      <c r="C510" s="3">
        <v>43178</v>
      </c>
      <c r="D510" s="3">
        <v>43178</v>
      </c>
      <c r="E510" s="3" t="s">
        <v>1307</v>
      </c>
      <c r="F510" s="394" t="s">
        <v>4136</v>
      </c>
      <c r="G510" s="394" t="s">
        <v>3784</v>
      </c>
      <c r="H510" s="1" t="s">
        <v>3656</v>
      </c>
      <c r="I510" s="418">
        <f t="shared" si="31"/>
        <v>1136.0183326000001</v>
      </c>
      <c r="J510" s="418">
        <f t="shared" si="32"/>
        <v>257.04680000000002</v>
      </c>
      <c r="K510" s="351">
        <f t="shared" si="33"/>
        <v>142.81520208000001</v>
      </c>
      <c r="L510" s="350">
        <f t="shared" si="34"/>
        <v>28.563040416000003</v>
      </c>
      <c r="M510" s="345" t="s">
        <v>6169</v>
      </c>
      <c r="N510" s="1" t="s">
        <v>3785</v>
      </c>
      <c r="O510" s="1" t="s">
        <v>4137</v>
      </c>
      <c r="P510" s="396" t="s">
        <v>3659</v>
      </c>
      <c r="Q510" s="397">
        <v>0.2</v>
      </c>
      <c r="R510" s="396">
        <v>1900001489</v>
      </c>
      <c r="S510" s="2" t="s">
        <v>677</v>
      </c>
      <c r="T510" s="2" t="s">
        <v>5915</v>
      </c>
    </row>
    <row r="511" spans="1:20" hidden="1" x14ac:dyDescent="0.35">
      <c r="A511" s="398" t="s">
        <v>4035</v>
      </c>
      <c r="B511" s="1" t="s">
        <v>4170</v>
      </c>
      <c r="C511" s="3">
        <v>43178</v>
      </c>
      <c r="D511" s="3">
        <v>43178</v>
      </c>
      <c r="E511" s="3" t="s">
        <v>1327</v>
      </c>
      <c r="F511" s="394" t="s">
        <v>4136</v>
      </c>
      <c r="G511" s="394" t="s">
        <v>3784</v>
      </c>
      <c r="H511" s="1" t="s">
        <v>3656</v>
      </c>
      <c r="I511" s="418">
        <f t="shared" si="31"/>
        <v>1136.0183326000001</v>
      </c>
      <c r="J511" s="418">
        <f t="shared" si="32"/>
        <v>257.04680000000002</v>
      </c>
      <c r="K511" s="351">
        <f t="shared" si="33"/>
        <v>142.81520208000001</v>
      </c>
      <c r="L511" s="350">
        <f t="shared" si="34"/>
        <v>28.563040416000003</v>
      </c>
      <c r="M511" s="345" t="s">
        <v>6169</v>
      </c>
      <c r="N511" s="1" t="s">
        <v>3785</v>
      </c>
      <c r="O511" s="1" t="s">
        <v>4137</v>
      </c>
      <c r="P511" s="396" t="s">
        <v>3659</v>
      </c>
      <c r="Q511" s="397">
        <v>0.2</v>
      </c>
      <c r="R511" s="396">
        <v>1900001489</v>
      </c>
      <c r="S511" s="2" t="s">
        <v>1325</v>
      </c>
      <c r="T511" s="2" t="s">
        <v>5915</v>
      </c>
    </row>
    <row r="512" spans="1:20" hidden="1" x14ac:dyDescent="0.35">
      <c r="A512" s="398" t="s">
        <v>4036</v>
      </c>
      <c r="B512" s="1" t="s">
        <v>4170</v>
      </c>
      <c r="C512" s="3">
        <v>43178</v>
      </c>
      <c r="D512" s="3">
        <v>43178</v>
      </c>
      <c r="E512" s="3" t="s">
        <v>1333</v>
      </c>
      <c r="F512" s="394" t="s">
        <v>4136</v>
      </c>
      <c r="G512" s="394" t="s">
        <v>3784</v>
      </c>
      <c r="H512" s="1" t="s">
        <v>3656</v>
      </c>
      <c r="I512" s="418">
        <f t="shared" si="31"/>
        <v>1136.0183326000001</v>
      </c>
      <c r="J512" s="418">
        <f t="shared" si="32"/>
        <v>257.04680000000002</v>
      </c>
      <c r="K512" s="351">
        <f t="shared" si="33"/>
        <v>142.81520208000001</v>
      </c>
      <c r="L512" s="350">
        <f t="shared" si="34"/>
        <v>28.563040416000003</v>
      </c>
      <c r="M512" s="345" t="s">
        <v>6169</v>
      </c>
      <c r="N512" s="1" t="s">
        <v>3785</v>
      </c>
      <c r="O512" s="1" t="s">
        <v>4137</v>
      </c>
      <c r="P512" s="396" t="s">
        <v>3659</v>
      </c>
      <c r="Q512" s="397">
        <v>0.2</v>
      </c>
      <c r="R512" s="396">
        <v>1900001489</v>
      </c>
      <c r="S512" s="2" t="s">
        <v>1331</v>
      </c>
      <c r="T512" s="2" t="s">
        <v>5915</v>
      </c>
    </row>
    <row r="513" spans="1:20" hidden="1" x14ac:dyDescent="0.35">
      <c r="A513" s="398" t="s">
        <v>4037</v>
      </c>
      <c r="B513" s="1" t="s">
        <v>4170</v>
      </c>
      <c r="C513" s="3">
        <v>43178</v>
      </c>
      <c r="D513" s="3">
        <v>43178</v>
      </c>
      <c r="E513" s="3" t="s">
        <v>1335</v>
      </c>
      <c r="F513" s="394" t="s">
        <v>4136</v>
      </c>
      <c r="G513" s="394" t="s">
        <v>3784</v>
      </c>
      <c r="H513" s="1" t="s">
        <v>3656</v>
      </c>
      <c r="I513" s="418">
        <f t="shared" si="31"/>
        <v>1136.0183326000001</v>
      </c>
      <c r="J513" s="418">
        <f t="shared" si="32"/>
        <v>257.04680000000002</v>
      </c>
      <c r="K513" s="351">
        <f t="shared" si="33"/>
        <v>142.81520208000001</v>
      </c>
      <c r="L513" s="350">
        <f t="shared" si="34"/>
        <v>28.563040416000003</v>
      </c>
      <c r="M513" s="345" t="s">
        <v>6169</v>
      </c>
      <c r="N513" s="1" t="s">
        <v>3785</v>
      </c>
      <c r="O513" s="1" t="s">
        <v>4137</v>
      </c>
      <c r="P513" s="396" t="s">
        <v>3659</v>
      </c>
      <c r="Q513" s="397">
        <v>0.2</v>
      </c>
      <c r="R513" s="396">
        <v>1900001489</v>
      </c>
      <c r="S513" s="2" t="s">
        <v>1334</v>
      </c>
      <c r="T513" s="2" t="s">
        <v>5915</v>
      </c>
    </row>
    <row r="514" spans="1:20" hidden="1" x14ac:dyDescent="0.35">
      <c r="A514" s="398" t="s">
        <v>4038</v>
      </c>
      <c r="B514" s="1" t="s">
        <v>4170</v>
      </c>
      <c r="C514" s="3">
        <v>43178</v>
      </c>
      <c r="D514" s="3">
        <v>43178</v>
      </c>
      <c r="E514" s="3" t="s">
        <v>1342</v>
      </c>
      <c r="F514" s="394" t="s">
        <v>4136</v>
      </c>
      <c r="G514" s="394" t="s">
        <v>3784</v>
      </c>
      <c r="H514" s="1" t="s">
        <v>3656</v>
      </c>
      <c r="I514" s="418">
        <f t="shared" si="31"/>
        <v>1136.0183326000001</v>
      </c>
      <c r="J514" s="418">
        <f t="shared" si="32"/>
        <v>257.04680000000002</v>
      </c>
      <c r="K514" s="351">
        <f t="shared" si="33"/>
        <v>142.81520208000001</v>
      </c>
      <c r="L514" s="350">
        <f t="shared" si="34"/>
        <v>28.563040416000003</v>
      </c>
      <c r="M514" s="345" t="s">
        <v>6169</v>
      </c>
      <c r="N514" s="1" t="s">
        <v>3785</v>
      </c>
      <c r="O514" s="1" t="s">
        <v>4137</v>
      </c>
      <c r="P514" s="396" t="s">
        <v>3659</v>
      </c>
      <c r="Q514" s="397">
        <v>0.2</v>
      </c>
      <c r="R514" s="396">
        <v>1900001489</v>
      </c>
      <c r="S514" s="2" t="s">
        <v>1341</v>
      </c>
      <c r="T514" s="2" t="s">
        <v>5915</v>
      </c>
    </row>
    <row r="515" spans="1:20" hidden="1" x14ac:dyDescent="0.35">
      <c r="A515" s="398" t="s">
        <v>4039</v>
      </c>
      <c r="B515" s="1" t="s">
        <v>4170</v>
      </c>
      <c r="C515" s="3">
        <v>43178</v>
      </c>
      <c r="D515" s="3">
        <v>43178</v>
      </c>
      <c r="E515" s="3" t="s">
        <v>1348</v>
      </c>
      <c r="F515" s="394" t="s">
        <v>4136</v>
      </c>
      <c r="G515" s="394" t="s">
        <v>3784</v>
      </c>
      <c r="H515" s="1" t="s">
        <v>3656</v>
      </c>
      <c r="I515" s="418">
        <f t="shared" si="31"/>
        <v>1136.0183326000001</v>
      </c>
      <c r="J515" s="418">
        <f t="shared" si="32"/>
        <v>257.04680000000002</v>
      </c>
      <c r="K515" s="351">
        <f t="shared" si="33"/>
        <v>142.81520208000001</v>
      </c>
      <c r="L515" s="350">
        <f t="shared" si="34"/>
        <v>28.563040416000003</v>
      </c>
      <c r="M515" s="345" t="s">
        <v>6169</v>
      </c>
      <c r="N515" s="1" t="s">
        <v>3785</v>
      </c>
      <c r="O515" s="1" t="s">
        <v>4137</v>
      </c>
      <c r="P515" s="396" t="s">
        <v>3659</v>
      </c>
      <c r="Q515" s="397">
        <v>0.2</v>
      </c>
      <c r="R515" s="396">
        <v>1900001489</v>
      </c>
      <c r="S515" s="2" t="s">
        <v>1349</v>
      </c>
      <c r="T515" s="2" t="s">
        <v>5915</v>
      </c>
    </row>
    <row r="516" spans="1:20" hidden="1" x14ac:dyDescent="0.35">
      <c r="A516" s="398" t="s">
        <v>4040</v>
      </c>
      <c r="B516" s="1" t="s">
        <v>4170</v>
      </c>
      <c r="C516" s="3">
        <v>43178</v>
      </c>
      <c r="D516" s="3">
        <v>43178</v>
      </c>
      <c r="E516" s="3" t="s">
        <v>1372</v>
      </c>
      <c r="F516" s="394" t="s">
        <v>4136</v>
      </c>
      <c r="G516" s="394" t="s">
        <v>3784</v>
      </c>
      <c r="H516" s="1" t="s">
        <v>3656</v>
      </c>
      <c r="I516" s="418">
        <f t="shared" si="31"/>
        <v>1136.0183326000001</v>
      </c>
      <c r="J516" s="418">
        <f t="shared" si="32"/>
        <v>257.04680000000002</v>
      </c>
      <c r="K516" s="351">
        <f t="shared" si="33"/>
        <v>142.81520208000001</v>
      </c>
      <c r="L516" s="350">
        <f t="shared" si="34"/>
        <v>28.563040416000003</v>
      </c>
      <c r="M516" s="345" t="s">
        <v>6169</v>
      </c>
      <c r="N516" s="1" t="s">
        <v>3785</v>
      </c>
      <c r="O516" s="1" t="s">
        <v>4137</v>
      </c>
      <c r="P516" s="396" t="s">
        <v>3659</v>
      </c>
      <c r="Q516" s="397">
        <v>0.2</v>
      </c>
      <c r="R516" s="396">
        <v>1900001489</v>
      </c>
      <c r="S516" s="2" t="s">
        <v>1371</v>
      </c>
      <c r="T516" s="2" t="s">
        <v>5915</v>
      </c>
    </row>
    <row r="517" spans="1:20" hidden="1" x14ac:dyDescent="0.35">
      <c r="A517" s="398" t="s">
        <v>4041</v>
      </c>
      <c r="B517" s="1" t="s">
        <v>4170</v>
      </c>
      <c r="C517" s="3">
        <v>43178</v>
      </c>
      <c r="D517" s="3">
        <v>43178</v>
      </c>
      <c r="E517" s="3" t="s">
        <v>1376</v>
      </c>
      <c r="F517" s="394" t="s">
        <v>4136</v>
      </c>
      <c r="G517" s="394" t="s">
        <v>3784</v>
      </c>
      <c r="H517" s="1" t="s">
        <v>3656</v>
      </c>
      <c r="I517" s="418">
        <f t="shared" si="31"/>
        <v>1136.0183326000001</v>
      </c>
      <c r="J517" s="418">
        <f t="shared" si="32"/>
        <v>257.04680000000002</v>
      </c>
      <c r="K517" s="351">
        <f t="shared" si="33"/>
        <v>142.81520208000001</v>
      </c>
      <c r="L517" s="350">
        <f t="shared" si="34"/>
        <v>28.563040416000003</v>
      </c>
      <c r="M517" s="345" t="s">
        <v>6169</v>
      </c>
      <c r="N517" s="1" t="s">
        <v>1377</v>
      </c>
      <c r="O517" s="1" t="s">
        <v>4137</v>
      </c>
      <c r="P517" s="396" t="s">
        <v>3659</v>
      </c>
      <c r="Q517" s="397">
        <v>0.2</v>
      </c>
      <c r="R517" s="396">
        <v>1900001489</v>
      </c>
      <c r="S517" s="2" t="s">
        <v>1377</v>
      </c>
      <c r="T517" s="2" t="s">
        <v>5915</v>
      </c>
    </row>
    <row r="518" spans="1:20" hidden="1" x14ac:dyDescent="0.35">
      <c r="A518" s="398" t="s">
        <v>4043</v>
      </c>
      <c r="B518" s="1" t="s">
        <v>4170</v>
      </c>
      <c r="C518" s="3">
        <v>43178</v>
      </c>
      <c r="D518" s="3">
        <v>43178</v>
      </c>
      <c r="E518" s="3" t="s">
        <v>1378</v>
      </c>
      <c r="F518" s="394" t="s">
        <v>4136</v>
      </c>
      <c r="G518" s="394" t="s">
        <v>3784</v>
      </c>
      <c r="H518" s="1" t="s">
        <v>3656</v>
      </c>
      <c r="I518" s="418">
        <f t="shared" si="31"/>
        <v>1136.0183326000001</v>
      </c>
      <c r="J518" s="418">
        <f t="shared" si="32"/>
        <v>257.04680000000002</v>
      </c>
      <c r="K518" s="351">
        <f t="shared" si="33"/>
        <v>142.81520208000001</v>
      </c>
      <c r="L518" s="350">
        <f t="shared" si="34"/>
        <v>28.563040416000003</v>
      </c>
      <c r="M518" s="345" t="s">
        <v>6169</v>
      </c>
      <c r="N518" s="1" t="s">
        <v>1377</v>
      </c>
      <c r="O518" s="1" t="s">
        <v>4137</v>
      </c>
      <c r="P518" s="396" t="s">
        <v>3659</v>
      </c>
      <c r="Q518" s="397">
        <v>0.2</v>
      </c>
      <c r="R518" s="396">
        <v>1900001489</v>
      </c>
      <c r="S518" s="2" t="s">
        <v>1377</v>
      </c>
      <c r="T518" s="2" t="s">
        <v>5915</v>
      </c>
    </row>
    <row r="519" spans="1:20" hidden="1" x14ac:dyDescent="0.35">
      <c r="A519" s="398" t="s">
        <v>4044</v>
      </c>
      <c r="B519" s="1" t="s">
        <v>4170</v>
      </c>
      <c r="C519" s="3">
        <v>43178</v>
      </c>
      <c r="D519" s="3">
        <v>43178</v>
      </c>
      <c r="E519" s="3" t="s">
        <v>1388</v>
      </c>
      <c r="F519" s="394" t="s">
        <v>4136</v>
      </c>
      <c r="G519" s="394" t="s">
        <v>3784</v>
      </c>
      <c r="H519" s="1" t="s">
        <v>3656</v>
      </c>
      <c r="I519" s="418">
        <f t="shared" si="31"/>
        <v>1136.0183326000001</v>
      </c>
      <c r="J519" s="418">
        <f t="shared" si="32"/>
        <v>257.04680000000002</v>
      </c>
      <c r="K519" s="351">
        <f t="shared" si="33"/>
        <v>142.81520208000001</v>
      </c>
      <c r="L519" s="350">
        <f t="shared" si="34"/>
        <v>28.563040416000003</v>
      </c>
      <c r="M519" s="345" t="s">
        <v>6169</v>
      </c>
      <c r="N519" s="1" t="s">
        <v>1377</v>
      </c>
      <c r="O519" s="1" t="s">
        <v>4137</v>
      </c>
      <c r="P519" s="396" t="s">
        <v>3659</v>
      </c>
      <c r="Q519" s="397">
        <v>0.2</v>
      </c>
      <c r="R519" s="396">
        <v>1900001489</v>
      </c>
      <c r="S519" s="2" t="s">
        <v>1377</v>
      </c>
      <c r="T519" s="2" t="s">
        <v>5915</v>
      </c>
    </row>
    <row r="520" spans="1:20" hidden="1" x14ac:dyDescent="0.35">
      <c r="A520" s="398" t="s">
        <v>4045</v>
      </c>
      <c r="B520" s="1" t="s">
        <v>4170</v>
      </c>
      <c r="C520" s="3">
        <v>43178</v>
      </c>
      <c r="D520" s="3">
        <v>43178</v>
      </c>
      <c r="E520" s="3" t="s">
        <v>1390</v>
      </c>
      <c r="F520" s="394" t="s">
        <v>4136</v>
      </c>
      <c r="G520" s="394" t="s">
        <v>3784</v>
      </c>
      <c r="H520" s="1" t="s">
        <v>3656</v>
      </c>
      <c r="I520" s="418">
        <f t="shared" si="31"/>
        <v>1136.0183326000001</v>
      </c>
      <c r="J520" s="418">
        <f t="shared" si="32"/>
        <v>257.04680000000002</v>
      </c>
      <c r="K520" s="351">
        <f t="shared" si="33"/>
        <v>142.81520208000001</v>
      </c>
      <c r="L520" s="350">
        <f t="shared" si="34"/>
        <v>28.563040416000003</v>
      </c>
      <c r="M520" s="345" t="s">
        <v>6169</v>
      </c>
      <c r="N520" s="1" t="s">
        <v>1377</v>
      </c>
      <c r="O520" s="1" t="s">
        <v>4137</v>
      </c>
      <c r="P520" s="396" t="s">
        <v>3659</v>
      </c>
      <c r="Q520" s="397">
        <v>0.2</v>
      </c>
      <c r="R520" s="396">
        <v>1900001489</v>
      </c>
      <c r="S520" s="2" t="s">
        <v>1377</v>
      </c>
      <c r="T520" s="2" t="s">
        <v>5915</v>
      </c>
    </row>
    <row r="521" spans="1:20" hidden="1" x14ac:dyDescent="0.35">
      <c r="A521" s="398" t="s">
        <v>4046</v>
      </c>
      <c r="B521" s="1" t="s">
        <v>4170</v>
      </c>
      <c r="C521" s="3">
        <v>43178</v>
      </c>
      <c r="D521" s="3">
        <v>43178</v>
      </c>
      <c r="E521" s="3" t="s">
        <v>1393</v>
      </c>
      <c r="F521" s="394" t="s">
        <v>4136</v>
      </c>
      <c r="G521" s="394" t="s">
        <v>3784</v>
      </c>
      <c r="H521" s="1" t="s">
        <v>3656</v>
      </c>
      <c r="I521" s="418">
        <f t="shared" si="31"/>
        <v>1136.0183326000001</v>
      </c>
      <c r="J521" s="418">
        <f t="shared" si="32"/>
        <v>257.04680000000002</v>
      </c>
      <c r="K521" s="351">
        <f t="shared" si="33"/>
        <v>142.81520208000001</v>
      </c>
      <c r="L521" s="350">
        <f t="shared" si="34"/>
        <v>28.563040416000003</v>
      </c>
      <c r="M521" s="345" t="s">
        <v>6169</v>
      </c>
      <c r="N521" s="1" t="s">
        <v>1377</v>
      </c>
      <c r="O521" s="1" t="s">
        <v>4137</v>
      </c>
      <c r="P521" s="396" t="s">
        <v>3659</v>
      </c>
      <c r="Q521" s="397">
        <v>0.2</v>
      </c>
      <c r="R521" s="396">
        <v>1900001489</v>
      </c>
      <c r="S521" s="2" t="s">
        <v>1377</v>
      </c>
      <c r="T521" s="2" t="s">
        <v>5915</v>
      </c>
    </row>
    <row r="522" spans="1:20" hidden="1" x14ac:dyDescent="0.35">
      <c r="A522" s="398" t="s">
        <v>4048</v>
      </c>
      <c r="B522" s="1" t="s">
        <v>4170</v>
      </c>
      <c r="C522" s="3">
        <v>43178</v>
      </c>
      <c r="D522" s="3">
        <v>43178</v>
      </c>
      <c r="E522" s="3" t="s">
        <v>1395</v>
      </c>
      <c r="F522" s="394" t="s">
        <v>4136</v>
      </c>
      <c r="G522" s="394" t="s">
        <v>3784</v>
      </c>
      <c r="H522" s="1" t="s">
        <v>3656</v>
      </c>
      <c r="I522" s="418">
        <f t="shared" si="31"/>
        <v>1136.0183326000001</v>
      </c>
      <c r="J522" s="418">
        <f t="shared" si="32"/>
        <v>257.04680000000002</v>
      </c>
      <c r="K522" s="351">
        <f t="shared" si="33"/>
        <v>142.81520208000001</v>
      </c>
      <c r="L522" s="350">
        <f t="shared" si="34"/>
        <v>28.563040416000003</v>
      </c>
      <c r="M522" s="345" t="s">
        <v>6169</v>
      </c>
      <c r="N522" s="1" t="s">
        <v>1377</v>
      </c>
      <c r="O522" s="1" t="s">
        <v>4137</v>
      </c>
      <c r="P522" s="396" t="s">
        <v>3659</v>
      </c>
      <c r="Q522" s="397">
        <v>0.2</v>
      </c>
      <c r="R522" s="396">
        <v>1900001489</v>
      </c>
      <c r="S522" s="2" t="s">
        <v>1377</v>
      </c>
      <c r="T522" s="2" t="s">
        <v>5915</v>
      </c>
    </row>
    <row r="523" spans="1:20" hidden="1" x14ac:dyDescent="0.35">
      <c r="A523" s="398" t="s">
        <v>4050</v>
      </c>
      <c r="B523" s="1" t="s">
        <v>4170</v>
      </c>
      <c r="C523" s="3">
        <v>43178</v>
      </c>
      <c r="D523" s="3">
        <v>43178</v>
      </c>
      <c r="E523" s="3" t="s">
        <v>1396</v>
      </c>
      <c r="F523" s="394" t="s">
        <v>4136</v>
      </c>
      <c r="G523" s="394" t="s">
        <v>3784</v>
      </c>
      <c r="H523" s="1" t="s">
        <v>3656</v>
      </c>
      <c r="I523" s="418">
        <f t="shared" ref="I523:I588" si="35">J523*4.4195</f>
        <v>1136.0183326000001</v>
      </c>
      <c r="J523" s="418">
        <f t="shared" si="32"/>
        <v>257.04680000000002</v>
      </c>
      <c r="K523" s="351">
        <f t="shared" si="33"/>
        <v>142.81520208000001</v>
      </c>
      <c r="L523" s="350">
        <f t="shared" si="34"/>
        <v>28.563040416000003</v>
      </c>
      <c r="M523" s="345" t="s">
        <v>6169</v>
      </c>
      <c r="N523" s="1" t="s">
        <v>1377</v>
      </c>
      <c r="O523" s="1" t="s">
        <v>4137</v>
      </c>
      <c r="P523" s="396" t="s">
        <v>3659</v>
      </c>
      <c r="Q523" s="397">
        <v>0.2</v>
      </c>
      <c r="R523" s="396">
        <v>1900001489</v>
      </c>
      <c r="S523" s="2" t="s">
        <v>1377</v>
      </c>
      <c r="T523" s="2" t="s">
        <v>5915</v>
      </c>
    </row>
    <row r="524" spans="1:20" hidden="1" x14ac:dyDescent="0.35">
      <c r="A524" s="398" t="s">
        <v>4051</v>
      </c>
      <c r="B524" s="1" t="s">
        <v>4170</v>
      </c>
      <c r="C524" s="3">
        <v>43178</v>
      </c>
      <c r="D524" s="3">
        <v>43178</v>
      </c>
      <c r="E524" s="3" t="s">
        <v>1400</v>
      </c>
      <c r="F524" s="394" t="s">
        <v>4136</v>
      </c>
      <c r="G524" s="394" t="s">
        <v>3784</v>
      </c>
      <c r="H524" s="1" t="s">
        <v>3656</v>
      </c>
      <c r="I524" s="418">
        <f t="shared" si="35"/>
        <v>1136.0183326000001</v>
      </c>
      <c r="J524" s="418">
        <f t="shared" si="32"/>
        <v>257.04680000000002</v>
      </c>
      <c r="K524" s="351">
        <f t="shared" si="33"/>
        <v>142.81520208000001</v>
      </c>
      <c r="L524" s="350">
        <f t="shared" si="34"/>
        <v>28.563040416000003</v>
      </c>
      <c r="M524" s="345" t="s">
        <v>6169</v>
      </c>
      <c r="N524" s="1" t="s">
        <v>1377</v>
      </c>
      <c r="O524" s="1" t="s">
        <v>4137</v>
      </c>
      <c r="P524" s="396" t="s">
        <v>3659</v>
      </c>
      <c r="Q524" s="397">
        <v>0.2</v>
      </c>
      <c r="R524" s="396">
        <v>1900001489</v>
      </c>
      <c r="S524" s="2" t="s">
        <v>6447</v>
      </c>
      <c r="T524" s="2" t="s">
        <v>5915</v>
      </c>
    </row>
    <row r="525" spans="1:20" hidden="1" x14ac:dyDescent="0.35">
      <c r="A525" s="398" t="s">
        <v>4052</v>
      </c>
      <c r="B525" s="1" t="s">
        <v>4170</v>
      </c>
      <c r="C525" s="3">
        <v>43178</v>
      </c>
      <c r="D525" s="3">
        <v>43178</v>
      </c>
      <c r="E525" s="3" t="s">
        <v>1408</v>
      </c>
      <c r="F525" s="394" t="s">
        <v>4136</v>
      </c>
      <c r="G525" s="394" t="s">
        <v>3784</v>
      </c>
      <c r="H525" s="1" t="s">
        <v>3656</v>
      </c>
      <c r="I525" s="418">
        <f t="shared" si="35"/>
        <v>1136.0183326000001</v>
      </c>
      <c r="J525" s="418">
        <f t="shared" si="32"/>
        <v>257.04680000000002</v>
      </c>
      <c r="K525" s="351">
        <f t="shared" si="33"/>
        <v>142.81520208000001</v>
      </c>
      <c r="L525" s="350">
        <f t="shared" si="34"/>
        <v>28.563040416000003</v>
      </c>
      <c r="M525" s="345" t="s">
        <v>6169</v>
      </c>
      <c r="N525" s="1" t="s">
        <v>1377</v>
      </c>
      <c r="O525" s="1" t="s">
        <v>4137</v>
      </c>
      <c r="P525" s="396" t="s">
        <v>3659</v>
      </c>
      <c r="Q525" s="397">
        <v>0.2</v>
      </c>
      <c r="R525" s="396">
        <v>1900001489</v>
      </c>
      <c r="S525" s="2" t="s">
        <v>1406</v>
      </c>
      <c r="T525" s="2" t="s">
        <v>5915</v>
      </c>
    </row>
    <row r="526" spans="1:20" hidden="1" x14ac:dyDescent="0.35">
      <c r="A526" s="398" t="s">
        <v>4053</v>
      </c>
      <c r="B526" s="1" t="s">
        <v>4170</v>
      </c>
      <c r="C526" s="3">
        <v>43178</v>
      </c>
      <c r="D526" s="3">
        <v>43178</v>
      </c>
      <c r="E526" s="3" t="s">
        <v>1412</v>
      </c>
      <c r="F526" s="394" t="s">
        <v>4136</v>
      </c>
      <c r="G526" s="394" t="s">
        <v>3784</v>
      </c>
      <c r="H526" s="1" t="s">
        <v>3656</v>
      </c>
      <c r="I526" s="418">
        <f t="shared" si="35"/>
        <v>1136.0183326000001</v>
      </c>
      <c r="J526" s="418">
        <f t="shared" si="32"/>
        <v>257.04680000000002</v>
      </c>
      <c r="K526" s="351">
        <f t="shared" si="33"/>
        <v>142.81520208000001</v>
      </c>
      <c r="L526" s="350">
        <f t="shared" si="34"/>
        <v>28.563040416000003</v>
      </c>
      <c r="M526" s="345" t="s">
        <v>6169</v>
      </c>
      <c r="N526" s="1" t="s">
        <v>1377</v>
      </c>
      <c r="O526" s="1" t="s">
        <v>4137</v>
      </c>
      <c r="P526" s="396" t="s">
        <v>3659</v>
      </c>
      <c r="Q526" s="397">
        <v>0.2</v>
      </c>
      <c r="R526" s="396">
        <v>1900001489</v>
      </c>
      <c r="S526" s="2" t="s">
        <v>1411</v>
      </c>
      <c r="T526" s="2" t="s">
        <v>5915</v>
      </c>
    </row>
    <row r="527" spans="1:20" hidden="1" x14ac:dyDescent="0.35">
      <c r="A527" s="398" t="s">
        <v>4054</v>
      </c>
      <c r="B527" s="1" t="s">
        <v>4170</v>
      </c>
      <c r="C527" s="3">
        <v>43178</v>
      </c>
      <c r="D527" s="3">
        <v>43178</v>
      </c>
      <c r="E527" s="3" t="s">
        <v>1417</v>
      </c>
      <c r="F527" s="394" t="s">
        <v>4136</v>
      </c>
      <c r="G527" s="394" t="s">
        <v>3784</v>
      </c>
      <c r="H527" s="1" t="s">
        <v>3656</v>
      </c>
      <c r="I527" s="418">
        <f t="shared" si="35"/>
        <v>1136.0183326000001</v>
      </c>
      <c r="J527" s="418">
        <f t="shared" si="32"/>
        <v>257.04680000000002</v>
      </c>
      <c r="K527" s="351">
        <f t="shared" si="33"/>
        <v>142.81520208000001</v>
      </c>
      <c r="L527" s="350">
        <f t="shared" si="34"/>
        <v>28.563040416000003</v>
      </c>
      <c r="M527" s="345" t="s">
        <v>6169</v>
      </c>
      <c r="N527" s="1" t="s">
        <v>1377</v>
      </c>
      <c r="O527" s="1" t="s">
        <v>4137</v>
      </c>
      <c r="P527" s="396" t="s">
        <v>3659</v>
      </c>
      <c r="Q527" s="397">
        <v>0.2</v>
      </c>
      <c r="R527" s="396">
        <v>1900001489</v>
      </c>
      <c r="S527" s="2" t="s">
        <v>1416</v>
      </c>
      <c r="T527" s="2" t="s">
        <v>5915</v>
      </c>
    </row>
    <row r="528" spans="1:20" hidden="1" x14ac:dyDescent="0.35">
      <c r="A528" s="398" t="s">
        <v>4055</v>
      </c>
      <c r="B528" s="1" t="s">
        <v>4170</v>
      </c>
      <c r="C528" s="3">
        <v>43178</v>
      </c>
      <c r="D528" s="3">
        <v>43178</v>
      </c>
      <c r="E528" s="3" t="s">
        <v>1418</v>
      </c>
      <c r="F528" s="394" t="s">
        <v>4136</v>
      </c>
      <c r="G528" s="394" t="s">
        <v>3784</v>
      </c>
      <c r="H528" s="1" t="s">
        <v>3656</v>
      </c>
      <c r="I528" s="418">
        <f t="shared" si="35"/>
        <v>1136.0183326000001</v>
      </c>
      <c r="J528" s="418">
        <f t="shared" si="32"/>
        <v>257.04680000000002</v>
      </c>
      <c r="K528" s="351">
        <f t="shared" si="33"/>
        <v>142.81520208000001</v>
      </c>
      <c r="L528" s="350">
        <f t="shared" si="34"/>
        <v>28.563040416000003</v>
      </c>
      <c r="M528" s="345" t="s">
        <v>6169</v>
      </c>
      <c r="N528" s="1" t="s">
        <v>1377</v>
      </c>
      <c r="O528" s="1" t="s">
        <v>4137</v>
      </c>
      <c r="P528" s="396" t="s">
        <v>3659</v>
      </c>
      <c r="Q528" s="397">
        <v>0.2</v>
      </c>
      <c r="R528" s="396">
        <v>1900001489</v>
      </c>
      <c r="S528" s="2" t="s">
        <v>1416</v>
      </c>
      <c r="T528" s="2" t="s">
        <v>5915</v>
      </c>
    </row>
    <row r="529" spans="1:20" s="815" customFormat="1" hidden="1" x14ac:dyDescent="0.35">
      <c r="A529" s="15"/>
      <c r="B529" s="1" t="s">
        <v>4170</v>
      </c>
      <c r="C529" s="3">
        <v>43178</v>
      </c>
      <c r="D529" s="3"/>
      <c r="E529" s="8" t="s">
        <v>6301</v>
      </c>
      <c r="F529" s="394"/>
      <c r="G529" s="394" t="s">
        <v>3784</v>
      </c>
      <c r="H529" s="1" t="s">
        <v>3656</v>
      </c>
      <c r="I529" s="418"/>
      <c r="J529" s="418"/>
      <c r="K529" s="351"/>
      <c r="L529" s="350"/>
      <c r="M529" s="345"/>
      <c r="N529" s="15" t="s">
        <v>3785</v>
      </c>
      <c r="O529" s="1"/>
      <c r="P529" s="396"/>
      <c r="Q529" s="397"/>
      <c r="R529" s="396"/>
      <c r="S529" s="15" t="s">
        <v>1664</v>
      </c>
      <c r="T529" s="15"/>
    </row>
    <row r="530" spans="1:20" s="815" customFormat="1" hidden="1" x14ac:dyDescent="0.35">
      <c r="A530" s="15"/>
      <c r="B530" s="1" t="s">
        <v>4170</v>
      </c>
      <c r="C530" s="3"/>
      <c r="D530" s="3"/>
      <c r="E530" s="8" t="s">
        <v>6302</v>
      </c>
      <c r="F530" s="394"/>
      <c r="G530" s="394" t="s">
        <v>3784</v>
      </c>
      <c r="H530" s="1" t="s">
        <v>3656</v>
      </c>
      <c r="I530" s="418"/>
      <c r="J530" s="418"/>
      <c r="K530" s="351"/>
      <c r="L530" s="350"/>
      <c r="M530" s="345"/>
      <c r="N530" s="15" t="s">
        <v>3785</v>
      </c>
      <c r="O530" s="1"/>
      <c r="P530" s="396"/>
      <c r="Q530" s="397"/>
      <c r="R530" s="396"/>
      <c r="S530" s="15" t="s">
        <v>1664</v>
      </c>
      <c r="T530" s="15"/>
    </row>
    <row r="531" spans="1:20" hidden="1" x14ac:dyDescent="0.35">
      <c r="A531" s="398" t="s">
        <v>4056</v>
      </c>
      <c r="B531" s="1" t="s">
        <v>4170</v>
      </c>
      <c r="C531" s="3">
        <v>43178</v>
      </c>
      <c r="D531" s="3">
        <v>43178</v>
      </c>
      <c r="E531" s="3" t="s">
        <v>1422</v>
      </c>
      <c r="F531" s="394" t="s">
        <v>4136</v>
      </c>
      <c r="G531" s="394" t="s">
        <v>3784</v>
      </c>
      <c r="H531" s="1" t="s">
        <v>3656</v>
      </c>
      <c r="I531" s="418">
        <f t="shared" si="35"/>
        <v>1136.0183326000001</v>
      </c>
      <c r="J531" s="418">
        <f t="shared" si="32"/>
        <v>257.04680000000002</v>
      </c>
      <c r="K531" s="351">
        <f t="shared" si="33"/>
        <v>142.81520208000001</v>
      </c>
      <c r="L531" s="350">
        <f t="shared" si="34"/>
        <v>28.563040416000003</v>
      </c>
      <c r="M531" s="345" t="s">
        <v>6169</v>
      </c>
      <c r="N531" s="1" t="s">
        <v>1377</v>
      </c>
      <c r="O531" s="1" t="s">
        <v>4137</v>
      </c>
      <c r="P531" s="396" t="s">
        <v>3659</v>
      </c>
      <c r="Q531" s="397">
        <v>0.2</v>
      </c>
      <c r="R531" s="396">
        <v>1900001489</v>
      </c>
      <c r="S531" s="2" t="s">
        <v>1377</v>
      </c>
      <c r="T531" s="2" t="s">
        <v>5915</v>
      </c>
    </row>
    <row r="532" spans="1:20" hidden="1" x14ac:dyDescent="0.35">
      <c r="A532" s="398" t="s">
        <v>4057</v>
      </c>
      <c r="B532" s="1" t="s">
        <v>4170</v>
      </c>
      <c r="C532" s="3">
        <v>43178</v>
      </c>
      <c r="D532" s="3">
        <v>43178</v>
      </c>
      <c r="E532" s="3" t="s">
        <v>1424</v>
      </c>
      <c r="F532" s="394" t="s">
        <v>4136</v>
      </c>
      <c r="G532" s="394" t="s">
        <v>3784</v>
      </c>
      <c r="H532" s="1" t="s">
        <v>3656</v>
      </c>
      <c r="I532" s="418">
        <f t="shared" si="35"/>
        <v>1136.0183326000001</v>
      </c>
      <c r="J532" s="418">
        <f t="shared" si="32"/>
        <v>257.04680000000002</v>
      </c>
      <c r="K532" s="351">
        <f t="shared" si="33"/>
        <v>142.81520208000001</v>
      </c>
      <c r="L532" s="350">
        <f t="shared" si="34"/>
        <v>28.563040416000003</v>
      </c>
      <c r="M532" s="345" t="s">
        <v>6169</v>
      </c>
      <c r="N532" s="1" t="s">
        <v>1377</v>
      </c>
      <c r="O532" s="1" t="s">
        <v>4137</v>
      </c>
      <c r="P532" s="396" t="s">
        <v>3659</v>
      </c>
      <c r="Q532" s="397">
        <v>0.2</v>
      </c>
      <c r="R532" s="396">
        <v>1900001489</v>
      </c>
      <c r="S532" s="2" t="s">
        <v>1423</v>
      </c>
      <c r="T532" s="2" t="s">
        <v>5915</v>
      </c>
    </row>
    <row r="533" spans="1:20" hidden="1" x14ac:dyDescent="0.35">
      <c r="A533" s="398" t="s">
        <v>4058</v>
      </c>
      <c r="B533" s="1" t="s">
        <v>4170</v>
      </c>
      <c r="C533" s="3">
        <v>43178</v>
      </c>
      <c r="D533" s="3">
        <v>43178</v>
      </c>
      <c r="E533" s="3" t="s">
        <v>1429</v>
      </c>
      <c r="F533" s="394" t="s">
        <v>4136</v>
      </c>
      <c r="G533" s="394" t="s">
        <v>3784</v>
      </c>
      <c r="H533" s="1" t="s">
        <v>3656</v>
      </c>
      <c r="I533" s="418">
        <f t="shared" si="35"/>
        <v>1136.0183326000001</v>
      </c>
      <c r="J533" s="418">
        <f t="shared" si="32"/>
        <v>257.04680000000002</v>
      </c>
      <c r="K533" s="351">
        <f t="shared" si="33"/>
        <v>142.81520208000001</v>
      </c>
      <c r="L533" s="350">
        <f t="shared" si="34"/>
        <v>28.563040416000003</v>
      </c>
      <c r="M533" s="345" t="s">
        <v>6169</v>
      </c>
      <c r="N533" s="1" t="s">
        <v>1377</v>
      </c>
      <c r="O533" s="1" t="s">
        <v>4137</v>
      </c>
      <c r="P533" s="396" t="s">
        <v>3659</v>
      </c>
      <c r="Q533" s="397">
        <v>0.2</v>
      </c>
      <c r="R533" s="396">
        <v>1900001489</v>
      </c>
      <c r="S533" s="2" t="s">
        <v>1428</v>
      </c>
      <c r="T533" s="2" t="s">
        <v>5915</v>
      </c>
    </row>
    <row r="534" spans="1:20" hidden="1" x14ac:dyDescent="0.35">
      <c r="A534" s="398" t="s">
        <v>4059</v>
      </c>
      <c r="B534" s="1" t="s">
        <v>4170</v>
      </c>
      <c r="C534" s="3">
        <v>43178</v>
      </c>
      <c r="D534" s="3">
        <v>43178</v>
      </c>
      <c r="E534" s="3" t="s">
        <v>1430</v>
      </c>
      <c r="F534" s="394" t="s">
        <v>4136</v>
      </c>
      <c r="G534" s="394" t="s">
        <v>3784</v>
      </c>
      <c r="H534" s="1" t="s">
        <v>3656</v>
      </c>
      <c r="I534" s="418">
        <f t="shared" si="35"/>
        <v>1136.0183326000001</v>
      </c>
      <c r="J534" s="418">
        <f t="shared" si="32"/>
        <v>257.04680000000002</v>
      </c>
      <c r="K534" s="351">
        <f t="shared" si="33"/>
        <v>142.81520208000001</v>
      </c>
      <c r="L534" s="350">
        <f t="shared" si="34"/>
        <v>28.563040416000003</v>
      </c>
      <c r="M534" s="345" t="s">
        <v>6169</v>
      </c>
      <c r="N534" s="1" t="s">
        <v>1377</v>
      </c>
      <c r="O534" s="1" t="s">
        <v>4137</v>
      </c>
      <c r="P534" s="396" t="s">
        <v>3659</v>
      </c>
      <c r="Q534" s="397">
        <v>0.2</v>
      </c>
      <c r="R534" s="396">
        <v>1900001489</v>
      </c>
      <c r="S534" s="2" t="s">
        <v>1428</v>
      </c>
      <c r="T534" s="2" t="s">
        <v>5915</v>
      </c>
    </row>
    <row r="535" spans="1:20" hidden="1" x14ac:dyDescent="0.35">
      <c r="A535" s="398" t="s">
        <v>4060</v>
      </c>
      <c r="B535" s="1" t="s">
        <v>4170</v>
      </c>
      <c r="C535" s="3">
        <v>43178</v>
      </c>
      <c r="D535" s="3">
        <v>43178</v>
      </c>
      <c r="E535" s="3" t="s">
        <v>1432</v>
      </c>
      <c r="F535" s="394" t="s">
        <v>4136</v>
      </c>
      <c r="G535" s="394" t="s">
        <v>3784</v>
      </c>
      <c r="H535" s="1" t="s">
        <v>3656</v>
      </c>
      <c r="I535" s="418">
        <f t="shared" si="35"/>
        <v>1136.0183326000001</v>
      </c>
      <c r="J535" s="418">
        <f t="shared" si="32"/>
        <v>257.04680000000002</v>
      </c>
      <c r="K535" s="351">
        <f t="shared" si="33"/>
        <v>142.81520208000001</v>
      </c>
      <c r="L535" s="350">
        <f t="shared" si="34"/>
        <v>28.563040416000003</v>
      </c>
      <c r="M535" s="345" t="s">
        <v>6169</v>
      </c>
      <c r="N535" s="1" t="s">
        <v>1377</v>
      </c>
      <c r="O535" s="1" t="s">
        <v>4137</v>
      </c>
      <c r="P535" s="396" t="s">
        <v>3659</v>
      </c>
      <c r="Q535" s="397">
        <v>0.2</v>
      </c>
      <c r="R535" s="396">
        <v>1900001489</v>
      </c>
      <c r="S535" s="2" t="s">
        <v>1377</v>
      </c>
      <c r="T535" s="2" t="s">
        <v>5915</v>
      </c>
    </row>
    <row r="536" spans="1:20" hidden="1" x14ac:dyDescent="0.35">
      <c r="A536" s="398" t="s">
        <v>4061</v>
      </c>
      <c r="B536" s="1" t="s">
        <v>4170</v>
      </c>
      <c r="C536" s="3">
        <v>43178</v>
      </c>
      <c r="D536" s="3">
        <v>43178</v>
      </c>
      <c r="E536" s="3" t="s">
        <v>1434</v>
      </c>
      <c r="F536" s="394" t="s">
        <v>4136</v>
      </c>
      <c r="G536" s="394" t="s">
        <v>3784</v>
      </c>
      <c r="H536" s="1" t="s">
        <v>3656</v>
      </c>
      <c r="I536" s="418">
        <f t="shared" si="35"/>
        <v>1136.0183326000001</v>
      </c>
      <c r="J536" s="418">
        <f t="shared" si="32"/>
        <v>257.04680000000002</v>
      </c>
      <c r="K536" s="351">
        <f t="shared" si="33"/>
        <v>142.81520208000001</v>
      </c>
      <c r="L536" s="350">
        <f t="shared" si="34"/>
        <v>28.563040416000003</v>
      </c>
      <c r="M536" s="345" t="s">
        <v>6169</v>
      </c>
      <c r="N536" s="1" t="s">
        <v>1377</v>
      </c>
      <c r="O536" s="1" t="s">
        <v>4137</v>
      </c>
      <c r="P536" s="396" t="s">
        <v>3659</v>
      </c>
      <c r="Q536" s="397">
        <v>0.2</v>
      </c>
      <c r="R536" s="396">
        <v>1900001489</v>
      </c>
      <c r="S536" s="2" t="s">
        <v>1377</v>
      </c>
      <c r="T536" s="2" t="s">
        <v>5915</v>
      </c>
    </row>
    <row r="537" spans="1:20" hidden="1" x14ac:dyDescent="0.35">
      <c r="A537" s="398" t="s">
        <v>4062</v>
      </c>
      <c r="B537" s="1" t="s">
        <v>4170</v>
      </c>
      <c r="C537" s="3">
        <v>43178</v>
      </c>
      <c r="D537" s="3">
        <v>43178</v>
      </c>
      <c r="E537" s="3" t="s">
        <v>1165</v>
      </c>
      <c r="F537" s="394" t="s">
        <v>4136</v>
      </c>
      <c r="G537" s="394" t="s">
        <v>3784</v>
      </c>
      <c r="H537" s="1" t="s">
        <v>3656</v>
      </c>
      <c r="I537" s="418">
        <f t="shared" si="35"/>
        <v>973.69098150000002</v>
      </c>
      <c r="J537" s="418">
        <f>213.9*1.03</f>
        <v>220.31700000000001</v>
      </c>
      <c r="K537" s="351">
        <f t="shared" si="33"/>
        <v>122.4081252</v>
      </c>
      <c r="L537" s="350">
        <f t="shared" si="34"/>
        <v>24.481625040000001</v>
      </c>
      <c r="M537" s="345" t="s">
        <v>6169</v>
      </c>
      <c r="N537" s="1" t="s">
        <v>3785</v>
      </c>
      <c r="O537" s="1" t="s">
        <v>4137</v>
      </c>
      <c r="P537" s="396" t="s">
        <v>3659</v>
      </c>
      <c r="Q537" s="397">
        <v>0.2</v>
      </c>
      <c r="R537" s="396">
        <v>1900001489</v>
      </c>
      <c r="S537" s="2" t="s">
        <v>1164</v>
      </c>
      <c r="T537" s="2" t="s">
        <v>5915</v>
      </c>
    </row>
    <row r="538" spans="1:20" hidden="1" x14ac:dyDescent="0.35">
      <c r="A538" s="398" t="s">
        <v>4063</v>
      </c>
      <c r="B538" s="1" t="s">
        <v>4237</v>
      </c>
      <c r="C538" s="3">
        <v>43178</v>
      </c>
      <c r="D538" s="3">
        <v>43178</v>
      </c>
      <c r="E538" s="3" t="s">
        <v>1167</v>
      </c>
      <c r="F538" s="394" t="s">
        <v>4136</v>
      </c>
      <c r="G538" s="394" t="s">
        <v>3784</v>
      </c>
      <c r="H538" s="1" t="s">
        <v>3656</v>
      </c>
      <c r="I538" s="418">
        <f t="shared" si="35"/>
        <v>973.69098150000002</v>
      </c>
      <c r="J538" s="418">
        <f t="shared" ref="J538:J546" si="36">213.9*1.03</f>
        <v>220.31700000000001</v>
      </c>
      <c r="K538" s="351">
        <f t="shared" si="33"/>
        <v>122.4081252</v>
      </c>
      <c r="L538" s="350">
        <f t="shared" si="34"/>
        <v>24.481625040000001</v>
      </c>
      <c r="M538" s="345" t="s">
        <v>6169</v>
      </c>
      <c r="N538" s="1" t="s">
        <v>3785</v>
      </c>
      <c r="O538" s="1" t="s">
        <v>4137</v>
      </c>
      <c r="P538" s="396" t="s">
        <v>3659</v>
      </c>
      <c r="Q538" s="397">
        <v>0.2</v>
      </c>
      <c r="R538" s="396">
        <v>1900001489</v>
      </c>
      <c r="S538" s="2" t="s">
        <v>1164</v>
      </c>
      <c r="T538" s="2" t="s">
        <v>5915</v>
      </c>
    </row>
    <row r="539" spans="1:20" hidden="1" x14ac:dyDescent="0.35">
      <c r="A539" s="398" t="s">
        <v>4064</v>
      </c>
      <c r="B539" s="1" t="s">
        <v>4237</v>
      </c>
      <c r="C539" s="3">
        <v>43178</v>
      </c>
      <c r="D539" s="3">
        <v>43178</v>
      </c>
      <c r="E539" s="3" t="s">
        <v>1173</v>
      </c>
      <c r="F539" s="394" t="s">
        <v>4136</v>
      </c>
      <c r="G539" s="394" t="s">
        <v>3784</v>
      </c>
      <c r="H539" s="1" t="s">
        <v>3656</v>
      </c>
      <c r="I539" s="418">
        <f t="shared" si="35"/>
        <v>973.69098150000002</v>
      </c>
      <c r="J539" s="418">
        <f t="shared" si="36"/>
        <v>220.31700000000001</v>
      </c>
      <c r="K539" s="351">
        <f t="shared" si="33"/>
        <v>122.4081252</v>
      </c>
      <c r="L539" s="350">
        <f t="shared" si="34"/>
        <v>24.481625040000001</v>
      </c>
      <c r="M539" s="345" t="s">
        <v>6169</v>
      </c>
      <c r="N539" s="1" t="s">
        <v>3785</v>
      </c>
      <c r="O539" s="1" t="s">
        <v>4137</v>
      </c>
      <c r="P539" s="396" t="s">
        <v>3659</v>
      </c>
      <c r="Q539" s="397">
        <v>0.2</v>
      </c>
      <c r="R539" s="396">
        <v>1900001489</v>
      </c>
      <c r="S539" s="2" t="s">
        <v>1171</v>
      </c>
      <c r="T539" s="2" t="s">
        <v>5915</v>
      </c>
    </row>
    <row r="540" spans="1:20" hidden="1" x14ac:dyDescent="0.35">
      <c r="A540" s="398" t="s">
        <v>4065</v>
      </c>
      <c r="B540" s="1" t="s">
        <v>4237</v>
      </c>
      <c r="C540" s="3">
        <v>43178</v>
      </c>
      <c r="D540" s="3">
        <v>43178</v>
      </c>
      <c r="E540" s="3" t="s">
        <v>1179</v>
      </c>
      <c r="F540" s="394" t="s">
        <v>4136</v>
      </c>
      <c r="G540" s="394" t="s">
        <v>3784</v>
      </c>
      <c r="H540" s="1" t="s">
        <v>3656</v>
      </c>
      <c r="I540" s="418">
        <f t="shared" si="35"/>
        <v>973.69098150000002</v>
      </c>
      <c r="J540" s="418">
        <f t="shared" si="36"/>
        <v>220.31700000000001</v>
      </c>
      <c r="K540" s="351">
        <f t="shared" si="33"/>
        <v>122.4081252</v>
      </c>
      <c r="L540" s="350">
        <f t="shared" si="34"/>
        <v>24.481625040000001</v>
      </c>
      <c r="M540" s="345" t="s">
        <v>6169</v>
      </c>
      <c r="N540" s="1" t="s">
        <v>3785</v>
      </c>
      <c r="O540" s="1" t="s">
        <v>4137</v>
      </c>
      <c r="P540" s="396" t="s">
        <v>3659</v>
      </c>
      <c r="Q540" s="397">
        <v>0.2</v>
      </c>
      <c r="R540" s="396">
        <v>1900001489</v>
      </c>
      <c r="S540" s="2" t="s">
        <v>1177</v>
      </c>
      <c r="T540" s="2" t="s">
        <v>5915</v>
      </c>
    </row>
    <row r="541" spans="1:20" hidden="1" x14ac:dyDescent="0.35">
      <c r="A541" s="398" t="s">
        <v>4066</v>
      </c>
      <c r="B541" s="1" t="s">
        <v>4237</v>
      </c>
      <c r="C541" s="3">
        <v>43178</v>
      </c>
      <c r="D541" s="3">
        <v>43178</v>
      </c>
      <c r="E541" s="3" t="s">
        <v>1183</v>
      </c>
      <c r="F541" s="394" t="s">
        <v>4136</v>
      </c>
      <c r="G541" s="394" t="s">
        <v>3784</v>
      </c>
      <c r="H541" s="1" t="s">
        <v>3656</v>
      </c>
      <c r="I541" s="418">
        <f t="shared" si="35"/>
        <v>973.69098150000002</v>
      </c>
      <c r="J541" s="418">
        <f t="shared" si="36"/>
        <v>220.31700000000001</v>
      </c>
      <c r="K541" s="351">
        <f t="shared" si="33"/>
        <v>122.4081252</v>
      </c>
      <c r="L541" s="350">
        <f t="shared" si="34"/>
        <v>24.481625040000001</v>
      </c>
      <c r="M541" s="345" t="s">
        <v>6169</v>
      </c>
      <c r="N541" s="1" t="s">
        <v>3785</v>
      </c>
      <c r="O541" s="1" t="s">
        <v>4137</v>
      </c>
      <c r="P541" s="396" t="s">
        <v>3659</v>
      </c>
      <c r="Q541" s="397">
        <v>0.2</v>
      </c>
      <c r="R541" s="396">
        <v>1900001489</v>
      </c>
      <c r="S541" s="2" t="s">
        <v>1182</v>
      </c>
      <c r="T541" s="2" t="s">
        <v>5915</v>
      </c>
    </row>
    <row r="542" spans="1:20" hidden="1" x14ac:dyDescent="0.35">
      <c r="A542" s="398" t="s">
        <v>4067</v>
      </c>
      <c r="B542" s="1" t="s">
        <v>4237</v>
      </c>
      <c r="C542" s="3">
        <v>43178</v>
      </c>
      <c r="D542" s="3">
        <v>43178</v>
      </c>
      <c r="E542" s="3" t="s">
        <v>1195</v>
      </c>
      <c r="F542" s="394" t="s">
        <v>4136</v>
      </c>
      <c r="G542" s="394" t="s">
        <v>3784</v>
      </c>
      <c r="H542" s="1" t="s">
        <v>3656</v>
      </c>
      <c r="I542" s="418">
        <f t="shared" si="35"/>
        <v>973.69098150000002</v>
      </c>
      <c r="J542" s="418">
        <f t="shared" si="36"/>
        <v>220.31700000000001</v>
      </c>
      <c r="K542" s="351">
        <f t="shared" si="33"/>
        <v>122.4081252</v>
      </c>
      <c r="L542" s="350">
        <f t="shared" si="34"/>
        <v>24.481625040000001</v>
      </c>
      <c r="M542" s="345" t="s">
        <v>6169</v>
      </c>
      <c r="N542" s="1" t="s">
        <v>3785</v>
      </c>
      <c r="O542" s="1" t="s">
        <v>4137</v>
      </c>
      <c r="P542" s="396" t="s">
        <v>3659</v>
      </c>
      <c r="Q542" s="397">
        <v>0.2</v>
      </c>
      <c r="R542" s="396">
        <v>1900001489</v>
      </c>
      <c r="S542" s="2" t="s">
        <v>1193</v>
      </c>
      <c r="T542" s="2" t="s">
        <v>5915</v>
      </c>
    </row>
    <row r="543" spans="1:20" hidden="1" x14ac:dyDescent="0.35">
      <c r="A543" s="398" t="s">
        <v>4068</v>
      </c>
      <c r="B543" s="1" t="s">
        <v>4237</v>
      </c>
      <c r="C543" s="3">
        <v>43178</v>
      </c>
      <c r="D543" s="3">
        <v>43178</v>
      </c>
      <c r="E543" s="3" t="s">
        <v>1196</v>
      </c>
      <c r="F543" s="394" t="s">
        <v>4136</v>
      </c>
      <c r="G543" s="394" t="s">
        <v>3784</v>
      </c>
      <c r="H543" s="1" t="s">
        <v>3656</v>
      </c>
      <c r="I543" s="418">
        <f t="shared" si="35"/>
        <v>973.69098150000002</v>
      </c>
      <c r="J543" s="418">
        <f t="shared" si="36"/>
        <v>220.31700000000001</v>
      </c>
      <c r="K543" s="351">
        <f t="shared" si="33"/>
        <v>122.4081252</v>
      </c>
      <c r="L543" s="350">
        <f t="shared" si="34"/>
        <v>24.481625040000001</v>
      </c>
      <c r="M543" s="345" t="s">
        <v>6169</v>
      </c>
      <c r="N543" s="1" t="s">
        <v>3785</v>
      </c>
      <c r="O543" s="1" t="s">
        <v>4137</v>
      </c>
      <c r="P543" s="396" t="s">
        <v>3659</v>
      </c>
      <c r="Q543" s="397">
        <v>0.2</v>
      </c>
      <c r="R543" s="396">
        <v>1900001489</v>
      </c>
      <c r="S543" s="2" t="s">
        <v>1193</v>
      </c>
      <c r="T543" s="2" t="s">
        <v>5915</v>
      </c>
    </row>
    <row r="544" spans="1:20" hidden="1" x14ac:dyDescent="0.35">
      <c r="A544" s="398" t="s">
        <v>4069</v>
      </c>
      <c r="B544" s="1" t="s">
        <v>4237</v>
      </c>
      <c r="C544" s="3">
        <v>43178</v>
      </c>
      <c r="D544" s="3">
        <v>43178</v>
      </c>
      <c r="E544" s="3" t="s">
        <v>1224</v>
      </c>
      <c r="F544" s="394" t="s">
        <v>4136</v>
      </c>
      <c r="G544" s="394" t="s">
        <v>3784</v>
      </c>
      <c r="H544" s="1" t="s">
        <v>3656</v>
      </c>
      <c r="I544" s="418">
        <f t="shared" si="35"/>
        <v>973.69098150000002</v>
      </c>
      <c r="J544" s="418">
        <f t="shared" si="36"/>
        <v>220.31700000000001</v>
      </c>
      <c r="K544" s="351">
        <f t="shared" si="33"/>
        <v>122.4081252</v>
      </c>
      <c r="L544" s="350">
        <f t="shared" si="34"/>
        <v>24.481625040000001</v>
      </c>
      <c r="M544" s="345" t="s">
        <v>6169</v>
      </c>
      <c r="N544" s="1" t="s">
        <v>3785</v>
      </c>
      <c r="O544" s="1" t="s">
        <v>4137</v>
      </c>
      <c r="P544" s="396" t="s">
        <v>3659</v>
      </c>
      <c r="Q544" s="397">
        <v>0.2</v>
      </c>
      <c r="R544" s="396">
        <v>1900001489</v>
      </c>
      <c r="S544" s="2" t="s">
        <v>1223</v>
      </c>
      <c r="T544" s="2" t="s">
        <v>5915</v>
      </c>
    </row>
    <row r="545" spans="1:21" hidden="1" x14ac:dyDescent="0.35">
      <c r="A545" s="398" t="s">
        <v>4238</v>
      </c>
      <c r="B545" s="1" t="s">
        <v>4237</v>
      </c>
      <c r="C545" s="3">
        <v>43178</v>
      </c>
      <c r="D545" s="3">
        <v>43178</v>
      </c>
      <c r="E545" s="3" t="s">
        <v>1239</v>
      </c>
      <c r="F545" s="394" t="s">
        <v>4136</v>
      </c>
      <c r="G545" s="394" t="s">
        <v>3784</v>
      </c>
      <c r="H545" s="1" t="s">
        <v>3656</v>
      </c>
      <c r="I545" s="418">
        <f t="shared" si="35"/>
        <v>973.69098150000002</v>
      </c>
      <c r="J545" s="418">
        <f t="shared" si="36"/>
        <v>220.31700000000001</v>
      </c>
      <c r="K545" s="351">
        <f t="shared" si="33"/>
        <v>122.4081252</v>
      </c>
      <c r="L545" s="350">
        <f t="shared" si="34"/>
        <v>24.481625040000001</v>
      </c>
      <c r="M545" s="345" t="s">
        <v>6169</v>
      </c>
      <c r="N545" s="1" t="s">
        <v>3785</v>
      </c>
      <c r="O545" s="1" t="s">
        <v>4137</v>
      </c>
      <c r="P545" s="396" t="s">
        <v>3659</v>
      </c>
      <c r="Q545" s="397">
        <v>0.2</v>
      </c>
      <c r="R545" s="396">
        <v>1900001489</v>
      </c>
      <c r="S545" s="2" t="s">
        <v>1236</v>
      </c>
      <c r="T545" s="2" t="s">
        <v>5915</v>
      </c>
    </row>
    <row r="546" spans="1:21" hidden="1" x14ac:dyDescent="0.35">
      <c r="A546" s="398" t="s">
        <v>4239</v>
      </c>
      <c r="B546" s="1" t="s">
        <v>4237</v>
      </c>
      <c r="C546" s="3">
        <v>43178</v>
      </c>
      <c r="D546" s="3">
        <v>43178</v>
      </c>
      <c r="E546" s="3" t="s">
        <v>1245</v>
      </c>
      <c r="F546" s="394" t="s">
        <v>4136</v>
      </c>
      <c r="G546" s="394" t="s">
        <v>3784</v>
      </c>
      <c r="H546" s="1" t="s">
        <v>3656</v>
      </c>
      <c r="I546" s="418">
        <f t="shared" si="35"/>
        <v>973.69098150000002</v>
      </c>
      <c r="J546" s="418">
        <f t="shared" si="36"/>
        <v>220.31700000000001</v>
      </c>
      <c r="K546" s="351">
        <f t="shared" si="33"/>
        <v>122.4081252</v>
      </c>
      <c r="L546" s="350">
        <f t="shared" si="34"/>
        <v>24.481625040000001</v>
      </c>
      <c r="M546" s="345" t="s">
        <v>6169</v>
      </c>
      <c r="N546" s="1" t="s">
        <v>3785</v>
      </c>
      <c r="O546" s="1" t="s">
        <v>4137</v>
      </c>
      <c r="P546" s="396" t="s">
        <v>3659</v>
      </c>
      <c r="Q546" s="397">
        <v>0.2</v>
      </c>
      <c r="R546" s="396">
        <v>1900001489</v>
      </c>
      <c r="S546" s="2" t="s">
        <v>1244</v>
      </c>
      <c r="T546" s="2" t="s">
        <v>5915</v>
      </c>
    </row>
    <row r="547" spans="1:21" s="594" customFormat="1" hidden="1" x14ac:dyDescent="0.35">
      <c r="A547" s="595" t="s">
        <v>4240</v>
      </c>
      <c r="B547" s="596" t="s">
        <v>52</v>
      </c>
      <c r="C547" s="583">
        <v>43178</v>
      </c>
      <c r="D547" s="3">
        <v>43178</v>
      </c>
      <c r="E547" s="583" t="s">
        <v>94</v>
      </c>
      <c r="F547" s="394" t="s">
        <v>4136</v>
      </c>
      <c r="G547" s="597" t="s">
        <v>3655</v>
      </c>
      <c r="H547" s="1" t="s">
        <v>3656</v>
      </c>
      <c r="I547" s="418">
        <f t="shared" si="35"/>
        <v>4801.7213413999998</v>
      </c>
      <c r="J547" s="418">
        <f>1054.84*1.03</f>
        <v>1086.4851999999998</v>
      </c>
      <c r="K547" s="351">
        <f t="shared" si="33"/>
        <v>603.65117711999994</v>
      </c>
      <c r="L547" s="350">
        <f t="shared" si="34"/>
        <v>120.730235424</v>
      </c>
      <c r="M547" s="345" t="s">
        <v>6169</v>
      </c>
      <c r="N547" s="596" t="s">
        <v>3785</v>
      </c>
      <c r="O547" s="1" t="s">
        <v>4137</v>
      </c>
      <c r="P547" s="396" t="s">
        <v>3659</v>
      </c>
      <c r="Q547" s="397">
        <v>0.2</v>
      </c>
      <c r="R547" s="396">
        <v>1900001489</v>
      </c>
      <c r="S547" s="588" t="s">
        <v>3475</v>
      </c>
      <c r="T547" s="588" t="s">
        <v>5915</v>
      </c>
    </row>
    <row r="548" spans="1:21" s="561" customFormat="1" hidden="1" x14ac:dyDescent="0.35">
      <c r="A548" s="556" t="s">
        <v>4241</v>
      </c>
      <c r="B548" s="557" t="s">
        <v>52</v>
      </c>
      <c r="C548" s="558">
        <v>43178</v>
      </c>
      <c r="D548" s="3">
        <v>43178</v>
      </c>
      <c r="E548" s="558" t="s">
        <v>96</v>
      </c>
      <c r="F548" s="394" t="s">
        <v>4136</v>
      </c>
      <c r="G548" s="562" t="s">
        <v>3655</v>
      </c>
      <c r="H548" s="1" t="s">
        <v>3656</v>
      </c>
      <c r="I548" s="418">
        <f t="shared" si="35"/>
        <v>4801.7213413999998</v>
      </c>
      <c r="J548" s="418">
        <f t="shared" ref="J548:J576" si="37">1054.84*1.03</f>
        <v>1086.4851999999998</v>
      </c>
      <c r="K548" s="351">
        <f t="shared" si="33"/>
        <v>603.65117711999994</v>
      </c>
      <c r="L548" s="350">
        <f t="shared" si="34"/>
        <v>120.730235424</v>
      </c>
      <c r="M548" s="345" t="s">
        <v>6169</v>
      </c>
      <c r="N548" s="557" t="s">
        <v>3989</v>
      </c>
      <c r="O548" s="1" t="s">
        <v>4137</v>
      </c>
      <c r="P548" s="396" t="s">
        <v>3659</v>
      </c>
      <c r="Q548" s="397">
        <v>0.2</v>
      </c>
      <c r="R548" s="396">
        <v>1900001489</v>
      </c>
      <c r="S548" s="560" t="s">
        <v>2617</v>
      </c>
      <c r="T548" s="560" t="s">
        <v>5915</v>
      </c>
    </row>
    <row r="549" spans="1:21" s="594" customFormat="1" hidden="1" x14ac:dyDescent="0.35">
      <c r="A549" s="595" t="s">
        <v>4242</v>
      </c>
      <c r="B549" s="596" t="s">
        <v>52</v>
      </c>
      <c r="C549" s="583">
        <v>43178</v>
      </c>
      <c r="D549" s="3">
        <v>43178</v>
      </c>
      <c r="E549" s="583" t="s">
        <v>97</v>
      </c>
      <c r="F549" s="394" t="s">
        <v>4136</v>
      </c>
      <c r="G549" s="597" t="s">
        <v>3655</v>
      </c>
      <c r="H549" s="1" t="s">
        <v>3656</v>
      </c>
      <c r="I549" s="418">
        <f t="shared" si="35"/>
        <v>4801.7213413999998</v>
      </c>
      <c r="J549" s="418">
        <f t="shared" si="37"/>
        <v>1086.4851999999998</v>
      </c>
      <c r="K549" s="351">
        <f t="shared" si="33"/>
        <v>603.65117711999994</v>
      </c>
      <c r="L549" s="350">
        <f t="shared" si="34"/>
        <v>120.730235424</v>
      </c>
      <c r="M549" s="345" t="s">
        <v>6169</v>
      </c>
      <c r="N549" s="1" t="s">
        <v>3989</v>
      </c>
      <c r="O549" s="1" t="s">
        <v>4137</v>
      </c>
      <c r="P549" s="396" t="s">
        <v>3659</v>
      </c>
      <c r="Q549" s="397">
        <v>0.2</v>
      </c>
      <c r="R549" s="396">
        <v>1900001489</v>
      </c>
      <c r="S549" s="588" t="s">
        <v>3475</v>
      </c>
      <c r="T549" s="588" t="s">
        <v>5915</v>
      </c>
    </row>
    <row r="550" spans="1:21" s="594" customFormat="1" hidden="1" x14ac:dyDescent="0.35">
      <c r="A550" s="595" t="s">
        <v>4243</v>
      </c>
      <c r="B550" s="596" t="s">
        <v>52</v>
      </c>
      <c r="C550" s="583">
        <v>43178</v>
      </c>
      <c r="D550" s="3">
        <v>43178</v>
      </c>
      <c r="E550" s="583" t="s">
        <v>98</v>
      </c>
      <c r="F550" s="394" t="s">
        <v>4136</v>
      </c>
      <c r="G550" s="597" t="s">
        <v>3655</v>
      </c>
      <c r="H550" s="1" t="s">
        <v>3656</v>
      </c>
      <c r="I550" s="418">
        <f t="shared" si="35"/>
        <v>4801.7213413999998</v>
      </c>
      <c r="J550" s="418">
        <f t="shared" si="37"/>
        <v>1086.4851999999998</v>
      </c>
      <c r="K550" s="351">
        <f t="shared" si="33"/>
        <v>603.65117711999994</v>
      </c>
      <c r="L550" s="350">
        <f t="shared" si="34"/>
        <v>120.730235424</v>
      </c>
      <c r="M550" s="345" t="s">
        <v>6169</v>
      </c>
      <c r="N550" s="1" t="s">
        <v>3989</v>
      </c>
      <c r="O550" s="1" t="s">
        <v>4137</v>
      </c>
      <c r="P550" s="396" t="s">
        <v>3659</v>
      </c>
      <c r="Q550" s="397">
        <v>0.2</v>
      </c>
      <c r="R550" s="396">
        <v>1900001489</v>
      </c>
      <c r="S550" s="588" t="s">
        <v>3475</v>
      </c>
      <c r="T550" s="588" t="s">
        <v>5915</v>
      </c>
    </row>
    <row r="551" spans="1:21" s="594" customFormat="1" hidden="1" x14ac:dyDescent="0.35">
      <c r="A551" s="595" t="s">
        <v>4244</v>
      </c>
      <c r="B551" s="596" t="s">
        <v>52</v>
      </c>
      <c r="C551" s="583">
        <v>43178</v>
      </c>
      <c r="D551" s="3">
        <v>43178</v>
      </c>
      <c r="E551" s="583" t="s">
        <v>99</v>
      </c>
      <c r="F551" s="394" t="s">
        <v>4136</v>
      </c>
      <c r="G551" s="597" t="s">
        <v>3655</v>
      </c>
      <c r="H551" s="1" t="s">
        <v>3656</v>
      </c>
      <c r="I551" s="418">
        <f t="shared" si="35"/>
        <v>4801.7213413999998</v>
      </c>
      <c r="J551" s="418">
        <f t="shared" si="37"/>
        <v>1086.4851999999998</v>
      </c>
      <c r="K551" s="351">
        <f t="shared" si="33"/>
        <v>603.65117711999994</v>
      </c>
      <c r="L551" s="350">
        <f t="shared" si="34"/>
        <v>120.730235424</v>
      </c>
      <c r="M551" s="345" t="s">
        <v>6169</v>
      </c>
      <c r="N551" s="1" t="s">
        <v>3989</v>
      </c>
      <c r="O551" s="1" t="s">
        <v>4137</v>
      </c>
      <c r="P551" s="396" t="s">
        <v>3659</v>
      </c>
      <c r="Q551" s="397">
        <v>0.2</v>
      </c>
      <c r="R551" s="396">
        <v>1900001489</v>
      </c>
      <c r="S551" s="588" t="s">
        <v>3475</v>
      </c>
      <c r="T551" s="588" t="s">
        <v>5915</v>
      </c>
    </row>
    <row r="552" spans="1:21" s="594" customFormat="1" hidden="1" x14ac:dyDescent="0.35">
      <c r="A552" s="595" t="s">
        <v>4245</v>
      </c>
      <c r="B552" s="596" t="s">
        <v>52</v>
      </c>
      <c r="C552" s="583">
        <v>43178</v>
      </c>
      <c r="D552" s="3">
        <v>43178</v>
      </c>
      <c r="E552" s="583" t="s">
        <v>100</v>
      </c>
      <c r="F552" s="394" t="s">
        <v>4136</v>
      </c>
      <c r="G552" s="597" t="s">
        <v>3655</v>
      </c>
      <c r="H552" s="1" t="s">
        <v>3656</v>
      </c>
      <c r="I552" s="418">
        <f t="shared" si="35"/>
        <v>4801.7213413999998</v>
      </c>
      <c r="J552" s="418">
        <f t="shared" si="37"/>
        <v>1086.4851999999998</v>
      </c>
      <c r="K552" s="351">
        <f t="shared" si="33"/>
        <v>603.65117711999994</v>
      </c>
      <c r="L552" s="350">
        <f t="shared" si="34"/>
        <v>120.730235424</v>
      </c>
      <c r="M552" s="345" t="s">
        <v>6169</v>
      </c>
      <c r="N552" s="1" t="s">
        <v>3989</v>
      </c>
      <c r="O552" s="1" t="s">
        <v>4137</v>
      </c>
      <c r="P552" s="396" t="s">
        <v>3659</v>
      </c>
      <c r="Q552" s="397">
        <v>0.2</v>
      </c>
      <c r="R552" s="396">
        <v>1900001489</v>
      </c>
      <c r="S552" s="588" t="s">
        <v>3475</v>
      </c>
      <c r="T552" s="588" t="s">
        <v>5915</v>
      </c>
    </row>
    <row r="553" spans="1:21" s="594" customFormat="1" hidden="1" x14ac:dyDescent="0.35">
      <c r="A553" s="595" t="s">
        <v>4246</v>
      </c>
      <c r="B553" s="596" t="s">
        <v>52</v>
      </c>
      <c r="C553" s="583">
        <v>43178</v>
      </c>
      <c r="D553" s="3">
        <v>43178</v>
      </c>
      <c r="E553" s="583"/>
      <c r="F553" s="394" t="s">
        <v>4136</v>
      </c>
      <c r="G553" s="597" t="s">
        <v>3655</v>
      </c>
      <c r="H553" s="1" t="s">
        <v>3656</v>
      </c>
      <c r="I553" s="418">
        <f t="shared" si="35"/>
        <v>4801.7213413999998</v>
      </c>
      <c r="J553" s="418">
        <f t="shared" si="37"/>
        <v>1086.4851999999998</v>
      </c>
      <c r="K553" s="351">
        <f t="shared" si="33"/>
        <v>603.65117711999994</v>
      </c>
      <c r="L553" s="350">
        <f t="shared" si="34"/>
        <v>120.730235424</v>
      </c>
      <c r="M553" s="345" t="s">
        <v>6169</v>
      </c>
      <c r="N553" s="1" t="s">
        <v>3989</v>
      </c>
      <c r="O553" s="1" t="s">
        <v>4137</v>
      </c>
      <c r="P553" s="396" t="s">
        <v>3659</v>
      </c>
      <c r="Q553" s="397">
        <v>0.2</v>
      </c>
      <c r="R553" s="396">
        <v>1900001489</v>
      </c>
      <c r="S553" s="588" t="s">
        <v>3475</v>
      </c>
      <c r="T553" s="588" t="s">
        <v>5914</v>
      </c>
      <c r="U553" s="588" t="s">
        <v>3475</v>
      </c>
    </row>
    <row r="554" spans="1:21" s="619" customFormat="1" hidden="1" x14ac:dyDescent="0.35">
      <c r="A554" s="663" t="s">
        <v>4247</v>
      </c>
      <c r="B554" s="658" t="s">
        <v>52</v>
      </c>
      <c r="C554" s="659">
        <v>43178</v>
      </c>
      <c r="D554" s="3">
        <v>43178</v>
      </c>
      <c r="E554" s="659" t="s">
        <v>101</v>
      </c>
      <c r="F554" s="394" t="s">
        <v>4136</v>
      </c>
      <c r="G554" s="664" t="s">
        <v>3655</v>
      </c>
      <c r="H554" s="1" t="s">
        <v>3656</v>
      </c>
      <c r="I554" s="418">
        <f t="shared" si="35"/>
        <v>4801.7213413999998</v>
      </c>
      <c r="J554" s="418">
        <f t="shared" si="37"/>
        <v>1086.4851999999998</v>
      </c>
      <c r="K554" s="351">
        <f t="shared" si="33"/>
        <v>603.65117711999994</v>
      </c>
      <c r="L554" s="350">
        <f t="shared" si="34"/>
        <v>120.730235424</v>
      </c>
      <c r="M554" s="345" t="s">
        <v>6169</v>
      </c>
      <c r="N554" s="658" t="s">
        <v>3785</v>
      </c>
      <c r="O554" s="1" t="s">
        <v>4137</v>
      </c>
      <c r="P554" s="396" t="s">
        <v>3659</v>
      </c>
      <c r="Q554" s="397">
        <v>0.2</v>
      </c>
      <c r="R554" s="396">
        <v>1900001489</v>
      </c>
      <c r="S554" s="618" t="s">
        <v>947</v>
      </c>
      <c r="T554" s="618" t="s">
        <v>5915</v>
      </c>
    </row>
    <row r="555" spans="1:21" s="561" customFormat="1" hidden="1" x14ac:dyDescent="0.35">
      <c r="A555" s="556" t="s">
        <v>4248</v>
      </c>
      <c r="B555" s="557" t="s">
        <v>52</v>
      </c>
      <c r="C555" s="558">
        <v>43178</v>
      </c>
      <c r="D555" s="3">
        <v>43178</v>
      </c>
      <c r="E555" s="558" t="s">
        <v>102</v>
      </c>
      <c r="F555" s="394" t="s">
        <v>4136</v>
      </c>
      <c r="G555" s="562" t="s">
        <v>3655</v>
      </c>
      <c r="H555" s="1" t="s">
        <v>3656</v>
      </c>
      <c r="I555" s="418">
        <f t="shared" si="35"/>
        <v>4801.7213413999998</v>
      </c>
      <c r="J555" s="418">
        <f t="shared" si="37"/>
        <v>1086.4851999999998</v>
      </c>
      <c r="K555" s="351">
        <f t="shared" si="33"/>
        <v>603.65117711999994</v>
      </c>
      <c r="L555" s="350">
        <f t="shared" si="34"/>
        <v>120.730235424</v>
      </c>
      <c r="M555" s="345" t="s">
        <v>6169</v>
      </c>
      <c r="N555" s="557" t="s">
        <v>3785</v>
      </c>
      <c r="O555" s="1" t="s">
        <v>4137</v>
      </c>
      <c r="P555" s="396" t="s">
        <v>3659</v>
      </c>
      <c r="Q555" s="397">
        <v>0.2</v>
      </c>
      <c r="R555" s="396">
        <v>1900001489</v>
      </c>
      <c r="S555" s="560" t="s">
        <v>2617</v>
      </c>
      <c r="T555" s="560" t="s">
        <v>5915</v>
      </c>
    </row>
    <row r="556" spans="1:21" s="561" customFormat="1" hidden="1" x14ac:dyDescent="0.35">
      <c r="A556" s="556" t="s">
        <v>4249</v>
      </c>
      <c r="B556" s="557" t="s">
        <v>52</v>
      </c>
      <c r="C556" s="558">
        <v>43178</v>
      </c>
      <c r="D556" s="3">
        <v>43178</v>
      </c>
      <c r="E556" s="558" t="s">
        <v>104</v>
      </c>
      <c r="F556" s="394" t="s">
        <v>4136</v>
      </c>
      <c r="G556" s="562" t="s">
        <v>3655</v>
      </c>
      <c r="H556" s="1" t="s">
        <v>3656</v>
      </c>
      <c r="I556" s="418">
        <f t="shared" si="35"/>
        <v>4801.7213413999998</v>
      </c>
      <c r="J556" s="418">
        <f t="shared" si="37"/>
        <v>1086.4851999999998</v>
      </c>
      <c r="K556" s="351">
        <f t="shared" si="33"/>
        <v>603.65117711999994</v>
      </c>
      <c r="L556" s="350">
        <f t="shared" si="34"/>
        <v>120.730235424</v>
      </c>
      <c r="M556" s="345" t="s">
        <v>6169</v>
      </c>
      <c r="N556" s="557" t="s">
        <v>3785</v>
      </c>
      <c r="O556" s="1" t="s">
        <v>4137</v>
      </c>
      <c r="P556" s="396" t="s">
        <v>3659</v>
      </c>
      <c r="Q556" s="397">
        <v>0.2</v>
      </c>
      <c r="R556" s="396">
        <v>1900001489</v>
      </c>
      <c r="S556" s="560" t="s">
        <v>2617</v>
      </c>
      <c r="T556" s="560" t="s">
        <v>5915</v>
      </c>
    </row>
    <row r="557" spans="1:21" s="619" customFormat="1" hidden="1" x14ac:dyDescent="0.35">
      <c r="A557" s="663" t="s">
        <v>4250</v>
      </c>
      <c r="B557" s="658" t="s">
        <v>52</v>
      </c>
      <c r="C557" s="659">
        <v>43178</v>
      </c>
      <c r="D557" s="3">
        <v>43178</v>
      </c>
      <c r="E557" s="659" t="s">
        <v>106</v>
      </c>
      <c r="F557" s="394" t="s">
        <v>4136</v>
      </c>
      <c r="G557" s="664" t="s">
        <v>3655</v>
      </c>
      <c r="H557" s="1" t="s">
        <v>3656</v>
      </c>
      <c r="I557" s="418">
        <f t="shared" si="35"/>
        <v>4801.7213413999998</v>
      </c>
      <c r="J557" s="418">
        <f t="shared" si="37"/>
        <v>1086.4851999999998</v>
      </c>
      <c r="K557" s="351">
        <f t="shared" si="33"/>
        <v>603.65117711999994</v>
      </c>
      <c r="L557" s="350">
        <f t="shared" si="34"/>
        <v>120.730235424</v>
      </c>
      <c r="M557" s="345" t="s">
        <v>6169</v>
      </c>
      <c r="N557" s="658" t="s">
        <v>3785</v>
      </c>
      <c r="O557" s="1" t="s">
        <v>4137</v>
      </c>
      <c r="P557" s="396" t="s">
        <v>3659</v>
      </c>
      <c r="Q557" s="397">
        <v>0.2</v>
      </c>
      <c r="R557" s="396">
        <v>1900001489</v>
      </c>
      <c r="S557" s="618" t="s">
        <v>107</v>
      </c>
      <c r="T557" s="618" t="s">
        <v>5915</v>
      </c>
    </row>
    <row r="558" spans="1:21" s="561" customFormat="1" hidden="1" x14ac:dyDescent="0.35">
      <c r="A558" s="556" t="s">
        <v>4251</v>
      </c>
      <c r="B558" s="557" t="s">
        <v>52</v>
      </c>
      <c r="C558" s="558">
        <v>43178</v>
      </c>
      <c r="D558" s="3">
        <v>43178</v>
      </c>
      <c r="E558" s="558" t="s">
        <v>108</v>
      </c>
      <c r="F558" s="394" t="s">
        <v>4136</v>
      </c>
      <c r="G558" s="562" t="s">
        <v>3655</v>
      </c>
      <c r="H558" s="1" t="s">
        <v>3656</v>
      </c>
      <c r="I558" s="418">
        <f t="shared" si="35"/>
        <v>4801.7213413999998</v>
      </c>
      <c r="J558" s="418">
        <f t="shared" si="37"/>
        <v>1086.4851999999998</v>
      </c>
      <c r="K558" s="351">
        <f t="shared" si="33"/>
        <v>603.65117711999994</v>
      </c>
      <c r="L558" s="350">
        <f t="shared" si="34"/>
        <v>120.730235424</v>
      </c>
      <c r="M558" s="345" t="s">
        <v>6169</v>
      </c>
      <c r="N558" s="557" t="s">
        <v>3785</v>
      </c>
      <c r="O558" s="1" t="s">
        <v>4137</v>
      </c>
      <c r="P558" s="396" t="s">
        <v>3659</v>
      </c>
      <c r="Q558" s="397">
        <v>0.2</v>
      </c>
      <c r="R558" s="396">
        <v>1900001489</v>
      </c>
      <c r="S558" s="560" t="s">
        <v>2617</v>
      </c>
      <c r="T558" s="560" t="s">
        <v>5915</v>
      </c>
    </row>
    <row r="559" spans="1:21" s="594" customFormat="1" hidden="1" x14ac:dyDescent="0.35">
      <c r="A559" s="595" t="s">
        <v>4252</v>
      </c>
      <c r="B559" s="596" t="s">
        <v>52</v>
      </c>
      <c r="C559" s="583">
        <v>43178</v>
      </c>
      <c r="D559" s="3">
        <v>43178</v>
      </c>
      <c r="E559" s="583" t="s">
        <v>110</v>
      </c>
      <c r="F559" s="394" t="s">
        <v>4136</v>
      </c>
      <c r="G559" s="597" t="s">
        <v>3655</v>
      </c>
      <c r="H559" s="1" t="s">
        <v>3656</v>
      </c>
      <c r="I559" s="418">
        <f t="shared" si="35"/>
        <v>4801.7213413999998</v>
      </c>
      <c r="J559" s="418">
        <f t="shared" si="37"/>
        <v>1086.4851999999998</v>
      </c>
      <c r="K559" s="351">
        <f t="shared" si="33"/>
        <v>603.65117711999994</v>
      </c>
      <c r="L559" s="350">
        <f t="shared" si="34"/>
        <v>120.730235424</v>
      </c>
      <c r="M559" s="345" t="s">
        <v>6169</v>
      </c>
      <c r="N559" s="596" t="s">
        <v>3785</v>
      </c>
      <c r="O559" s="1" t="s">
        <v>4137</v>
      </c>
      <c r="P559" s="396" t="s">
        <v>3659</v>
      </c>
      <c r="Q559" s="397">
        <v>0.2</v>
      </c>
      <c r="R559" s="396">
        <v>1900001489</v>
      </c>
      <c r="S559" s="588" t="s">
        <v>3475</v>
      </c>
      <c r="T559" s="588" t="s">
        <v>5915</v>
      </c>
    </row>
    <row r="560" spans="1:21" s="594" customFormat="1" hidden="1" x14ac:dyDescent="0.35">
      <c r="A560" s="595" t="s">
        <v>4253</v>
      </c>
      <c r="B560" s="596" t="s">
        <v>52</v>
      </c>
      <c r="C560" s="583">
        <v>43178</v>
      </c>
      <c r="D560" s="3">
        <v>43178</v>
      </c>
      <c r="E560" s="583" t="s">
        <v>111</v>
      </c>
      <c r="F560" s="394" t="s">
        <v>4136</v>
      </c>
      <c r="G560" s="597" t="s">
        <v>3655</v>
      </c>
      <c r="H560" s="1" t="s">
        <v>3656</v>
      </c>
      <c r="I560" s="418">
        <f t="shared" si="35"/>
        <v>4801.7213413999998</v>
      </c>
      <c r="J560" s="418">
        <f t="shared" si="37"/>
        <v>1086.4851999999998</v>
      </c>
      <c r="K560" s="351">
        <f t="shared" si="33"/>
        <v>603.65117711999994</v>
      </c>
      <c r="L560" s="350">
        <f t="shared" si="34"/>
        <v>120.730235424</v>
      </c>
      <c r="M560" s="345" t="s">
        <v>6169</v>
      </c>
      <c r="N560" s="596" t="s">
        <v>3785</v>
      </c>
      <c r="O560" s="1" t="s">
        <v>4137</v>
      </c>
      <c r="P560" s="396" t="s">
        <v>3659</v>
      </c>
      <c r="Q560" s="397">
        <v>0.2</v>
      </c>
      <c r="R560" s="396">
        <v>1900001489</v>
      </c>
      <c r="S560" s="588" t="s">
        <v>3475</v>
      </c>
      <c r="T560" s="588" t="s">
        <v>5915</v>
      </c>
    </row>
    <row r="561" spans="1:21" s="561" customFormat="1" hidden="1" x14ac:dyDescent="0.35">
      <c r="A561" s="556" t="s">
        <v>4254</v>
      </c>
      <c r="B561" s="557" t="s">
        <v>52</v>
      </c>
      <c r="C561" s="558">
        <v>43178</v>
      </c>
      <c r="D561" s="3">
        <v>43178</v>
      </c>
      <c r="E561" s="558" t="s">
        <v>112</v>
      </c>
      <c r="F561" s="394" t="s">
        <v>4136</v>
      </c>
      <c r="G561" s="562" t="s">
        <v>3655</v>
      </c>
      <c r="H561" s="1" t="s">
        <v>3656</v>
      </c>
      <c r="I561" s="418">
        <f t="shared" si="35"/>
        <v>4801.7213413999998</v>
      </c>
      <c r="J561" s="418">
        <f t="shared" si="37"/>
        <v>1086.4851999999998</v>
      </c>
      <c r="K561" s="351">
        <f t="shared" si="33"/>
        <v>603.65117711999994</v>
      </c>
      <c r="L561" s="350">
        <f t="shared" si="34"/>
        <v>120.730235424</v>
      </c>
      <c r="M561" s="345" t="s">
        <v>6169</v>
      </c>
      <c r="N561" s="1" t="s">
        <v>3785</v>
      </c>
      <c r="O561" s="1" t="s">
        <v>4137</v>
      </c>
      <c r="P561" s="396" t="s">
        <v>3659</v>
      </c>
      <c r="Q561" s="397">
        <v>0.2</v>
      </c>
      <c r="R561" s="396">
        <v>1900001489</v>
      </c>
      <c r="S561" s="560" t="s">
        <v>2617</v>
      </c>
      <c r="T561" s="560" t="s">
        <v>5915</v>
      </c>
    </row>
    <row r="562" spans="1:21" s="561" customFormat="1" hidden="1" x14ac:dyDescent="0.35">
      <c r="A562" s="556" t="s">
        <v>4255</v>
      </c>
      <c r="B562" s="557" t="s">
        <v>52</v>
      </c>
      <c r="C562" s="558">
        <v>43178</v>
      </c>
      <c r="D562" s="3">
        <v>43178</v>
      </c>
      <c r="E562" s="558" t="s">
        <v>114</v>
      </c>
      <c r="F562" s="394" t="s">
        <v>4136</v>
      </c>
      <c r="G562" s="562" t="s">
        <v>3655</v>
      </c>
      <c r="H562" s="1" t="s">
        <v>3656</v>
      </c>
      <c r="I562" s="418">
        <f t="shared" si="35"/>
        <v>4801.7213413999998</v>
      </c>
      <c r="J562" s="418">
        <f t="shared" si="37"/>
        <v>1086.4851999999998</v>
      </c>
      <c r="K562" s="351">
        <f t="shared" si="33"/>
        <v>603.65117711999994</v>
      </c>
      <c r="L562" s="350">
        <f t="shared" si="34"/>
        <v>120.730235424</v>
      </c>
      <c r="M562" s="345" t="s">
        <v>6169</v>
      </c>
      <c r="N562" s="1" t="s">
        <v>3785</v>
      </c>
      <c r="O562" s="1" t="s">
        <v>4137</v>
      </c>
      <c r="P562" s="396" t="s">
        <v>3659</v>
      </c>
      <c r="Q562" s="397">
        <v>0.2</v>
      </c>
      <c r="R562" s="396">
        <v>1900001489</v>
      </c>
      <c r="S562" s="560" t="s">
        <v>2617</v>
      </c>
      <c r="T562" s="560" t="s">
        <v>5915</v>
      </c>
    </row>
    <row r="563" spans="1:21" s="561" customFormat="1" hidden="1" x14ac:dyDescent="0.35">
      <c r="A563" s="556" t="s">
        <v>4256</v>
      </c>
      <c r="B563" s="557" t="s">
        <v>52</v>
      </c>
      <c r="C563" s="558">
        <v>43178</v>
      </c>
      <c r="D563" s="3">
        <v>43178</v>
      </c>
      <c r="E563" s="558" t="s">
        <v>116</v>
      </c>
      <c r="F563" s="394" t="s">
        <v>4136</v>
      </c>
      <c r="G563" s="562" t="s">
        <v>3655</v>
      </c>
      <c r="H563" s="1" t="s">
        <v>3656</v>
      </c>
      <c r="I563" s="418">
        <f t="shared" si="35"/>
        <v>4801.7213413999998</v>
      </c>
      <c r="J563" s="418">
        <f t="shared" si="37"/>
        <v>1086.4851999999998</v>
      </c>
      <c r="K563" s="351">
        <f t="shared" si="33"/>
        <v>603.65117711999994</v>
      </c>
      <c r="L563" s="350">
        <f t="shared" si="34"/>
        <v>120.730235424</v>
      </c>
      <c r="M563" s="345" t="s">
        <v>6169</v>
      </c>
      <c r="N563" s="557" t="s">
        <v>3785</v>
      </c>
      <c r="O563" s="1" t="s">
        <v>4137</v>
      </c>
      <c r="P563" s="396" t="s">
        <v>3659</v>
      </c>
      <c r="Q563" s="397">
        <v>0.2</v>
      </c>
      <c r="R563" s="396">
        <v>1900001489</v>
      </c>
      <c r="S563" s="560" t="s">
        <v>2617</v>
      </c>
      <c r="T563" s="560" t="s">
        <v>5915</v>
      </c>
    </row>
    <row r="564" spans="1:21" s="594" customFormat="1" hidden="1" x14ac:dyDescent="0.35">
      <c r="A564" s="595" t="s">
        <v>4257</v>
      </c>
      <c r="B564" s="596" t="s">
        <v>52</v>
      </c>
      <c r="C564" s="583">
        <v>43178</v>
      </c>
      <c r="D564" s="3">
        <v>43178</v>
      </c>
      <c r="E564" s="583" t="s">
        <v>117</v>
      </c>
      <c r="F564" s="394" t="s">
        <v>4136</v>
      </c>
      <c r="G564" s="597" t="s">
        <v>3655</v>
      </c>
      <c r="H564" s="1" t="s">
        <v>3656</v>
      </c>
      <c r="I564" s="418">
        <f t="shared" si="35"/>
        <v>4801.7213413999998</v>
      </c>
      <c r="J564" s="418">
        <f t="shared" si="37"/>
        <v>1086.4851999999998</v>
      </c>
      <c r="K564" s="351">
        <f t="shared" si="33"/>
        <v>603.65117711999994</v>
      </c>
      <c r="L564" s="350">
        <f t="shared" si="34"/>
        <v>120.730235424</v>
      </c>
      <c r="M564" s="345" t="s">
        <v>6169</v>
      </c>
      <c r="N564" s="596" t="s">
        <v>3989</v>
      </c>
      <c r="O564" s="1" t="s">
        <v>4137</v>
      </c>
      <c r="P564" s="396" t="s">
        <v>3659</v>
      </c>
      <c r="Q564" s="397">
        <v>0.2</v>
      </c>
      <c r="R564" s="396">
        <v>1900001489</v>
      </c>
      <c r="S564" s="588" t="s">
        <v>3475</v>
      </c>
      <c r="T564" s="588" t="s">
        <v>5915</v>
      </c>
    </row>
    <row r="565" spans="1:21" s="594" customFormat="1" hidden="1" x14ac:dyDescent="0.35">
      <c r="A565" s="595" t="s">
        <v>4258</v>
      </c>
      <c r="B565" s="596" t="s">
        <v>52</v>
      </c>
      <c r="C565" s="583">
        <v>43178</v>
      </c>
      <c r="D565" s="3">
        <v>43178</v>
      </c>
      <c r="E565" s="583" t="s">
        <v>118</v>
      </c>
      <c r="F565" s="394" t="s">
        <v>4136</v>
      </c>
      <c r="G565" s="597" t="s">
        <v>3655</v>
      </c>
      <c r="H565" s="1" t="s">
        <v>3656</v>
      </c>
      <c r="I565" s="418">
        <f t="shared" si="35"/>
        <v>4801.7213413999998</v>
      </c>
      <c r="J565" s="418">
        <f t="shared" si="37"/>
        <v>1086.4851999999998</v>
      </c>
      <c r="K565" s="351">
        <f t="shared" si="33"/>
        <v>603.65117711999994</v>
      </c>
      <c r="L565" s="350">
        <f t="shared" si="34"/>
        <v>120.730235424</v>
      </c>
      <c r="M565" s="345" t="s">
        <v>6169</v>
      </c>
      <c r="N565" s="1" t="s">
        <v>3989</v>
      </c>
      <c r="O565" s="1" t="s">
        <v>4137</v>
      </c>
      <c r="P565" s="396" t="s">
        <v>3659</v>
      </c>
      <c r="Q565" s="397">
        <v>0.2</v>
      </c>
      <c r="R565" s="396">
        <v>1900001489</v>
      </c>
      <c r="S565" s="588" t="s">
        <v>3475</v>
      </c>
      <c r="T565" s="588" t="s">
        <v>5915</v>
      </c>
    </row>
    <row r="566" spans="1:21" s="561" customFormat="1" hidden="1" x14ac:dyDescent="0.35">
      <c r="A566" s="556" t="s">
        <v>4259</v>
      </c>
      <c r="B566" s="557" t="s">
        <v>52</v>
      </c>
      <c r="C566" s="558">
        <v>43178</v>
      </c>
      <c r="D566" s="3">
        <v>43178</v>
      </c>
      <c r="E566" s="558" t="s">
        <v>119</v>
      </c>
      <c r="F566" s="394" t="s">
        <v>4136</v>
      </c>
      <c r="G566" s="562" t="s">
        <v>3655</v>
      </c>
      <c r="H566" s="1" t="s">
        <v>3656</v>
      </c>
      <c r="I566" s="418">
        <f t="shared" si="35"/>
        <v>4801.7213413999998</v>
      </c>
      <c r="J566" s="418">
        <f t="shared" si="37"/>
        <v>1086.4851999999998</v>
      </c>
      <c r="K566" s="351">
        <f t="shared" si="33"/>
        <v>603.65117711999994</v>
      </c>
      <c r="L566" s="350">
        <f t="shared" si="34"/>
        <v>120.730235424</v>
      </c>
      <c r="M566" s="345" t="s">
        <v>6169</v>
      </c>
      <c r="N566" s="1" t="s">
        <v>3785</v>
      </c>
      <c r="O566" s="1" t="s">
        <v>4137</v>
      </c>
      <c r="P566" s="396" t="s">
        <v>3659</v>
      </c>
      <c r="Q566" s="397">
        <v>0.2</v>
      </c>
      <c r="R566" s="396">
        <v>1900001489</v>
      </c>
      <c r="S566" s="560" t="s">
        <v>2617</v>
      </c>
      <c r="T566" s="560" t="s">
        <v>5915</v>
      </c>
    </row>
    <row r="567" spans="1:21" s="594" customFormat="1" ht="14.25" hidden="1" customHeight="1" x14ac:dyDescent="0.35">
      <c r="A567" s="595" t="s">
        <v>4260</v>
      </c>
      <c r="B567" s="596" t="s">
        <v>52</v>
      </c>
      <c r="C567" s="583">
        <v>43178</v>
      </c>
      <c r="D567" s="3">
        <v>43178</v>
      </c>
      <c r="E567" s="583" t="s">
        <v>121</v>
      </c>
      <c r="F567" s="394" t="s">
        <v>4136</v>
      </c>
      <c r="G567" s="597" t="s">
        <v>3655</v>
      </c>
      <c r="H567" s="1" t="s">
        <v>3656</v>
      </c>
      <c r="I567" s="418">
        <f t="shared" si="35"/>
        <v>4801.7213413999998</v>
      </c>
      <c r="J567" s="418">
        <f t="shared" si="37"/>
        <v>1086.4851999999998</v>
      </c>
      <c r="K567" s="351">
        <f t="shared" si="33"/>
        <v>603.65117711999994</v>
      </c>
      <c r="L567" s="350">
        <f t="shared" si="34"/>
        <v>120.730235424</v>
      </c>
      <c r="M567" s="345" t="s">
        <v>6169</v>
      </c>
      <c r="N567" s="1" t="s">
        <v>3785</v>
      </c>
      <c r="O567" s="1" t="s">
        <v>4137</v>
      </c>
      <c r="P567" s="396" t="s">
        <v>3659</v>
      </c>
      <c r="Q567" s="397">
        <v>0.2</v>
      </c>
      <c r="R567" s="396">
        <v>1900001489</v>
      </c>
      <c r="S567" s="588" t="s">
        <v>6203</v>
      </c>
      <c r="T567" s="588" t="s">
        <v>5915</v>
      </c>
    </row>
    <row r="568" spans="1:21" s="594" customFormat="1" hidden="1" x14ac:dyDescent="0.35">
      <c r="A568" s="595" t="s">
        <v>4261</v>
      </c>
      <c r="B568" s="596" t="s">
        <v>52</v>
      </c>
      <c r="C568" s="583">
        <v>43178</v>
      </c>
      <c r="D568" s="3">
        <v>43178</v>
      </c>
      <c r="E568" s="583" t="s">
        <v>123</v>
      </c>
      <c r="F568" s="394" t="s">
        <v>4136</v>
      </c>
      <c r="G568" s="597" t="s">
        <v>3655</v>
      </c>
      <c r="H568" s="1" t="s">
        <v>3656</v>
      </c>
      <c r="I568" s="418">
        <f t="shared" si="35"/>
        <v>4801.7213413999998</v>
      </c>
      <c r="J568" s="418">
        <f t="shared" si="37"/>
        <v>1086.4851999999998</v>
      </c>
      <c r="K568" s="351">
        <f t="shared" si="33"/>
        <v>603.65117711999994</v>
      </c>
      <c r="L568" s="350">
        <f t="shared" si="34"/>
        <v>120.730235424</v>
      </c>
      <c r="M568" s="345" t="s">
        <v>6169</v>
      </c>
      <c r="N568" s="596" t="s">
        <v>3785</v>
      </c>
      <c r="O568" s="1" t="s">
        <v>4137</v>
      </c>
      <c r="P568" s="396" t="s">
        <v>3659</v>
      </c>
      <c r="Q568" s="397">
        <v>0.2</v>
      </c>
      <c r="R568" s="396">
        <v>1900001489</v>
      </c>
      <c r="S568" s="588" t="s">
        <v>3475</v>
      </c>
      <c r="T568" s="588" t="s">
        <v>5915</v>
      </c>
    </row>
    <row r="569" spans="1:21" s="594" customFormat="1" hidden="1" x14ac:dyDescent="0.35">
      <c r="A569" s="595" t="s">
        <v>4262</v>
      </c>
      <c r="B569" s="596" t="s">
        <v>52</v>
      </c>
      <c r="C569" s="583">
        <v>43178</v>
      </c>
      <c r="D569" s="3">
        <v>43178</v>
      </c>
      <c r="E569" s="583" t="s">
        <v>124</v>
      </c>
      <c r="F569" s="394" t="s">
        <v>4136</v>
      </c>
      <c r="G569" s="597" t="s">
        <v>3655</v>
      </c>
      <c r="H569" s="1" t="s">
        <v>3656</v>
      </c>
      <c r="I569" s="418">
        <f t="shared" si="35"/>
        <v>4801.7213413999998</v>
      </c>
      <c r="J569" s="418">
        <f t="shared" si="37"/>
        <v>1086.4851999999998</v>
      </c>
      <c r="K569" s="351">
        <f t="shared" si="33"/>
        <v>603.65117711999994</v>
      </c>
      <c r="L569" s="350">
        <f t="shared" si="34"/>
        <v>120.730235424</v>
      </c>
      <c r="M569" s="345" t="s">
        <v>6169</v>
      </c>
      <c r="N569" s="596" t="s">
        <v>3785</v>
      </c>
      <c r="O569" s="1" t="s">
        <v>4137</v>
      </c>
      <c r="P569" s="396" t="s">
        <v>3659</v>
      </c>
      <c r="Q569" s="397">
        <v>0.2</v>
      </c>
      <c r="R569" s="396">
        <v>1900001489</v>
      </c>
      <c r="S569" s="588" t="s">
        <v>3475</v>
      </c>
      <c r="T569" s="588" t="s">
        <v>5915</v>
      </c>
    </row>
    <row r="570" spans="1:21" s="594" customFormat="1" hidden="1" x14ac:dyDescent="0.35">
      <c r="A570" s="595" t="s">
        <v>4263</v>
      </c>
      <c r="B570" s="596" t="s">
        <v>52</v>
      </c>
      <c r="C570" s="583">
        <v>43178</v>
      </c>
      <c r="D570" s="3">
        <v>43178</v>
      </c>
      <c r="E570" s="583" t="s">
        <v>125</v>
      </c>
      <c r="F570" s="394" t="s">
        <v>4136</v>
      </c>
      <c r="G570" s="597" t="s">
        <v>3655</v>
      </c>
      <c r="H570" s="1" t="s">
        <v>3656</v>
      </c>
      <c r="I570" s="418">
        <f t="shared" si="35"/>
        <v>4801.7213413999998</v>
      </c>
      <c r="J570" s="418">
        <f t="shared" si="37"/>
        <v>1086.4851999999998</v>
      </c>
      <c r="K570" s="351">
        <f t="shared" si="33"/>
        <v>603.65117711999994</v>
      </c>
      <c r="L570" s="350">
        <f t="shared" si="34"/>
        <v>120.730235424</v>
      </c>
      <c r="M570" s="345" t="s">
        <v>6169</v>
      </c>
      <c r="N570" s="1" t="s">
        <v>3989</v>
      </c>
      <c r="O570" s="1" t="s">
        <v>4137</v>
      </c>
      <c r="P570" s="396" t="s">
        <v>3659</v>
      </c>
      <c r="Q570" s="397">
        <v>0.2</v>
      </c>
      <c r="R570" s="396">
        <v>1900001489</v>
      </c>
      <c r="S570" s="588" t="s">
        <v>3475</v>
      </c>
      <c r="T570" s="588" t="s">
        <v>5915</v>
      </c>
    </row>
    <row r="571" spans="1:21" s="594" customFormat="1" hidden="1" x14ac:dyDescent="0.35">
      <c r="A571" s="595" t="s">
        <v>4264</v>
      </c>
      <c r="B571" s="596" t="s">
        <v>52</v>
      </c>
      <c r="C571" s="583">
        <v>43178</v>
      </c>
      <c r="D571" s="3">
        <v>43178</v>
      </c>
      <c r="F571" s="394" t="s">
        <v>4136</v>
      </c>
      <c r="G571" s="597" t="s">
        <v>3655</v>
      </c>
      <c r="H571" s="1" t="s">
        <v>3656</v>
      </c>
      <c r="I571" s="418">
        <f t="shared" si="35"/>
        <v>4801.7213413999998</v>
      </c>
      <c r="J571" s="418">
        <f t="shared" si="37"/>
        <v>1086.4851999999998</v>
      </c>
      <c r="K571" s="351">
        <f t="shared" si="33"/>
        <v>603.65117711999994</v>
      </c>
      <c r="L571" s="350">
        <f t="shared" si="34"/>
        <v>120.730235424</v>
      </c>
      <c r="M571" s="345" t="s">
        <v>6169</v>
      </c>
      <c r="N571" s="1" t="s">
        <v>3989</v>
      </c>
      <c r="O571" s="1" t="s">
        <v>4137</v>
      </c>
      <c r="P571" s="396" t="s">
        <v>3659</v>
      </c>
      <c r="Q571" s="397">
        <v>0.2</v>
      </c>
      <c r="R571" s="396">
        <v>1900001489</v>
      </c>
      <c r="S571" s="588" t="s">
        <v>3475</v>
      </c>
      <c r="T571" s="588" t="s">
        <v>5914</v>
      </c>
      <c r="U571" s="588" t="s">
        <v>3475</v>
      </c>
    </row>
    <row r="572" spans="1:21" s="594" customFormat="1" hidden="1" x14ac:dyDescent="0.35">
      <c r="A572" s="595" t="s">
        <v>4265</v>
      </c>
      <c r="B572" s="596" t="s">
        <v>52</v>
      </c>
      <c r="C572" s="583">
        <v>43178</v>
      </c>
      <c r="D572" s="3">
        <v>43178</v>
      </c>
      <c r="E572" s="583" t="s">
        <v>126</v>
      </c>
      <c r="F572" s="394" t="s">
        <v>4136</v>
      </c>
      <c r="G572" s="597" t="s">
        <v>3655</v>
      </c>
      <c r="H572" s="1" t="s">
        <v>3656</v>
      </c>
      <c r="I572" s="418">
        <f t="shared" si="35"/>
        <v>4801.7213413999998</v>
      </c>
      <c r="J572" s="418">
        <f t="shared" si="37"/>
        <v>1086.4851999999998</v>
      </c>
      <c r="K572" s="351">
        <f t="shared" si="33"/>
        <v>603.65117711999994</v>
      </c>
      <c r="L572" s="350">
        <f t="shared" si="34"/>
        <v>120.730235424</v>
      </c>
      <c r="M572" s="345" t="s">
        <v>6169</v>
      </c>
      <c r="N572" s="1" t="s">
        <v>3989</v>
      </c>
      <c r="O572" s="1" t="s">
        <v>4137</v>
      </c>
      <c r="P572" s="396" t="s">
        <v>3659</v>
      </c>
      <c r="Q572" s="397">
        <v>0.2</v>
      </c>
      <c r="R572" s="396">
        <v>1900001489</v>
      </c>
      <c r="S572" s="588" t="s">
        <v>3475</v>
      </c>
      <c r="T572" s="588" t="s">
        <v>5915</v>
      </c>
    </row>
    <row r="573" spans="1:21" s="561" customFormat="1" hidden="1" x14ac:dyDescent="0.35">
      <c r="A573" s="556" t="s">
        <v>4266</v>
      </c>
      <c r="B573" s="557" t="s">
        <v>52</v>
      </c>
      <c r="C573" s="558">
        <v>43178</v>
      </c>
      <c r="D573" s="3">
        <v>43178</v>
      </c>
      <c r="E573" s="558" t="s">
        <v>127</v>
      </c>
      <c r="F573" s="394" t="s">
        <v>4136</v>
      </c>
      <c r="G573" s="562" t="s">
        <v>3655</v>
      </c>
      <c r="H573" s="1" t="s">
        <v>3656</v>
      </c>
      <c r="I573" s="418">
        <f t="shared" si="35"/>
        <v>4801.7213413999998</v>
      </c>
      <c r="J573" s="418">
        <f t="shared" si="37"/>
        <v>1086.4851999999998</v>
      </c>
      <c r="K573" s="351">
        <f t="shared" si="33"/>
        <v>603.65117711999994</v>
      </c>
      <c r="L573" s="350">
        <f t="shared" si="34"/>
        <v>120.730235424</v>
      </c>
      <c r="M573" s="345" t="s">
        <v>6169</v>
      </c>
      <c r="N573" s="557" t="s">
        <v>3989</v>
      </c>
      <c r="O573" s="1" t="s">
        <v>4137</v>
      </c>
      <c r="P573" s="396" t="s">
        <v>3659</v>
      </c>
      <c r="Q573" s="397">
        <v>0.2</v>
      </c>
      <c r="R573" s="396">
        <v>1900001489</v>
      </c>
      <c r="S573" s="560" t="s">
        <v>2617</v>
      </c>
      <c r="T573" s="560" t="s">
        <v>5915</v>
      </c>
    </row>
    <row r="574" spans="1:21" s="594" customFormat="1" hidden="1" x14ac:dyDescent="0.35">
      <c r="A574" s="595" t="s">
        <v>4267</v>
      </c>
      <c r="B574" s="596" t="s">
        <v>52</v>
      </c>
      <c r="C574" s="583">
        <v>43178</v>
      </c>
      <c r="D574" s="3">
        <v>43178</v>
      </c>
      <c r="E574" s="583" t="s">
        <v>128</v>
      </c>
      <c r="F574" s="394" t="s">
        <v>4136</v>
      </c>
      <c r="G574" s="597" t="s">
        <v>3655</v>
      </c>
      <c r="H574" s="1" t="s">
        <v>3656</v>
      </c>
      <c r="I574" s="418">
        <f t="shared" si="35"/>
        <v>4801.7213413999998</v>
      </c>
      <c r="J574" s="418">
        <f t="shared" si="37"/>
        <v>1086.4851999999998</v>
      </c>
      <c r="K574" s="351">
        <f t="shared" ref="K574:K644" si="38">+J574*(0.5556)</f>
        <v>603.65117711999994</v>
      </c>
      <c r="L574" s="350">
        <f t="shared" ref="L574:L644" si="39">+K574*Q574</f>
        <v>120.730235424</v>
      </c>
      <c r="M574" s="345" t="s">
        <v>6169</v>
      </c>
      <c r="N574" s="1" t="s">
        <v>3989</v>
      </c>
      <c r="O574" s="1" t="s">
        <v>4137</v>
      </c>
      <c r="P574" s="396" t="s">
        <v>3659</v>
      </c>
      <c r="Q574" s="397">
        <v>0.2</v>
      </c>
      <c r="R574" s="396">
        <v>1900001489</v>
      </c>
      <c r="S574" s="588" t="s">
        <v>3475</v>
      </c>
      <c r="T574" s="588" t="s">
        <v>5915</v>
      </c>
    </row>
    <row r="575" spans="1:21" s="594" customFormat="1" hidden="1" x14ac:dyDescent="0.35">
      <c r="A575" s="595" t="s">
        <v>4268</v>
      </c>
      <c r="B575" s="596" t="s">
        <v>52</v>
      </c>
      <c r="C575" s="583">
        <v>43178</v>
      </c>
      <c r="D575" s="3">
        <v>43178</v>
      </c>
      <c r="E575" s="583" t="s">
        <v>129</v>
      </c>
      <c r="F575" s="394" t="s">
        <v>4136</v>
      </c>
      <c r="G575" s="597" t="s">
        <v>3655</v>
      </c>
      <c r="H575" s="1" t="s">
        <v>3656</v>
      </c>
      <c r="I575" s="418">
        <f t="shared" si="35"/>
        <v>4801.7213413999998</v>
      </c>
      <c r="J575" s="418">
        <f t="shared" si="37"/>
        <v>1086.4851999999998</v>
      </c>
      <c r="K575" s="351">
        <f t="shared" si="38"/>
        <v>603.65117711999994</v>
      </c>
      <c r="L575" s="350">
        <f t="shared" si="39"/>
        <v>120.730235424</v>
      </c>
      <c r="M575" s="345" t="s">
        <v>6169</v>
      </c>
      <c r="N575" s="596" t="s">
        <v>3989</v>
      </c>
      <c r="O575" s="1" t="s">
        <v>4137</v>
      </c>
      <c r="P575" s="396" t="s">
        <v>3659</v>
      </c>
      <c r="Q575" s="397">
        <v>0.2</v>
      </c>
      <c r="R575" s="396">
        <v>1900001489</v>
      </c>
      <c r="S575" s="588" t="s">
        <v>3475</v>
      </c>
      <c r="T575" s="588" t="s">
        <v>5915</v>
      </c>
    </row>
    <row r="576" spans="1:21" s="594" customFormat="1" hidden="1" x14ac:dyDescent="0.35">
      <c r="A576" s="595" t="s">
        <v>4269</v>
      </c>
      <c r="B576" s="596" t="s">
        <v>52</v>
      </c>
      <c r="C576" s="583">
        <v>43178</v>
      </c>
      <c r="D576" s="3">
        <v>43178</v>
      </c>
      <c r="E576" s="583"/>
      <c r="F576" s="394" t="s">
        <v>4136</v>
      </c>
      <c r="G576" s="597" t="s">
        <v>3655</v>
      </c>
      <c r="H576" s="1" t="s">
        <v>3656</v>
      </c>
      <c r="I576" s="418">
        <f t="shared" si="35"/>
        <v>4801.7213413999998</v>
      </c>
      <c r="J576" s="418">
        <f t="shared" si="37"/>
        <v>1086.4851999999998</v>
      </c>
      <c r="K576" s="351">
        <f t="shared" si="38"/>
        <v>603.65117711999994</v>
      </c>
      <c r="L576" s="350">
        <f t="shared" si="39"/>
        <v>120.730235424</v>
      </c>
      <c r="M576" s="345" t="s">
        <v>6169</v>
      </c>
      <c r="N576" s="1" t="s">
        <v>3785</v>
      </c>
      <c r="O576" s="1" t="s">
        <v>4137</v>
      </c>
      <c r="P576" s="396" t="s">
        <v>3659</v>
      </c>
      <c r="Q576" s="397">
        <v>0.2</v>
      </c>
      <c r="R576" s="396">
        <v>1900001489</v>
      </c>
      <c r="S576" s="588" t="s">
        <v>3475</v>
      </c>
      <c r="T576" s="588" t="s">
        <v>5914</v>
      </c>
      <c r="U576" s="588" t="s">
        <v>3475</v>
      </c>
    </row>
    <row r="577" spans="1:20" hidden="1" x14ac:dyDescent="0.35">
      <c r="A577" s="398" t="s">
        <v>4270</v>
      </c>
      <c r="B577" s="1" t="s">
        <v>4170</v>
      </c>
      <c r="C577" s="3">
        <v>43178</v>
      </c>
      <c r="D577" s="3">
        <v>43178</v>
      </c>
      <c r="E577" s="3" t="s">
        <v>1454</v>
      </c>
      <c r="F577" s="394" t="s">
        <v>4271</v>
      </c>
      <c r="G577" s="394" t="s">
        <v>3784</v>
      </c>
      <c r="H577" s="1" t="s">
        <v>3656</v>
      </c>
      <c r="I577" s="418">
        <f t="shared" si="35"/>
        <v>1136.0183326000001</v>
      </c>
      <c r="J577" s="418">
        <f>249.56*1.03</f>
        <v>257.04680000000002</v>
      </c>
      <c r="K577" s="351">
        <f t="shared" si="38"/>
        <v>142.81520208000001</v>
      </c>
      <c r="L577" s="350">
        <f t="shared" si="39"/>
        <v>28.563040416000003</v>
      </c>
      <c r="M577" s="345" t="s">
        <v>6169</v>
      </c>
      <c r="N577" s="1" t="s">
        <v>1377</v>
      </c>
      <c r="O577" s="1" t="s">
        <v>4137</v>
      </c>
      <c r="P577" s="396" t="s">
        <v>3659</v>
      </c>
      <c r="Q577" s="397">
        <v>0.2</v>
      </c>
      <c r="R577" s="396">
        <v>1900001488</v>
      </c>
      <c r="S577" s="2" t="s">
        <v>1453</v>
      </c>
      <c r="T577" s="2" t="s">
        <v>5915</v>
      </c>
    </row>
    <row r="578" spans="1:20" hidden="1" x14ac:dyDescent="0.35">
      <c r="A578" s="398" t="s">
        <v>4272</v>
      </c>
      <c r="B578" s="1" t="s">
        <v>4170</v>
      </c>
      <c r="C578" s="3">
        <v>43178</v>
      </c>
      <c r="D578" s="3">
        <v>43178</v>
      </c>
      <c r="E578" s="3" t="s">
        <v>1097</v>
      </c>
      <c r="F578" s="394" t="s">
        <v>4271</v>
      </c>
      <c r="G578" s="394" t="s">
        <v>3784</v>
      </c>
      <c r="H578" s="1" t="s">
        <v>3656</v>
      </c>
      <c r="I578" s="418">
        <f t="shared" si="35"/>
        <v>1136.0183326000001</v>
      </c>
      <c r="J578" s="418">
        <f t="shared" ref="J578:J622" si="40">249.56*1.03</f>
        <v>257.04680000000002</v>
      </c>
      <c r="K578" s="351">
        <f t="shared" si="38"/>
        <v>142.81520208000001</v>
      </c>
      <c r="L578" s="350">
        <f t="shared" si="39"/>
        <v>28.563040416000003</v>
      </c>
      <c r="M578" s="345" t="s">
        <v>6169</v>
      </c>
      <c r="N578" s="1" t="s">
        <v>3785</v>
      </c>
      <c r="O578" s="1" t="s">
        <v>4137</v>
      </c>
      <c r="P578" s="396" t="s">
        <v>3659</v>
      </c>
      <c r="Q578" s="397">
        <v>0.2</v>
      </c>
      <c r="R578" s="396">
        <v>1900001488</v>
      </c>
      <c r="S578" s="2" t="s">
        <v>1089</v>
      </c>
      <c r="T578" s="2" t="s">
        <v>5915</v>
      </c>
    </row>
    <row r="579" spans="1:20" hidden="1" x14ac:dyDescent="0.35">
      <c r="A579" s="398" t="s">
        <v>4273</v>
      </c>
      <c r="B579" s="1" t="s">
        <v>4170</v>
      </c>
      <c r="C579" s="3">
        <v>43178</v>
      </c>
      <c r="D579" s="3">
        <v>43178</v>
      </c>
      <c r="E579" s="3" t="s">
        <v>1104</v>
      </c>
      <c r="F579" s="394" t="s">
        <v>4271</v>
      </c>
      <c r="G579" s="394" t="s">
        <v>3784</v>
      </c>
      <c r="H579" s="1" t="s">
        <v>3656</v>
      </c>
      <c r="I579" s="418">
        <f t="shared" si="35"/>
        <v>1136.0183326000001</v>
      </c>
      <c r="J579" s="418">
        <f t="shared" si="40"/>
        <v>257.04680000000002</v>
      </c>
      <c r="K579" s="351">
        <f t="shared" si="38"/>
        <v>142.81520208000001</v>
      </c>
      <c r="L579" s="350">
        <f t="shared" si="39"/>
        <v>28.563040416000003</v>
      </c>
      <c r="M579" s="345" t="s">
        <v>6169</v>
      </c>
      <c r="N579" s="1" t="s">
        <v>3785</v>
      </c>
      <c r="O579" s="1" t="s">
        <v>4137</v>
      </c>
      <c r="P579" s="396" t="s">
        <v>3659</v>
      </c>
      <c r="Q579" s="397">
        <v>0.2</v>
      </c>
      <c r="R579" s="396">
        <v>1900001488</v>
      </c>
      <c r="S579" s="2" t="s">
        <v>1103</v>
      </c>
      <c r="T579" s="2" t="s">
        <v>5915</v>
      </c>
    </row>
    <row r="580" spans="1:20" hidden="1" x14ac:dyDescent="0.35">
      <c r="A580" s="398" t="s">
        <v>4274</v>
      </c>
      <c r="B580" s="1" t="s">
        <v>4170</v>
      </c>
      <c r="C580" s="3">
        <v>43178</v>
      </c>
      <c r="D580" s="3">
        <v>43178</v>
      </c>
      <c r="E580" s="3" t="s">
        <v>1113</v>
      </c>
      <c r="F580" s="394" t="s">
        <v>4271</v>
      </c>
      <c r="G580" s="394" t="s">
        <v>3784</v>
      </c>
      <c r="H580" s="1" t="s">
        <v>3656</v>
      </c>
      <c r="I580" s="418">
        <f t="shared" si="35"/>
        <v>1136.0183326000001</v>
      </c>
      <c r="J580" s="418">
        <f t="shared" si="40"/>
        <v>257.04680000000002</v>
      </c>
      <c r="K580" s="351">
        <f t="shared" si="38"/>
        <v>142.81520208000001</v>
      </c>
      <c r="L580" s="350">
        <f t="shared" si="39"/>
        <v>28.563040416000003</v>
      </c>
      <c r="M580" s="345" t="s">
        <v>6169</v>
      </c>
      <c r="N580" s="1" t="s">
        <v>3785</v>
      </c>
      <c r="O580" s="1" t="s">
        <v>4137</v>
      </c>
      <c r="P580" s="396" t="s">
        <v>3659</v>
      </c>
      <c r="Q580" s="397">
        <v>0.2</v>
      </c>
      <c r="R580" s="396">
        <v>1900001488</v>
      </c>
      <c r="S580" s="2" t="s">
        <v>569</v>
      </c>
      <c r="T580" s="2" t="s">
        <v>5915</v>
      </c>
    </row>
    <row r="581" spans="1:20" hidden="1" x14ac:dyDescent="0.35">
      <c r="A581" s="398" t="s">
        <v>4275</v>
      </c>
      <c r="B581" s="1" t="s">
        <v>4170</v>
      </c>
      <c r="C581" s="3">
        <v>43178</v>
      </c>
      <c r="D581" s="3">
        <v>43178</v>
      </c>
      <c r="E581" s="3" t="s">
        <v>1143</v>
      </c>
      <c r="F581" s="394" t="s">
        <v>4271</v>
      </c>
      <c r="G581" s="394" t="s">
        <v>3784</v>
      </c>
      <c r="H581" s="1" t="s">
        <v>3656</v>
      </c>
      <c r="I581" s="418">
        <f t="shared" si="35"/>
        <v>1136.0183326000001</v>
      </c>
      <c r="J581" s="418">
        <f t="shared" si="40"/>
        <v>257.04680000000002</v>
      </c>
      <c r="K581" s="351">
        <f t="shared" si="38"/>
        <v>142.81520208000001</v>
      </c>
      <c r="L581" s="350">
        <f t="shared" si="39"/>
        <v>28.563040416000003</v>
      </c>
      <c r="M581" s="345" t="s">
        <v>6169</v>
      </c>
      <c r="N581" s="1" t="s">
        <v>3785</v>
      </c>
      <c r="O581" s="1" t="s">
        <v>4137</v>
      </c>
      <c r="P581" s="396" t="s">
        <v>3659</v>
      </c>
      <c r="Q581" s="397">
        <v>0.2</v>
      </c>
      <c r="R581" s="396">
        <v>1900001488</v>
      </c>
      <c r="S581" s="2" t="s">
        <v>484</v>
      </c>
      <c r="T581" s="2" t="s">
        <v>5915</v>
      </c>
    </row>
    <row r="582" spans="1:20" hidden="1" x14ac:dyDescent="0.35">
      <c r="A582" s="398" t="s">
        <v>4276</v>
      </c>
      <c r="B582" s="1" t="s">
        <v>4170</v>
      </c>
      <c r="C582" s="3">
        <v>43178</v>
      </c>
      <c r="D582" s="3">
        <v>43178</v>
      </c>
      <c r="E582" s="3" t="s">
        <v>1144</v>
      </c>
      <c r="F582" s="394" t="s">
        <v>4271</v>
      </c>
      <c r="G582" s="394" t="s">
        <v>3784</v>
      </c>
      <c r="H582" s="1" t="s">
        <v>3656</v>
      </c>
      <c r="I582" s="418">
        <f t="shared" si="35"/>
        <v>1136.0183326000001</v>
      </c>
      <c r="J582" s="418">
        <f t="shared" si="40"/>
        <v>257.04680000000002</v>
      </c>
      <c r="K582" s="351">
        <f t="shared" si="38"/>
        <v>142.81520208000001</v>
      </c>
      <c r="L582" s="350">
        <f t="shared" si="39"/>
        <v>28.563040416000003</v>
      </c>
      <c r="M582" s="345" t="s">
        <v>6169</v>
      </c>
      <c r="N582" s="1" t="s">
        <v>3785</v>
      </c>
      <c r="O582" s="1" t="s">
        <v>4137</v>
      </c>
      <c r="P582" s="396" t="s">
        <v>3659</v>
      </c>
      <c r="Q582" s="397">
        <v>0.2</v>
      </c>
      <c r="R582" s="396">
        <v>1900001488</v>
      </c>
      <c r="S582" s="2" t="s">
        <v>484</v>
      </c>
      <c r="T582" s="2" t="s">
        <v>5915</v>
      </c>
    </row>
    <row r="583" spans="1:20" hidden="1" x14ac:dyDescent="0.35">
      <c r="A583" s="398" t="s">
        <v>4277</v>
      </c>
      <c r="B583" s="1" t="s">
        <v>4170</v>
      </c>
      <c r="C583" s="3">
        <v>43178</v>
      </c>
      <c r="D583" s="3">
        <v>43178</v>
      </c>
      <c r="E583" s="3" t="s">
        <v>1184</v>
      </c>
      <c r="F583" s="394" t="s">
        <v>4271</v>
      </c>
      <c r="G583" s="394" t="s">
        <v>3784</v>
      </c>
      <c r="H583" s="1" t="s">
        <v>3656</v>
      </c>
      <c r="I583" s="418">
        <f t="shared" si="35"/>
        <v>1136.0183326000001</v>
      </c>
      <c r="J583" s="418">
        <f t="shared" si="40"/>
        <v>257.04680000000002</v>
      </c>
      <c r="K583" s="351">
        <f t="shared" si="38"/>
        <v>142.81520208000001</v>
      </c>
      <c r="L583" s="350">
        <f t="shared" si="39"/>
        <v>28.563040416000003</v>
      </c>
      <c r="M583" s="345" t="s">
        <v>6169</v>
      </c>
      <c r="N583" s="1" t="s">
        <v>3785</v>
      </c>
      <c r="O583" s="1" t="s">
        <v>4137</v>
      </c>
      <c r="P583" s="396" t="s">
        <v>3659</v>
      </c>
      <c r="Q583" s="397">
        <v>0.2</v>
      </c>
      <c r="R583" s="396">
        <v>1900001488</v>
      </c>
      <c r="S583" s="2" t="s">
        <v>1182</v>
      </c>
      <c r="T583" s="2" t="s">
        <v>5915</v>
      </c>
    </row>
    <row r="584" spans="1:20" hidden="1" x14ac:dyDescent="0.35">
      <c r="A584" s="398" t="s">
        <v>4278</v>
      </c>
      <c r="B584" s="1" t="s">
        <v>4170</v>
      </c>
      <c r="C584" s="3">
        <v>43178</v>
      </c>
      <c r="D584" s="3">
        <v>43178</v>
      </c>
      <c r="E584" s="3" t="s">
        <v>1257</v>
      </c>
      <c r="F584" s="394" t="s">
        <v>4271</v>
      </c>
      <c r="G584" s="394" t="s">
        <v>3784</v>
      </c>
      <c r="H584" s="1" t="s">
        <v>3656</v>
      </c>
      <c r="I584" s="418">
        <f t="shared" si="35"/>
        <v>1136.0183326000001</v>
      </c>
      <c r="J584" s="418">
        <f t="shared" si="40"/>
        <v>257.04680000000002</v>
      </c>
      <c r="K584" s="351">
        <f t="shared" si="38"/>
        <v>142.81520208000001</v>
      </c>
      <c r="L584" s="350">
        <f t="shared" si="39"/>
        <v>28.563040416000003</v>
      </c>
      <c r="M584" s="345" t="s">
        <v>6169</v>
      </c>
      <c r="N584" s="1" t="s">
        <v>3785</v>
      </c>
      <c r="O584" s="1" t="s">
        <v>4137</v>
      </c>
      <c r="P584" s="396" t="s">
        <v>3659</v>
      </c>
      <c r="Q584" s="397">
        <v>0.2</v>
      </c>
      <c r="R584" s="396">
        <v>1900001488</v>
      </c>
      <c r="S584" s="2" t="s">
        <v>1256</v>
      </c>
      <c r="T584" s="2" t="s">
        <v>5915</v>
      </c>
    </row>
    <row r="585" spans="1:20" hidden="1" x14ac:dyDescent="0.35">
      <c r="A585" s="398" t="s">
        <v>4279</v>
      </c>
      <c r="B585" s="1" t="s">
        <v>4170</v>
      </c>
      <c r="C585" s="3">
        <v>43178</v>
      </c>
      <c r="D585" s="3">
        <v>43178</v>
      </c>
      <c r="E585" s="3" t="s">
        <v>1270</v>
      </c>
      <c r="F585" s="394" t="s">
        <v>4271</v>
      </c>
      <c r="G585" s="394" t="s">
        <v>3784</v>
      </c>
      <c r="H585" s="1" t="s">
        <v>3656</v>
      </c>
      <c r="I585" s="418">
        <f t="shared" si="35"/>
        <v>1136.0183326000001</v>
      </c>
      <c r="J585" s="418">
        <f t="shared" si="40"/>
        <v>257.04680000000002</v>
      </c>
      <c r="K585" s="351">
        <f t="shared" si="38"/>
        <v>142.81520208000001</v>
      </c>
      <c r="L585" s="350">
        <f t="shared" si="39"/>
        <v>28.563040416000003</v>
      </c>
      <c r="M585" s="345" t="s">
        <v>6169</v>
      </c>
      <c r="N585" s="1" t="s">
        <v>3785</v>
      </c>
      <c r="O585" s="1" t="s">
        <v>4137</v>
      </c>
      <c r="P585" s="396" t="s">
        <v>3659</v>
      </c>
      <c r="Q585" s="397">
        <v>0.2</v>
      </c>
      <c r="R585" s="396">
        <v>1900001488</v>
      </c>
      <c r="S585" s="2" t="s">
        <v>6297</v>
      </c>
      <c r="T585" s="2" t="s">
        <v>5915</v>
      </c>
    </row>
    <row r="586" spans="1:20" hidden="1" x14ac:dyDescent="0.35">
      <c r="A586" s="398" t="s">
        <v>4280</v>
      </c>
      <c r="B586" s="1" t="s">
        <v>4170</v>
      </c>
      <c r="C586" s="3">
        <v>43178</v>
      </c>
      <c r="D586" s="3">
        <v>43178</v>
      </c>
      <c r="E586" s="3" t="s">
        <v>1304</v>
      </c>
      <c r="F586" s="394" t="s">
        <v>4271</v>
      </c>
      <c r="G586" s="394" t="s">
        <v>3784</v>
      </c>
      <c r="H586" s="1" t="s">
        <v>3656</v>
      </c>
      <c r="I586" s="418">
        <f t="shared" si="35"/>
        <v>1136.0183326000001</v>
      </c>
      <c r="J586" s="418">
        <f t="shared" si="40"/>
        <v>257.04680000000002</v>
      </c>
      <c r="K586" s="351">
        <f t="shared" si="38"/>
        <v>142.81520208000001</v>
      </c>
      <c r="L586" s="350">
        <f t="shared" si="39"/>
        <v>28.563040416000003</v>
      </c>
      <c r="M586" s="345" t="s">
        <v>6169</v>
      </c>
      <c r="N586" s="1" t="s">
        <v>3785</v>
      </c>
      <c r="O586" s="1" t="s">
        <v>4137</v>
      </c>
      <c r="P586" s="396" t="s">
        <v>3659</v>
      </c>
      <c r="Q586" s="397">
        <v>0.2</v>
      </c>
      <c r="R586" s="396">
        <v>1900001488</v>
      </c>
      <c r="S586" s="2" t="s">
        <v>490</v>
      </c>
      <c r="T586" s="2" t="s">
        <v>5915</v>
      </c>
    </row>
    <row r="587" spans="1:20" hidden="1" x14ac:dyDescent="0.35">
      <c r="A587" s="398" t="s">
        <v>4281</v>
      </c>
      <c r="B587" s="1" t="s">
        <v>4170</v>
      </c>
      <c r="C587" s="3">
        <v>43178</v>
      </c>
      <c r="D587" s="3">
        <v>43178</v>
      </c>
      <c r="E587" s="3" t="s">
        <v>1314</v>
      </c>
      <c r="F587" s="394" t="s">
        <v>4271</v>
      </c>
      <c r="G587" s="394" t="s">
        <v>3784</v>
      </c>
      <c r="H587" s="1" t="s">
        <v>3656</v>
      </c>
      <c r="I587" s="418">
        <f t="shared" si="35"/>
        <v>1136.0183326000001</v>
      </c>
      <c r="J587" s="418">
        <f t="shared" si="40"/>
        <v>257.04680000000002</v>
      </c>
      <c r="K587" s="351">
        <f t="shared" si="38"/>
        <v>142.81520208000001</v>
      </c>
      <c r="L587" s="350">
        <f t="shared" si="39"/>
        <v>28.563040416000003</v>
      </c>
      <c r="M587" s="345" t="s">
        <v>6169</v>
      </c>
      <c r="N587" s="1" t="s">
        <v>3785</v>
      </c>
      <c r="O587" s="1" t="s">
        <v>4137</v>
      </c>
      <c r="P587" s="396" t="s">
        <v>3659</v>
      </c>
      <c r="Q587" s="397">
        <v>0.2</v>
      </c>
      <c r="R587" s="396">
        <v>1900001488</v>
      </c>
      <c r="S587" s="2" t="s">
        <v>1313</v>
      </c>
      <c r="T587" s="2" t="s">
        <v>5915</v>
      </c>
    </row>
    <row r="588" spans="1:20" hidden="1" x14ac:dyDescent="0.35">
      <c r="A588" s="398" t="s">
        <v>4282</v>
      </c>
      <c r="B588" s="1" t="s">
        <v>4170</v>
      </c>
      <c r="C588" s="3">
        <v>43178</v>
      </c>
      <c r="D588" s="3">
        <v>43178</v>
      </c>
      <c r="E588" s="3" t="s">
        <v>1318</v>
      </c>
      <c r="F588" s="394" t="s">
        <v>4271</v>
      </c>
      <c r="G588" s="394" t="s">
        <v>3784</v>
      </c>
      <c r="H588" s="1" t="s">
        <v>3656</v>
      </c>
      <c r="I588" s="418">
        <f t="shared" si="35"/>
        <v>1136.0183326000001</v>
      </c>
      <c r="J588" s="418">
        <f t="shared" si="40"/>
        <v>257.04680000000002</v>
      </c>
      <c r="K588" s="351">
        <f t="shared" si="38"/>
        <v>142.81520208000001</v>
      </c>
      <c r="L588" s="350">
        <f t="shared" si="39"/>
        <v>28.563040416000003</v>
      </c>
      <c r="M588" s="345" t="s">
        <v>6169</v>
      </c>
      <c r="N588" s="1" t="s">
        <v>3785</v>
      </c>
      <c r="O588" s="1" t="s">
        <v>4137</v>
      </c>
      <c r="P588" s="396" t="s">
        <v>3659</v>
      </c>
      <c r="Q588" s="397">
        <v>0.2</v>
      </c>
      <c r="R588" s="396">
        <v>1900001488</v>
      </c>
      <c r="S588" s="2" t="s">
        <v>1317</v>
      </c>
      <c r="T588" s="2" t="s">
        <v>5915</v>
      </c>
    </row>
    <row r="589" spans="1:20" hidden="1" x14ac:dyDescent="0.35">
      <c r="A589" s="398" t="s">
        <v>4283</v>
      </c>
      <c r="B589" s="1" t="s">
        <v>4170</v>
      </c>
      <c r="C589" s="3">
        <v>43178</v>
      </c>
      <c r="D589" s="3">
        <v>43178</v>
      </c>
      <c r="E589" s="3" t="s">
        <v>1357</v>
      </c>
      <c r="F589" s="394" t="s">
        <v>4271</v>
      </c>
      <c r="G589" s="394" t="s">
        <v>3784</v>
      </c>
      <c r="H589" s="1" t="s">
        <v>3656</v>
      </c>
      <c r="I589" s="418">
        <f t="shared" ref="I589:I638" si="41">J589*4.4195</f>
        <v>1136.0183326000001</v>
      </c>
      <c r="J589" s="418">
        <f t="shared" si="40"/>
        <v>257.04680000000002</v>
      </c>
      <c r="K589" s="351">
        <f t="shared" si="38"/>
        <v>142.81520208000001</v>
      </c>
      <c r="L589" s="350">
        <f t="shared" si="39"/>
        <v>28.563040416000003</v>
      </c>
      <c r="M589" s="345" t="s">
        <v>6169</v>
      </c>
      <c r="N589" s="1" t="s">
        <v>3785</v>
      </c>
      <c r="O589" s="1" t="s">
        <v>4137</v>
      </c>
      <c r="P589" s="396" t="s">
        <v>3659</v>
      </c>
      <c r="Q589" s="397">
        <v>0.2</v>
      </c>
      <c r="R589" s="396">
        <v>1900001488</v>
      </c>
      <c r="S589" s="2" t="s">
        <v>402</v>
      </c>
      <c r="T589" s="2" t="s">
        <v>5915</v>
      </c>
    </row>
    <row r="590" spans="1:20" hidden="1" x14ac:dyDescent="0.35">
      <c r="A590" s="398" t="s">
        <v>4284</v>
      </c>
      <c r="B590" s="1" t="s">
        <v>4170</v>
      </c>
      <c r="C590" s="3">
        <v>43178</v>
      </c>
      <c r="D590" s="3">
        <v>43178</v>
      </c>
      <c r="E590" s="3" t="s">
        <v>1366</v>
      </c>
      <c r="F590" s="394" t="s">
        <v>4271</v>
      </c>
      <c r="G590" s="394" t="s">
        <v>3784</v>
      </c>
      <c r="H590" s="1" t="s">
        <v>3656</v>
      </c>
      <c r="I590" s="418">
        <f t="shared" si="41"/>
        <v>1136.0183326000001</v>
      </c>
      <c r="J590" s="418">
        <f t="shared" si="40"/>
        <v>257.04680000000002</v>
      </c>
      <c r="K590" s="351">
        <f t="shared" si="38"/>
        <v>142.81520208000001</v>
      </c>
      <c r="L590" s="350">
        <f t="shared" si="39"/>
        <v>28.563040416000003</v>
      </c>
      <c r="M590" s="345" t="s">
        <v>6169</v>
      </c>
      <c r="N590" s="1" t="s">
        <v>3785</v>
      </c>
      <c r="O590" s="1" t="s">
        <v>4137</v>
      </c>
      <c r="P590" s="396" t="s">
        <v>3659</v>
      </c>
      <c r="Q590" s="397">
        <v>0.2</v>
      </c>
      <c r="R590" s="396">
        <v>1900001488</v>
      </c>
      <c r="S590" s="2" t="s">
        <v>1365</v>
      </c>
      <c r="T590" s="2" t="s">
        <v>5915</v>
      </c>
    </row>
    <row r="591" spans="1:20" hidden="1" x14ac:dyDescent="0.35">
      <c r="A591" s="398" t="s">
        <v>4285</v>
      </c>
      <c r="B591" s="1" t="s">
        <v>4170</v>
      </c>
      <c r="C591" s="3">
        <v>43178</v>
      </c>
      <c r="D591" s="3">
        <v>43178</v>
      </c>
      <c r="E591" s="3" t="s">
        <v>1368</v>
      </c>
      <c r="F591" s="394" t="s">
        <v>4271</v>
      </c>
      <c r="G591" s="394" t="s">
        <v>3784</v>
      </c>
      <c r="H591" s="1" t="s">
        <v>3656</v>
      </c>
      <c r="I591" s="418">
        <f t="shared" si="41"/>
        <v>1136.0183326000001</v>
      </c>
      <c r="J591" s="418">
        <f t="shared" si="40"/>
        <v>257.04680000000002</v>
      </c>
      <c r="K591" s="351">
        <f t="shared" si="38"/>
        <v>142.81520208000001</v>
      </c>
      <c r="L591" s="350">
        <f t="shared" si="39"/>
        <v>28.563040416000003</v>
      </c>
      <c r="M591" s="345" t="s">
        <v>6169</v>
      </c>
      <c r="N591" s="1" t="s">
        <v>3785</v>
      </c>
      <c r="O591" s="1" t="s">
        <v>4137</v>
      </c>
      <c r="P591" s="396" t="s">
        <v>3659</v>
      </c>
      <c r="Q591" s="397">
        <v>0.2</v>
      </c>
      <c r="R591" s="396">
        <v>1900001488</v>
      </c>
      <c r="S591" s="2" t="s">
        <v>1664</v>
      </c>
      <c r="T591" s="2" t="s">
        <v>5915</v>
      </c>
    </row>
    <row r="592" spans="1:20" hidden="1" x14ac:dyDescent="0.35">
      <c r="A592" s="398" t="s">
        <v>4286</v>
      </c>
      <c r="B592" s="1" t="s">
        <v>4170</v>
      </c>
      <c r="C592" s="3">
        <v>43178</v>
      </c>
      <c r="D592" s="3">
        <v>43178</v>
      </c>
      <c r="E592" s="3" t="s">
        <v>1370</v>
      </c>
      <c r="F592" s="394" t="s">
        <v>4271</v>
      </c>
      <c r="G592" s="394" t="s">
        <v>3784</v>
      </c>
      <c r="H592" s="1" t="s">
        <v>3656</v>
      </c>
      <c r="I592" s="418">
        <f t="shared" si="41"/>
        <v>1136.0183326000001</v>
      </c>
      <c r="J592" s="418">
        <f t="shared" si="40"/>
        <v>257.04680000000002</v>
      </c>
      <c r="K592" s="351">
        <f t="shared" si="38"/>
        <v>142.81520208000001</v>
      </c>
      <c r="L592" s="350">
        <f t="shared" si="39"/>
        <v>28.563040416000003</v>
      </c>
      <c r="M592" s="345" t="s">
        <v>6169</v>
      </c>
      <c r="N592" s="1" t="s">
        <v>3785</v>
      </c>
      <c r="O592" s="1" t="s">
        <v>4137</v>
      </c>
      <c r="P592" s="396" t="s">
        <v>3659</v>
      </c>
      <c r="Q592" s="397">
        <v>0.2</v>
      </c>
      <c r="R592" s="396">
        <v>1900001488</v>
      </c>
      <c r="S592" s="2" t="s">
        <v>1369</v>
      </c>
      <c r="T592" s="2" t="s">
        <v>5915</v>
      </c>
    </row>
    <row r="593" spans="1:20" hidden="1" x14ac:dyDescent="0.35">
      <c r="A593" s="398" t="s">
        <v>4287</v>
      </c>
      <c r="B593" s="1" t="s">
        <v>4170</v>
      </c>
      <c r="C593" s="3">
        <v>43178</v>
      </c>
      <c r="D593" s="3">
        <v>43178</v>
      </c>
      <c r="E593" s="3" t="s">
        <v>1401</v>
      </c>
      <c r="F593" s="394" t="s">
        <v>4271</v>
      </c>
      <c r="G593" s="394" t="s">
        <v>3784</v>
      </c>
      <c r="H593" s="1" t="s">
        <v>3656</v>
      </c>
      <c r="I593" s="418">
        <f t="shared" si="41"/>
        <v>1136.0183326000001</v>
      </c>
      <c r="J593" s="418">
        <f t="shared" si="40"/>
        <v>257.04680000000002</v>
      </c>
      <c r="K593" s="351">
        <f t="shared" si="38"/>
        <v>142.81520208000001</v>
      </c>
      <c r="L593" s="350">
        <f t="shared" si="39"/>
        <v>28.563040416000003</v>
      </c>
      <c r="M593" s="345" t="s">
        <v>6169</v>
      </c>
      <c r="N593" s="1" t="s">
        <v>3785</v>
      </c>
      <c r="O593" s="1" t="s">
        <v>4137</v>
      </c>
      <c r="P593" s="396" t="s">
        <v>3659</v>
      </c>
      <c r="Q593" s="397">
        <v>0.2</v>
      </c>
      <c r="R593" s="396">
        <v>1900001488</v>
      </c>
      <c r="S593" s="2" t="s">
        <v>1399</v>
      </c>
      <c r="T593" s="2" t="s">
        <v>5915</v>
      </c>
    </row>
    <row r="594" spans="1:20" hidden="1" x14ac:dyDescent="0.35">
      <c r="A594" s="398" t="s">
        <v>4288</v>
      </c>
      <c r="B594" s="1" t="s">
        <v>4170</v>
      </c>
      <c r="C594" s="3">
        <v>43178</v>
      </c>
      <c r="D594" s="3">
        <v>43178</v>
      </c>
      <c r="E594" s="3" t="s">
        <v>1405</v>
      </c>
      <c r="F594" s="394" t="s">
        <v>4271</v>
      </c>
      <c r="G594" s="394" t="s">
        <v>3784</v>
      </c>
      <c r="H594" s="1" t="s">
        <v>3656</v>
      </c>
      <c r="I594" s="418">
        <f t="shared" si="41"/>
        <v>1136.0183326000001</v>
      </c>
      <c r="J594" s="418">
        <f t="shared" si="40"/>
        <v>257.04680000000002</v>
      </c>
      <c r="K594" s="351">
        <f t="shared" si="38"/>
        <v>142.81520208000001</v>
      </c>
      <c r="L594" s="350">
        <f t="shared" si="39"/>
        <v>28.563040416000003</v>
      </c>
      <c r="M594" s="345" t="s">
        <v>6169</v>
      </c>
      <c r="N594" s="1" t="s">
        <v>3785</v>
      </c>
      <c r="O594" s="1" t="s">
        <v>4137</v>
      </c>
      <c r="P594" s="396" t="s">
        <v>3659</v>
      </c>
      <c r="Q594" s="397">
        <v>0.2</v>
      </c>
      <c r="R594" s="396">
        <v>1900001488</v>
      </c>
      <c r="S594" s="2" t="s">
        <v>1404</v>
      </c>
      <c r="T594" s="2" t="s">
        <v>5915</v>
      </c>
    </row>
    <row r="595" spans="1:20" s="815" customFormat="1" hidden="1" x14ac:dyDescent="0.35">
      <c r="B595" s="1" t="s">
        <v>4170</v>
      </c>
      <c r="C595" s="3">
        <v>43178</v>
      </c>
      <c r="D595" s="3"/>
      <c r="E595" s="177" t="s">
        <v>6279</v>
      </c>
      <c r="F595" s="394"/>
      <c r="G595" s="394" t="s">
        <v>3784</v>
      </c>
      <c r="H595" s="1" t="s">
        <v>3656</v>
      </c>
      <c r="I595" s="418"/>
      <c r="J595" s="418"/>
      <c r="K595" s="351"/>
      <c r="L595" s="350"/>
      <c r="M595" s="345"/>
      <c r="N595" s="1" t="s">
        <v>3785</v>
      </c>
      <c r="O595" s="1"/>
      <c r="P595" s="396"/>
      <c r="Q595" s="397"/>
      <c r="R595" s="396"/>
      <c r="S595" s="890" t="s">
        <v>6211</v>
      </c>
    </row>
    <row r="596" spans="1:20" s="815" customFormat="1" hidden="1" x14ac:dyDescent="0.35">
      <c r="B596" s="1" t="s">
        <v>4170</v>
      </c>
      <c r="C596" s="3">
        <v>43178</v>
      </c>
      <c r="D596" s="3"/>
      <c r="E596" s="177" t="s">
        <v>6280</v>
      </c>
      <c r="F596" s="394"/>
      <c r="G596" s="394" t="s">
        <v>3784</v>
      </c>
      <c r="H596" s="1" t="s">
        <v>3656</v>
      </c>
      <c r="I596" s="418"/>
      <c r="J596" s="418"/>
      <c r="K596" s="351"/>
      <c r="L596" s="350"/>
      <c r="M596" s="345"/>
      <c r="N596" s="1" t="s">
        <v>3785</v>
      </c>
      <c r="O596" s="1"/>
      <c r="P596" s="396"/>
      <c r="Q596" s="397"/>
      <c r="R596" s="396"/>
      <c r="S596" s="890" t="s">
        <v>6211</v>
      </c>
    </row>
    <row r="597" spans="1:20" hidden="1" x14ac:dyDescent="0.35">
      <c r="A597" s="398" t="s">
        <v>4289</v>
      </c>
      <c r="B597" s="1" t="s">
        <v>4170</v>
      </c>
      <c r="C597" s="3">
        <v>43178</v>
      </c>
      <c r="D597" s="3">
        <v>43178</v>
      </c>
      <c r="E597" s="3" t="s">
        <v>1410</v>
      </c>
      <c r="F597" s="394" t="s">
        <v>4271</v>
      </c>
      <c r="G597" s="394" t="s">
        <v>3784</v>
      </c>
      <c r="H597" s="1" t="s">
        <v>3656</v>
      </c>
      <c r="I597" s="418">
        <f t="shared" si="41"/>
        <v>1136.0183326000001</v>
      </c>
      <c r="J597" s="418">
        <f t="shared" si="40"/>
        <v>257.04680000000002</v>
      </c>
      <c r="K597" s="351">
        <f t="shared" si="38"/>
        <v>142.81520208000001</v>
      </c>
      <c r="L597" s="350">
        <f t="shared" si="39"/>
        <v>28.563040416000003</v>
      </c>
      <c r="M597" s="345" t="s">
        <v>6169</v>
      </c>
      <c r="N597" s="1" t="s">
        <v>3785</v>
      </c>
      <c r="O597" s="1" t="s">
        <v>4137</v>
      </c>
      <c r="P597" s="396" t="s">
        <v>3659</v>
      </c>
      <c r="Q597" s="397">
        <v>0.2</v>
      </c>
      <c r="R597" s="396">
        <v>1900001488</v>
      </c>
      <c r="S597" s="2" t="s">
        <v>6439</v>
      </c>
      <c r="T597" s="2" t="s">
        <v>5915</v>
      </c>
    </row>
    <row r="598" spans="1:20" hidden="1" x14ac:dyDescent="0.35">
      <c r="A598" s="398" t="s">
        <v>4290</v>
      </c>
      <c r="B598" s="1" t="s">
        <v>4291</v>
      </c>
      <c r="C598" s="3">
        <v>43178</v>
      </c>
      <c r="D598" s="3">
        <v>43178</v>
      </c>
      <c r="E598" s="3" t="s">
        <v>777</v>
      </c>
      <c r="F598" s="394" t="s">
        <v>4271</v>
      </c>
      <c r="G598" s="394" t="s">
        <v>3784</v>
      </c>
      <c r="H598" s="1" t="s">
        <v>3656</v>
      </c>
      <c r="I598" s="418">
        <f t="shared" si="41"/>
        <v>1136.0183326000001</v>
      </c>
      <c r="J598" s="418">
        <f t="shared" si="40"/>
        <v>257.04680000000002</v>
      </c>
      <c r="K598" s="351">
        <f t="shared" si="38"/>
        <v>142.81520208000001</v>
      </c>
      <c r="L598" s="350">
        <f t="shared" si="39"/>
        <v>28.563040416000003</v>
      </c>
      <c r="M598" s="345" t="s">
        <v>6169</v>
      </c>
      <c r="N598" s="1" t="s">
        <v>3785</v>
      </c>
      <c r="O598" s="1" t="s">
        <v>4137</v>
      </c>
      <c r="P598" s="396" t="s">
        <v>3659</v>
      </c>
      <c r="Q598" s="397">
        <v>0.2</v>
      </c>
      <c r="R598" s="396">
        <v>1900001488</v>
      </c>
      <c r="S598" s="2" t="s">
        <v>311</v>
      </c>
      <c r="T598" s="2" t="s">
        <v>5915</v>
      </c>
    </row>
    <row r="599" spans="1:20" hidden="1" x14ac:dyDescent="0.35">
      <c r="A599" s="398" t="s">
        <v>4292</v>
      </c>
      <c r="B599" s="1" t="s">
        <v>4291</v>
      </c>
      <c r="C599" s="3">
        <v>43178</v>
      </c>
      <c r="D599" s="3">
        <v>43178</v>
      </c>
      <c r="E599" s="3" t="s">
        <v>779</v>
      </c>
      <c r="F599" s="394" t="s">
        <v>4271</v>
      </c>
      <c r="G599" s="394" t="s">
        <v>3784</v>
      </c>
      <c r="H599" s="1" t="s">
        <v>3656</v>
      </c>
      <c r="I599" s="418">
        <f t="shared" si="41"/>
        <v>1136.0183326000001</v>
      </c>
      <c r="J599" s="418">
        <f t="shared" si="40"/>
        <v>257.04680000000002</v>
      </c>
      <c r="K599" s="351">
        <f t="shared" si="38"/>
        <v>142.81520208000001</v>
      </c>
      <c r="L599" s="350">
        <f t="shared" si="39"/>
        <v>28.563040416000003</v>
      </c>
      <c r="M599" s="345" t="s">
        <v>6169</v>
      </c>
      <c r="N599" s="1" t="s">
        <v>3785</v>
      </c>
      <c r="O599" s="1" t="s">
        <v>4137</v>
      </c>
      <c r="P599" s="396" t="s">
        <v>3659</v>
      </c>
      <c r="Q599" s="397">
        <v>0.2</v>
      </c>
      <c r="R599" s="396">
        <v>1900001488</v>
      </c>
      <c r="S599" s="2" t="s">
        <v>778</v>
      </c>
      <c r="T599" s="2" t="s">
        <v>5915</v>
      </c>
    </row>
    <row r="600" spans="1:20" hidden="1" x14ac:dyDescent="0.35">
      <c r="A600" s="398" t="s">
        <v>4293</v>
      </c>
      <c r="B600" s="1" t="s">
        <v>4294</v>
      </c>
      <c r="C600" s="3">
        <v>43178</v>
      </c>
      <c r="D600" s="3">
        <v>43178</v>
      </c>
      <c r="E600" s="3" t="s">
        <v>814</v>
      </c>
      <c r="F600" s="394" t="s">
        <v>4271</v>
      </c>
      <c r="G600" s="394" t="s">
        <v>3784</v>
      </c>
      <c r="H600" s="1" t="s">
        <v>3656</v>
      </c>
      <c r="I600" s="418">
        <f t="shared" si="41"/>
        <v>1136.0183326000001</v>
      </c>
      <c r="J600" s="418">
        <f t="shared" si="40"/>
        <v>257.04680000000002</v>
      </c>
      <c r="K600" s="351">
        <f t="shared" si="38"/>
        <v>142.81520208000001</v>
      </c>
      <c r="L600" s="350">
        <f t="shared" si="39"/>
        <v>28.563040416000003</v>
      </c>
      <c r="M600" s="345" t="s">
        <v>6169</v>
      </c>
      <c r="N600" s="1" t="s">
        <v>3785</v>
      </c>
      <c r="O600" s="1" t="s">
        <v>4137</v>
      </c>
      <c r="P600" s="396" t="s">
        <v>3659</v>
      </c>
      <c r="Q600" s="397">
        <v>0.2</v>
      </c>
      <c r="R600" s="396">
        <v>1900001488</v>
      </c>
      <c r="S600" s="2" t="s">
        <v>812</v>
      </c>
      <c r="T600" s="2" t="s">
        <v>5915</v>
      </c>
    </row>
    <row r="601" spans="1:20" hidden="1" x14ac:dyDescent="0.35">
      <c r="A601" s="398" t="s">
        <v>4295</v>
      </c>
      <c r="B601" s="1" t="s">
        <v>4291</v>
      </c>
      <c r="C601" s="3">
        <v>43178</v>
      </c>
      <c r="D601" s="3">
        <v>43178</v>
      </c>
      <c r="E601" s="3" t="s">
        <v>841</v>
      </c>
      <c r="F601" s="394" t="s">
        <v>4271</v>
      </c>
      <c r="G601" s="394" t="s">
        <v>3784</v>
      </c>
      <c r="H601" s="1" t="s">
        <v>3656</v>
      </c>
      <c r="I601" s="418">
        <f t="shared" si="41"/>
        <v>1136.0183326000001</v>
      </c>
      <c r="J601" s="418">
        <f t="shared" si="40"/>
        <v>257.04680000000002</v>
      </c>
      <c r="K601" s="351">
        <f t="shared" si="38"/>
        <v>142.81520208000001</v>
      </c>
      <c r="L601" s="350">
        <f t="shared" si="39"/>
        <v>28.563040416000003</v>
      </c>
      <c r="M601" s="345" t="s">
        <v>6169</v>
      </c>
      <c r="N601" s="1" t="s">
        <v>3785</v>
      </c>
      <c r="O601" s="1" t="s">
        <v>4137</v>
      </c>
      <c r="P601" s="396" t="s">
        <v>3659</v>
      </c>
      <c r="Q601" s="397">
        <v>0.2</v>
      </c>
      <c r="R601" s="396">
        <v>1900001488</v>
      </c>
      <c r="S601" s="2" t="s">
        <v>840</v>
      </c>
      <c r="T601" s="2" t="s">
        <v>5915</v>
      </c>
    </row>
    <row r="602" spans="1:20" hidden="1" x14ac:dyDescent="0.35">
      <c r="A602" s="398" t="s">
        <v>4296</v>
      </c>
      <c r="B602" s="1" t="s">
        <v>4170</v>
      </c>
      <c r="C602" s="3">
        <v>43178</v>
      </c>
      <c r="D602" s="3">
        <v>43178</v>
      </c>
      <c r="E602" s="3"/>
      <c r="F602" s="394" t="s">
        <v>4271</v>
      </c>
      <c r="G602" s="394" t="s">
        <v>3784</v>
      </c>
      <c r="H602" s="1" t="s">
        <v>3656</v>
      </c>
      <c r="I602" s="418">
        <f t="shared" si="41"/>
        <v>1136.0183326000001</v>
      </c>
      <c r="J602" s="418">
        <f t="shared" si="40"/>
        <v>257.04680000000002</v>
      </c>
      <c r="K602" s="351">
        <f t="shared" si="38"/>
        <v>142.81520208000001</v>
      </c>
      <c r="L602" s="350">
        <f t="shared" si="39"/>
        <v>28.563040416000003</v>
      </c>
      <c r="M602" s="345" t="s">
        <v>6169</v>
      </c>
      <c r="N602" s="1" t="s">
        <v>3785</v>
      </c>
      <c r="O602" s="1" t="s">
        <v>4137</v>
      </c>
      <c r="P602" s="396" t="s">
        <v>3659</v>
      </c>
      <c r="Q602" s="397">
        <v>0.2</v>
      </c>
      <c r="R602" s="396">
        <v>1900001488</v>
      </c>
      <c r="S602" s="2" t="s">
        <v>712</v>
      </c>
      <c r="T602" s="2" t="s">
        <v>5915</v>
      </c>
    </row>
    <row r="603" spans="1:20" hidden="1" x14ac:dyDescent="0.35">
      <c r="A603" s="398" t="s">
        <v>4297</v>
      </c>
      <c r="B603" s="1" t="s">
        <v>4170</v>
      </c>
      <c r="C603" s="3">
        <v>43178</v>
      </c>
      <c r="D603" s="3">
        <v>43178</v>
      </c>
      <c r="E603" s="3"/>
      <c r="F603" s="394" t="s">
        <v>4271</v>
      </c>
      <c r="G603" s="394" t="s">
        <v>3784</v>
      </c>
      <c r="H603" s="1" t="s">
        <v>3656</v>
      </c>
      <c r="I603" s="418">
        <f t="shared" si="41"/>
        <v>1136.0183326000001</v>
      </c>
      <c r="J603" s="418">
        <f t="shared" si="40"/>
        <v>257.04680000000002</v>
      </c>
      <c r="K603" s="351">
        <f t="shared" si="38"/>
        <v>142.81520208000001</v>
      </c>
      <c r="L603" s="350">
        <f t="shared" si="39"/>
        <v>28.563040416000003</v>
      </c>
      <c r="M603" s="345" t="s">
        <v>6169</v>
      </c>
      <c r="N603" s="1" t="s">
        <v>3785</v>
      </c>
      <c r="O603" s="1" t="s">
        <v>4137</v>
      </c>
      <c r="P603" s="396" t="s">
        <v>3659</v>
      </c>
      <c r="Q603" s="397">
        <v>0.2</v>
      </c>
      <c r="R603" s="396">
        <v>1900001488</v>
      </c>
      <c r="S603" s="2" t="s">
        <v>712</v>
      </c>
      <c r="T603" s="2" t="s">
        <v>5915</v>
      </c>
    </row>
    <row r="604" spans="1:20" hidden="1" x14ac:dyDescent="0.35">
      <c r="A604" s="398" t="s">
        <v>4298</v>
      </c>
      <c r="B604" s="1" t="s">
        <v>4291</v>
      </c>
      <c r="C604" s="3">
        <v>43178</v>
      </c>
      <c r="D604" s="3">
        <v>43178</v>
      </c>
      <c r="E604" s="3" t="s">
        <v>868</v>
      </c>
      <c r="F604" s="394" t="s">
        <v>4271</v>
      </c>
      <c r="G604" s="394" t="s">
        <v>3784</v>
      </c>
      <c r="H604" s="1" t="s">
        <v>3656</v>
      </c>
      <c r="I604" s="418">
        <f t="shared" si="41"/>
        <v>1136.0183326000001</v>
      </c>
      <c r="J604" s="418">
        <f t="shared" si="40"/>
        <v>257.04680000000002</v>
      </c>
      <c r="K604" s="351">
        <f t="shared" si="38"/>
        <v>142.81520208000001</v>
      </c>
      <c r="L604" s="350">
        <f t="shared" si="39"/>
        <v>28.563040416000003</v>
      </c>
      <c r="M604" s="345" t="s">
        <v>6169</v>
      </c>
      <c r="N604" s="1" t="s">
        <v>3785</v>
      </c>
      <c r="O604" s="1" t="s">
        <v>4137</v>
      </c>
      <c r="P604" s="396" t="s">
        <v>3659</v>
      </c>
      <c r="Q604" s="397">
        <v>0.2</v>
      </c>
      <c r="R604" s="396">
        <v>1900001488</v>
      </c>
      <c r="S604" s="2" t="s">
        <v>866</v>
      </c>
      <c r="T604" s="2" t="s">
        <v>5915</v>
      </c>
    </row>
    <row r="605" spans="1:20" hidden="1" x14ac:dyDescent="0.35">
      <c r="A605" s="398" t="s">
        <v>4299</v>
      </c>
      <c r="B605" s="1" t="s">
        <v>4291</v>
      </c>
      <c r="C605" s="3">
        <v>43178</v>
      </c>
      <c r="D605" s="3">
        <v>43178</v>
      </c>
      <c r="E605" s="3" t="s">
        <v>870</v>
      </c>
      <c r="F605" s="394" t="s">
        <v>4271</v>
      </c>
      <c r="G605" s="394" t="s">
        <v>3784</v>
      </c>
      <c r="H605" s="1" t="s">
        <v>3656</v>
      </c>
      <c r="I605" s="418">
        <f t="shared" si="41"/>
        <v>1136.0183326000001</v>
      </c>
      <c r="J605" s="418">
        <f t="shared" si="40"/>
        <v>257.04680000000002</v>
      </c>
      <c r="K605" s="351">
        <f t="shared" si="38"/>
        <v>142.81520208000001</v>
      </c>
      <c r="L605" s="350">
        <f t="shared" si="39"/>
        <v>28.563040416000003</v>
      </c>
      <c r="M605" s="345" t="s">
        <v>6169</v>
      </c>
      <c r="N605" s="1" t="s">
        <v>3785</v>
      </c>
      <c r="O605" s="1" t="s">
        <v>4137</v>
      </c>
      <c r="P605" s="396" t="s">
        <v>3659</v>
      </c>
      <c r="Q605" s="397">
        <v>0.2</v>
      </c>
      <c r="R605" s="396">
        <v>1900001488</v>
      </c>
      <c r="S605" s="2" t="s">
        <v>869</v>
      </c>
      <c r="T605" s="2" t="s">
        <v>5915</v>
      </c>
    </row>
    <row r="606" spans="1:20" hidden="1" x14ac:dyDescent="0.35">
      <c r="A606" s="398" t="s">
        <v>4300</v>
      </c>
      <c r="B606" s="1" t="s">
        <v>4291</v>
      </c>
      <c r="C606" s="3">
        <v>43178</v>
      </c>
      <c r="D606" s="3">
        <v>43178</v>
      </c>
      <c r="E606" s="3" t="s">
        <v>895</v>
      </c>
      <c r="F606" s="394" t="s">
        <v>4271</v>
      </c>
      <c r="G606" s="394" t="s">
        <v>3784</v>
      </c>
      <c r="H606" s="1" t="s">
        <v>3656</v>
      </c>
      <c r="I606" s="418">
        <f t="shared" si="41"/>
        <v>1136.0183326000001</v>
      </c>
      <c r="J606" s="418">
        <f t="shared" si="40"/>
        <v>257.04680000000002</v>
      </c>
      <c r="K606" s="351">
        <f t="shared" si="38"/>
        <v>142.81520208000001</v>
      </c>
      <c r="L606" s="350">
        <f t="shared" si="39"/>
        <v>28.563040416000003</v>
      </c>
      <c r="M606" s="345" t="s">
        <v>6169</v>
      </c>
      <c r="N606" s="1" t="s">
        <v>3785</v>
      </c>
      <c r="O606" s="1" t="s">
        <v>4137</v>
      </c>
      <c r="P606" s="396" t="s">
        <v>3659</v>
      </c>
      <c r="Q606" s="397">
        <v>0.2</v>
      </c>
      <c r="R606" s="396">
        <v>1900001488</v>
      </c>
      <c r="S606" s="2" t="s">
        <v>586</v>
      </c>
      <c r="T606" s="2" t="s">
        <v>5915</v>
      </c>
    </row>
    <row r="607" spans="1:20" hidden="1" x14ac:dyDescent="0.35">
      <c r="A607" s="398" t="s">
        <v>4301</v>
      </c>
      <c r="B607" s="1" t="s">
        <v>4170</v>
      </c>
      <c r="C607" s="3">
        <v>43178</v>
      </c>
      <c r="D607" s="3">
        <v>43178</v>
      </c>
      <c r="E607" s="3" t="s">
        <v>898</v>
      </c>
      <c r="F607" s="394" t="s">
        <v>4271</v>
      </c>
      <c r="G607" s="394" t="s">
        <v>3784</v>
      </c>
      <c r="H607" s="1" t="s">
        <v>3656</v>
      </c>
      <c r="I607" s="418">
        <f t="shared" si="41"/>
        <v>1136.0183326000001</v>
      </c>
      <c r="J607" s="418">
        <f t="shared" si="40"/>
        <v>257.04680000000002</v>
      </c>
      <c r="K607" s="351">
        <f t="shared" si="38"/>
        <v>142.81520208000001</v>
      </c>
      <c r="L607" s="350">
        <f t="shared" si="39"/>
        <v>28.563040416000003</v>
      </c>
      <c r="M607" s="345" t="s">
        <v>6169</v>
      </c>
      <c r="N607" s="1" t="s">
        <v>3785</v>
      </c>
      <c r="O607" s="1" t="s">
        <v>4137</v>
      </c>
      <c r="P607" s="396" t="s">
        <v>3659</v>
      </c>
      <c r="Q607" s="397">
        <v>0.2</v>
      </c>
      <c r="R607" s="396">
        <v>1900001488</v>
      </c>
      <c r="S607" s="2" t="s">
        <v>666</v>
      </c>
      <c r="T607" s="2" t="s">
        <v>5915</v>
      </c>
    </row>
    <row r="608" spans="1:20" hidden="1" x14ac:dyDescent="0.35">
      <c r="A608" s="398" t="s">
        <v>4302</v>
      </c>
      <c r="B608" s="1" t="s">
        <v>4170</v>
      </c>
      <c r="C608" s="3">
        <v>43178</v>
      </c>
      <c r="D608" s="3">
        <v>43178</v>
      </c>
      <c r="E608" s="3" t="s">
        <v>921</v>
      </c>
      <c r="F608" s="394" t="s">
        <v>4271</v>
      </c>
      <c r="G608" s="394" t="s">
        <v>3784</v>
      </c>
      <c r="H608" s="1" t="s">
        <v>3656</v>
      </c>
      <c r="I608" s="418">
        <f t="shared" si="41"/>
        <v>1136.0183326000001</v>
      </c>
      <c r="J608" s="418">
        <f t="shared" si="40"/>
        <v>257.04680000000002</v>
      </c>
      <c r="K608" s="351">
        <f t="shared" si="38"/>
        <v>142.81520208000001</v>
      </c>
      <c r="L608" s="350">
        <f t="shared" si="39"/>
        <v>28.563040416000003</v>
      </c>
      <c r="M608" s="345" t="s">
        <v>6169</v>
      </c>
      <c r="N608" s="1" t="s">
        <v>3785</v>
      </c>
      <c r="O608" s="1" t="s">
        <v>4137</v>
      </c>
      <c r="P608" s="396" t="s">
        <v>3659</v>
      </c>
      <c r="Q608" s="397">
        <v>0.2</v>
      </c>
      <c r="R608" s="396">
        <v>1900001488</v>
      </c>
      <c r="S608" s="2" t="s">
        <v>583</v>
      </c>
      <c r="T608" s="2" t="s">
        <v>5915</v>
      </c>
    </row>
    <row r="609" spans="1:20" hidden="1" x14ac:dyDescent="0.35">
      <c r="A609" s="398" t="s">
        <v>4303</v>
      </c>
      <c r="B609" s="1" t="s">
        <v>4170</v>
      </c>
      <c r="C609" s="3">
        <v>43178</v>
      </c>
      <c r="D609" s="3">
        <v>43178</v>
      </c>
      <c r="E609" s="3" t="s">
        <v>942</v>
      </c>
      <c r="F609" s="394" t="s">
        <v>4271</v>
      </c>
      <c r="G609" s="394" t="s">
        <v>3784</v>
      </c>
      <c r="H609" s="1" t="s">
        <v>3656</v>
      </c>
      <c r="I609" s="418">
        <f t="shared" si="41"/>
        <v>1136.0183326000001</v>
      </c>
      <c r="J609" s="418">
        <f t="shared" si="40"/>
        <v>257.04680000000002</v>
      </c>
      <c r="K609" s="351">
        <f t="shared" si="38"/>
        <v>142.81520208000001</v>
      </c>
      <c r="L609" s="350">
        <f t="shared" si="39"/>
        <v>28.563040416000003</v>
      </c>
      <c r="M609" s="345" t="s">
        <v>6169</v>
      </c>
      <c r="N609" s="1" t="s">
        <v>3785</v>
      </c>
      <c r="O609" s="1" t="s">
        <v>4137</v>
      </c>
      <c r="P609" s="396" t="s">
        <v>3659</v>
      </c>
      <c r="Q609" s="397">
        <v>0.2</v>
      </c>
      <c r="R609" s="396">
        <v>1900001488</v>
      </c>
      <c r="S609" s="2" t="s">
        <v>298</v>
      </c>
      <c r="T609" s="2" t="s">
        <v>5915</v>
      </c>
    </row>
    <row r="610" spans="1:20" hidden="1" x14ac:dyDescent="0.35">
      <c r="A610" s="398" t="s">
        <v>4304</v>
      </c>
      <c r="B610" s="1" t="s">
        <v>4170</v>
      </c>
      <c r="C610" s="3">
        <v>43178</v>
      </c>
      <c r="D610" s="3">
        <v>43178</v>
      </c>
      <c r="E610" s="3" t="s">
        <v>944</v>
      </c>
      <c r="F610" s="394" t="s">
        <v>4271</v>
      </c>
      <c r="G610" s="394" t="s">
        <v>3784</v>
      </c>
      <c r="H610" s="1" t="s">
        <v>3656</v>
      </c>
      <c r="I610" s="418">
        <f t="shared" si="41"/>
        <v>1136.0183326000001</v>
      </c>
      <c r="J610" s="418">
        <f t="shared" si="40"/>
        <v>257.04680000000002</v>
      </c>
      <c r="K610" s="351">
        <f t="shared" si="38"/>
        <v>142.81520208000001</v>
      </c>
      <c r="L610" s="350">
        <f t="shared" si="39"/>
        <v>28.563040416000003</v>
      </c>
      <c r="M610" s="345" t="s">
        <v>6169</v>
      </c>
      <c r="N610" s="1" t="s">
        <v>3785</v>
      </c>
      <c r="O610" s="1" t="s">
        <v>4137</v>
      </c>
      <c r="P610" s="396" t="s">
        <v>3659</v>
      </c>
      <c r="Q610" s="397">
        <v>0.2</v>
      </c>
      <c r="R610" s="396">
        <v>1900001488</v>
      </c>
      <c r="S610" s="2" t="s">
        <v>434</v>
      </c>
      <c r="T610" s="2" t="s">
        <v>5915</v>
      </c>
    </row>
    <row r="611" spans="1:20" hidden="1" x14ac:dyDescent="0.35">
      <c r="A611" s="398" t="s">
        <v>4070</v>
      </c>
      <c r="B611" s="1" t="s">
        <v>4170</v>
      </c>
      <c r="C611" s="3">
        <v>43178</v>
      </c>
      <c r="D611" s="3">
        <v>43178</v>
      </c>
      <c r="E611" s="3" t="s">
        <v>949</v>
      </c>
      <c r="F611" s="394" t="s">
        <v>4271</v>
      </c>
      <c r="G611" s="394" t="s">
        <v>3784</v>
      </c>
      <c r="H611" s="1" t="s">
        <v>3656</v>
      </c>
      <c r="I611" s="418">
        <f t="shared" si="41"/>
        <v>1136.0183326000001</v>
      </c>
      <c r="J611" s="418">
        <f t="shared" si="40"/>
        <v>257.04680000000002</v>
      </c>
      <c r="K611" s="351">
        <f t="shared" si="38"/>
        <v>142.81520208000001</v>
      </c>
      <c r="L611" s="350">
        <f t="shared" si="39"/>
        <v>28.563040416000003</v>
      </c>
      <c r="M611" s="345" t="s">
        <v>6169</v>
      </c>
      <c r="N611" s="1" t="s">
        <v>3785</v>
      </c>
      <c r="O611" s="1" t="s">
        <v>4137</v>
      </c>
      <c r="P611" s="396" t="s">
        <v>3659</v>
      </c>
      <c r="Q611" s="397">
        <v>0.2</v>
      </c>
      <c r="R611" s="396">
        <v>1900001488</v>
      </c>
      <c r="S611" s="2" t="s">
        <v>947</v>
      </c>
      <c r="T611" s="2" t="s">
        <v>5915</v>
      </c>
    </row>
    <row r="612" spans="1:20" hidden="1" x14ac:dyDescent="0.35">
      <c r="A612" s="398" t="s">
        <v>4072</v>
      </c>
      <c r="B612" s="1" t="s">
        <v>4170</v>
      </c>
      <c r="C612" s="3">
        <v>43178</v>
      </c>
      <c r="D612" s="3"/>
      <c r="E612" s="16" t="s">
        <v>6306</v>
      </c>
      <c r="F612" s="394"/>
      <c r="G612" s="394" t="s">
        <v>3784</v>
      </c>
      <c r="H612" s="1"/>
      <c r="I612" s="418"/>
      <c r="J612" s="418"/>
      <c r="K612" s="351"/>
      <c r="L612" s="350"/>
      <c r="M612" s="345"/>
      <c r="N612" s="1" t="s">
        <v>3785</v>
      </c>
      <c r="O612" s="1"/>
      <c r="P612" s="396"/>
      <c r="Q612" s="397"/>
      <c r="R612" s="396"/>
      <c r="S612" s="2" t="s">
        <v>1664</v>
      </c>
      <c r="T612" s="2"/>
    </row>
    <row r="613" spans="1:20" hidden="1" x14ac:dyDescent="0.35">
      <c r="A613" s="398" t="s">
        <v>4073</v>
      </c>
      <c r="B613" s="1" t="s">
        <v>4170</v>
      </c>
      <c r="C613" s="3">
        <v>43178</v>
      </c>
      <c r="D613" s="3"/>
      <c r="E613" s="207" t="s">
        <v>6307</v>
      </c>
      <c r="F613" s="394"/>
      <c r="G613" s="394" t="s">
        <v>3784</v>
      </c>
      <c r="H613" s="1"/>
      <c r="I613" s="418"/>
      <c r="J613" s="418"/>
      <c r="K613" s="351"/>
      <c r="L613" s="350"/>
      <c r="M613" s="345"/>
      <c r="N613" s="1" t="s">
        <v>3785</v>
      </c>
      <c r="O613" s="1"/>
      <c r="P613" s="396"/>
      <c r="Q613" s="397"/>
      <c r="R613" s="396"/>
      <c r="S613" s="2" t="s">
        <v>1664</v>
      </c>
      <c r="T613" s="2"/>
    </row>
    <row r="614" spans="1:20" hidden="1" x14ac:dyDescent="0.35">
      <c r="A614" s="398" t="s">
        <v>4074</v>
      </c>
      <c r="B614" s="1" t="s">
        <v>4170</v>
      </c>
      <c r="C614" s="3">
        <v>43178</v>
      </c>
      <c r="D614" s="3">
        <v>43178</v>
      </c>
      <c r="E614" s="3" t="s">
        <v>956</v>
      </c>
      <c r="F614" s="394" t="s">
        <v>4271</v>
      </c>
      <c r="G614" s="394" t="s">
        <v>3784</v>
      </c>
      <c r="H614" s="1" t="s">
        <v>3656</v>
      </c>
      <c r="I614" s="418">
        <f t="shared" si="41"/>
        <v>1136.0183326000001</v>
      </c>
      <c r="J614" s="418">
        <f t="shared" si="40"/>
        <v>257.04680000000002</v>
      </c>
      <c r="K614" s="351">
        <f t="shared" si="38"/>
        <v>142.81520208000001</v>
      </c>
      <c r="L614" s="350">
        <f t="shared" si="39"/>
        <v>28.563040416000003</v>
      </c>
      <c r="M614" s="345" t="s">
        <v>6169</v>
      </c>
      <c r="N614" s="1" t="s">
        <v>3785</v>
      </c>
      <c r="O614" s="1" t="s">
        <v>4137</v>
      </c>
      <c r="P614" s="396" t="s">
        <v>3659</v>
      </c>
      <c r="Q614" s="397">
        <v>0.2</v>
      </c>
      <c r="R614" s="396">
        <v>1900001488</v>
      </c>
      <c r="S614" s="2" t="s">
        <v>953</v>
      </c>
      <c r="T614" s="2" t="s">
        <v>5915</v>
      </c>
    </row>
    <row r="615" spans="1:20" hidden="1" x14ac:dyDescent="0.35">
      <c r="A615" s="398" t="s">
        <v>4075</v>
      </c>
      <c r="B615" s="1" t="s">
        <v>4170</v>
      </c>
      <c r="C615" s="3">
        <v>43178</v>
      </c>
      <c r="D615" s="3">
        <v>43178</v>
      </c>
      <c r="E615" s="3" t="s">
        <v>960</v>
      </c>
      <c r="F615" s="394" t="s">
        <v>4271</v>
      </c>
      <c r="G615" s="394" t="s">
        <v>3784</v>
      </c>
      <c r="H615" s="1" t="s">
        <v>3656</v>
      </c>
      <c r="I615" s="418">
        <f t="shared" si="41"/>
        <v>1136.0183326000001</v>
      </c>
      <c r="J615" s="418">
        <f t="shared" si="40"/>
        <v>257.04680000000002</v>
      </c>
      <c r="K615" s="351">
        <f t="shared" si="38"/>
        <v>142.81520208000001</v>
      </c>
      <c r="L615" s="350">
        <f t="shared" si="39"/>
        <v>28.563040416000003</v>
      </c>
      <c r="M615" s="345" t="s">
        <v>6169</v>
      </c>
      <c r="N615" s="1" t="s">
        <v>3785</v>
      </c>
      <c r="O615" s="1" t="s">
        <v>4137</v>
      </c>
      <c r="P615" s="396" t="s">
        <v>3659</v>
      </c>
      <c r="Q615" s="397">
        <v>0.2</v>
      </c>
      <c r="R615" s="396">
        <v>1900001488</v>
      </c>
      <c r="S615" s="2" t="s">
        <v>957</v>
      </c>
      <c r="T615" s="2" t="s">
        <v>5915</v>
      </c>
    </row>
    <row r="616" spans="1:20" hidden="1" x14ac:dyDescent="0.35">
      <c r="A616" s="398" t="s">
        <v>4076</v>
      </c>
      <c r="B616" s="1" t="s">
        <v>4170</v>
      </c>
      <c r="C616" s="3">
        <v>43178</v>
      </c>
      <c r="D616" s="3"/>
      <c r="E616" s="8" t="s">
        <v>6308</v>
      </c>
      <c r="F616" s="394"/>
      <c r="G616" s="394" t="s">
        <v>3784</v>
      </c>
      <c r="H616" s="1"/>
      <c r="I616" s="418"/>
      <c r="J616" s="418"/>
      <c r="K616" s="351"/>
      <c r="L616" s="350"/>
      <c r="M616" s="345"/>
      <c r="N616" s="1" t="s">
        <v>3785</v>
      </c>
      <c r="O616" s="1"/>
      <c r="P616" s="396"/>
      <c r="Q616" s="397"/>
      <c r="R616" s="396"/>
      <c r="S616" s="2" t="s">
        <v>57</v>
      </c>
      <c r="T616" s="2"/>
    </row>
    <row r="617" spans="1:20" hidden="1" x14ac:dyDescent="0.35">
      <c r="A617" s="398" t="s">
        <v>4305</v>
      </c>
      <c r="B617" s="1" t="s">
        <v>4170</v>
      </c>
      <c r="C617" s="3">
        <v>43178</v>
      </c>
      <c r="D617" s="3"/>
      <c r="E617" s="8" t="s">
        <v>6309</v>
      </c>
      <c r="F617" s="394"/>
      <c r="G617" s="394" t="s">
        <v>3784</v>
      </c>
      <c r="H617" s="1"/>
      <c r="I617" s="418"/>
      <c r="J617" s="418"/>
      <c r="K617" s="351"/>
      <c r="L617" s="350"/>
      <c r="M617" s="345"/>
      <c r="N617" s="1" t="s">
        <v>3785</v>
      </c>
      <c r="O617" s="1"/>
      <c r="P617" s="396"/>
      <c r="Q617" s="397"/>
      <c r="R617" s="396"/>
      <c r="S617" s="2" t="s">
        <v>57</v>
      </c>
      <c r="T617" s="2"/>
    </row>
    <row r="618" spans="1:20" hidden="1" x14ac:dyDescent="0.35">
      <c r="A618" s="398" t="s">
        <v>4306</v>
      </c>
      <c r="B618" s="1" t="s">
        <v>4170</v>
      </c>
      <c r="C618" s="3">
        <v>43178</v>
      </c>
      <c r="D618" s="3">
        <v>43178</v>
      </c>
      <c r="E618" s="3" t="s">
        <v>981</v>
      </c>
      <c r="F618" s="394" t="s">
        <v>4271</v>
      </c>
      <c r="G618" s="394" t="s">
        <v>3784</v>
      </c>
      <c r="H618" s="1" t="s">
        <v>3656</v>
      </c>
      <c r="I618" s="418">
        <f t="shared" si="41"/>
        <v>1136.0183326000001</v>
      </c>
      <c r="J618" s="418">
        <f t="shared" si="40"/>
        <v>257.04680000000002</v>
      </c>
      <c r="K618" s="351">
        <f t="shared" si="38"/>
        <v>142.81520208000001</v>
      </c>
      <c r="L618" s="350">
        <f t="shared" si="39"/>
        <v>28.563040416000003</v>
      </c>
      <c r="M618" s="345" t="s">
        <v>6169</v>
      </c>
      <c r="N618" s="1" t="s">
        <v>3785</v>
      </c>
      <c r="O618" s="1" t="s">
        <v>4137</v>
      </c>
      <c r="P618" s="396" t="s">
        <v>3659</v>
      </c>
      <c r="Q618" s="397">
        <v>0.2</v>
      </c>
      <c r="R618" s="396">
        <v>1900001488</v>
      </c>
      <c r="S618" s="2" t="s">
        <v>980</v>
      </c>
      <c r="T618" s="2" t="s">
        <v>5915</v>
      </c>
    </row>
    <row r="619" spans="1:20" hidden="1" x14ac:dyDescent="0.35">
      <c r="A619" s="398" t="s">
        <v>4307</v>
      </c>
      <c r="B619" s="1" t="s">
        <v>4170</v>
      </c>
      <c r="C619" s="3">
        <v>43178</v>
      </c>
      <c r="D619" s="3">
        <v>43178</v>
      </c>
      <c r="E619" s="3" t="s">
        <v>985</v>
      </c>
      <c r="F619" s="394" t="s">
        <v>4271</v>
      </c>
      <c r="G619" s="394" t="s">
        <v>3784</v>
      </c>
      <c r="H619" s="1" t="s">
        <v>3656</v>
      </c>
      <c r="I619" s="418">
        <f t="shared" si="41"/>
        <v>1136.0183326000001</v>
      </c>
      <c r="J619" s="418">
        <f t="shared" si="40"/>
        <v>257.04680000000002</v>
      </c>
      <c r="K619" s="351">
        <f t="shared" si="38"/>
        <v>142.81520208000001</v>
      </c>
      <c r="L619" s="350">
        <f t="shared" si="39"/>
        <v>28.563040416000003</v>
      </c>
      <c r="M619" s="345" t="s">
        <v>6169</v>
      </c>
      <c r="N619" s="1" t="s">
        <v>3785</v>
      </c>
      <c r="O619" s="1" t="s">
        <v>4137</v>
      </c>
      <c r="P619" s="396" t="s">
        <v>3659</v>
      </c>
      <c r="Q619" s="397">
        <v>0.2</v>
      </c>
      <c r="R619" s="396">
        <v>1900001488</v>
      </c>
      <c r="S619" s="2" t="s">
        <v>983</v>
      </c>
      <c r="T619" s="2" t="s">
        <v>5915</v>
      </c>
    </row>
    <row r="620" spans="1:20" hidden="1" x14ac:dyDescent="0.35">
      <c r="A620" s="398" t="s">
        <v>4308</v>
      </c>
      <c r="B620" s="1" t="s">
        <v>4170</v>
      </c>
      <c r="C620" s="3">
        <v>43178</v>
      </c>
      <c r="D620" s="3">
        <v>43178</v>
      </c>
      <c r="E620" s="3" t="s">
        <v>1019</v>
      </c>
      <c r="F620" s="394" t="s">
        <v>4271</v>
      </c>
      <c r="G620" s="394" t="s">
        <v>3784</v>
      </c>
      <c r="H620" s="1" t="s">
        <v>3656</v>
      </c>
      <c r="I620" s="418">
        <f t="shared" si="41"/>
        <v>1136.0183326000001</v>
      </c>
      <c r="J620" s="418">
        <f t="shared" si="40"/>
        <v>257.04680000000002</v>
      </c>
      <c r="K620" s="351">
        <f t="shared" si="38"/>
        <v>142.81520208000001</v>
      </c>
      <c r="L620" s="350">
        <f t="shared" si="39"/>
        <v>28.563040416000003</v>
      </c>
      <c r="M620" s="345" t="s">
        <v>6169</v>
      </c>
      <c r="N620" s="1" t="s">
        <v>3785</v>
      </c>
      <c r="O620" s="1" t="s">
        <v>4137</v>
      </c>
      <c r="P620" s="396" t="s">
        <v>3659</v>
      </c>
      <c r="Q620" s="397">
        <v>0.2</v>
      </c>
      <c r="R620" s="396">
        <v>1900001488</v>
      </c>
      <c r="S620" s="2" t="s">
        <v>1017</v>
      </c>
      <c r="T620" s="2" t="s">
        <v>5915</v>
      </c>
    </row>
    <row r="621" spans="1:20" hidden="1" x14ac:dyDescent="0.35">
      <c r="A621" s="398" t="s">
        <v>4309</v>
      </c>
      <c r="B621" s="1" t="s">
        <v>4170</v>
      </c>
      <c r="C621" s="3">
        <v>43178</v>
      </c>
      <c r="D621" s="3">
        <v>43178</v>
      </c>
      <c r="E621" s="3" t="s">
        <v>1077</v>
      </c>
      <c r="F621" s="394" t="s">
        <v>4271</v>
      </c>
      <c r="G621" s="394" t="s">
        <v>3784</v>
      </c>
      <c r="H621" s="1" t="s">
        <v>3656</v>
      </c>
      <c r="I621" s="418">
        <f t="shared" si="41"/>
        <v>1136.0183326000001</v>
      </c>
      <c r="J621" s="418">
        <f t="shared" si="40"/>
        <v>257.04680000000002</v>
      </c>
      <c r="K621" s="351">
        <f t="shared" si="38"/>
        <v>142.81520208000001</v>
      </c>
      <c r="L621" s="350">
        <f t="shared" si="39"/>
        <v>28.563040416000003</v>
      </c>
      <c r="M621" s="345" t="s">
        <v>6169</v>
      </c>
      <c r="N621" s="1" t="s">
        <v>3785</v>
      </c>
      <c r="O621" s="1" t="s">
        <v>4137</v>
      </c>
      <c r="P621" s="396" t="s">
        <v>3659</v>
      </c>
      <c r="Q621" s="397">
        <v>0.2</v>
      </c>
      <c r="R621" s="396">
        <v>1900001488</v>
      </c>
      <c r="S621" s="2" t="s">
        <v>1075</v>
      </c>
      <c r="T621" s="2" t="s">
        <v>5915</v>
      </c>
    </row>
    <row r="622" spans="1:20" hidden="1" x14ac:dyDescent="0.35">
      <c r="A622" s="398" t="s">
        <v>4310</v>
      </c>
      <c r="B622" s="1" t="s">
        <v>4170</v>
      </c>
      <c r="C622" s="3">
        <v>43178</v>
      </c>
      <c r="D622" s="3">
        <v>43178</v>
      </c>
      <c r="E622" s="3" t="s">
        <v>1079</v>
      </c>
      <c r="F622" s="394" t="s">
        <v>4271</v>
      </c>
      <c r="G622" s="394" t="s">
        <v>3784</v>
      </c>
      <c r="H622" s="1" t="s">
        <v>3656</v>
      </c>
      <c r="I622" s="418">
        <f t="shared" si="41"/>
        <v>1136.0183326000001</v>
      </c>
      <c r="J622" s="418">
        <f t="shared" si="40"/>
        <v>257.04680000000002</v>
      </c>
      <c r="K622" s="351">
        <f t="shared" si="38"/>
        <v>142.81520208000001</v>
      </c>
      <c r="L622" s="350">
        <f t="shared" si="39"/>
        <v>28.563040416000003</v>
      </c>
      <c r="M622" s="345" t="s">
        <v>6169</v>
      </c>
      <c r="N622" s="1" t="s">
        <v>3785</v>
      </c>
      <c r="O622" s="1" t="s">
        <v>4137</v>
      </c>
      <c r="P622" s="396" t="s">
        <v>3659</v>
      </c>
      <c r="Q622" s="397">
        <v>0.2</v>
      </c>
      <c r="R622" s="396">
        <v>1900001488</v>
      </c>
      <c r="S622" s="2" t="s">
        <v>1078</v>
      </c>
      <c r="T622" s="2" t="s">
        <v>5915</v>
      </c>
    </row>
    <row r="623" spans="1:20" s="561" customFormat="1" hidden="1" x14ac:dyDescent="0.35">
      <c r="A623" s="556"/>
      <c r="B623" s="557" t="s">
        <v>52</v>
      </c>
      <c r="C623" s="558">
        <v>43178</v>
      </c>
      <c r="D623" s="3"/>
      <c r="E623" s="563" t="s">
        <v>6120</v>
      </c>
      <c r="F623" s="394"/>
      <c r="G623" s="562" t="s">
        <v>3655</v>
      </c>
      <c r="H623" s="1"/>
      <c r="I623" s="418"/>
      <c r="J623" s="418"/>
      <c r="K623" s="351"/>
      <c r="L623" s="350"/>
      <c r="M623" s="350"/>
      <c r="N623" s="557" t="s">
        <v>3785</v>
      </c>
      <c r="O623" s="1"/>
      <c r="P623" s="396"/>
      <c r="Q623" s="397"/>
      <c r="R623" s="396"/>
      <c r="S623" s="560" t="s">
        <v>2617</v>
      </c>
      <c r="T623" s="560"/>
    </row>
    <row r="624" spans="1:20" s="561" customFormat="1" hidden="1" x14ac:dyDescent="0.35">
      <c r="A624" s="556" t="s">
        <v>4307</v>
      </c>
      <c r="B624" s="557" t="s">
        <v>44</v>
      </c>
      <c r="C624" s="558">
        <v>43178</v>
      </c>
      <c r="D624" s="3">
        <v>43178</v>
      </c>
      <c r="E624" s="558" t="s">
        <v>130</v>
      </c>
      <c r="F624" s="394" t="s">
        <v>4271</v>
      </c>
      <c r="G624" s="562" t="s">
        <v>3655</v>
      </c>
      <c r="H624" s="1" t="s">
        <v>3656</v>
      </c>
      <c r="I624" s="418">
        <f t="shared" si="41"/>
        <v>5647.498734400001</v>
      </c>
      <c r="J624" s="418">
        <f>1240.64*1.03</f>
        <v>1277.8592000000001</v>
      </c>
      <c r="K624" s="351">
        <f t="shared" si="38"/>
        <v>709.97857152000006</v>
      </c>
      <c r="L624" s="350">
        <f t="shared" si="39"/>
        <v>141.99571430400002</v>
      </c>
      <c r="M624" s="350" t="s">
        <v>6169</v>
      </c>
      <c r="N624" s="557" t="s">
        <v>3785</v>
      </c>
      <c r="O624" s="1" t="s">
        <v>4137</v>
      </c>
      <c r="P624" s="396" t="s">
        <v>3659</v>
      </c>
      <c r="Q624" s="397">
        <v>0.2</v>
      </c>
      <c r="R624" s="396">
        <v>1900001488</v>
      </c>
      <c r="S624" s="560" t="s">
        <v>2617</v>
      </c>
      <c r="T624" s="560" t="s">
        <v>5915</v>
      </c>
    </row>
    <row r="625" spans="1:20" s="657" customFormat="1" hidden="1" x14ac:dyDescent="0.35">
      <c r="A625" s="809" t="s">
        <v>4308</v>
      </c>
      <c r="B625" s="327" t="s">
        <v>44</v>
      </c>
      <c r="C625" s="252">
        <v>43178</v>
      </c>
      <c r="D625" s="3">
        <v>43178</v>
      </c>
      <c r="E625" s="252" t="s">
        <v>132</v>
      </c>
      <c r="F625" s="394" t="s">
        <v>4271</v>
      </c>
      <c r="G625" s="810" t="s">
        <v>3655</v>
      </c>
      <c r="H625" s="1" t="s">
        <v>3656</v>
      </c>
      <c r="I625" s="418">
        <f t="shared" si="41"/>
        <v>5647.498734400001</v>
      </c>
      <c r="J625" s="418">
        <f t="shared" ref="J625:J638" si="42">1240.64*1.03</f>
        <v>1277.8592000000001</v>
      </c>
      <c r="K625" s="351">
        <f t="shared" si="38"/>
        <v>709.97857152000006</v>
      </c>
      <c r="L625" s="350">
        <f t="shared" si="39"/>
        <v>141.99571430400002</v>
      </c>
      <c r="M625" s="350" t="s">
        <v>6169</v>
      </c>
      <c r="N625" s="600" t="s">
        <v>3785</v>
      </c>
      <c r="O625" s="1" t="s">
        <v>4137</v>
      </c>
      <c r="P625" s="396" t="s">
        <v>3659</v>
      </c>
      <c r="Q625" s="397">
        <v>0.2</v>
      </c>
      <c r="R625" s="396">
        <v>1900001488</v>
      </c>
      <c r="S625" s="251" t="s">
        <v>6233</v>
      </c>
      <c r="T625" s="251" t="s">
        <v>5915</v>
      </c>
    </row>
    <row r="626" spans="1:20" s="594" customFormat="1" hidden="1" x14ac:dyDescent="0.35">
      <c r="A626" s="595" t="s">
        <v>4309</v>
      </c>
      <c r="B626" s="596" t="s">
        <v>44</v>
      </c>
      <c r="C626" s="583">
        <v>43178</v>
      </c>
      <c r="D626" s="3">
        <v>43178</v>
      </c>
      <c r="E626" s="583" t="s">
        <v>133</v>
      </c>
      <c r="F626" s="394" t="s">
        <v>4271</v>
      </c>
      <c r="G626" s="597" t="s">
        <v>3655</v>
      </c>
      <c r="H626" s="1" t="s">
        <v>3656</v>
      </c>
      <c r="I626" s="418">
        <f t="shared" si="41"/>
        <v>5647.498734400001</v>
      </c>
      <c r="J626" s="418">
        <f t="shared" si="42"/>
        <v>1277.8592000000001</v>
      </c>
      <c r="K626" s="351">
        <f t="shared" si="38"/>
        <v>709.97857152000006</v>
      </c>
      <c r="L626" s="350">
        <f t="shared" si="39"/>
        <v>141.99571430400002</v>
      </c>
      <c r="M626" s="350" t="s">
        <v>6169</v>
      </c>
      <c r="N626" s="596" t="s">
        <v>3785</v>
      </c>
      <c r="O626" s="1" t="s">
        <v>4137</v>
      </c>
      <c r="P626" s="396" t="s">
        <v>3659</v>
      </c>
      <c r="Q626" s="397">
        <v>0.2</v>
      </c>
      <c r="R626" s="396">
        <v>1900001488</v>
      </c>
      <c r="S626" s="588" t="s">
        <v>3475</v>
      </c>
      <c r="T626" s="588" t="s">
        <v>5915</v>
      </c>
    </row>
    <row r="627" spans="1:20" s="594" customFormat="1" hidden="1" x14ac:dyDescent="0.35">
      <c r="A627" s="595" t="s">
        <v>4310</v>
      </c>
      <c r="B627" s="596" t="s">
        <v>44</v>
      </c>
      <c r="C627" s="583">
        <v>43178</v>
      </c>
      <c r="D627" s="3">
        <v>43178</v>
      </c>
      <c r="E627" s="583" t="s">
        <v>134</v>
      </c>
      <c r="F627" s="394" t="s">
        <v>4271</v>
      </c>
      <c r="G627" s="597" t="s">
        <v>3655</v>
      </c>
      <c r="H627" s="1" t="s">
        <v>3656</v>
      </c>
      <c r="I627" s="418">
        <f t="shared" si="41"/>
        <v>5647.498734400001</v>
      </c>
      <c r="J627" s="418">
        <f t="shared" si="42"/>
        <v>1277.8592000000001</v>
      </c>
      <c r="K627" s="351">
        <f t="shared" si="38"/>
        <v>709.97857152000006</v>
      </c>
      <c r="L627" s="350">
        <f t="shared" si="39"/>
        <v>141.99571430400002</v>
      </c>
      <c r="M627" s="350" t="s">
        <v>6169</v>
      </c>
      <c r="N627" s="596" t="s">
        <v>3785</v>
      </c>
      <c r="O627" s="1" t="s">
        <v>4137</v>
      </c>
      <c r="P627" s="396" t="s">
        <v>3659</v>
      </c>
      <c r="Q627" s="397">
        <v>0.2</v>
      </c>
      <c r="R627" s="396">
        <v>1900001488</v>
      </c>
      <c r="S627" s="588" t="s">
        <v>3475</v>
      </c>
      <c r="T627" s="588" t="s">
        <v>5915</v>
      </c>
    </row>
    <row r="628" spans="1:20" s="561" customFormat="1" hidden="1" x14ac:dyDescent="0.35">
      <c r="A628" s="556" t="s">
        <v>4311</v>
      </c>
      <c r="B628" s="557" t="s">
        <v>44</v>
      </c>
      <c r="C628" s="558">
        <v>43178</v>
      </c>
      <c r="D628" s="3">
        <v>43178</v>
      </c>
      <c r="E628" s="558" t="s">
        <v>135</v>
      </c>
      <c r="F628" s="394" t="s">
        <v>4271</v>
      </c>
      <c r="G628" s="562" t="s">
        <v>3655</v>
      </c>
      <c r="H628" s="1" t="s">
        <v>3656</v>
      </c>
      <c r="I628" s="418">
        <f t="shared" si="41"/>
        <v>5647.498734400001</v>
      </c>
      <c r="J628" s="418">
        <f t="shared" si="42"/>
        <v>1277.8592000000001</v>
      </c>
      <c r="K628" s="351">
        <f t="shared" si="38"/>
        <v>709.97857152000006</v>
      </c>
      <c r="L628" s="350">
        <f t="shared" si="39"/>
        <v>141.99571430400002</v>
      </c>
      <c r="M628" s="350" t="s">
        <v>6169</v>
      </c>
      <c r="N628" s="557" t="s">
        <v>3785</v>
      </c>
      <c r="O628" s="1" t="s">
        <v>4137</v>
      </c>
      <c r="P628" s="396" t="s">
        <v>3659</v>
      </c>
      <c r="Q628" s="397">
        <v>0.2</v>
      </c>
      <c r="R628" s="396">
        <v>1900001488</v>
      </c>
      <c r="S628" s="560" t="s">
        <v>2617</v>
      </c>
      <c r="T628" s="560" t="s">
        <v>5915</v>
      </c>
    </row>
    <row r="629" spans="1:20" s="561" customFormat="1" hidden="1" x14ac:dyDescent="0.35">
      <c r="A629" s="556" t="s">
        <v>4312</v>
      </c>
      <c r="B629" s="557" t="s">
        <v>44</v>
      </c>
      <c r="C629" s="558">
        <v>43178</v>
      </c>
      <c r="D629" s="3">
        <v>43178</v>
      </c>
      <c r="E629" s="558" t="s">
        <v>137</v>
      </c>
      <c r="F629" s="394" t="s">
        <v>4271</v>
      </c>
      <c r="G629" s="562" t="s">
        <v>3655</v>
      </c>
      <c r="H629" s="1" t="s">
        <v>3656</v>
      </c>
      <c r="I629" s="418">
        <f t="shared" si="41"/>
        <v>5647.498734400001</v>
      </c>
      <c r="J629" s="418">
        <f t="shared" si="42"/>
        <v>1277.8592000000001</v>
      </c>
      <c r="K629" s="351">
        <f t="shared" si="38"/>
        <v>709.97857152000006</v>
      </c>
      <c r="L629" s="350">
        <f t="shared" si="39"/>
        <v>141.99571430400002</v>
      </c>
      <c r="M629" s="350" t="s">
        <v>6169</v>
      </c>
      <c r="N629" s="557" t="s">
        <v>3785</v>
      </c>
      <c r="O629" s="1" t="s">
        <v>4137</v>
      </c>
      <c r="P629" s="396" t="s">
        <v>3659</v>
      </c>
      <c r="Q629" s="397">
        <v>0.2</v>
      </c>
      <c r="R629" s="396">
        <v>1900001488</v>
      </c>
      <c r="S629" s="560" t="s">
        <v>2617</v>
      </c>
      <c r="T629" s="560" t="s">
        <v>5915</v>
      </c>
    </row>
    <row r="630" spans="1:20" s="594" customFormat="1" hidden="1" x14ac:dyDescent="0.35">
      <c r="A630" s="595" t="s">
        <v>4313</v>
      </c>
      <c r="B630" s="596" t="s">
        <v>44</v>
      </c>
      <c r="C630" s="583">
        <v>43178</v>
      </c>
      <c r="D630" s="3">
        <v>43178</v>
      </c>
      <c r="E630" s="583" t="s">
        <v>139</v>
      </c>
      <c r="F630" s="394" t="s">
        <v>4271</v>
      </c>
      <c r="G630" s="597" t="s">
        <v>3655</v>
      </c>
      <c r="H630" s="1" t="s">
        <v>3656</v>
      </c>
      <c r="I630" s="418">
        <f t="shared" si="41"/>
        <v>5647.498734400001</v>
      </c>
      <c r="J630" s="418">
        <f t="shared" si="42"/>
        <v>1277.8592000000001</v>
      </c>
      <c r="K630" s="351">
        <f t="shared" si="38"/>
        <v>709.97857152000006</v>
      </c>
      <c r="L630" s="350">
        <f t="shared" si="39"/>
        <v>141.99571430400002</v>
      </c>
      <c r="M630" s="350" t="s">
        <v>6169</v>
      </c>
      <c r="N630" s="596" t="s">
        <v>3785</v>
      </c>
      <c r="O630" s="1" t="s">
        <v>4137</v>
      </c>
      <c r="P630" s="396" t="s">
        <v>3659</v>
      </c>
      <c r="Q630" s="397">
        <v>0.2</v>
      </c>
      <c r="R630" s="396">
        <v>1900001488</v>
      </c>
      <c r="S630" s="588" t="s">
        <v>3475</v>
      </c>
      <c r="T630" s="588" t="s">
        <v>5915</v>
      </c>
    </row>
    <row r="631" spans="1:20" s="561" customFormat="1" hidden="1" x14ac:dyDescent="0.35">
      <c r="A631" s="556" t="s">
        <v>4314</v>
      </c>
      <c r="B631" s="557" t="s">
        <v>44</v>
      </c>
      <c r="C631" s="558">
        <v>43178</v>
      </c>
      <c r="D631" s="558">
        <v>43178</v>
      </c>
      <c r="E631" s="558" t="s">
        <v>140</v>
      </c>
      <c r="F631" s="559" t="s">
        <v>4271</v>
      </c>
      <c r="G631" s="562" t="s">
        <v>3655</v>
      </c>
      <c r="H631" s="557" t="s">
        <v>3656</v>
      </c>
      <c r="I631" s="418">
        <f t="shared" si="41"/>
        <v>5647.498734400001</v>
      </c>
      <c r="J631" s="418">
        <f t="shared" si="42"/>
        <v>1277.8592000000001</v>
      </c>
      <c r="K631" s="351">
        <f t="shared" si="38"/>
        <v>709.97857152000006</v>
      </c>
      <c r="L631" s="350">
        <f t="shared" si="39"/>
        <v>141.99571430400002</v>
      </c>
      <c r="M631" s="645" t="s">
        <v>6169</v>
      </c>
      <c r="N631" s="557" t="s">
        <v>3785</v>
      </c>
      <c r="O631" s="557" t="s">
        <v>4137</v>
      </c>
      <c r="P631" s="396" t="s">
        <v>3659</v>
      </c>
      <c r="Q631" s="643">
        <v>0.2</v>
      </c>
      <c r="R631" s="646">
        <v>1900001488</v>
      </c>
      <c r="S631" s="560" t="s">
        <v>2617</v>
      </c>
      <c r="T631" s="560" t="s">
        <v>5915</v>
      </c>
    </row>
    <row r="632" spans="1:20" s="561" customFormat="1" hidden="1" x14ac:dyDescent="0.35">
      <c r="A632" s="556" t="s">
        <v>4315</v>
      </c>
      <c r="B632" s="557" t="s">
        <v>44</v>
      </c>
      <c r="C632" s="558">
        <v>43178</v>
      </c>
      <c r="D632" s="3">
        <v>43178</v>
      </c>
      <c r="E632" s="558" t="s">
        <v>142</v>
      </c>
      <c r="F632" s="394" t="s">
        <v>4271</v>
      </c>
      <c r="G632" s="562" t="s">
        <v>3655</v>
      </c>
      <c r="H632" s="1" t="s">
        <v>3656</v>
      </c>
      <c r="I632" s="418">
        <f t="shared" si="41"/>
        <v>5647.498734400001</v>
      </c>
      <c r="J632" s="418">
        <f t="shared" si="42"/>
        <v>1277.8592000000001</v>
      </c>
      <c r="K632" s="351">
        <f t="shared" si="38"/>
        <v>709.97857152000006</v>
      </c>
      <c r="L632" s="350">
        <f t="shared" si="39"/>
        <v>141.99571430400002</v>
      </c>
      <c r="M632" s="350" t="s">
        <v>6169</v>
      </c>
      <c r="N632" s="557" t="s">
        <v>3785</v>
      </c>
      <c r="O632" s="1" t="s">
        <v>4137</v>
      </c>
      <c r="P632" s="396" t="s">
        <v>3659</v>
      </c>
      <c r="Q632" s="397">
        <v>0.2</v>
      </c>
      <c r="R632" s="396">
        <v>1900001488</v>
      </c>
      <c r="S632" s="560" t="s">
        <v>2617</v>
      </c>
      <c r="T632" s="560" t="s">
        <v>5915</v>
      </c>
    </row>
    <row r="633" spans="1:20" s="561" customFormat="1" hidden="1" x14ac:dyDescent="0.35">
      <c r="A633" s="556" t="s">
        <v>4316</v>
      </c>
      <c r="B633" s="557" t="s">
        <v>44</v>
      </c>
      <c r="C633" s="558">
        <v>43178</v>
      </c>
      <c r="D633" s="3">
        <v>43178</v>
      </c>
      <c r="E633" s="558" t="s">
        <v>144</v>
      </c>
      <c r="F633" s="394" t="s">
        <v>4271</v>
      </c>
      <c r="G633" s="562" t="s">
        <v>3655</v>
      </c>
      <c r="H633" s="1" t="s">
        <v>3656</v>
      </c>
      <c r="I633" s="418">
        <f t="shared" si="41"/>
        <v>5647.498734400001</v>
      </c>
      <c r="J633" s="418">
        <f t="shared" si="42"/>
        <v>1277.8592000000001</v>
      </c>
      <c r="K633" s="351">
        <f t="shared" si="38"/>
        <v>709.97857152000006</v>
      </c>
      <c r="L633" s="350">
        <f t="shared" si="39"/>
        <v>141.99571430400002</v>
      </c>
      <c r="M633" s="350" t="s">
        <v>6169</v>
      </c>
      <c r="N633" s="1" t="s">
        <v>3785</v>
      </c>
      <c r="O633" s="1" t="s">
        <v>4137</v>
      </c>
      <c r="P633" s="396" t="s">
        <v>3659</v>
      </c>
      <c r="Q633" s="397">
        <v>0.2</v>
      </c>
      <c r="R633" s="396">
        <v>1900001488</v>
      </c>
      <c r="S633" s="560" t="s">
        <v>2617</v>
      </c>
      <c r="T633" s="560" t="s">
        <v>5915</v>
      </c>
    </row>
    <row r="634" spans="1:20" s="594" customFormat="1" hidden="1" x14ac:dyDescent="0.35">
      <c r="A634" s="595" t="s">
        <v>4317</v>
      </c>
      <c r="B634" s="596" t="s">
        <v>44</v>
      </c>
      <c r="C634" s="583">
        <v>43178</v>
      </c>
      <c r="D634" s="3">
        <v>43178</v>
      </c>
      <c r="E634" s="583" t="s">
        <v>146</v>
      </c>
      <c r="F634" s="394" t="s">
        <v>4271</v>
      </c>
      <c r="G634" s="597" t="s">
        <v>3655</v>
      </c>
      <c r="H634" s="1" t="s">
        <v>3656</v>
      </c>
      <c r="I634" s="418">
        <f t="shared" si="41"/>
        <v>5647.498734400001</v>
      </c>
      <c r="J634" s="418">
        <f t="shared" si="42"/>
        <v>1277.8592000000001</v>
      </c>
      <c r="K634" s="351">
        <f t="shared" si="38"/>
        <v>709.97857152000006</v>
      </c>
      <c r="L634" s="350">
        <f t="shared" si="39"/>
        <v>141.99571430400002</v>
      </c>
      <c r="M634" s="350" t="s">
        <v>6169</v>
      </c>
      <c r="N634" s="596" t="s">
        <v>3785</v>
      </c>
      <c r="O634" s="1" t="s">
        <v>4137</v>
      </c>
      <c r="P634" s="396" t="s">
        <v>3659</v>
      </c>
      <c r="Q634" s="397">
        <v>0.2</v>
      </c>
      <c r="R634" s="396">
        <v>1900001488</v>
      </c>
      <c r="S634" s="588" t="s">
        <v>3475</v>
      </c>
      <c r="T634" s="588" t="s">
        <v>5915</v>
      </c>
    </row>
    <row r="635" spans="1:20" s="594" customFormat="1" hidden="1" x14ac:dyDescent="0.35">
      <c r="A635" s="595" t="s">
        <v>4318</v>
      </c>
      <c r="B635" s="596" t="s">
        <v>44</v>
      </c>
      <c r="C635" s="583">
        <v>43178</v>
      </c>
      <c r="D635" s="3">
        <v>43178</v>
      </c>
      <c r="E635" s="583" t="s">
        <v>147</v>
      </c>
      <c r="F635" s="394" t="s">
        <v>4271</v>
      </c>
      <c r="G635" s="597" t="s">
        <v>3655</v>
      </c>
      <c r="H635" s="1" t="s">
        <v>3656</v>
      </c>
      <c r="I635" s="418">
        <f t="shared" si="41"/>
        <v>5647.498734400001</v>
      </c>
      <c r="J635" s="418">
        <f t="shared" si="42"/>
        <v>1277.8592000000001</v>
      </c>
      <c r="K635" s="351">
        <f t="shared" si="38"/>
        <v>709.97857152000006</v>
      </c>
      <c r="L635" s="350">
        <f t="shared" si="39"/>
        <v>141.99571430400002</v>
      </c>
      <c r="M635" s="350" t="s">
        <v>6169</v>
      </c>
      <c r="N635" s="596" t="s">
        <v>3785</v>
      </c>
      <c r="O635" s="1" t="s">
        <v>4137</v>
      </c>
      <c r="P635" s="396" t="s">
        <v>3659</v>
      </c>
      <c r="Q635" s="397">
        <v>0.2</v>
      </c>
      <c r="R635" s="396">
        <v>1900001488</v>
      </c>
      <c r="S635" s="588" t="s">
        <v>3475</v>
      </c>
      <c r="T635" s="588" t="s">
        <v>5915</v>
      </c>
    </row>
    <row r="636" spans="1:20" s="594" customFormat="1" hidden="1" x14ac:dyDescent="0.35">
      <c r="A636" s="595" t="s">
        <v>4319</v>
      </c>
      <c r="B636" s="596" t="s">
        <v>44</v>
      </c>
      <c r="C636" s="583">
        <v>43178</v>
      </c>
      <c r="D636" s="3">
        <v>43178</v>
      </c>
      <c r="E636" s="583" t="s">
        <v>148</v>
      </c>
      <c r="F636" s="394" t="s">
        <v>4271</v>
      </c>
      <c r="G636" s="597" t="s">
        <v>3655</v>
      </c>
      <c r="H636" s="1" t="s">
        <v>3656</v>
      </c>
      <c r="I636" s="418">
        <f t="shared" si="41"/>
        <v>5647.498734400001</v>
      </c>
      <c r="J636" s="418">
        <f t="shared" si="42"/>
        <v>1277.8592000000001</v>
      </c>
      <c r="K636" s="351">
        <f t="shared" si="38"/>
        <v>709.97857152000006</v>
      </c>
      <c r="L636" s="350">
        <f t="shared" si="39"/>
        <v>141.99571430400002</v>
      </c>
      <c r="M636" s="350" t="s">
        <v>6169</v>
      </c>
      <c r="N636" s="596" t="s">
        <v>3785</v>
      </c>
      <c r="O636" s="1" t="s">
        <v>4137</v>
      </c>
      <c r="P636" s="396" t="s">
        <v>3659</v>
      </c>
      <c r="Q636" s="397">
        <v>0.2</v>
      </c>
      <c r="R636" s="396">
        <v>1900001488</v>
      </c>
      <c r="S636" s="588" t="s">
        <v>3475</v>
      </c>
      <c r="T636" s="588" t="s">
        <v>5915</v>
      </c>
    </row>
    <row r="637" spans="1:20" s="594" customFormat="1" hidden="1" x14ac:dyDescent="0.35">
      <c r="A637" s="595" t="s">
        <v>4320</v>
      </c>
      <c r="B637" s="596" t="s">
        <v>44</v>
      </c>
      <c r="C637" s="583">
        <v>43178</v>
      </c>
      <c r="D637" s="3">
        <v>43178</v>
      </c>
      <c r="E637" s="583" t="s">
        <v>149</v>
      </c>
      <c r="F637" s="394" t="s">
        <v>4271</v>
      </c>
      <c r="G637" s="597" t="s">
        <v>3655</v>
      </c>
      <c r="H637" s="1" t="s">
        <v>3656</v>
      </c>
      <c r="I637" s="418">
        <f t="shared" si="41"/>
        <v>5647.498734400001</v>
      </c>
      <c r="J637" s="418">
        <f t="shared" si="42"/>
        <v>1277.8592000000001</v>
      </c>
      <c r="K637" s="351">
        <f t="shared" si="38"/>
        <v>709.97857152000006</v>
      </c>
      <c r="L637" s="350">
        <f t="shared" si="39"/>
        <v>141.99571430400002</v>
      </c>
      <c r="M637" s="350" t="s">
        <v>6169</v>
      </c>
      <c r="N637" s="596" t="s">
        <v>3785</v>
      </c>
      <c r="O637" s="1" t="s">
        <v>4137</v>
      </c>
      <c r="P637" s="396" t="s">
        <v>3659</v>
      </c>
      <c r="Q637" s="397">
        <v>0.2</v>
      </c>
      <c r="R637" s="396">
        <v>1900001488</v>
      </c>
      <c r="S637" s="588" t="s">
        <v>3475</v>
      </c>
      <c r="T637" s="588" t="s">
        <v>5915</v>
      </c>
    </row>
    <row r="638" spans="1:20" s="561" customFormat="1" hidden="1" x14ac:dyDescent="0.35">
      <c r="A638" s="556" t="s">
        <v>4321</v>
      </c>
      <c r="B638" s="557" t="s">
        <v>44</v>
      </c>
      <c r="C638" s="558">
        <v>43178</v>
      </c>
      <c r="D638" s="3">
        <v>43178</v>
      </c>
      <c r="E638" s="558" t="s">
        <v>150</v>
      </c>
      <c r="F638" s="394" t="s">
        <v>4271</v>
      </c>
      <c r="G638" s="562" t="s">
        <v>3655</v>
      </c>
      <c r="H638" s="1" t="s">
        <v>3656</v>
      </c>
      <c r="I638" s="418">
        <f t="shared" si="41"/>
        <v>5647.498734400001</v>
      </c>
      <c r="J638" s="418">
        <f t="shared" si="42"/>
        <v>1277.8592000000001</v>
      </c>
      <c r="K638" s="351">
        <f t="shared" si="38"/>
        <v>709.97857152000006</v>
      </c>
      <c r="L638" s="350">
        <f t="shared" si="39"/>
        <v>141.99571430400002</v>
      </c>
      <c r="M638" s="350" t="s">
        <v>6169</v>
      </c>
      <c r="N638" s="557" t="s">
        <v>3785</v>
      </c>
      <c r="O638" s="1" t="s">
        <v>4137</v>
      </c>
      <c r="P638" s="396" t="s">
        <v>3659</v>
      </c>
      <c r="Q638" s="397">
        <v>0.2</v>
      </c>
      <c r="R638" s="396">
        <v>1900001488</v>
      </c>
      <c r="S638" s="560" t="s">
        <v>2617</v>
      </c>
      <c r="T638" s="560" t="s">
        <v>5915</v>
      </c>
    </row>
    <row r="639" spans="1:20" s="594" customFormat="1" hidden="1" x14ac:dyDescent="0.35">
      <c r="A639" s="595" t="s">
        <v>4322</v>
      </c>
      <c r="B639" s="596" t="s">
        <v>44</v>
      </c>
      <c r="C639" s="583">
        <v>43238</v>
      </c>
      <c r="D639" s="3">
        <v>43238</v>
      </c>
      <c r="E639" s="583" t="s">
        <v>152</v>
      </c>
      <c r="F639" s="394" t="s">
        <v>4323</v>
      </c>
      <c r="G639" s="597" t="s">
        <v>3655</v>
      </c>
      <c r="H639" s="1" t="s">
        <v>3656</v>
      </c>
      <c r="I639" s="418">
        <f t="shared" ref="I639:I662" si="43">J639*4.56681</f>
        <v>5403.4596389819999</v>
      </c>
      <c r="J639" s="418">
        <f t="shared" ref="J639:J662" si="44">1148.74*1.03</f>
        <v>1183.2021999999999</v>
      </c>
      <c r="K639" s="351">
        <f t="shared" si="38"/>
        <v>657.38714231999995</v>
      </c>
      <c r="L639" s="350">
        <f t="shared" si="39"/>
        <v>131.47742846399998</v>
      </c>
      <c r="M639" s="350" t="s">
        <v>6169</v>
      </c>
      <c r="N639" s="596" t="s">
        <v>3785</v>
      </c>
      <c r="O639" s="1" t="s">
        <v>4120</v>
      </c>
      <c r="P639" s="396" t="s">
        <v>3659</v>
      </c>
      <c r="Q639" s="397">
        <v>0.2</v>
      </c>
      <c r="R639" s="396">
        <v>1900002642</v>
      </c>
      <c r="S639" s="588" t="s">
        <v>3475</v>
      </c>
      <c r="T639" s="588" t="s">
        <v>5915</v>
      </c>
    </row>
    <row r="640" spans="1:20" s="594" customFormat="1" hidden="1" x14ac:dyDescent="0.35">
      <c r="A640" s="595" t="s">
        <v>4324</v>
      </c>
      <c r="B640" s="596" t="s">
        <v>44</v>
      </c>
      <c r="C640" s="583">
        <v>43238</v>
      </c>
      <c r="D640" s="3">
        <v>43238</v>
      </c>
      <c r="E640" s="583" t="s">
        <v>153</v>
      </c>
      <c r="F640" s="394" t="s">
        <v>4323</v>
      </c>
      <c r="G640" s="597" t="s">
        <v>3655</v>
      </c>
      <c r="H640" s="1" t="s">
        <v>3656</v>
      </c>
      <c r="I640" s="418">
        <f t="shared" si="43"/>
        <v>5403.4596389819999</v>
      </c>
      <c r="J640" s="418">
        <f t="shared" si="44"/>
        <v>1183.2021999999999</v>
      </c>
      <c r="K640" s="351">
        <f t="shared" si="38"/>
        <v>657.38714231999995</v>
      </c>
      <c r="L640" s="350">
        <f t="shared" si="39"/>
        <v>131.47742846399998</v>
      </c>
      <c r="M640" s="350" t="s">
        <v>6169</v>
      </c>
      <c r="N640" s="596" t="s">
        <v>3785</v>
      </c>
      <c r="O640" s="1" t="s">
        <v>4120</v>
      </c>
      <c r="P640" s="396" t="s">
        <v>3659</v>
      </c>
      <c r="Q640" s="397">
        <v>0.2</v>
      </c>
      <c r="R640" s="396">
        <v>1900002642</v>
      </c>
      <c r="S640" s="588" t="s">
        <v>3475</v>
      </c>
      <c r="T640" s="588" t="s">
        <v>5915</v>
      </c>
    </row>
    <row r="641" spans="1:21" s="594" customFormat="1" hidden="1" x14ac:dyDescent="0.35">
      <c r="A641" s="595" t="s">
        <v>4325</v>
      </c>
      <c r="B641" s="596" t="s">
        <v>44</v>
      </c>
      <c r="C641" s="583">
        <v>43238</v>
      </c>
      <c r="D641" s="3">
        <v>43238</v>
      </c>
      <c r="E641" s="583" t="s">
        <v>154</v>
      </c>
      <c r="F641" s="394" t="s">
        <v>4323</v>
      </c>
      <c r="G641" s="597" t="s">
        <v>3655</v>
      </c>
      <c r="H641" s="1" t="s">
        <v>3656</v>
      </c>
      <c r="I641" s="418">
        <f t="shared" si="43"/>
        <v>5403.4596389819999</v>
      </c>
      <c r="J641" s="418">
        <f t="shared" si="44"/>
        <v>1183.2021999999999</v>
      </c>
      <c r="K641" s="351">
        <f t="shared" si="38"/>
        <v>657.38714231999995</v>
      </c>
      <c r="L641" s="350">
        <f t="shared" si="39"/>
        <v>131.47742846399998</v>
      </c>
      <c r="M641" s="350" t="s">
        <v>6169</v>
      </c>
      <c r="N641" s="596" t="s">
        <v>3785</v>
      </c>
      <c r="O641" s="1" t="s">
        <v>4120</v>
      </c>
      <c r="P641" s="396" t="s">
        <v>3659</v>
      </c>
      <c r="Q641" s="397">
        <v>0.2</v>
      </c>
      <c r="R641" s="396">
        <v>1900002642</v>
      </c>
      <c r="S641" s="588" t="s">
        <v>3475</v>
      </c>
      <c r="T641" s="588" t="s">
        <v>5915</v>
      </c>
    </row>
    <row r="642" spans="1:21" s="594" customFormat="1" hidden="1" x14ac:dyDescent="0.35">
      <c r="A642" s="595" t="s">
        <v>4326</v>
      </c>
      <c r="B642" s="596" t="s">
        <v>44</v>
      </c>
      <c r="C642" s="583">
        <v>43238</v>
      </c>
      <c r="D642" s="3">
        <v>43238</v>
      </c>
      <c r="E642" s="583" t="s">
        <v>155</v>
      </c>
      <c r="F642" s="394" t="s">
        <v>4323</v>
      </c>
      <c r="G642" s="597" t="s">
        <v>3655</v>
      </c>
      <c r="H642" s="1" t="s">
        <v>3656</v>
      </c>
      <c r="I642" s="418">
        <f t="shared" si="43"/>
        <v>5403.4596389819999</v>
      </c>
      <c r="J642" s="418">
        <f t="shared" si="44"/>
        <v>1183.2021999999999</v>
      </c>
      <c r="K642" s="351">
        <f t="shared" si="38"/>
        <v>657.38714231999995</v>
      </c>
      <c r="L642" s="350">
        <f t="shared" si="39"/>
        <v>131.47742846399998</v>
      </c>
      <c r="M642" s="350" t="s">
        <v>6169</v>
      </c>
      <c r="N642" s="1" t="s">
        <v>3989</v>
      </c>
      <c r="O642" s="1" t="s">
        <v>4120</v>
      </c>
      <c r="P642" s="396" t="s">
        <v>3659</v>
      </c>
      <c r="Q642" s="397">
        <v>0.2</v>
      </c>
      <c r="R642" s="396">
        <v>1900002642</v>
      </c>
      <c r="S642" s="588" t="s">
        <v>3475</v>
      </c>
      <c r="T642" s="588" t="s">
        <v>5915</v>
      </c>
    </row>
    <row r="643" spans="1:21" s="561" customFormat="1" hidden="1" x14ac:dyDescent="0.35">
      <c r="A643" s="556" t="s">
        <v>4327</v>
      </c>
      <c r="B643" s="557" t="s">
        <v>44</v>
      </c>
      <c r="C643" s="558">
        <v>43238</v>
      </c>
      <c r="D643" s="3">
        <v>43238</v>
      </c>
      <c r="E643" s="558" t="s">
        <v>156</v>
      </c>
      <c r="F643" s="394" t="s">
        <v>4323</v>
      </c>
      <c r="G643" s="562" t="s">
        <v>3655</v>
      </c>
      <c r="H643" s="1" t="s">
        <v>3656</v>
      </c>
      <c r="I643" s="418">
        <f t="shared" si="43"/>
        <v>5403.4596389819999</v>
      </c>
      <c r="J643" s="418">
        <f t="shared" si="44"/>
        <v>1183.2021999999999</v>
      </c>
      <c r="K643" s="351">
        <f t="shared" si="38"/>
        <v>657.38714231999995</v>
      </c>
      <c r="L643" s="350">
        <f t="shared" si="39"/>
        <v>131.47742846399998</v>
      </c>
      <c r="M643" s="350" t="s">
        <v>6169</v>
      </c>
      <c r="N643" s="557" t="s">
        <v>3989</v>
      </c>
      <c r="O643" s="1" t="s">
        <v>4120</v>
      </c>
      <c r="P643" s="396" t="s">
        <v>3659</v>
      </c>
      <c r="Q643" s="397">
        <v>0.2</v>
      </c>
      <c r="R643" s="396">
        <v>1900002642</v>
      </c>
      <c r="S643" s="560" t="s">
        <v>2617</v>
      </c>
      <c r="T643" s="560" t="s">
        <v>5915</v>
      </c>
    </row>
    <row r="644" spans="1:21" s="594" customFormat="1" hidden="1" x14ac:dyDescent="0.35">
      <c r="A644" s="595" t="s">
        <v>4328</v>
      </c>
      <c r="B644" s="596" t="s">
        <v>44</v>
      </c>
      <c r="C644" s="583">
        <v>43238</v>
      </c>
      <c r="D644" s="3">
        <v>43238</v>
      </c>
      <c r="E644" s="583"/>
      <c r="F644" s="394" t="s">
        <v>4323</v>
      </c>
      <c r="G644" s="597" t="s">
        <v>3655</v>
      </c>
      <c r="H644" s="1" t="s">
        <v>3656</v>
      </c>
      <c r="I644" s="418">
        <f t="shared" si="43"/>
        <v>5403.4596389819999</v>
      </c>
      <c r="J644" s="418">
        <f t="shared" si="44"/>
        <v>1183.2021999999999</v>
      </c>
      <c r="K644" s="351">
        <f t="shared" si="38"/>
        <v>657.38714231999995</v>
      </c>
      <c r="L644" s="350">
        <f t="shared" si="39"/>
        <v>131.47742846399998</v>
      </c>
      <c r="M644" s="350" t="s">
        <v>6169</v>
      </c>
      <c r="N644" s="1" t="s">
        <v>3989</v>
      </c>
      <c r="O644" s="1" t="s">
        <v>4120</v>
      </c>
      <c r="P644" s="396" t="s">
        <v>3659</v>
      </c>
      <c r="Q644" s="397">
        <v>0.2</v>
      </c>
      <c r="R644" s="396">
        <v>1900002642</v>
      </c>
      <c r="S644" s="588" t="s">
        <v>3475</v>
      </c>
      <c r="T644" s="588" t="s">
        <v>5914</v>
      </c>
      <c r="U644" s="588" t="s">
        <v>3475</v>
      </c>
    </row>
    <row r="645" spans="1:21" s="594" customFormat="1" hidden="1" x14ac:dyDescent="0.35">
      <c r="A645" s="595" t="s">
        <v>4329</v>
      </c>
      <c r="B645" s="596" t="s">
        <v>44</v>
      </c>
      <c r="C645" s="583">
        <v>43238</v>
      </c>
      <c r="D645" s="3">
        <v>43238</v>
      </c>
      <c r="E645" s="583" t="s">
        <v>157</v>
      </c>
      <c r="F645" s="394" t="s">
        <v>4323</v>
      </c>
      <c r="G645" s="597" t="s">
        <v>3655</v>
      </c>
      <c r="H645" s="1" t="s">
        <v>3656</v>
      </c>
      <c r="I645" s="418">
        <f t="shared" si="43"/>
        <v>5403.4596389819999</v>
      </c>
      <c r="J645" s="418">
        <f t="shared" si="44"/>
        <v>1183.2021999999999</v>
      </c>
      <c r="K645" s="351">
        <f t="shared" ref="K645:K715" si="45">+J645*(0.5556)</f>
        <v>657.38714231999995</v>
      </c>
      <c r="L645" s="350">
        <f t="shared" ref="L645:L715" si="46">+K645*Q645</f>
        <v>131.47742846399998</v>
      </c>
      <c r="M645" s="350" t="s">
        <v>6169</v>
      </c>
      <c r="N645" s="1" t="s">
        <v>3989</v>
      </c>
      <c r="O645" s="1" t="s">
        <v>4120</v>
      </c>
      <c r="P645" s="396" t="s">
        <v>3659</v>
      </c>
      <c r="Q645" s="397">
        <v>0.2</v>
      </c>
      <c r="R645" s="396">
        <v>1900002642</v>
      </c>
      <c r="S645" s="588" t="s">
        <v>3475</v>
      </c>
      <c r="T645" s="588" t="s">
        <v>5915</v>
      </c>
    </row>
    <row r="646" spans="1:21" hidden="1" x14ac:dyDescent="0.35">
      <c r="A646" s="556" t="s">
        <v>4330</v>
      </c>
      <c r="B646" s="557" t="s">
        <v>44</v>
      </c>
      <c r="C646" s="558">
        <v>43238</v>
      </c>
      <c r="D646" s="3"/>
      <c r="E646" s="558" t="s">
        <v>158</v>
      </c>
      <c r="F646" s="394"/>
      <c r="G646" s="562" t="s">
        <v>3655</v>
      </c>
      <c r="H646" s="1"/>
      <c r="I646" s="418"/>
      <c r="J646" s="418"/>
      <c r="K646" s="351"/>
      <c r="L646" s="350"/>
      <c r="M646" s="350"/>
      <c r="N646" s="557" t="s">
        <v>3989</v>
      </c>
      <c r="O646" s="1"/>
      <c r="P646" s="396"/>
      <c r="Q646" s="397"/>
      <c r="R646" s="396"/>
      <c r="S646" s="560" t="s">
        <v>2617</v>
      </c>
      <c r="T646" s="560" t="s">
        <v>5915</v>
      </c>
    </row>
    <row r="647" spans="1:21" s="561" customFormat="1" hidden="1" x14ac:dyDescent="0.35">
      <c r="A647" s="556" t="s">
        <v>4331</v>
      </c>
      <c r="B647" s="557" t="s">
        <v>44</v>
      </c>
      <c r="C647" s="558">
        <v>43238</v>
      </c>
      <c r="D647" s="3">
        <v>43238</v>
      </c>
      <c r="E647" s="558" t="s">
        <v>6167</v>
      </c>
      <c r="F647" s="394" t="s">
        <v>4323</v>
      </c>
      <c r="G647" s="562" t="s">
        <v>3655</v>
      </c>
      <c r="H647" s="1" t="s">
        <v>3656</v>
      </c>
      <c r="I647" s="418">
        <f t="shared" si="43"/>
        <v>5403.4596389819999</v>
      </c>
      <c r="J647" s="418">
        <f t="shared" si="44"/>
        <v>1183.2021999999999</v>
      </c>
      <c r="K647" s="351">
        <f t="shared" si="45"/>
        <v>657.38714231999995</v>
      </c>
      <c r="L647" s="350">
        <f t="shared" si="46"/>
        <v>131.47742846399998</v>
      </c>
      <c r="M647" s="350" t="s">
        <v>6169</v>
      </c>
      <c r="N647" s="557" t="s">
        <v>3989</v>
      </c>
      <c r="O647" s="1" t="s">
        <v>4120</v>
      </c>
      <c r="P647" s="396" t="s">
        <v>3659</v>
      </c>
      <c r="Q647" s="397">
        <v>0.2</v>
      </c>
      <c r="R647" s="396">
        <v>1900002642</v>
      </c>
      <c r="S647" s="560" t="s">
        <v>2617</v>
      </c>
      <c r="T647" s="560" t="s">
        <v>5915</v>
      </c>
    </row>
    <row r="648" spans="1:21" s="594" customFormat="1" hidden="1" x14ac:dyDescent="0.35">
      <c r="A648" s="595" t="s">
        <v>4331</v>
      </c>
      <c r="B648" s="596" t="s">
        <v>44</v>
      </c>
      <c r="C648" s="583">
        <v>43238</v>
      </c>
      <c r="D648" s="3">
        <v>43238</v>
      </c>
      <c r="E648" s="583" t="s">
        <v>159</v>
      </c>
      <c r="F648" s="394" t="s">
        <v>4323</v>
      </c>
      <c r="G648" s="597" t="s">
        <v>3655</v>
      </c>
      <c r="H648" s="1" t="s">
        <v>3656</v>
      </c>
      <c r="I648" s="418">
        <f t="shared" si="43"/>
        <v>5403.4596389819999</v>
      </c>
      <c r="J648" s="418">
        <f t="shared" si="44"/>
        <v>1183.2021999999999</v>
      </c>
      <c r="K648" s="351">
        <f t="shared" si="45"/>
        <v>657.38714231999995</v>
      </c>
      <c r="L648" s="350">
        <f t="shared" si="46"/>
        <v>131.47742846399998</v>
      </c>
      <c r="M648" s="350" t="s">
        <v>6169</v>
      </c>
      <c r="N648" s="1" t="s">
        <v>3989</v>
      </c>
      <c r="O648" s="1" t="s">
        <v>4120</v>
      </c>
      <c r="P648" s="396" t="s">
        <v>3659</v>
      </c>
      <c r="Q648" s="397">
        <v>0.2</v>
      </c>
      <c r="R648" s="396">
        <v>1900002642</v>
      </c>
      <c r="S648" s="588" t="s">
        <v>3475</v>
      </c>
      <c r="T648" s="588" t="s">
        <v>5915</v>
      </c>
    </row>
    <row r="649" spans="1:21" s="594" customFormat="1" hidden="1" x14ac:dyDescent="0.35">
      <c r="A649" s="595" t="s">
        <v>4332</v>
      </c>
      <c r="B649" s="596" t="s">
        <v>44</v>
      </c>
      <c r="C649" s="583">
        <v>43238</v>
      </c>
      <c r="D649" s="3">
        <v>43238</v>
      </c>
      <c r="E649" s="583" t="s">
        <v>160</v>
      </c>
      <c r="F649" s="394" t="s">
        <v>4323</v>
      </c>
      <c r="G649" s="597" t="s">
        <v>3655</v>
      </c>
      <c r="H649" s="1" t="s">
        <v>3656</v>
      </c>
      <c r="I649" s="418">
        <f t="shared" si="43"/>
        <v>5403.4596389819999</v>
      </c>
      <c r="J649" s="418">
        <f t="shared" si="44"/>
        <v>1183.2021999999999</v>
      </c>
      <c r="K649" s="351">
        <f t="shared" si="45"/>
        <v>657.38714231999995</v>
      </c>
      <c r="L649" s="350">
        <f t="shared" si="46"/>
        <v>131.47742846399998</v>
      </c>
      <c r="M649" s="350" t="s">
        <v>6169</v>
      </c>
      <c r="N649" s="1" t="s">
        <v>3989</v>
      </c>
      <c r="O649" s="1" t="s">
        <v>4120</v>
      </c>
      <c r="P649" s="396" t="s">
        <v>3659</v>
      </c>
      <c r="Q649" s="397">
        <v>0.2</v>
      </c>
      <c r="R649" s="396">
        <v>1900002642</v>
      </c>
      <c r="S649" s="588" t="s">
        <v>3475</v>
      </c>
      <c r="T649" s="588" t="s">
        <v>5915</v>
      </c>
    </row>
    <row r="650" spans="1:21" s="594" customFormat="1" hidden="1" x14ac:dyDescent="0.35">
      <c r="A650" s="595" t="s">
        <v>4333</v>
      </c>
      <c r="B650" s="596" t="s">
        <v>44</v>
      </c>
      <c r="C650" s="583">
        <v>43238</v>
      </c>
      <c r="D650" s="3">
        <v>43238</v>
      </c>
      <c r="E650" s="583" t="s">
        <v>161</v>
      </c>
      <c r="F650" s="394" t="s">
        <v>4323</v>
      </c>
      <c r="G650" s="597" t="s">
        <v>3655</v>
      </c>
      <c r="H650" s="1" t="s">
        <v>3656</v>
      </c>
      <c r="I650" s="418">
        <f t="shared" si="43"/>
        <v>5403.4596389819999</v>
      </c>
      <c r="J650" s="418">
        <f t="shared" si="44"/>
        <v>1183.2021999999999</v>
      </c>
      <c r="K650" s="351">
        <f t="shared" si="45"/>
        <v>657.38714231999995</v>
      </c>
      <c r="L650" s="350">
        <f t="shared" si="46"/>
        <v>131.47742846399998</v>
      </c>
      <c r="M650" s="350" t="s">
        <v>6169</v>
      </c>
      <c r="N650" s="1" t="s">
        <v>3989</v>
      </c>
      <c r="O650" s="1" t="s">
        <v>4120</v>
      </c>
      <c r="P650" s="396" t="s">
        <v>3659</v>
      </c>
      <c r="Q650" s="397">
        <v>0.2</v>
      </c>
      <c r="R650" s="396">
        <v>1900002642</v>
      </c>
      <c r="S650" s="588" t="s">
        <v>3475</v>
      </c>
      <c r="T650" s="588" t="s">
        <v>5915</v>
      </c>
    </row>
    <row r="651" spans="1:21" s="594" customFormat="1" hidden="1" x14ac:dyDescent="0.35">
      <c r="A651" s="595" t="s">
        <v>4334</v>
      </c>
      <c r="B651" s="596" t="s">
        <v>44</v>
      </c>
      <c r="C651" s="583">
        <v>43238</v>
      </c>
      <c r="D651" s="3">
        <v>43238</v>
      </c>
      <c r="E651" s="583" t="s">
        <v>162</v>
      </c>
      <c r="F651" s="394" t="s">
        <v>4323</v>
      </c>
      <c r="G651" s="597" t="s">
        <v>3655</v>
      </c>
      <c r="H651" s="1" t="s">
        <v>3656</v>
      </c>
      <c r="I651" s="418">
        <f t="shared" si="43"/>
        <v>5403.4596389819999</v>
      </c>
      <c r="J651" s="418">
        <f t="shared" si="44"/>
        <v>1183.2021999999999</v>
      </c>
      <c r="K651" s="351">
        <f t="shared" si="45"/>
        <v>657.38714231999995</v>
      </c>
      <c r="L651" s="350">
        <f t="shared" si="46"/>
        <v>131.47742846399998</v>
      </c>
      <c r="M651" s="350" t="s">
        <v>6169</v>
      </c>
      <c r="N651" s="1" t="s">
        <v>3989</v>
      </c>
      <c r="O651" s="1" t="s">
        <v>4120</v>
      </c>
      <c r="P651" s="396" t="s">
        <v>3659</v>
      </c>
      <c r="Q651" s="397">
        <v>0.2</v>
      </c>
      <c r="R651" s="396">
        <v>1900002642</v>
      </c>
      <c r="S651" s="588" t="s">
        <v>3475</v>
      </c>
      <c r="T651" s="588" t="s">
        <v>5915</v>
      </c>
    </row>
    <row r="652" spans="1:21" s="594" customFormat="1" hidden="1" x14ac:dyDescent="0.35">
      <c r="A652" s="595" t="s">
        <v>4335</v>
      </c>
      <c r="B652" s="596" t="s">
        <v>44</v>
      </c>
      <c r="C652" s="583">
        <v>43238</v>
      </c>
      <c r="D652" s="3">
        <v>43238</v>
      </c>
      <c r="E652" s="583" t="s">
        <v>163</v>
      </c>
      <c r="F652" s="394" t="s">
        <v>4323</v>
      </c>
      <c r="G652" s="597" t="s">
        <v>3655</v>
      </c>
      <c r="H652" s="1" t="s">
        <v>3656</v>
      </c>
      <c r="I652" s="418">
        <f t="shared" si="43"/>
        <v>5403.4596389819999</v>
      </c>
      <c r="J652" s="418">
        <f t="shared" si="44"/>
        <v>1183.2021999999999</v>
      </c>
      <c r="K652" s="351">
        <f t="shared" si="45"/>
        <v>657.38714231999995</v>
      </c>
      <c r="L652" s="350">
        <f t="shared" si="46"/>
        <v>131.47742846399998</v>
      </c>
      <c r="M652" s="350" t="s">
        <v>6169</v>
      </c>
      <c r="N652" s="1" t="s">
        <v>3989</v>
      </c>
      <c r="O652" s="1" t="s">
        <v>4120</v>
      </c>
      <c r="P652" s="396" t="s">
        <v>3659</v>
      </c>
      <c r="Q652" s="397">
        <v>0.2</v>
      </c>
      <c r="R652" s="396">
        <v>1900002642</v>
      </c>
      <c r="S652" s="588" t="s">
        <v>3475</v>
      </c>
      <c r="T652" s="588" t="s">
        <v>5915</v>
      </c>
    </row>
    <row r="653" spans="1:21" s="594" customFormat="1" hidden="1" x14ac:dyDescent="0.35">
      <c r="A653" s="595" t="s">
        <v>4336</v>
      </c>
      <c r="B653" s="596" t="s">
        <v>44</v>
      </c>
      <c r="C653" s="583">
        <v>43238</v>
      </c>
      <c r="D653" s="3">
        <v>43238</v>
      </c>
      <c r="E653" s="583" t="s">
        <v>164</v>
      </c>
      <c r="F653" s="394" t="s">
        <v>4323</v>
      </c>
      <c r="G653" s="597" t="s">
        <v>3655</v>
      </c>
      <c r="H653" s="1" t="s">
        <v>3656</v>
      </c>
      <c r="I653" s="418">
        <f t="shared" si="43"/>
        <v>5403.4596389819999</v>
      </c>
      <c r="J653" s="418">
        <f t="shared" si="44"/>
        <v>1183.2021999999999</v>
      </c>
      <c r="K653" s="351">
        <f t="shared" si="45"/>
        <v>657.38714231999995</v>
      </c>
      <c r="L653" s="350">
        <f t="shared" si="46"/>
        <v>131.47742846399998</v>
      </c>
      <c r="M653" s="350" t="s">
        <v>6169</v>
      </c>
      <c r="N653" s="1" t="s">
        <v>3989</v>
      </c>
      <c r="O653" s="1" t="s">
        <v>4120</v>
      </c>
      <c r="P653" s="396" t="s">
        <v>3659</v>
      </c>
      <c r="Q653" s="397">
        <v>0.2</v>
      </c>
      <c r="R653" s="396">
        <v>1900002642</v>
      </c>
      <c r="S653" s="588" t="s">
        <v>3475</v>
      </c>
      <c r="T653" s="588" t="s">
        <v>5915</v>
      </c>
    </row>
    <row r="654" spans="1:21" s="561" customFormat="1" hidden="1" x14ac:dyDescent="0.35">
      <c r="A654" s="556"/>
      <c r="B654" s="557" t="s">
        <v>44</v>
      </c>
      <c r="C654" s="558">
        <v>43238</v>
      </c>
      <c r="D654" s="3"/>
      <c r="E654" s="889" t="s">
        <v>6431</v>
      </c>
      <c r="F654" s="394"/>
      <c r="G654" s="562" t="s">
        <v>3655</v>
      </c>
      <c r="H654" s="557" t="s">
        <v>3656</v>
      </c>
      <c r="I654" s="418"/>
      <c r="J654" s="418"/>
      <c r="K654" s="351"/>
      <c r="L654" s="350"/>
      <c r="M654" s="350"/>
      <c r="N654" s="557" t="s">
        <v>3989</v>
      </c>
      <c r="O654" s="1"/>
      <c r="P654" s="396"/>
      <c r="Q654" s="397"/>
      <c r="R654" s="396"/>
      <c r="S654" s="560" t="s">
        <v>2617</v>
      </c>
      <c r="T654" s="560"/>
    </row>
    <row r="655" spans="1:21" s="594" customFormat="1" hidden="1" x14ac:dyDescent="0.35">
      <c r="A655" s="595" t="s">
        <v>4337</v>
      </c>
      <c r="B655" s="596" t="s">
        <v>44</v>
      </c>
      <c r="C655" s="583">
        <v>43238</v>
      </c>
      <c r="D655" s="3">
        <v>43238</v>
      </c>
      <c r="F655" s="394" t="s">
        <v>4323</v>
      </c>
      <c r="G655" s="597" t="s">
        <v>3655</v>
      </c>
      <c r="H655" s="1" t="s">
        <v>3656</v>
      </c>
      <c r="I655" s="418">
        <f t="shared" si="43"/>
        <v>5403.4596389819999</v>
      </c>
      <c r="J655" s="418">
        <f t="shared" si="44"/>
        <v>1183.2021999999999</v>
      </c>
      <c r="K655" s="351">
        <f t="shared" si="45"/>
        <v>657.38714231999995</v>
      </c>
      <c r="L655" s="350">
        <f t="shared" si="46"/>
        <v>131.47742846399998</v>
      </c>
      <c r="M655" s="350" t="s">
        <v>6169</v>
      </c>
      <c r="N655" s="1" t="s">
        <v>3989</v>
      </c>
      <c r="O655" s="1" t="s">
        <v>4120</v>
      </c>
      <c r="P655" s="396" t="s">
        <v>3659</v>
      </c>
      <c r="Q655" s="397">
        <v>0.2</v>
      </c>
      <c r="R655" s="396">
        <v>1900002642</v>
      </c>
      <c r="S655" s="588" t="s">
        <v>3475</v>
      </c>
      <c r="T655" s="588" t="s">
        <v>5914</v>
      </c>
      <c r="U655" s="588" t="s">
        <v>3475</v>
      </c>
    </row>
    <row r="656" spans="1:21" s="594" customFormat="1" hidden="1" x14ac:dyDescent="0.35">
      <c r="A656" s="595" t="s">
        <v>4338</v>
      </c>
      <c r="B656" s="596" t="s">
        <v>62</v>
      </c>
      <c r="C656" s="583">
        <v>43238</v>
      </c>
      <c r="D656" s="3">
        <v>43238</v>
      </c>
      <c r="E656" s="583" t="s">
        <v>165</v>
      </c>
      <c r="F656" s="394" t="s">
        <v>4323</v>
      </c>
      <c r="G656" s="597" t="s">
        <v>3655</v>
      </c>
      <c r="H656" s="1" t="s">
        <v>3656</v>
      </c>
      <c r="I656" s="418">
        <f t="shared" si="43"/>
        <v>5403.4596389819999</v>
      </c>
      <c r="J656" s="418">
        <f t="shared" si="44"/>
        <v>1183.2021999999999</v>
      </c>
      <c r="K656" s="351">
        <f t="shared" si="45"/>
        <v>657.38714231999995</v>
      </c>
      <c r="L656" s="350">
        <f t="shared" si="46"/>
        <v>131.47742846399998</v>
      </c>
      <c r="M656" s="350" t="s">
        <v>6169</v>
      </c>
      <c r="N656" s="1" t="s">
        <v>3989</v>
      </c>
      <c r="O656" s="1" t="s">
        <v>4120</v>
      </c>
      <c r="P656" s="396" t="s">
        <v>3659</v>
      </c>
      <c r="Q656" s="397">
        <v>0.2</v>
      </c>
      <c r="R656" s="396">
        <v>1900002642</v>
      </c>
      <c r="S656" s="588" t="s">
        <v>3475</v>
      </c>
      <c r="T656" s="588" t="s">
        <v>5915</v>
      </c>
    </row>
    <row r="657" spans="1:20" s="594" customFormat="1" hidden="1" x14ac:dyDescent="0.35">
      <c r="A657" s="595" t="s">
        <v>4339</v>
      </c>
      <c r="B657" s="596" t="s">
        <v>62</v>
      </c>
      <c r="C657" s="583">
        <v>43238</v>
      </c>
      <c r="D657" s="3">
        <v>43238</v>
      </c>
      <c r="E657" s="583" t="s">
        <v>166</v>
      </c>
      <c r="F657" s="394" t="s">
        <v>4323</v>
      </c>
      <c r="G657" s="597" t="s">
        <v>3655</v>
      </c>
      <c r="H657" s="1" t="s">
        <v>3656</v>
      </c>
      <c r="I657" s="418">
        <f t="shared" si="43"/>
        <v>5403.4596389819999</v>
      </c>
      <c r="J657" s="418">
        <f t="shared" si="44"/>
        <v>1183.2021999999999</v>
      </c>
      <c r="K657" s="351">
        <f t="shared" si="45"/>
        <v>657.38714231999995</v>
      </c>
      <c r="L657" s="350">
        <f t="shared" si="46"/>
        <v>131.47742846399998</v>
      </c>
      <c r="M657" s="350" t="s">
        <v>6169</v>
      </c>
      <c r="N657" s="1" t="s">
        <v>3989</v>
      </c>
      <c r="O657" s="1" t="s">
        <v>4120</v>
      </c>
      <c r="P657" s="396" t="s">
        <v>3659</v>
      </c>
      <c r="Q657" s="397">
        <v>0.2</v>
      </c>
      <c r="R657" s="396">
        <v>1900002642</v>
      </c>
      <c r="S657" s="588" t="s">
        <v>3475</v>
      </c>
      <c r="T657" s="588" t="s">
        <v>5915</v>
      </c>
    </row>
    <row r="658" spans="1:20" s="594" customFormat="1" hidden="1" x14ac:dyDescent="0.35">
      <c r="A658" s="595" t="s">
        <v>4077</v>
      </c>
      <c r="B658" s="596" t="s">
        <v>62</v>
      </c>
      <c r="C658" s="583">
        <v>43238</v>
      </c>
      <c r="D658" s="3">
        <v>43238</v>
      </c>
      <c r="E658" s="583" t="s">
        <v>167</v>
      </c>
      <c r="F658" s="394" t="s">
        <v>4323</v>
      </c>
      <c r="G658" s="597" t="s">
        <v>3655</v>
      </c>
      <c r="H658" s="1" t="s">
        <v>3656</v>
      </c>
      <c r="I658" s="418">
        <f t="shared" si="43"/>
        <v>5403.4596389819999</v>
      </c>
      <c r="J658" s="418">
        <f t="shared" si="44"/>
        <v>1183.2021999999999</v>
      </c>
      <c r="K658" s="351">
        <f t="shared" si="45"/>
        <v>657.38714231999995</v>
      </c>
      <c r="L658" s="350">
        <f t="shared" si="46"/>
        <v>131.47742846399998</v>
      </c>
      <c r="M658" s="350" t="s">
        <v>6169</v>
      </c>
      <c r="N658" s="1" t="s">
        <v>3989</v>
      </c>
      <c r="O658" s="1" t="s">
        <v>4120</v>
      </c>
      <c r="P658" s="396" t="s">
        <v>3659</v>
      </c>
      <c r="Q658" s="397">
        <v>0.2</v>
      </c>
      <c r="R658" s="396">
        <v>1900002642</v>
      </c>
      <c r="S658" s="588" t="s">
        <v>3475</v>
      </c>
      <c r="T658" s="588" t="s">
        <v>5915</v>
      </c>
    </row>
    <row r="659" spans="1:20" s="594" customFormat="1" hidden="1" x14ac:dyDescent="0.35">
      <c r="A659" s="595" t="s">
        <v>4080</v>
      </c>
      <c r="B659" s="596" t="s">
        <v>62</v>
      </c>
      <c r="C659" s="583">
        <v>43238</v>
      </c>
      <c r="D659" s="3">
        <v>43238</v>
      </c>
      <c r="E659" s="583" t="s">
        <v>168</v>
      </c>
      <c r="F659" s="394" t="s">
        <v>4323</v>
      </c>
      <c r="G659" s="597" t="s">
        <v>3655</v>
      </c>
      <c r="H659" s="1" t="s">
        <v>3656</v>
      </c>
      <c r="I659" s="418">
        <f t="shared" si="43"/>
        <v>5403.4596389819999</v>
      </c>
      <c r="J659" s="418">
        <f t="shared" si="44"/>
        <v>1183.2021999999999</v>
      </c>
      <c r="K659" s="351">
        <f t="shared" si="45"/>
        <v>657.38714231999995</v>
      </c>
      <c r="L659" s="350">
        <f t="shared" si="46"/>
        <v>131.47742846399998</v>
      </c>
      <c r="M659" s="350" t="s">
        <v>6169</v>
      </c>
      <c r="N659" s="1" t="s">
        <v>3989</v>
      </c>
      <c r="O659" s="1" t="s">
        <v>4120</v>
      </c>
      <c r="P659" s="396" t="s">
        <v>3659</v>
      </c>
      <c r="Q659" s="397">
        <v>0.2</v>
      </c>
      <c r="R659" s="396">
        <v>1900002642</v>
      </c>
      <c r="S659" s="588" t="s">
        <v>3475</v>
      </c>
      <c r="T659" s="588" t="s">
        <v>5915</v>
      </c>
    </row>
    <row r="660" spans="1:20" s="594" customFormat="1" hidden="1" x14ac:dyDescent="0.35">
      <c r="A660" s="595" t="s">
        <v>4081</v>
      </c>
      <c r="B660" s="596" t="s">
        <v>62</v>
      </c>
      <c r="C660" s="583">
        <v>43238</v>
      </c>
      <c r="D660" s="3">
        <v>43238</v>
      </c>
      <c r="E660" s="583" t="s">
        <v>169</v>
      </c>
      <c r="F660" s="394" t="s">
        <v>4323</v>
      </c>
      <c r="G660" s="597" t="s">
        <v>3655</v>
      </c>
      <c r="H660" s="1" t="s">
        <v>3656</v>
      </c>
      <c r="I660" s="418">
        <f t="shared" si="43"/>
        <v>5403.4596389819999</v>
      </c>
      <c r="J660" s="418">
        <f t="shared" si="44"/>
        <v>1183.2021999999999</v>
      </c>
      <c r="K660" s="351">
        <f t="shared" si="45"/>
        <v>657.38714231999995</v>
      </c>
      <c r="L660" s="350">
        <f t="shared" si="46"/>
        <v>131.47742846399998</v>
      </c>
      <c r="M660" s="350" t="s">
        <v>6169</v>
      </c>
      <c r="N660" s="1" t="s">
        <v>3989</v>
      </c>
      <c r="O660" s="1" t="s">
        <v>4120</v>
      </c>
      <c r="P660" s="396" t="s">
        <v>3659</v>
      </c>
      <c r="Q660" s="397">
        <v>0.2</v>
      </c>
      <c r="R660" s="396">
        <v>1900002642</v>
      </c>
      <c r="S660" s="588" t="s">
        <v>3475</v>
      </c>
      <c r="T660" s="588" t="s">
        <v>5915</v>
      </c>
    </row>
    <row r="661" spans="1:20" s="594" customFormat="1" hidden="1" x14ac:dyDescent="0.35">
      <c r="A661" s="595" t="s">
        <v>4082</v>
      </c>
      <c r="B661" s="596" t="s">
        <v>62</v>
      </c>
      <c r="C661" s="583">
        <v>43238</v>
      </c>
      <c r="D661" s="3">
        <v>43238</v>
      </c>
      <c r="E661" s="583" t="s">
        <v>170</v>
      </c>
      <c r="F661" s="394" t="s">
        <v>4323</v>
      </c>
      <c r="G661" s="597" t="s">
        <v>3655</v>
      </c>
      <c r="H661" s="1" t="s">
        <v>3656</v>
      </c>
      <c r="I661" s="418">
        <f t="shared" si="43"/>
        <v>5403.4596389819999</v>
      </c>
      <c r="J661" s="418">
        <f t="shared" si="44"/>
        <v>1183.2021999999999</v>
      </c>
      <c r="K661" s="351">
        <f t="shared" si="45"/>
        <v>657.38714231999995</v>
      </c>
      <c r="L661" s="350">
        <f t="shared" si="46"/>
        <v>131.47742846399998</v>
      </c>
      <c r="M661" s="350" t="s">
        <v>6169</v>
      </c>
      <c r="N661" s="1" t="s">
        <v>3989</v>
      </c>
      <c r="O661" s="1" t="s">
        <v>4120</v>
      </c>
      <c r="P661" s="396" t="s">
        <v>3659</v>
      </c>
      <c r="Q661" s="397">
        <v>0.2</v>
      </c>
      <c r="R661" s="396">
        <v>1900002642</v>
      </c>
      <c r="S661" s="588" t="s">
        <v>3475</v>
      </c>
      <c r="T661" s="588" t="s">
        <v>5915</v>
      </c>
    </row>
    <row r="662" spans="1:20" s="594" customFormat="1" hidden="1" x14ac:dyDescent="0.35">
      <c r="A662" s="595" t="s">
        <v>4083</v>
      </c>
      <c r="B662" s="596" t="s">
        <v>62</v>
      </c>
      <c r="C662" s="583">
        <v>43238</v>
      </c>
      <c r="D662" s="3">
        <v>43238</v>
      </c>
      <c r="E662" s="583" t="s">
        <v>171</v>
      </c>
      <c r="F662" s="394" t="s">
        <v>4323</v>
      </c>
      <c r="G662" s="597" t="s">
        <v>3655</v>
      </c>
      <c r="H662" s="1" t="s">
        <v>3656</v>
      </c>
      <c r="I662" s="418">
        <f t="shared" si="43"/>
        <v>5403.4596389819999</v>
      </c>
      <c r="J662" s="418">
        <f t="shared" si="44"/>
        <v>1183.2021999999999</v>
      </c>
      <c r="K662" s="351">
        <f t="shared" si="45"/>
        <v>657.38714231999995</v>
      </c>
      <c r="L662" s="350">
        <f t="shared" si="46"/>
        <v>131.47742846399998</v>
      </c>
      <c r="M662" s="350" t="s">
        <v>6169</v>
      </c>
      <c r="N662" s="1" t="s">
        <v>3989</v>
      </c>
      <c r="O662" s="1" t="s">
        <v>4120</v>
      </c>
      <c r="P662" s="396" t="s">
        <v>3659</v>
      </c>
      <c r="Q662" s="397">
        <v>0.2</v>
      </c>
      <c r="R662" s="396">
        <v>1900002642</v>
      </c>
      <c r="S662" s="588" t="s">
        <v>3475</v>
      </c>
      <c r="T662" s="588" t="s">
        <v>5915</v>
      </c>
    </row>
    <row r="663" spans="1:20" s="594" customFormat="1" hidden="1" x14ac:dyDescent="0.35">
      <c r="A663" s="595" t="s">
        <v>4084</v>
      </c>
      <c r="B663" s="596" t="s">
        <v>62</v>
      </c>
      <c r="C663" s="583">
        <v>43238</v>
      </c>
      <c r="D663" s="3"/>
      <c r="E663" s="583" t="s">
        <v>172</v>
      </c>
      <c r="F663" s="394"/>
      <c r="G663" s="597" t="s">
        <v>3655</v>
      </c>
      <c r="H663" s="1"/>
      <c r="I663" s="418"/>
      <c r="J663" s="418"/>
      <c r="K663" s="351"/>
      <c r="L663" s="350"/>
      <c r="M663" s="350"/>
      <c r="N663" s="1" t="s">
        <v>3989</v>
      </c>
      <c r="O663" s="1"/>
      <c r="P663" s="396"/>
      <c r="Q663" s="397"/>
      <c r="R663" s="396"/>
      <c r="S663" s="588" t="s">
        <v>3475</v>
      </c>
      <c r="T663" s="588" t="s">
        <v>5915</v>
      </c>
    </row>
    <row r="664" spans="1:20" s="561" customFormat="1" hidden="1" x14ac:dyDescent="0.35">
      <c r="A664" s="556"/>
      <c r="B664" s="557" t="s">
        <v>62</v>
      </c>
      <c r="C664" s="558">
        <v>43238</v>
      </c>
      <c r="D664" s="3"/>
      <c r="E664" s="563" t="s">
        <v>6123</v>
      </c>
      <c r="F664" s="394"/>
      <c r="G664" s="562" t="s">
        <v>3655</v>
      </c>
      <c r="H664" s="1"/>
      <c r="I664" s="418"/>
      <c r="J664" s="418"/>
      <c r="K664" s="351"/>
      <c r="L664" s="350"/>
      <c r="M664" s="350"/>
      <c r="N664" s="557" t="s">
        <v>3989</v>
      </c>
      <c r="O664" s="1"/>
      <c r="P664" s="396"/>
      <c r="Q664" s="397"/>
      <c r="R664" s="396"/>
      <c r="S664" s="560" t="s">
        <v>6122</v>
      </c>
      <c r="T664" s="560" t="s">
        <v>5915</v>
      </c>
    </row>
    <row r="665" spans="1:20" s="561" customFormat="1" hidden="1" x14ac:dyDescent="0.35">
      <c r="A665" s="556"/>
      <c r="B665" s="557" t="s">
        <v>62</v>
      </c>
      <c r="C665" s="558">
        <v>43238</v>
      </c>
      <c r="D665" s="3"/>
      <c r="E665" s="563" t="s">
        <v>6127</v>
      </c>
      <c r="F665" s="394"/>
      <c r="G665" s="562" t="s">
        <v>3655</v>
      </c>
      <c r="H665" s="1"/>
      <c r="I665" s="418"/>
      <c r="J665" s="418"/>
      <c r="K665" s="351"/>
      <c r="L665" s="350"/>
      <c r="M665" s="350"/>
      <c r="N665" s="557" t="s">
        <v>3989</v>
      </c>
      <c r="O665" s="1"/>
      <c r="P665" s="396"/>
      <c r="Q665" s="397"/>
      <c r="R665" s="396"/>
      <c r="S665" s="560" t="s">
        <v>6122</v>
      </c>
      <c r="T665" s="560" t="s">
        <v>5915</v>
      </c>
    </row>
    <row r="666" spans="1:20" s="561" customFormat="1" hidden="1" x14ac:dyDescent="0.35">
      <c r="A666" s="556"/>
      <c r="B666" s="557" t="s">
        <v>62</v>
      </c>
      <c r="C666" s="558">
        <v>43238</v>
      </c>
      <c r="D666" s="3"/>
      <c r="E666" s="563" t="s">
        <v>6166</v>
      </c>
      <c r="F666" s="394"/>
      <c r="G666" s="562" t="s">
        <v>3655</v>
      </c>
      <c r="H666" s="1"/>
      <c r="I666" s="418"/>
      <c r="J666" s="418"/>
      <c r="K666" s="351"/>
      <c r="L666" s="350"/>
      <c r="M666" s="350"/>
      <c r="N666" s="557" t="s">
        <v>3989</v>
      </c>
      <c r="O666" s="1"/>
      <c r="P666" s="396"/>
      <c r="Q666" s="397"/>
      <c r="R666" s="396"/>
      <c r="S666" s="560" t="s">
        <v>6122</v>
      </c>
      <c r="T666" s="560" t="s">
        <v>5915</v>
      </c>
    </row>
    <row r="667" spans="1:20" s="768" customFormat="1" hidden="1" x14ac:dyDescent="0.35">
      <c r="A667" s="398" t="s">
        <v>4169</v>
      </c>
      <c r="B667" s="1" t="s">
        <v>3967</v>
      </c>
      <c r="C667" s="3">
        <v>43178</v>
      </c>
      <c r="D667" s="3"/>
      <c r="E667" s="177" t="s">
        <v>6259</v>
      </c>
      <c r="F667" s="394"/>
      <c r="G667" s="394" t="s">
        <v>1486</v>
      </c>
      <c r="H667" s="1" t="s">
        <v>3656</v>
      </c>
      <c r="I667" s="418"/>
      <c r="J667" s="418"/>
      <c r="K667" s="351"/>
      <c r="L667" s="350"/>
      <c r="M667" s="350"/>
      <c r="N667" s="829" t="s">
        <v>2675</v>
      </c>
      <c r="O667" s="1"/>
      <c r="P667" s="396"/>
      <c r="Q667" s="397"/>
      <c r="R667" s="396"/>
      <c r="S667" s="767" t="s">
        <v>6261</v>
      </c>
      <c r="T667" s="2" t="s">
        <v>5915</v>
      </c>
    </row>
    <row r="668" spans="1:20" s="768" customFormat="1" hidden="1" x14ac:dyDescent="0.35">
      <c r="A668" s="398" t="s">
        <v>4171</v>
      </c>
      <c r="B668" s="1" t="s">
        <v>3967</v>
      </c>
      <c r="C668" s="3">
        <v>43178</v>
      </c>
      <c r="D668" s="3"/>
      <c r="E668" s="177" t="s">
        <v>6260</v>
      </c>
      <c r="F668" s="394"/>
      <c r="G668" s="394" t="s">
        <v>1486</v>
      </c>
      <c r="H668" s="1" t="s">
        <v>3656</v>
      </c>
      <c r="I668" s="418"/>
      <c r="J668" s="418"/>
      <c r="K668" s="351"/>
      <c r="L668" s="350"/>
      <c r="M668" s="350"/>
      <c r="N668" s="829" t="s">
        <v>2675</v>
      </c>
      <c r="O668" s="1"/>
      <c r="P668" s="396"/>
      <c r="Q668" s="397"/>
      <c r="R668" s="396"/>
      <c r="S668" s="767" t="s">
        <v>6262</v>
      </c>
      <c r="T668" s="2" t="s">
        <v>5915</v>
      </c>
    </row>
    <row r="669" spans="1:20" hidden="1" x14ac:dyDescent="0.35">
      <c r="A669" s="398" t="s">
        <v>4340</v>
      </c>
      <c r="B669" s="1" t="s">
        <v>4341</v>
      </c>
      <c r="C669" s="3">
        <v>43368</v>
      </c>
      <c r="D669" s="3">
        <v>43368</v>
      </c>
      <c r="E669" s="3" t="s">
        <v>1490</v>
      </c>
      <c r="F669" s="394"/>
      <c r="G669" s="394" t="s">
        <v>4342</v>
      </c>
      <c r="H669" s="1" t="s">
        <v>3656</v>
      </c>
      <c r="I669" s="418">
        <f t="shared" ref="I669:I732" si="47">+J669*4.70828</f>
        <v>3521.7760193640001</v>
      </c>
      <c r="J669" s="418">
        <f>726.21*1.03</f>
        <v>747.99630000000002</v>
      </c>
      <c r="K669" s="351">
        <f t="shared" si="45"/>
        <v>415.58674428</v>
      </c>
      <c r="L669" s="350">
        <f t="shared" si="46"/>
        <v>83.117348856000007</v>
      </c>
      <c r="M669" s="350" t="s">
        <v>6169</v>
      </c>
      <c r="N669" s="1" t="s">
        <v>3785</v>
      </c>
      <c r="O669" s="1" t="s">
        <v>4343</v>
      </c>
      <c r="P669" s="396" t="s">
        <v>3659</v>
      </c>
      <c r="Q669" s="397">
        <v>0.2</v>
      </c>
      <c r="R669" s="396">
        <v>1900005310</v>
      </c>
      <c r="S669" s="2" t="s">
        <v>1489</v>
      </c>
      <c r="T669" s="2" t="s">
        <v>5915</v>
      </c>
    </row>
    <row r="670" spans="1:20" hidden="1" x14ac:dyDescent="0.35">
      <c r="A670" s="398" t="s">
        <v>4344</v>
      </c>
      <c r="B670" s="1" t="s">
        <v>4341</v>
      </c>
      <c r="C670" s="3">
        <v>43368</v>
      </c>
      <c r="D670" s="3">
        <v>43368</v>
      </c>
      <c r="E670" s="3" t="s">
        <v>1501</v>
      </c>
      <c r="F670" s="394"/>
      <c r="G670" s="394" t="s">
        <v>4342</v>
      </c>
      <c r="H670" s="1" t="s">
        <v>3656</v>
      </c>
      <c r="I670" s="418">
        <f t="shared" si="47"/>
        <v>3521.7760193640001</v>
      </c>
      <c r="J670" s="418">
        <f t="shared" ref="J670:J709" si="48">726.21*1.03</f>
        <v>747.99630000000002</v>
      </c>
      <c r="K670" s="351">
        <f t="shared" si="45"/>
        <v>415.58674428</v>
      </c>
      <c r="L670" s="350">
        <f t="shared" si="46"/>
        <v>83.117348856000007</v>
      </c>
      <c r="M670" s="350" t="s">
        <v>6169</v>
      </c>
      <c r="N670" s="1" t="s">
        <v>3785</v>
      </c>
      <c r="O670" s="1" t="s">
        <v>4343</v>
      </c>
      <c r="P670" s="396" t="s">
        <v>3659</v>
      </c>
      <c r="Q670" s="397">
        <v>0.2</v>
      </c>
      <c r="R670" s="396">
        <v>1900005310</v>
      </c>
      <c r="S670" s="2" t="s">
        <v>1489</v>
      </c>
      <c r="T670" s="2" t="s">
        <v>5915</v>
      </c>
    </row>
    <row r="671" spans="1:20" hidden="1" x14ac:dyDescent="0.35">
      <c r="A671" s="398" t="s">
        <v>4345</v>
      </c>
      <c r="B671" s="1" t="s">
        <v>4341</v>
      </c>
      <c r="C671" s="3">
        <v>43368</v>
      </c>
      <c r="D671" s="3">
        <v>43368</v>
      </c>
      <c r="E671" s="3" t="s">
        <v>1518</v>
      </c>
      <c r="F671" s="394"/>
      <c r="G671" s="394" t="s">
        <v>4342</v>
      </c>
      <c r="H671" s="1" t="s">
        <v>3656</v>
      </c>
      <c r="I671" s="418">
        <f t="shared" si="47"/>
        <v>3521.7760193640001</v>
      </c>
      <c r="J671" s="418">
        <f t="shared" si="48"/>
        <v>747.99630000000002</v>
      </c>
      <c r="K671" s="351">
        <f t="shared" si="45"/>
        <v>415.58674428</v>
      </c>
      <c r="L671" s="350">
        <f t="shared" si="46"/>
        <v>83.117348856000007</v>
      </c>
      <c r="M671" s="350" t="s">
        <v>6169</v>
      </c>
      <c r="N671" s="1" t="s">
        <v>3785</v>
      </c>
      <c r="O671" s="1" t="s">
        <v>4343</v>
      </c>
      <c r="P671" s="396" t="s">
        <v>3659</v>
      </c>
      <c r="Q671" s="397">
        <v>0.2</v>
      </c>
      <c r="R671" s="396">
        <v>1900005310</v>
      </c>
      <c r="S671" s="2" t="s">
        <v>1517</v>
      </c>
      <c r="T671" s="2" t="s">
        <v>5915</v>
      </c>
    </row>
    <row r="672" spans="1:20" hidden="1" x14ac:dyDescent="0.35">
      <c r="A672" s="398" t="s">
        <v>4346</v>
      </c>
      <c r="B672" s="1" t="s">
        <v>4341</v>
      </c>
      <c r="C672" s="3">
        <v>43368</v>
      </c>
      <c r="D672" s="3">
        <v>43368</v>
      </c>
      <c r="E672" s="3" t="s">
        <v>1526</v>
      </c>
      <c r="F672" s="394"/>
      <c r="G672" s="394" t="s">
        <v>4342</v>
      </c>
      <c r="H672" s="1" t="s">
        <v>3656</v>
      </c>
      <c r="I672" s="418">
        <f t="shared" si="47"/>
        <v>3521.7760193640001</v>
      </c>
      <c r="J672" s="418">
        <f t="shared" si="48"/>
        <v>747.99630000000002</v>
      </c>
      <c r="K672" s="351">
        <f t="shared" si="45"/>
        <v>415.58674428</v>
      </c>
      <c r="L672" s="350">
        <f t="shared" si="46"/>
        <v>83.117348856000007</v>
      </c>
      <c r="M672" s="350" t="s">
        <v>6169</v>
      </c>
      <c r="N672" s="1" t="s">
        <v>3785</v>
      </c>
      <c r="O672" s="1" t="s">
        <v>4343</v>
      </c>
      <c r="P672" s="396" t="s">
        <v>3659</v>
      </c>
      <c r="Q672" s="397">
        <v>0.2</v>
      </c>
      <c r="R672" s="396">
        <v>1900005310</v>
      </c>
      <c r="S672" s="2" t="s">
        <v>929</v>
      </c>
      <c r="T672" s="2" t="s">
        <v>5915</v>
      </c>
    </row>
    <row r="673" spans="1:20" hidden="1" x14ac:dyDescent="0.35">
      <c r="A673" s="398" t="s">
        <v>4347</v>
      </c>
      <c r="B673" s="1" t="s">
        <v>4341</v>
      </c>
      <c r="C673" s="3">
        <v>43368</v>
      </c>
      <c r="D673" s="3">
        <v>43368</v>
      </c>
      <c r="E673" s="3" t="s">
        <v>1530</v>
      </c>
      <c r="F673" s="394"/>
      <c r="G673" s="394" t="s">
        <v>4342</v>
      </c>
      <c r="H673" s="1" t="s">
        <v>3656</v>
      </c>
      <c r="I673" s="418">
        <f t="shared" si="47"/>
        <v>3521.7760193640001</v>
      </c>
      <c r="J673" s="418">
        <f t="shared" si="48"/>
        <v>747.99630000000002</v>
      </c>
      <c r="K673" s="351">
        <f t="shared" si="45"/>
        <v>415.58674428</v>
      </c>
      <c r="L673" s="350">
        <f t="shared" si="46"/>
        <v>83.117348856000007</v>
      </c>
      <c r="M673" s="350" t="s">
        <v>6169</v>
      </c>
      <c r="N673" s="1" t="s">
        <v>3785</v>
      </c>
      <c r="O673" s="1" t="s">
        <v>4343</v>
      </c>
      <c r="P673" s="396" t="s">
        <v>3659</v>
      </c>
      <c r="Q673" s="397">
        <v>0.2</v>
      </c>
      <c r="R673" s="396">
        <v>1900005310</v>
      </c>
      <c r="S673" s="2" t="s">
        <v>929</v>
      </c>
      <c r="T673" s="2" t="s">
        <v>5915</v>
      </c>
    </row>
    <row r="674" spans="1:20" hidden="1" x14ac:dyDescent="0.35">
      <c r="A674" s="398" t="s">
        <v>4348</v>
      </c>
      <c r="B674" s="1" t="s">
        <v>4341</v>
      </c>
      <c r="C674" s="3">
        <v>43368</v>
      </c>
      <c r="D674" s="3">
        <v>43368</v>
      </c>
      <c r="E674" s="3" t="s">
        <v>1533</v>
      </c>
      <c r="F674" s="394"/>
      <c r="G674" s="394" t="s">
        <v>4342</v>
      </c>
      <c r="H674" s="1" t="s">
        <v>3656</v>
      </c>
      <c r="I674" s="418">
        <f t="shared" si="47"/>
        <v>3521.7760193640001</v>
      </c>
      <c r="J674" s="418">
        <f t="shared" si="48"/>
        <v>747.99630000000002</v>
      </c>
      <c r="K674" s="351">
        <f t="shared" si="45"/>
        <v>415.58674428</v>
      </c>
      <c r="L674" s="350">
        <f t="shared" si="46"/>
        <v>83.117348856000007</v>
      </c>
      <c r="M674" s="350" t="s">
        <v>6169</v>
      </c>
      <c r="N674" s="1" t="s">
        <v>3785</v>
      </c>
      <c r="O674" s="1" t="s">
        <v>4343</v>
      </c>
      <c r="P674" s="396" t="s">
        <v>3659</v>
      </c>
      <c r="Q674" s="397">
        <v>0.2</v>
      </c>
      <c r="R674" s="396">
        <v>1900005310</v>
      </c>
      <c r="S674" s="2" t="s">
        <v>929</v>
      </c>
      <c r="T674" s="2" t="s">
        <v>5915</v>
      </c>
    </row>
    <row r="675" spans="1:20" hidden="1" x14ac:dyDescent="0.35">
      <c r="A675" s="398" t="s">
        <v>4349</v>
      </c>
      <c r="B675" s="1" t="s">
        <v>4341</v>
      </c>
      <c r="C675" s="3">
        <v>43368</v>
      </c>
      <c r="D675" s="3">
        <v>43368</v>
      </c>
      <c r="E675" s="3" t="s">
        <v>1561</v>
      </c>
      <c r="F675" s="394"/>
      <c r="G675" s="394" t="s">
        <v>4342</v>
      </c>
      <c r="H675" s="1" t="s">
        <v>3656</v>
      </c>
      <c r="I675" s="418">
        <f t="shared" si="47"/>
        <v>3521.7760193640001</v>
      </c>
      <c r="J675" s="418">
        <f t="shared" si="48"/>
        <v>747.99630000000002</v>
      </c>
      <c r="K675" s="351">
        <f t="shared" si="45"/>
        <v>415.58674428</v>
      </c>
      <c r="L675" s="350">
        <f t="shared" si="46"/>
        <v>83.117348856000007</v>
      </c>
      <c r="M675" s="350" t="s">
        <v>6169</v>
      </c>
      <c r="N675" s="1" t="s">
        <v>3785</v>
      </c>
      <c r="O675" s="1" t="s">
        <v>4343</v>
      </c>
      <c r="P675" s="396" t="s">
        <v>3659</v>
      </c>
      <c r="Q675" s="397">
        <v>0.2</v>
      </c>
      <c r="R675" s="396">
        <v>1900005310</v>
      </c>
      <c r="S675" s="2" t="s">
        <v>1559</v>
      </c>
      <c r="T675" s="2" t="s">
        <v>5915</v>
      </c>
    </row>
    <row r="676" spans="1:20" hidden="1" x14ac:dyDescent="0.35">
      <c r="A676" s="398" t="s">
        <v>4350</v>
      </c>
      <c r="B676" s="1" t="s">
        <v>4341</v>
      </c>
      <c r="C676" s="3">
        <v>43368</v>
      </c>
      <c r="D676" s="3">
        <v>43368</v>
      </c>
      <c r="E676" s="3" t="s">
        <v>1661</v>
      </c>
      <c r="F676" s="394"/>
      <c r="G676" s="394" t="s">
        <v>4342</v>
      </c>
      <c r="H676" s="1" t="s">
        <v>3656</v>
      </c>
      <c r="I676" s="418">
        <f t="shared" si="47"/>
        <v>3521.7760193640001</v>
      </c>
      <c r="J676" s="418">
        <f t="shared" si="48"/>
        <v>747.99630000000002</v>
      </c>
      <c r="K676" s="351">
        <f t="shared" si="45"/>
        <v>415.58674428</v>
      </c>
      <c r="L676" s="350">
        <f t="shared" si="46"/>
        <v>83.117348856000007</v>
      </c>
      <c r="M676" s="350" t="s">
        <v>6169</v>
      </c>
      <c r="N676" s="1" t="s">
        <v>3785</v>
      </c>
      <c r="O676" s="1" t="s">
        <v>4343</v>
      </c>
      <c r="P676" s="396" t="s">
        <v>3659</v>
      </c>
      <c r="Q676" s="397">
        <v>0.2</v>
      </c>
      <c r="R676" s="396">
        <v>1900005310</v>
      </c>
      <c r="S676" s="2" t="s">
        <v>1377</v>
      </c>
      <c r="T676" s="2" t="s">
        <v>5915</v>
      </c>
    </row>
    <row r="677" spans="1:20" hidden="1" x14ac:dyDescent="0.35">
      <c r="A677" s="398" t="s">
        <v>4351</v>
      </c>
      <c r="B677" s="1" t="s">
        <v>4341</v>
      </c>
      <c r="C677" s="3">
        <v>43368</v>
      </c>
      <c r="D677" s="3">
        <v>43368</v>
      </c>
      <c r="E677" s="3" t="s">
        <v>1667</v>
      </c>
      <c r="F677" s="394"/>
      <c r="G677" s="394" t="s">
        <v>4342</v>
      </c>
      <c r="H677" s="1" t="s">
        <v>3656</v>
      </c>
      <c r="I677" s="418">
        <f t="shared" si="47"/>
        <v>3521.7760193640001</v>
      </c>
      <c r="J677" s="418">
        <f t="shared" si="48"/>
        <v>747.99630000000002</v>
      </c>
      <c r="K677" s="351">
        <f t="shared" si="45"/>
        <v>415.58674428</v>
      </c>
      <c r="L677" s="350">
        <f t="shared" si="46"/>
        <v>83.117348856000007</v>
      </c>
      <c r="M677" s="350" t="s">
        <v>6169</v>
      </c>
      <c r="N677" s="1" t="s">
        <v>3785</v>
      </c>
      <c r="O677" s="1" t="s">
        <v>4343</v>
      </c>
      <c r="P677" s="396" t="s">
        <v>3659</v>
      </c>
      <c r="Q677" s="397">
        <v>0.2</v>
      </c>
      <c r="R677" s="396">
        <v>1900005310</v>
      </c>
      <c r="S677" s="2" t="s">
        <v>6122</v>
      </c>
      <c r="T677" s="2" t="s">
        <v>5915</v>
      </c>
    </row>
    <row r="678" spans="1:20" hidden="1" x14ac:dyDescent="0.35">
      <c r="A678" s="398" t="s">
        <v>4352</v>
      </c>
      <c r="B678" s="1" t="s">
        <v>4341</v>
      </c>
      <c r="C678" s="3">
        <v>43368</v>
      </c>
      <c r="D678" s="3">
        <v>43368</v>
      </c>
      <c r="E678" s="3" t="s">
        <v>1673</v>
      </c>
      <c r="F678" s="394"/>
      <c r="G678" s="394" t="s">
        <v>4342</v>
      </c>
      <c r="H678" s="1" t="s">
        <v>3656</v>
      </c>
      <c r="I678" s="418">
        <f t="shared" si="47"/>
        <v>3521.7760193640001</v>
      </c>
      <c r="J678" s="418">
        <f t="shared" si="48"/>
        <v>747.99630000000002</v>
      </c>
      <c r="K678" s="351">
        <f t="shared" si="45"/>
        <v>415.58674428</v>
      </c>
      <c r="L678" s="350">
        <f t="shared" si="46"/>
        <v>83.117348856000007</v>
      </c>
      <c r="M678" s="350" t="s">
        <v>6169</v>
      </c>
      <c r="N678" s="1" t="s">
        <v>3785</v>
      </c>
      <c r="O678" s="1" t="s">
        <v>4343</v>
      </c>
      <c r="P678" s="396" t="s">
        <v>3659</v>
      </c>
      <c r="Q678" s="397">
        <v>0.2</v>
      </c>
      <c r="R678" s="396">
        <v>1900005310</v>
      </c>
      <c r="S678" s="2" t="s">
        <v>6122</v>
      </c>
      <c r="T678" s="2" t="s">
        <v>5915</v>
      </c>
    </row>
    <row r="679" spans="1:20" hidden="1" x14ac:dyDescent="0.35">
      <c r="A679" s="398" t="s">
        <v>4353</v>
      </c>
      <c r="B679" s="1" t="s">
        <v>4354</v>
      </c>
      <c r="C679" s="3">
        <v>43368</v>
      </c>
      <c r="D679" s="3">
        <v>43368</v>
      </c>
      <c r="E679" s="3" t="s">
        <v>1495</v>
      </c>
      <c r="F679" s="394"/>
      <c r="G679" s="394" t="s">
        <v>4342</v>
      </c>
      <c r="H679" s="1" t="s">
        <v>3656</v>
      </c>
      <c r="I679" s="418">
        <f t="shared" si="47"/>
        <v>3521.7760193640001</v>
      </c>
      <c r="J679" s="418">
        <f t="shared" si="48"/>
        <v>747.99630000000002</v>
      </c>
      <c r="K679" s="351">
        <f t="shared" si="45"/>
        <v>415.58674428</v>
      </c>
      <c r="L679" s="350">
        <f t="shared" si="46"/>
        <v>83.117348856000007</v>
      </c>
      <c r="M679" s="350" t="s">
        <v>6169</v>
      </c>
      <c r="N679" s="1" t="s">
        <v>3785</v>
      </c>
      <c r="O679" s="1" t="s">
        <v>4343</v>
      </c>
      <c r="P679" s="396" t="s">
        <v>3659</v>
      </c>
      <c r="Q679" s="397">
        <v>0.2</v>
      </c>
      <c r="R679" s="396">
        <v>1900005310</v>
      </c>
      <c r="S679" s="2" t="s">
        <v>850</v>
      </c>
      <c r="T679" s="2" t="s">
        <v>5915</v>
      </c>
    </row>
    <row r="680" spans="1:20" hidden="1" x14ac:dyDescent="0.35">
      <c r="A680" s="398" t="s">
        <v>4355</v>
      </c>
      <c r="B680" s="1" t="s">
        <v>4356</v>
      </c>
      <c r="C680" s="3">
        <v>43368</v>
      </c>
      <c r="D680" s="3">
        <v>43368</v>
      </c>
      <c r="E680" s="3" t="s">
        <v>1503</v>
      </c>
      <c r="F680" s="394"/>
      <c r="G680" s="394" t="s">
        <v>4342</v>
      </c>
      <c r="H680" s="1" t="s">
        <v>3656</v>
      </c>
      <c r="I680" s="418">
        <f t="shared" si="47"/>
        <v>3521.7760193640001</v>
      </c>
      <c r="J680" s="418">
        <f t="shared" si="48"/>
        <v>747.99630000000002</v>
      </c>
      <c r="K680" s="351">
        <f t="shared" si="45"/>
        <v>415.58674428</v>
      </c>
      <c r="L680" s="350">
        <f t="shared" si="46"/>
        <v>83.117348856000007</v>
      </c>
      <c r="M680" s="350" t="s">
        <v>6169</v>
      </c>
      <c r="N680" s="1" t="s">
        <v>3785</v>
      </c>
      <c r="O680" s="1" t="s">
        <v>4343</v>
      </c>
      <c r="P680" s="396" t="s">
        <v>3659</v>
      </c>
      <c r="Q680" s="397">
        <v>0.2</v>
      </c>
      <c r="R680" s="396">
        <v>1900005310</v>
      </c>
      <c r="S680" s="2" t="s">
        <v>833</v>
      </c>
      <c r="T680" s="2" t="s">
        <v>5915</v>
      </c>
    </row>
    <row r="681" spans="1:20" hidden="1" x14ac:dyDescent="0.35">
      <c r="A681" s="398" t="s">
        <v>4357</v>
      </c>
      <c r="B681" s="1" t="s">
        <v>4354</v>
      </c>
      <c r="C681" s="3">
        <v>43368</v>
      </c>
      <c r="D681" s="3">
        <v>43368</v>
      </c>
      <c r="E681" s="3" t="s">
        <v>1514</v>
      </c>
      <c r="F681" s="394"/>
      <c r="G681" s="394" t="s">
        <v>4342</v>
      </c>
      <c r="H681" s="1" t="s">
        <v>3656</v>
      </c>
      <c r="I681" s="418">
        <f t="shared" si="47"/>
        <v>3521.7760193640001</v>
      </c>
      <c r="J681" s="418">
        <f t="shared" si="48"/>
        <v>747.99630000000002</v>
      </c>
      <c r="K681" s="351">
        <f t="shared" si="45"/>
        <v>415.58674428</v>
      </c>
      <c r="L681" s="350">
        <f t="shared" si="46"/>
        <v>83.117348856000007</v>
      </c>
      <c r="M681" s="350" t="s">
        <v>6169</v>
      </c>
      <c r="N681" s="1" t="s">
        <v>3785</v>
      </c>
      <c r="O681" s="1" t="s">
        <v>4343</v>
      </c>
      <c r="P681" s="396" t="s">
        <v>3659</v>
      </c>
      <c r="Q681" s="397">
        <v>0.2</v>
      </c>
      <c r="R681" s="396">
        <v>1900005310</v>
      </c>
      <c r="S681" s="2" t="s">
        <v>1515</v>
      </c>
      <c r="T681" s="2" t="s">
        <v>5915</v>
      </c>
    </row>
    <row r="682" spans="1:20" hidden="1" x14ac:dyDescent="0.35">
      <c r="A682" s="398" t="s">
        <v>4358</v>
      </c>
      <c r="B682" s="1" t="s">
        <v>4354</v>
      </c>
      <c r="C682" s="3">
        <v>43368</v>
      </c>
      <c r="D682" s="3">
        <v>43368</v>
      </c>
      <c r="E682" s="3" t="s">
        <v>1519</v>
      </c>
      <c r="F682" s="394"/>
      <c r="G682" s="394" t="s">
        <v>4342</v>
      </c>
      <c r="H682" s="1" t="s">
        <v>3656</v>
      </c>
      <c r="I682" s="418">
        <f t="shared" si="47"/>
        <v>3521.7760193640001</v>
      </c>
      <c r="J682" s="418">
        <f t="shared" si="48"/>
        <v>747.99630000000002</v>
      </c>
      <c r="K682" s="351">
        <f t="shared" si="45"/>
        <v>415.58674428</v>
      </c>
      <c r="L682" s="350">
        <f t="shared" si="46"/>
        <v>83.117348856000007</v>
      </c>
      <c r="M682" s="350" t="s">
        <v>6169</v>
      </c>
      <c r="N682" s="1" t="s">
        <v>3785</v>
      </c>
      <c r="O682" s="1" t="s">
        <v>4343</v>
      </c>
      <c r="P682" s="396" t="s">
        <v>3659</v>
      </c>
      <c r="Q682" s="397">
        <v>0.2</v>
      </c>
      <c r="R682" s="396">
        <v>1900005310</v>
      </c>
      <c r="S682" s="2" t="s">
        <v>1520</v>
      </c>
      <c r="T682" s="2" t="s">
        <v>5915</v>
      </c>
    </row>
    <row r="683" spans="1:20" hidden="1" x14ac:dyDescent="0.35">
      <c r="A683" s="398" t="s">
        <v>4359</v>
      </c>
      <c r="B683" s="1" t="s">
        <v>4360</v>
      </c>
      <c r="C683" s="3">
        <v>43368</v>
      </c>
      <c r="D683" s="3">
        <v>43368</v>
      </c>
      <c r="E683" s="3" t="s">
        <v>1570</v>
      </c>
      <c r="F683" s="394"/>
      <c r="G683" s="394" t="s">
        <v>4342</v>
      </c>
      <c r="H683" s="1" t="s">
        <v>3656</v>
      </c>
      <c r="I683" s="418">
        <f t="shared" si="47"/>
        <v>3521.7760193640001</v>
      </c>
      <c r="J683" s="418">
        <f t="shared" si="48"/>
        <v>747.99630000000002</v>
      </c>
      <c r="K683" s="351">
        <f t="shared" si="45"/>
        <v>415.58674428</v>
      </c>
      <c r="L683" s="350">
        <f t="shared" si="46"/>
        <v>83.117348856000007</v>
      </c>
      <c r="M683" s="350" t="s">
        <v>6169</v>
      </c>
      <c r="N683" s="1" t="s">
        <v>3785</v>
      </c>
      <c r="O683" s="1" t="s">
        <v>4343</v>
      </c>
      <c r="P683" s="396" t="s">
        <v>3659</v>
      </c>
      <c r="Q683" s="397">
        <v>0.2</v>
      </c>
      <c r="R683" s="396">
        <v>1900005310</v>
      </c>
      <c r="S683" s="2" t="s">
        <v>1166</v>
      </c>
      <c r="T683" s="2" t="s">
        <v>5915</v>
      </c>
    </row>
    <row r="684" spans="1:20" hidden="1" x14ac:dyDescent="0.35">
      <c r="A684" s="398" t="s">
        <v>4361</v>
      </c>
      <c r="B684" s="1" t="s">
        <v>4354</v>
      </c>
      <c r="C684" s="3">
        <v>43368</v>
      </c>
      <c r="D684" s="3">
        <v>43368</v>
      </c>
      <c r="E684" s="3" t="s">
        <v>1601</v>
      </c>
      <c r="F684" s="394"/>
      <c r="G684" s="394" t="s">
        <v>4342</v>
      </c>
      <c r="H684" s="1" t="s">
        <v>3656</v>
      </c>
      <c r="I684" s="418">
        <f t="shared" si="47"/>
        <v>3521.7760193640001</v>
      </c>
      <c r="J684" s="418">
        <f t="shared" si="48"/>
        <v>747.99630000000002</v>
      </c>
      <c r="K684" s="351">
        <f t="shared" si="45"/>
        <v>415.58674428</v>
      </c>
      <c r="L684" s="350">
        <f t="shared" si="46"/>
        <v>83.117348856000007</v>
      </c>
      <c r="M684" s="350" t="s">
        <v>6169</v>
      </c>
      <c r="N684" s="1" t="s">
        <v>3785</v>
      </c>
      <c r="O684" s="1" t="s">
        <v>4343</v>
      </c>
      <c r="P684" s="396" t="s">
        <v>3659</v>
      </c>
      <c r="Q684" s="397">
        <v>0.2</v>
      </c>
      <c r="R684" s="396">
        <v>1900005310</v>
      </c>
      <c r="S684" s="2" t="s">
        <v>1602</v>
      </c>
      <c r="T684" s="2" t="s">
        <v>5915</v>
      </c>
    </row>
    <row r="685" spans="1:20" hidden="1" x14ac:dyDescent="0.35">
      <c r="A685" s="398" t="s">
        <v>4362</v>
      </c>
      <c r="B685" s="1" t="s">
        <v>4170</v>
      </c>
      <c r="C685" s="3">
        <v>43368</v>
      </c>
      <c r="D685" s="3">
        <v>43368</v>
      </c>
      <c r="E685" s="3" t="s">
        <v>1311</v>
      </c>
      <c r="F685" s="394"/>
      <c r="G685" s="394" t="s">
        <v>3784</v>
      </c>
      <c r="H685" s="1" t="s">
        <v>3656</v>
      </c>
      <c r="I685" s="418">
        <f t="shared" si="47"/>
        <v>3521.7760193640001</v>
      </c>
      <c r="J685" s="418">
        <f t="shared" si="48"/>
        <v>747.99630000000002</v>
      </c>
      <c r="K685" s="351">
        <f t="shared" si="45"/>
        <v>415.58674428</v>
      </c>
      <c r="L685" s="350">
        <f t="shared" si="46"/>
        <v>83.117348856000007</v>
      </c>
      <c r="M685" s="350" t="s">
        <v>6169</v>
      </c>
      <c r="N685" s="1" t="s">
        <v>3785</v>
      </c>
      <c r="O685" s="1" t="s">
        <v>4343</v>
      </c>
      <c r="P685" s="396" t="s">
        <v>3659</v>
      </c>
      <c r="Q685" s="397">
        <v>0.2</v>
      </c>
      <c r="R685" s="396">
        <v>1900005310</v>
      </c>
      <c r="S685" s="2" t="s">
        <v>1310</v>
      </c>
      <c r="T685" s="2" t="s">
        <v>5915</v>
      </c>
    </row>
    <row r="686" spans="1:20" hidden="1" x14ac:dyDescent="0.35">
      <c r="A686" s="398" t="s">
        <v>4363</v>
      </c>
      <c r="B686" s="1" t="s">
        <v>4170</v>
      </c>
      <c r="C686" s="3">
        <v>43368</v>
      </c>
      <c r="D686" s="3">
        <v>43368</v>
      </c>
      <c r="E686" s="3" t="s">
        <v>1316</v>
      </c>
      <c r="F686" s="394"/>
      <c r="G686" s="394" t="s">
        <v>3784</v>
      </c>
      <c r="H686" s="1" t="s">
        <v>3656</v>
      </c>
      <c r="I686" s="418">
        <f t="shared" si="47"/>
        <v>3521.7760193640001</v>
      </c>
      <c r="J686" s="418">
        <f t="shared" si="48"/>
        <v>747.99630000000002</v>
      </c>
      <c r="K686" s="351">
        <f t="shared" si="45"/>
        <v>415.58674428</v>
      </c>
      <c r="L686" s="350">
        <f t="shared" si="46"/>
        <v>83.117348856000007</v>
      </c>
      <c r="M686" s="350" t="s">
        <v>6169</v>
      </c>
      <c r="N686" s="1" t="s">
        <v>3785</v>
      </c>
      <c r="O686" s="1" t="s">
        <v>4343</v>
      </c>
      <c r="P686" s="396" t="s">
        <v>3659</v>
      </c>
      <c r="Q686" s="397">
        <v>0.2</v>
      </c>
      <c r="R686" s="396">
        <v>1900005310</v>
      </c>
      <c r="S686" s="2" t="s">
        <v>1315</v>
      </c>
      <c r="T686" s="2" t="s">
        <v>5915</v>
      </c>
    </row>
    <row r="687" spans="1:20" s="358" customFormat="1" hidden="1" x14ac:dyDescent="0.35">
      <c r="A687" s="398" t="s">
        <v>4364</v>
      </c>
      <c r="B687" s="1" t="s">
        <v>4170</v>
      </c>
      <c r="C687" s="3">
        <v>43368</v>
      </c>
      <c r="D687" s="3">
        <v>43368</v>
      </c>
      <c r="E687" s="25" t="s">
        <v>6291</v>
      </c>
      <c r="F687" s="394"/>
      <c r="G687" s="394" t="s">
        <v>3784</v>
      </c>
      <c r="H687" s="1" t="s">
        <v>3656</v>
      </c>
      <c r="I687" s="418">
        <f t="shared" si="47"/>
        <v>3521.7760193640001</v>
      </c>
      <c r="J687" s="418">
        <f t="shared" si="48"/>
        <v>747.99630000000002</v>
      </c>
      <c r="K687" s="351">
        <f t="shared" si="45"/>
        <v>415.58674428</v>
      </c>
      <c r="L687" s="350">
        <f t="shared" si="46"/>
        <v>83.117348856000007</v>
      </c>
      <c r="M687" s="350" t="s">
        <v>6169</v>
      </c>
      <c r="N687" s="1" t="s">
        <v>3785</v>
      </c>
      <c r="O687" s="1" t="s">
        <v>4343</v>
      </c>
      <c r="P687" s="396" t="s">
        <v>3659</v>
      </c>
      <c r="Q687" s="397">
        <v>0.2</v>
      </c>
      <c r="R687" s="396">
        <v>1900005310</v>
      </c>
      <c r="S687" s="2" t="s">
        <v>693</v>
      </c>
      <c r="T687" s="2" t="s">
        <v>5915</v>
      </c>
    </row>
    <row r="688" spans="1:20" s="358" customFormat="1" hidden="1" x14ac:dyDescent="0.35">
      <c r="A688" s="398" t="s">
        <v>4365</v>
      </c>
      <c r="B688" s="1" t="s">
        <v>4170</v>
      </c>
      <c r="C688" s="3">
        <v>43368</v>
      </c>
      <c r="D688" s="3"/>
      <c r="E688" s="18" t="s">
        <v>6292</v>
      </c>
      <c r="F688" s="394"/>
      <c r="G688" s="394" t="s">
        <v>3784</v>
      </c>
      <c r="H688" s="1"/>
      <c r="I688" s="418"/>
      <c r="J688" s="418"/>
      <c r="K688" s="351"/>
      <c r="L688" s="350"/>
      <c r="M688" s="350"/>
      <c r="N688" s="1" t="s">
        <v>3785</v>
      </c>
      <c r="O688" s="1"/>
      <c r="P688" s="396"/>
      <c r="Q688" s="397"/>
      <c r="R688" s="396"/>
      <c r="S688" s="2" t="s">
        <v>693</v>
      </c>
      <c r="T688" s="2"/>
    </row>
    <row r="689" spans="1:21" hidden="1" x14ac:dyDescent="0.35">
      <c r="A689" s="398" t="s">
        <v>4366</v>
      </c>
      <c r="B689" s="1" t="s">
        <v>4170</v>
      </c>
      <c r="C689" s="3">
        <v>43368</v>
      </c>
      <c r="D689" s="3">
        <v>43368</v>
      </c>
      <c r="E689" s="3" t="s">
        <v>1329</v>
      </c>
      <c r="F689" s="394"/>
      <c r="G689" s="394" t="s">
        <v>3784</v>
      </c>
      <c r="H689" s="1" t="s">
        <v>3656</v>
      </c>
      <c r="I689" s="418">
        <f t="shared" si="47"/>
        <v>3521.7760193640001</v>
      </c>
      <c r="J689" s="418">
        <f t="shared" si="48"/>
        <v>747.99630000000002</v>
      </c>
      <c r="K689" s="351">
        <f t="shared" si="45"/>
        <v>415.58674428</v>
      </c>
      <c r="L689" s="350">
        <f t="shared" si="46"/>
        <v>83.117348856000007</v>
      </c>
      <c r="M689" s="350" t="s">
        <v>6169</v>
      </c>
      <c r="N689" s="1" t="s">
        <v>3785</v>
      </c>
      <c r="O689" s="1" t="s">
        <v>4343</v>
      </c>
      <c r="P689" s="396" t="s">
        <v>3659</v>
      </c>
      <c r="Q689" s="397">
        <v>0.2</v>
      </c>
      <c r="R689" s="396">
        <v>1900005310</v>
      </c>
      <c r="S689" s="2" t="s">
        <v>1328</v>
      </c>
      <c r="T689" s="2" t="s">
        <v>5915</v>
      </c>
    </row>
    <row r="690" spans="1:21" s="358" customFormat="1" hidden="1" x14ac:dyDescent="0.35">
      <c r="A690" s="398" t="s">
        <v>4367</v>
      </c>
      <c r="B690" s="1" t="s">
        <v>4170</v>
      </c>
      <c r="C690" s="3">
        <v>43368</v>
      </c>
      <c r="D690" s="3">
        <v>43368</v>
      </c>
      <c r="E690" s="25" t="s">
        <v>6296</v>
      </c>
      <c r="F690" s="394"/>
      <c r="G690" s="394" t="s">
        <v>3784</v>
      </c>
      <c r="H690" s="1" t="s">
        <v>3656</v>
      </c>
      <c r="I690" s="418">
        <f t="shared" si="47"/>
        <v>3521.7760193640001</v>
      </c>
      <c r="J690" s="418">
        <f t="shared" si="48"/>
        <v>747.99630000000002</v>
      </c>
      <c r="K690" s="351">
        <f t="shared" si="45"/>
        <v>415.58674428</v>
      </c>
      <c r="L690" s="350">
        <f t="shared" si="46"/>
        <v>83.117348856000007</v>
      </c>
      <c r="M690" s="350" t="s">
        <v>6169</v>
      </c>
      <c r="N690" s="1" t="s">
        <v>3785</v>
      </c>
      <c r="O690" s="1" t="s">
        <v>4343</v>
      </c>
      <c r="P690" s="396" t="s">
        <v>3659</v>
      </c>
      <c r="Q690" s="397">
        <v>0.2</v>
      </c>
      <c r="R690" s="396">
        <v>1900005310</v>
      </c>
      <c r="S690" s="2" t="s">
        <v>1330</v>
      </c>
      <c r="T690" s="2" t="s">
        <v>5915</v>
      </c>
    </row>
    <row r="691" spans="1:21" hidden="1" x14ac:dyDescent="0.35">
      <c r="A691" s="398" t="s">
        <v>4368</v>
      </c>
      <c r="B691" s="1" t="s">
        <v>4170</v>
      </c>
      <c r="C691" s="3">
        <v>43368</v>
      </c>
      <c r="D691" s="3">
        <v>43368</v>
      </c>
      <c r="E691" s="3" t="s">
        <v>1336</v>
      </c>
      <c r="F691" s="394"/>
      <c r="G691" s="394" t="s">
        <v>3784</v>
      </c>
      <c r="H691" s="1" t="s">
        <v>3656</v>
      </c>
      <c r="I691" s="418">
        <f t="shared" si="47"/>
        <v>3521.7760193640001</v>
      </c>
      <c r="J691" s="418">
        <f t="shared" si="48"/>
        <v>747.99630000000002</v>
      </c>
      <c r="K691" s="351">
        <f t="shared" si="45"/>
        <v>415.58674428</v>
      </c>
      <c r="L691" s="350">
        <f t="shared" si="46"/>
        <v>83.117348856000007</v>
      </c>
      <c r="M691" s="350" t="s">
        <v>6169</v>
      </c>
      <c r="N691" s="1" t="s">
        <v>3785</v>
      </c>
      <c r="O691" s="1" t="s">
        <v>4343</v>
      </c>
      <c r="P691" s="396" t="s">
        <v>3659</v>
      </c>
      <c r="Q691" s="397">
        <v>0.2</v>
      </c>
      <c r="R691" s="396">
        <v>1900005310</v>
      </c>
      <c r="S691" s="2" t="s">
        <v>1334</v>
      </c>
      <c r="T691" s="2" t="s">
        <v>5915</v>
      </c>
    </row>
    <row r="692" spans="1:21" hidden="1" x14ac:dyDescent="0.35">
      <c r="A692" s="398" t="s">
        <v>4369</v>
      </c>
      <c r="B692" s="1" t="s">
        <v>4170</v>
      </c>
      <c r="C692" s="3">
        <v>43368</v>
      </c>
      <c r="D692" s="3">
        <v>43368</v>
      </c>
      <c r="E692" s="3" t="s">
        <v>1338</v>
      </c>
      <c r="F692" s="394"/>
      <c r="G692" s="394" t="s">
        <v>3784</v>
      </c>
      <c r="H692" s="1" t="s">
        <v>3656</v>
      </c>
      <c r="I692" s="418">
        <f t="shared" si="47"/>
        <v>3521.7760193640001</v>
      </c>
      <c r="J692" s="418">
        <f t="shared" si="48"/>
        <v>747.99630000000002</v>
      </c>
      <c r="K692" s="351">
        <f t="shared" si="45"/>
        <v>415.58674428</v>
      </c>
      <c r="L692" s="350">
        <f t="shared" si="46"/>
        <v>83.117348856000007</v>
      </c>
      <c r="M692" s="350" t="s">
        <v>6169</v>
      </c>
      <c r="N692" s="1" t="s">
        <v>3785</v>
      </c>
      <c r="O692" s="1" t="s">
        <v>4343</v>
      </c>
      <c r="P692" s="396" t="s">
        <v>3659</v>
      </c>
      <c r="Q692" s="397">
        <v>0.2</v>
      </c>
      <c r="R692" s="396">
        <v>1900005310</v>
      </c>
      <c r="S692" s="2" t="s">
        <v>495</v>
      </c>
      <c r="T692" s="2" t="s">
        <v>5915</v>
      </c>
    </row>
    <row r="693" spans="1:21" hidden="1" x14ac:dyDescent="0.35">
      <c r="A693" s="398" t="s">
        <v>4370</v>
      </c>
      <c r="B693" s="1" t="s">
        <v>4170</v>
      </c>
      <c r="C693" s="3">
        <v>43368</v>
      </c>
      <c r="D693" s="3">
        <v>43368</v>
      </c>
      <c r="E693" s="3" t="s">
        <v>1339</v>
      </c>
      <c r="F693" s="394"/>
      <c r="G693" s="394" t="s">
        <v>3784</v>
      </c>
      <c r="H693" s="1" t="s">
        <v>3656</v>
      </c>
      <c r="I693" s="418">
        <f t="shared" si="47"/>
        <v>3521.7760193640001</v>
      </c>
      <c r="J693" s="418">
        <f t="shared" si="48"/>
        <v>747.99630000000002</v>
      </c>
      <c r="K693" s="351">
        <f t="shared" si="45"/>
        <v>415.58674428</v>
      </c>
      <c r="L693" s="350">
        <f t="shared" si="46"/>
        <v>83.117348856000007</v>
      </c>
      <c r="M693" s="350" t="s">
        <v>6169</v>
      </c>
      <c r="N693" s="1" t="s">
        <v>3785</v>
      </c>
      <c r="O693" s="1" t="s">
        <v>4343</v>
      </c>
      <c r="P693" s="396" t="s">
        <v>3659</v>
      </c>
      <c r="Q693" s="397">
        <v>0.2</v>
      </c>
      <c r="R693" s="396">
        <v>1900005310</v>
      </c>
      <c r="S693" s="2" t="s">
        <v>611</v>
      </c>
      <c r="T693" s="2" t="s">
        <v>5915</v>
      </c>
    </row>
    <row r="694" spans="1:21" hidden="1" x14ac:dyDescent="0.35">
      <c r="A694" s="398" t="s">
        <v>4371</v>
      </c>
      <c r="B694" s="1" t="s">
        <v>4170</v>
      </c>
      <c r="C694" s="3">
        <v>43368</v>
      </c>
      <c r="D694" s="3">
        <v>43368</v>
      </c>
      <c r="E694" s="3" t="s">
        <v>1344</v>
      </c>
      <c r="F694" s="394"/>
      <c r="G694" s="394" t="s">
        <v>3784</v>
      </c>
      <c r="H694" s="1" t="s">
        <v>3656</v>
      </c>
      <c r="I694" s="418">
        <f t="shared" si="47"/>
        <v>3521.7760193640001</v>
      </c>
      <c r="J694" s="418">
        <f t="shared" si="48"/>
        <v>747.99630000000002</v>
      </c>
      <c r="K694" s="351">
        <f t="shared" si="45"/>
        <v>415.58674428</v>
      </c>
      <c r="L694" s="350">
        <f t="shared" si="46"/>
        <v>83.117348856000007</v>
      </c>
      <c r="M694" s="350" t="s">
        <v>6169</v>
      </c>
      <c r="N694" s="1" t="s">
        <v>3785</v>
      </c>
      <c r="O694" s="1" t="s">
        <v>4343</v>
      </c>
      <c r="P694" s="396" t="s">
        <v>3659</v>
      </c>
      <c r="Q694" s="397">
        <v>0.2</v>
      </c>
      <c r="R694" s="396">
        <v>1900005310</v>
      </c>
      <c r="S694" s="2" t="s">
        <v>1341</v>
      </c>
      <c r="T694" s="2" t="s">
        <v>5915</v>
      </c>
    </row>
    <row r="695" spans="1:21" hidden="1" x14ac:dyDescent="0.35">
      <c r="A695" s="398" t="s">
        <v>4372</v>
      </c>
      <c r="B695" s="1" t="s">
        <v>4170</v>
      </c>
      <c r="C695" s="3">
        <v>43368</v>
      </c>
      <c r="D695" s="3">
        <v>43368</v>
      </c>
      <c r="E695" s="3" t="s">
        <v>1347</v>
      </c>
      <c r="F695" s="394"/>
      <c r="G695" s="394" t="s">
        <v>3784</v>
      </c>
      <c r="H695" s="1" t="s">
        <v>3656</v>
      </c>
      <c r="I695" s="418">
        <f t="shared" si="47"/>
        <v>3521.7760193640001</v>
      </c>
      <c r="J695" s="418">
        <f t="shared" si="48"/>
        <v>747.99630000000002</v>
      </c>
      <c r="K695" s="351">
        <f t="shared" si="45"/>
        <v>415.58674428</v>
      </c>
      <c r="L695" s="350">
        <f t="shared" si="46"/>
        <v>83.117348856000007</v>
      </c>
      <c r="M695" s="350" t="s">
        <v>6169</v>
      </c>
      <c r="N695" s="1" t="s">
        <v>3785</v>
      </c>
      <c r="O695" s="1" t="s">
        <v>4343</v>
      </c>
      <c r="P695" s="396" t="s">
        <v>3659</v>
      </c>
      <c r="Q695" s="397">
        <v>0.2</v>
      </c>
      <c r="R695" s="396">
        <v>1900005310</v>
      </c>
      <c r="S695" s="2" t="s">
        <v>1345</v>
      </c>
      <c r="T695" s="2" t="s">
        <v>5915</v>
      </c>
    </row>
    <row r="696" spans="1:21" hidden="1" x14ac:dyDescent="0.35">
      <c r="A696" s="398" t="s">
        <v>4373</v>
      </c>
      <c r="B696" s="1" t="s">
        <v>4170</v>
      </c>
      <c r="C696" s="3">
        <v>43368</v>
      </c>
      <c r="D696" s="3">
        <v>43368</v>
      </c>
      <c r="E696" s="3" t="s">
        <v>1353</v>
      </c>
      <c r="F696" s="394"/>
      <c r="G696" s="394" t="s">
        <v>3784</v>
      </c>
      <c r="H696" s="1" t="s">
        <v>3656</v>
      </c>
      <c r="I696" s="418">
        <f t="shared" si="47"/>
        <v>3521.7760193640001</v>
      </c>
      <c r="J696" s="418">
        <f t="shared" si="48"/>
        <v>747.99630000000002</v>
      </c>
      <c r="K696" s="351">
        <f t="shared" si="45"/>
        <v>415.58674428</v>
      </c>
      <c r="L696" s="350">
        <f t="shared" si="46"/>
        <v>83.117348856000007</v>
      </c>
      <c r="M696" s="350" t="s">
        <v>6169</v>
      </c>
      <c r="N696" s="1" t="s">
        <v>3785</v>
      </c>
      <c r="O696" s="1" t="s">
        <v>4343</v>
      </c>
      <c r="P696" s="396" t="s">
        <v>3659</v>
      </c>
      <c r="Q696" s="397">
        <v>0.2</v>
      </c>
      <c r="R696" s="396">
        <v>1900005310</v>
      </c>
      <c r="S696" s="2" t="s">
        <v>1351</v>
      </c>
      <c r="T696" s="2" t="s">
        <v>5915</v>
      </c>
      <c r="U696" s="76"/>
    </row>
    <row r="697" spans="1:21" hidden="1" x14ac:dyDescent="0.35">
      <c r="A697" s="398" t="s">
        <v>4374</v>
      </c>
      <c r="B697" s="1" t="s">
        <v>4170</v>
      </c>
      <c r="C697" s="3">
        <v>43368</v>
      </c>
      <c r="D697" s="3">
        <v>43368</v>
      </c>
      <c r="E697" s="3" t="s">
        <v>1355</v>
      </c>
      <c r="F697" s="394"/>
      <c r="G697" s="394" t="s">
        <v>3784</v>
      </c>
      <c r="H697" s="1" t="s">
        <v>3656</v>
      </c>
      <c r="I697" s="418">
        <f t="shared" si="47"/>
        <v>3521.7760193640001</v>
      </c>
      <c r="J697" s="418">
        <f t="shared" si="48"/>
        <v>747.99630000000002</v>
      </c>
      <c r="K697" s="351">
        <f t="shared" si="45"/>
        <v>415.58674428</v>
      </c>
      <c r="L697" s="350">
        <f t="shared" si="46"/>
        <v>83.117348856000007</v>
      </c>
      <c r="M697" s="350" t="s">
        <v>6169</v>
      </c>
      <c r="N697" s="1" t="s">
        <v>3785</v>
      </c>
      <c r="O697" s="1" t="s">
        <v>4343</v>
      </c>
      <c r="P697" s="396" t="s">
        <v>3659</v>
      </c>
      <c r="Q697" s="397">
        <v>0.2</v>
      </c>
      <c r="R697" s="396">
        <v>1900005310</v>
      </c>
      <c r="S697" s="2" t="s">
        <v>1354</v>
      </c>
      <c r="T697" s="2" t="s">
        <v>5915</v>
      </c>
    </row>
    <row r="698" spans="1:21" hidden="1" x14ac:dyDescent="0.35">
      <c r="A698" s="398" t="s">
        <v>4375</v>
      </c>
      <c r="B698" s="1" t="s">
        <v>4170</v>
      </c>
      <c r="C698" s="3">
        <v>43368</v>
      </c>
      <c r="D698" s="3">
        <v>43368</v>
      </c>
      <c r="E698" s="3" t="s">
        <v>1356</v>
      </c>
      <c r="F698" s="394"/>
      <c r="G698" s="394" t="s">
        <v>3784</v>
      </c>
      <c r="H698" s="1" t="s">
        <v>3656</v>
      </c>
      <c r="I698" s="418">
        <f t="shared" si="47"/>
        <v>3521.7760193640001</v>
      </c>
      <c r="J698" s="418">
        <f t="shared" si="48"/>
        <v>747.99630000000002</v>
      </c>
      <c r="K698" s="351">
        <f t="shared" si="45"/>
        <v>415.58674428</v>
      </c>
      <c r="L698" s="350">
        <f t="shared" si="46"/>
        <v>83.117348856000007</v>
      </c>
      <c r="M698" s="350" t="s">
        <v>6169</v>
      </c>
      <c r="N698" s="1" t="s">
        <v>3785</v>
      </c>
      <c r="O698" s="1" t="s">
        <v>4343</v>
      </c>
      <c r="P698" s="396" t="s">
        <v>3659</v>
      </c>
      <c r="Q698" s="397">
        <v>0.2</v>
      </c>
      <c r="R698" s="396">
        <v>1900005310</v>
      </c>
      <c r="S698" s="2" t="s">
        <v>67</v>
      </c>
      <c r="T698" s="2" t="s">
        <v>5915</v>
      </c>
    </row>
    <row r="699" spans="1:21" hidden="1" x14ac:dyDescent="0.35">
      <c r="A699" s="398" t="s">
        <v>4376</v>
      </c>
      <c r="B699" s="1" t="s">
        <v>4170</v>
      </c>
      <c r="C699" s="3">
        <v>43368</v>
      </c>
      <c r="D699" s="3">
        <v>43368</v>
      </c>
      <c r="E699" s="3" t="s">
        <v>1359</v>
      </c>
      <c r="F699" s="394"/>
      <c r="G699" s="394" t="s">
        <v>3784</v>
      </c>
      <c r="H699" s="1" t="s">
        <v>3656</v>
      </c>
      <c r="I699" s="418">
        <f t="shared" si="47"/>
        <v>3521.7760193640001</v>
      </c>
      <c r="J699" s="418">
        <f t="shared" si="48"/>
        <v>747.99630000000002</v>
      </c>
      <c r="K699" s="351">
        <f t="shared" si="45"/>
        <v>415.58674428</v>
      </c>
      <c r="L699" s="350">
        <f t="shared" si="46"/>
        <v>83.117348856000007</v>
      </c>
      <c r="M699" s="350" t="s">
        <v>6169</v>
      </c>
      <c r="N699" s="1" t="s">
        <v>3785</v>
      </c>
      <c r="O699" s="1" t="s">
        <v>4343</v>
      </c>
      <c r="P699" s="396" t="s">
        <v>3659</v>
      </c>
      <c r="Q699" s="397">
        <v>0.2</v>
      </c>
      <c r="R699" s="396">
        <v>1900005310</v>
      </c>
      <c r="S699" s="2" t="s">
        <v>402</v>
      </c>
      <c r="T699" s="2" t="s">
        <v>5915</v>
      </c>
    </row>
    <row r="700" spans="1:21" hidden="1" x14ac:dyDescent="0.35">
      <c r="A700" s="398" t="s">
        <v>4377</v>
      </c>
      <c r="B700" s="1" t="s">
        <v>4170</v>
      </c>
      <c r="C700" s="3">
        <v>43368</v>
      </c>
      <c r="D700" s="3">
        <v>43368</v>
      </c>
      <c r="E700" s="3" t="s">
        <v>1363</v>
      </c>
      <c r="F700" s="394"/>
      <c r="G700" s="394" t="s">
        <v>3784</v>
      </c>
      <c r="H700" s="1" t="s">
        <v>3656</v>
      </c>
      <c r="I700" s="418">
        <f t="shared" si="47"/>
        <v>3521.7760193640001</v>
      </c>
      <c r="J700" s="418">
        <f t="shared" si="48"/>
        <v>747.99630000000002</v>
      </c>
      <c r="K700" s="351">
        <f t="shared" si="45"/>
        <v>415.58674428</v>
      </c>
      <c r="L700" s="350">
        <f t="shared" si="46"/>
        <v>83.117348856000007</v>
      </c>
      <c r="M700" s="350" t="s">
        <v>6169</v>
      </c>
      <c r="N700" s="1" t="s">
        <v>3785</v>
      </c>
      <c r="O700" s="1" t="s">
        <v>4343</v>
      </c>
      <c r="P700" s="396" t="s">
        <v>3659</v>
      </c>
      <c r="Q700" s="397">
        <v>0.2</v>
      </c>
      <c r="R700" s="396">
        <v>1900005310</v>
      </c>
      <c r="S700" s="2" t="s">
        <v>1362</v>
      </c>
      <c r="T700" s="2" t="s">
        <v>5915</v>
      </c>
    </row>
    <row r="701" spans="1:21" hidden="1" x14ac:dyDescent="0.35">
      <c r="A701" s="398" t="s">
        <v>4378</v>
      </c>
      <c r="B701" s="1" t="s">
        <v>4170</v>
      </c>
      <c r="C701" s="3">
        <v>43368</v>
      </c>
      <c r="D701" s="3">
        <v>43368</v>
      </c>
      <c r="E701" s="3" t="s">
        <v>1392</v>
      </c>
      <c r="F701" s="394"/>
      <c r="G701" s="394" t="s">
        <v>3784</v>
      </c>
      <c r="H701" s="1" t="s">
        <v>3656</v>
      </c>
      <c r="I701" s="418">
        <f t="shared" si="47"/>
        <v>3521.7760193640001</v>
      </c>
      <c r="J701" s="418">
        <f t="shared" si="48"/>
        <v>747.99630000000002</v>
      </c>
      <c r="K701" s="351">
        <f t="shared" si="45"/>
        <v>415.58674428</v>
      </c>
      <c r="L701" s="350">
        <f t="shared" si="46"/>
        <v>83.117348856000007</v>
      </c>
      <c r="M701" s="350" t="s">
        <v>6169</v>
      </c>
      <c r="N701" s="1" t="s">
        <v>3785</v>
      </c>
      <c r="O701" s="1" t="s">
        <v>4343</v>
      </c>
      <c r="P701" s="396" t="s">
        <v>3659</v>
      </c>
      <c r="Q701" s="397">
        <v>0.2</v>
      </c>
      <c r="R701" s="396">
        <v>1900005310</v>
      </c>
      <c r="S701" s="2" t="s">
        <v>1391</v>
      </c>
      <c r="T701" s="2" t="s">
        <v>5915</v>
      </c>
    </row>
    <row r="702" spans="1:21" hidden="1" x14ac:dyDescent="0.35">
      <c r="A702" s="398" t="s">
        <v>4379</v>
      </c>
      <c r="B702" s="1" t="s">
        <v>4170</v>
      </c>
      <c r="C702" s="3">
        <v>43368</v>
      </c>
      <c r="D702" s="3">
        <v>43368</v>
      </c>
      <c r="E702" s="3" t="s">
        <v>1398</v>
      </c>
      <c r="F702" s="394"/>
      <c r="G702" s="394" t="s">
        <v>3784</v>
      </c>
      <c r="H702" s="1" t="s">
        <v>3656</v>
      </c>
      <c r="I702" s="418">
        <f t="shared" si="47"/>
        <v>3521.7760193640001</v>
      </c>
      <c r="J702" s="418">
        <f t="shared" si="48"/>
        <v>747.99630000000002</v>
      </c>
      <c r="K702" s="351">
        <f t="shared" si="45"/>
        <v>415.58674428</v>
      </c>
      <c r="L702" s="350">
        <f t="shared" si="46"/>
        <v>83.117348856000007</v>
      </c>
      <c r="M702" s="350" t="s">
        <v>6169</v>
      </c>
      <c r="N702" s="1" t="s">
        <v>3785</v>
      </c>
      <c r="O702" s="1" t="s">
        <v>4343</v>
      </c>
      <c r="P702" s="396" t="s">
        <v>3659</v>
      </c>
      <c r="Q702" s="397">
        <v>0.2</v>
      </c>
      <c r="R702" s="396">
        <v>1900005310</v>
      </c>
      <c r="S702" s="2" t="s">
        <v>1397</v>
      </c>
      <c r="T702" s="2" t="s">
        <v>5915</v>
      </c>
    </row>
    <row r="703" spans="1:21" hidden="1" x14ac:dyDescent="0.35">
      <c r="A703" s="398" t="s">
        <v>4380</v>
      </c>
      <c r="B703" s="1" t="s">
        <v>4170</v>
      </c>
      <c r="C703" s="3">
        <v>43368</v>
      </c>
      <c r="D703" s="3">
        <v>43368</v>
      </c>
      <c r="E703" s="3" t="s">
        <v>1403</v>
      </c>
      <c r="F703" s="394"/>
      <c r="G703" s="394" t="s">
        <v>3784</v>
      </c>
      <c r="H703" s="1" t="s">
        <v>3656</v>
      </c>
      <c r="I703" s="418">
        <f t="shared" si="47"/>
        <v>3521.7760193640001</v>
      </c>
      <c r="J703" s="418">
        <f t="shared" si="48"/>
        <v>747.99630000000002</v>
      </c>
      <c r="K703" s="351">
        <f t="shared" si="45"/>
        <v>415.58674428</v>
      </c>
      <c r="L703" s="350">
        <f t="shared" si="46"/>
        <v>83.117348856000007</v>
      </c>
      <c r="M703" s="350" t="s">
        <v>6169</v>
      </c>
      <c r="N703" s="1" t="s">
        <v>3785</v>
      </c>
      <c r="O703" s="1" t="s">
        <v>4343</v>
      </c>
      <c r="P703" s="396" t="s">
        <v>3659</v>
      </c>
      <c r="Q703" s="397">
        <v>0.2</v>
      </c>
      <c r="R703" s="396">
        <v>1900005310</v>
      </c>
      <c r="S703" s="2" t="s">
        <v>1402</v>
      </c>
      <c r="T703" s="2" t="s">
        <v>5915</v>
      </c>
    </row>
    <row r="704" spans="1:21" hidden="1" x14ac:dyDescent="0.35">
      <c r="A704" s="398" t="s">
        <v>4381</v>
      </c>
      <c r="B704" s="1" t="s">
        <v>4170</v>
      </c>
      <c r="C704" s="3">
        <v>43368</v>
      </c>
      <c r="D704" s="3">
        <v>43368</v>
      </c>
      <c r="E704" s="3" t="s">
        <v>1413</v>
      </c>
      <c r="F704" s="394"/>
      <c r="G704" s="394" t="s">
        <v>3784</v>
      </c>
      <c r="H704" s="1" t="s">
        <v>3656</v>
      </c>
      <c r="I704" s="418">
        <f t="shared" si="47"/>
        <v>3521.7760193640001</v>
      </c>
      <c r="J704" s="418">
        <f t="shared" si="48"/>
        <v>747.99630000000002</v>
      </c>
      <c r="K704" s="351">
        <f t="shared" si="45"/>
        <v>415.58674428</v>
      </c>
      <c r="L704" s="350">
        <f t="shared" si="46"/>
        <v>83.117348856000007</v>
      </c>
      <c r="M704" s="350" t="s">
        <v>6169</v>
      </c>
      <c r="N704" s="1" t="s">
        <v>3785</v>
      </c>
      <c r="O704" s="1" t="s">
        <v>4343</v>
      </c>
      <c r="P704" s="396" t="s">
        <v>3659</v>
      </c>
      <c r="Q704" s="397">
        <v>0.2</v>
      </c>
      <c r="R704" s="396">
        <v>1900005310</v>
      </c>
      <c r="S704" s="2" t="s">
        <v>1069</v>
      </c>
      <c r="T704" s="2" t="s">
        <v>5915</v>
      </c>
    </row>
    <row r="705" spans="1:20" hidden="1" x14ac:dyDescent="0.35">
      <c r="A705" s="398" t="s">
        <v>4382</v>
      </c>
      <c r="B705" s="1" t="s">
        <v>4170</v>
      </c>
      <c r="C705" s="3">
        <v>43368</v>
      </c>
      <c r="D705" s="3">
        <v>43368</v>
      </c>
      <c r="E705" s="3" t="s">
        <v>1415</v>
      </c>
      <c r="F705" s="394"/>
      <c r="G705" s="394" t="s">
        <v>3784</v>
      </c>
      <c r="H705" s="1" t="s">
        <v>3656</v>
      </c>
      <c r="I705" s="418">
        <f t="shared" si="47"/>
        <v>3521.7760193640001</v>
      </c>
      <c r="J705" s="418">
        <f t="shared" si="48"/>
        <v>747.99630000000002</v>
      </c>
      <c r="K705" s="351">
        <f t="shared" si="45"/>
        <v>415.58674428</v>
      </c>
      <c r="L705" s="350">
        <f t="shared" si="46"/>
        <v>83.117348856000007</v>
      </c>
      <c r="M705" s="350" t="s">
        <v>6169</v>
      </c>
      <c r="N705" s="1" t="s">
        <v>3785</v>
      </c>
      <c r="O705" s="1" t="s">
        <v>4343</v>
      </c>
      <c r="P705" s="396" t="s">
        <v>3659</v>
      </c>
      <c r="Q705" s="397">
        <v>0.2</v>
      </c>
      <c r="R705" s="396">
        <v>1900005310</v>
      </c>
      <c r="S705" s="2" t="s">
        <v>1414</v>
      </c>
      <c r="T705" s="2" t="s">
        <v>5915</v>
      </c>
    </row>
    <row r="706" spans="1:20" hidden="1" x14ac:dyDescent="0.35">
      <c r="A706" s="398" t="s">
        <v>4383</v>
      </c>
      <c r="B706" s="1" t="s">
        <v>4170</v>
      </c>
      <c r="C706" s="3">
        <v>43368</v>
      </c>
      <c r="D706" s="3">
        <v>43368</v>
      </c>
      <c r="E706" s="3" t="s">
        <v>1427</v>
      </c>
      <c r="F706" s="394"/>
      <c r="G706" s="394" t="s">
        <v>3784</v>
      </c>
      <c r="H706" s="1" t="s">
        <v>3656</v>
      </c>
      <c r="I706" s="418">
        <f t="shared" si="47"/>
        <v>3521.7760193640001</v>
      </c>
      <c r="J706" s="418">
        <f t="shared" si="48"/>
        <v>747.99630000000002</v>
      </c>
      <c r="K706" s="351">
        <f t="shared" si="45"/>
        <v>415.58674428</v>
      </c>
      <c r="L706" s="350">
        <f t="shared" si="46"/>
        <v>83.117348856000007</v>
      </c>
      <c r="M706" s="350" t="s">
        <v>6169</v>
      </c>
      <c r="N706" s="1" t="s">
        <v>3785</v>
      </c>
      <c r="O706" s="1" t="s">
        <v>4343</v>
      </c>
      <c r="P706" s="396" t="s">
        <v>3659</v>
      </c>
      <c r="Q706" s="397">
        <v>0.2</v>
      </c>
      <c r="R706" s="396">
        <v>1900005310</v>
      </c>
      <c r="S706" s="2" t="s">
        <v>1426</v>
      </c>
      <c r="T706" s="2" t="s">
        <v>5915</v>
      </c>
    </row>
    <row r="707" spans="1:20" hidden="1" x14ac:dyDescent="0.35">
      <c r="A707" s="398" t="s">
        <v>4384</v>
      </c>
      <c r="B707" s="1" t="s">
        <v>4170</v>
      </c>
      <c r="C707" s="3">
        <v>43368</v>
      </c>
      <c r="D707" s="3">
        <v>43368</v>
      </c>
      <c r="E707" s="3" t="s">
        <v>1446</v>
      </c>
      <c r="F707" s="394"/>
      <c r="G707" s="394" t="s">
        <v>3784</v>
      </c>
      <c r="H707" s="1" t="s">
        <v>3656</v>
      </c>
      <c r="I707" s="418">
        <f t="shared" si="47"/>
        <v>3521.7760193640001</v>
      </c>
      <c r="J707" s="418">
        <f t="shared" si="48"/>
        <v>747.99630000000002</v>
      </c>
      <c r="K707" s="351">
        <f t="shared" si="45"/>
        <v>415.58674428</v>
      </c>
      <c r="L707" s="350">
        <f t="shared" si="46"/>
        <v>83.117348856000007</v>
      </c>
      <c r="M707" s="350" t="s">
        <v>6169</v>
      </c>
      <c r="N707" s="1" t="s">
        <v>3785</v>
      </c>
      <c r="O707" s="1" t="s">
        <v>4343</v>
      </c>
      <c r="P707" s="396" t="s">
        <v>3659</v>
      </c>
      <c r="Q707" s="397">
        <v>0.2</v>
      </c>
      <c r="R707" s="396">
        <v>1900005310</v>
      </c>
      <c r="S707" s="2" t="s">
        <v>1445</v>
      </c>
      <c r="T707" s="2" t="s">
        <v>5915</v>
      </c>
    </row>
    <row r="708" spans="1:20" hidden="1" x14ac:dyDescent="0.35">
      <c r="A708" s="398" t="s">
        <v>4385</v>
      </c>
      <c r="B708" s="1" t="s">
        <v>4170</v>
      </c>
      <c r="C708" s="3">
        <v>43368</v>
      </c>
      <c r="D708" s="3">
        <v>43368</v>
      </c>
      <c r="E708" s="3" t="s">
        <v>1448</v>
      </c>
      <c r="F708" s="394"/>
      <c r="G708" s="394" t="s">
        <v>3784</v>
      </c>
      <c r="H708" s="1" t="s">
        <v>3656</v>
      </c>
      <c r="I708" s="418">
        <f t="shared" si="47"/>
        <v>3521.7760193640001</v>
      </c>
      <c r="J708" s="418">
        <f t="shared" si="48"/>
        <v>747.99630000000002</v>
      </c>
      <c r="K708" s="351">
        <f t="shared" si="45"/>
        <v>415.58674428</v>
      </c>
      <c r="L708" s="350">
        <f t="shared" si="46"/>
        <v>83.117348856000007</v>
      </c>
      <c r="M708" s="350" t="s">
        <v>6169</v>
      </c>
      <c r="N708" s="1" t="s">
        <v>3785</v>
      </c>
      <c r="O708" s="1" t="s">
        <v>4343</v>
      </c>
      <c r="P708" s="396" t="s">
        <v>3659</v>
      </c>
      <c r="Q708" s="397">
        <v>0.2</v>
      </c>
      <c r="R708" s="396">
        <v>1900005310</v>
      </c>
      <c r="S708" s="2" t="s">
        <v>1447</v>
      </c>
      <c r="T708" s="2" t="s">
        <v>5915</v>
      </c>
    </row>
    <row r="709" spans="1:20" hidden="1" x14ac:dyDescent="0.35">
      <c r="A709" s="398" t="s">
        <v>4386</v>
      </c>
      <c r="B709" s="1" t="s">
        <v>4170</v>
      </c>
      <c r="C709" s="3">
        <v>43368</v>
      </c>
      <c r="D709" s="3">
        <v>43368</v>
      </c>
      <c r="E709" s="415" t="s">
        <v>1464</v>
      </c>
      <c r="F709" s="394"/>
      <c r="G709" s="394" t="s">
        <v>3784</v>
      </c>
      <c r="H709" s="1" t="s">
        <v>3656</v>
      </c>
      <c r="I709" s="418">
        <f t="shared" si="47"/>
        <v>3521.7760193640001</v>
      </c>
      <c r="J709" s="418">
        <f t="shared" si="48"/>
        <v>747.99630000000002</v>
      </c>
      <c r="K709" s="351">
        <f t="shared" si="45"/>
        <v>415.58674428</v>
      </c>
      <c r="L709" s="350">
        <f t="shared" si="46"/>
        <v>83.117348856000007</v>
      </c>
      <c r="M709" s="350" t="s">
        <v>6169</v>
      </c>
      <c r="N709" s="1" t="s">
        <v>3785</v>
      </c>
      <c r="O709" s="1" t="s">
        <v>4343</v>
      </c>
      <c r="P709" s="396" t="s">
        <v>3659</v>
      </c>
      <c r="Q709" s="397">
        <v>0.2</v>
      </c>
      <c r="R709" s="396">
        <v>1900005310</v>
      </c>
      <c r="S709" s="2" t="s">
        <v>3199</v>
      </c>
      <c r="T709" s="2" t="s">
        <v>5915</v>
      </c>
    </row>
    <row r="710" spans="1:20" hidden="1" x14ac:dyDescent="0.35">
      <c r="A710" s="398" t="s">
        <v>4386</v>
      </c>
      <c r="B710" s="1" t="s">
        <v>2508</v>
      </c>
      <c r="C710" s="3">
        <v>43368</v>
      </c>
      <c r="D710" s="3">
        <v>43368</v>
      </c>
      <c r="E710" s="3" t="s">
        <v>2509</v>
      </c>
      <c r="F710" s="394"/>
      <c r="G710" s="394" t="s">
        <v>4387</v>
      </c>
      <c r="H710" s="1" t="s">
        <v>3656</v>
      </c>
      <c r="I710" s="418">
        <f t="shared" si="47"/>
        <v>19209.806412228001</v>
      </c>
      <c r="J710" s="418">
        <f>3961.17*1.03</f>
        <v>4080.0051000000003</v>
      </c>
      <c r="K710" s="351">
        <f t="shared" si="45"/>
        <v>2266.85083356</v>
      </c>
      <c r="L710" s="350">
        <f t="shared" si="46"/>
        <v>453.37016671200001</v>
      </c>
      <c r="M710" s="350" t="s">
        <v>6169</v>
      </c>
      <c r="N710" s="1" t="s">
        <v>3785</v>
      </c>
      <c r="O710" s="1" t="s">
        <v>4343</v>
      </c>
      <c r="P710" s="396" t="s">
        <v>3659</v>
      </c>
      <c r="Q710" s="397">
        <v>0.2</v>
      </c>
      <c r="R710" s="396">
        <v>1900005310</v>
      </c>
      <c r="S710" s="2" t="s">
        <v>2504</v>
      </c>
      <c r="T710" s="2" t="s">
        <v>5915</v>
      </c>
    </row>
    <row r="711" spans="1:20" hidden="1" x14ac:dyDescent="0.35">
      <c r="A711" s="398" t="s">
        <v>4388</v>
      </c>
      <c r="B711" s="1" t="s">
        <v>2506</v>
      </c>
      <c r="C711" s="3">
        <v>43368</v>
      </c>
      <c r="D711" s="3">
        <v>43368</v>
      </c>
      <c r="E711" s="3" t="s">
        <v>2512</v>
      </c>
      <c r="F711" s="394"/>
      <c r="G711" s="394" t="s">
        <v>4387</v>
      </c>
      <c r="H711" s="1" t="s">
        <v>3656</v>
      </c>
      <c r="I711" s="418">
        <f t="shared" si="47"/>
        <v>19209.806412228001</v>
      </c>
      <c r="J711" s="418">
        <f>3961.17*1.03</f>
        <v>4080.0051000000003</v>
      </c>
      <c r="K711" s="351">
        <f t="shared" si="45"/>
        <v>2266.85083356</v>
      </c>
      <c r="L711" s="350">
        <f t="shared" si="46"/>
        <v>453.37016671200001</v>
      </c>
      <c r="M711" s="350" t="s">
        <v>6169</v>
      </c>
      <c r="N711" s="1" t="s">
        <v>3785</v>
      </c>
      <c r="O711" s="1" t="s">
        <v>4343</v>
      </c>
      <c r="P711" s="396" t="s">
        <v>3659</v>
      </c>
      <c r="Q711" s="397">
        <v>0.2</v>
      </c>
      <c r="R711" s="396">
        <v>1900005310</v>
      </c>
      <c r="S711" s="2" t="s">
        <v>2511</v>
      </c>
      <c r="T711" s="2" t="s">
        <v>5915</v>
      </c>
    </row>
    <row r="712" spans="1:20" hidden="1" x14ac:dyDescent="0.35">
      <c r="A712" s="398" t="s">
        <v>4389</v>
      </c>
      <c r="B712" s="1" t="s">
        <v>2506</v>
      </c>
      <c r="C712" s="3">
        <v>43368</v>
      </c>
      <c r="D712" s="3">
        <v>43368</v>
      </c>
      <c r="E712" s="3" t="s">
        <v>2514</v>
      </c>
      <c r="F712" s="394"/>
      <c r="G712" s="394" t="s">
        <v>4387</v>
      </c>
      <c r="H712" s="1" t="s">
        <v>3656</v>
      </c>
      <c r="I712" s="418">
        <f t="shared" si="47"/>
        <v>19209.806412228001</v>
      </c>
      <c r="J712" s="418">
        <f>3961.17*1.03</f>
        <v>4080.0051000000003</v>
      </c>
      <c r="K712" s="351">
        <f t="shared" si="45"/>
        <v>2266.85083356</v>
      </c>
      <c r="L712" s="350">
        <f t="shared" si="46"/>
        <v>453.37016671200001</v>
      </c>
      <c r="M712" s="350" t="s">
        <v>6169</v>
      </c>
      <c r="N712" s="1" t="s">
        <v>3785</v>
      </c>
      <c r="O712" s="1" t="s">
        <v>4343</v>
      </c>
      <c r="P712" s="396" t="s">
        <v>3659</v>
      </c>
      <c r="Q712" s="397">
        <v>0.2</v>
      </c>
      <c r="R712" s="396">
        <v>1900005310</v>
      </c>
      <c r="S712" s="2" t="s">
        <v>2511</v>
      </c>
      <c r="T712" s="2" t="s">
        <v>5915</v>
      </c>
    </row>
    <row r="713" spans="1:20" hidden="1" x14ac:dyDescent="0.35">
      <c r="A713" s="398" t="s">
        <v>4390</v>
      </c>
      <c r="B713" s="1" t="s">
        <v>2506</v>
      </c>
      <c r="C713" s="3">
        <v>43368</v>
      </c>
      <c r="D713" s="3">
        <v>43368</v>
      </c>
      <c r="E713" s="3" t="s">
        <v>2538</v>
      </c>
      <c r="F713" s="394"/>
      <c r="G713" s="394" t="s">
        <v>4342</v>
      </c>
      <c r="H713" s="1" t="s">
        <v>3656</v>
      </c>
      <c r="I713" s="418">
        <f t="shared" si="47"/>
        <v>19209.806412228001</v>
      </c>
      <c r="J713" s="418">
        <f>3961.17*1.03</f>
        <v>4080.0051000000003</v>
      </c>
      <c r="K713" s="351">
        <f t="shared" si="45"/>
        <v>2266.85083356</v>
      </c>
      <c r="L713" s="350">
        <f t="shared" si="46"/>
        <v>453.37016671200001</v>
      </c>
      <c r="M713" s="350" t="s">
        <v>6169</v>
      </c>
      <c r="N713" s="1" t="s">
        <v>3785</v>
      </c>
      <c r="O713" s="1" t="s">
        <v>4343</v>
      </c>
      <c r="P713" s="396" t="s">
        <v>3659</v>
      </c>
      <c r="Q713" s="397">
        <v>0.2</v>
      </c>
      <c r="R713" s="396">
        <v>1900005310</v>
      </c>
      <c r="S713" s="2" t="s">
        <v>2511</v>
      </c>
      <c r="T713" s="2" t="s">
        <v>5915</v>
      </c>
    </row>
    <row r="714" spans="1:20" hidden="1" x14ac:dyDescent="0.35">
      <c r="A714" s="398" t="s">
        <v>4391</v>
      </c>
      <c r="B714" s="1" t="s">
        <v>2540</v>
      </c>
      <c r="C714" s="3">
        <v>43368</v>
      </c>
      <c r="D714" s="3">
        <v>43368</v>
      </c>
      <c r="E714" s="3" t="s">
        <v>2541</v>
      </c>
      <c r="F714" s="394"/>
      <c r="G714" s="394" t="s">
        <v>4342</v>
      </c>
      <c r="H714" s="1" t="s">
        <v>3656</v>
      </c>
      <c r="I714" s="418">
        <f t="shared" si="47"/>
        <v>19209.806412228001</v>
      </c>
      <c r="J714" s="418">
        <f>3961.17*1.03</f>
        <v>4080.0051000000003</v>
      </c>
      <c r="K714" s="351">
        <f t="shared" si="45"/>
        <v>2266.85083356</v>
      </c>
      <c r="L714" s="350">
        <f t="shared" si="46"/>
        <v>453.37016671200001</v>
      </c>
      <c r="M714" s="350" t="s">
        <v>6169</v>
      </c>
      <c r="N714" s="1" t="s">
        <v>3785</v>
      </c>
      <c r="O714" s="1" t="s">
        <v>4343</v>
      </c>
      <c r="P714" s="396" t="s">
        <v>3659</v>
      </c>
      <c r="Q714" s="397">
        <v>0.2</v>
      </c>
      <c r="R714" s="396">
        <v>1900005310</v>
      </c>
      <c r="S714" s="2" t="s">
        <v>2504</v>
      </c>
      <c r="T714" s="2" t="s">
        <v>5915</v>
      </c>
    </row>
    <row r="715" spans="1:20" s="594" customFormat="1" hidden="1" x14ac:dyDescent="0.35">
      <c r="A715" s="595" t="s">
        <v>4392</v>
      </c>
      <c r="B715" s="596" t="s">
        <v>52</v>
      </c>
      <c r="C715" s="583">
        <v>43368</v>
      </c>
      <c r="D715" s="3">
        <v>43368</v>
      </c>
      <c r="E715" s="583" t="s">
        <v>173</v>
      </c>
      <c r="F715" s="394"/>
      <c r="G715" s="597" t="s">
        <v>3655</v>
      </c>
      <c r="H715" s="1" t="s">
        <v>3656</v>
      </c>
      <c r="I715" s="418">
        <f t="shared" si="47"/>
        <v>4738.4129920000005</v>
      </c>
      <c r="J715" s="418">
        <f t="shared" ref="J715:J732" si="49">977.09+29.31</f>
        <v>1006.4</v>
      </c>
      <c r="K715" s="351">
        <f t="shared" si="45"/>
        <v>559.15584000000001</v>
      </c>
      <c r="L715" s="350">
        <f t="shared" si="46"/>
        <v>111.83116800000001</v>
      </c>
      <c r="M715" s="350" t="s">
        <v>6169</v>
      </c>
      <c r="N715" s="1" t="s">
        <v>3989</v>
      </c>
      <c r="O715" s="1" t="s">
        <v>4343</v>
      </c>
      <c r="P715" s="396" t="s">
        <v>3659</v>
      </c>
      <c r="Q715" s="397">
        <v>0.2</v>
      </c>
      <c r="R715" s="396">
        <v>1900005882</v>
      </c>
      <c r="S715" s="588" t="s">
        <v>3475</v>
      </c>
      <c r="T715" s="588" t="s">
        <v>5915</v>
      </c>
    </row>
    <row r="716" spans="1:20" s="594" customFormat="1" hidden="1" x14ac:dyDescent="0.35">
      <c r="A716" s="595" t="s">
        <v>4393</v>
      </c>
      <c r="B716" s="596" t="s">
        <v>52</v>
      </c>
      <c r="C716" s="583">
        <v>43368</v>
      </c>
      <c r="D716" s="3">
        <v>43368</v>
      </c>
      <c r="E716" s="583" t="s">
        <v>174</v>
      </c>
      <c r="F716" s="394"/>
      <c r="G716" s="597" t="s">
        <v>3655</v>
      </c>
      <c r="H716" s="1" t="s">
        <v>3656</v>
      </c>
      <c r="I716" s="418">
        <f t="shared" si="47"/>
        <v>4738.4129920000005</v>
      </c>
      <c r="J716" s="418">
        <f t="shared" si="49"/>
        <v>1006.4</v>
      </c>
      <c r="K716" s="351">
        <f t="shared" ref="K716:K732" si="50">+J716*(0.5556)</f>
        <v>559.15584000000001</v>
      </c>
      <c r="L716" s="350">
        <f t="shared" ref="L716:L732" si="51">+K716*Q716</f>
        <v>111.83116800000001</v>
      </c>
      <c r="M716" s="350" t="s">
        <v>6169</v>
      </c>
      <c r="N716" s="1" t="s">
        <v>3989</v>
      </c>
      <c r="O716" s="1" t="s">
        <v>4343</v>
      </c>
      <c r="P716" s="396" t="s">
        <v>3659</v>
      </c>
      <c r="Q716" s="397">
        <v>0.2</v>
      </c>
      <c r="R716" s="396">
        <v>1900005882</v>
      </c>
      <c r="S716" s="588" t="s">
        <v>3475</v>
      </c>
      <c r="T716" s="588" t="s">
        <v>5915</v>
      </c>
    </row>
    <row r="717" spans="1:20" s="594" customFormat="1" hidden="1" x14ac:dyDescent="0.35">
      <c r="A717" s="595" t="s">
        <v>4394</v>
      </c>
      <c r="B717" s="596" t="s">
        <v>52</v>
      </c>
      <c r="C717" s="583">
        <v>43368</v>
      </c>
      <c r="D717" s="3">
        <v>43368</v>
      </c>
      <c r="E717" s="583" t="s">
        <v>175</v>
      </c>
      <c r="F717" s="394"/>
      <c r="G717" s="597" t="s">
        <v>3655</v>
      </c>
      <c r="H717" s="1" t="s">
        <v>3656</v>
      </c>
      <c r="I717" s="418">
        <f t="shared" si="47"/>
        <v>4738.4129920000005</v>
      </c>
      <c r="J717" s="418">
        <f t="shared" si="49"/>
        <v>1006.4</v>
      </c>
      <c r="K717" s="351">
        <f t="shared" si="50"/>
        <v>559.15584000000001</v>
      </c>
      <c r="L717" s="350">
        <f t="shared" si="51"/>
        <v>111.83116800000001</v>
      </c>
      <c r="M717" s="350" t="s">
        <v>6169</v>
      </c>
      <c r="N717" s="596" t="s">
        <v>3785</v>
      </c>
      <c r="O717" s="1" t="s">
        <v>4343</v>
      </c>
      <c r="P717" s="396" t="s">
        <v>3659</v>
      </c>
      <c r="Q717" s="397">
        <v>0.2</v>
      </c>
      <c r="R717" s="396">
        <v>1900005882</v>
      </c>
      <c r="S717" s="588" t="s">
        <v>3475</v>
      </c>
      <c r="T717" s="588" t="s">
        <v>5915</v>
      </c>
    </row>
    <row r="718" spans="1:20" s="594" customFormat="1" hidden="1" x14ac:dyDescent="0.35">
      <c r="A718" s="595" t="s">
        <v>4395</v>
      </c>
      <c r="B718" s="596" t="s">
        <v>52</v>
      </c>
      <c r="C718" s="583">
        <v>43368</v>
      </c>
      <c r="D718" s="3">
        <v>43368</v>
      </c>
      <c r="E718" s="583" t="s">
        <v>176</v>
      </c>
      <c r="F718" s="394"/>
      <c r="G718" s="597" t="s">
        <v>3655</v>
      </c>
      <c r="H718" s="1" t="s">
        <v>3656</v>
      </c>
      <c r="I718" s="418">
        <f t="shared" si="47"/>
        <v>4738.4129920000005</v>
      </c>
      <c r="J718" s="418">
        <f t="shared" si="49"/>
        <v>1006.4</v>
      </c>
      <c r="K718" s="351">
        <f t="shared" si="50"/>
        <v>559.15584000000001</v>
      </c>
      <c r="L718" s="350">
        <f t="shared" si="51"/>
        <v>111.83116800000001</v>
      </c>
      <c r="M718" s="350" t="s">
        <v>6169</v>
      </c>
      <c r="N718" s="596" t="s">
        <v>3989</v>
      </c>
      <c r="O718" s="1" t="s">
        <v>4343</v>
      </c>
      <c r="P718" s="396" t="s">
        <v>3659</v>
      </c>
      <c r="Q718" s="397">
        <v>0.2</v>
      </c>
      <c r="R718" s="396">
        <v>1900005882</v>
      </c>
      <c r="S718" s="588" t="s">
        <v>3475</v>
      </c>
      <c r="T718" s="588" t="s">
        <v>5915</v>
      </c>
    </row>
    <row r="719" spans="1:20" s="561" customFormat="1" hidden="1" x14ac:dyDescent="0.35">
      <c r="A719" s="556" t="s">
        <v>4396</v>
      </c>
      <c r="B719" s="557" t="s">
        <v>52</v>
      </c>
      <c r="C719" s="558">
        <v>43368</v>
      </c>
      <c r="D719" s="3">
        <v>43368</v>
      </c>
      <c r="E719" s="558" t="s">
        <v>177</v>
      </c>
      <c r="F719" s="394"/>
      <c r="G719" s="562" t="s">
        <v>3655</v>
      </c>
      <c r="H719" s="1" t="s">
        <v>3656</v>
      </c>
      <c r="I719" s="418">
        <f t="shared" si="47"/>
        <v>4738.4129920000005</v>
      </c>
      <c r="J719" s="418">
        <f t="shared" si="49"/>
        <v>1006.4</v>
      </c>
      <c r="K719" s="351">
        <f t="shared" si="50"/>
        <v>559.15584000000001</v>
      </c>
      <c r="L719" s="350">
        <f t="shared" si="51"/>
        <v>111.83116800000001</v>
      </c>
      <c r="M719" s="350" t="s">
        <v>6169</v>
      </c>
      <c r="N719" s="1" t="s">
        <v>3785</v>
      </c>
      <c r="O719" s="1" t="s">
        <v>4343</v>
      </c>
      <c r="P719" s="396" t="s">
        <v>3659</v>
      </c>
      <c r="Q719" s="397">
        <v>0.2</v>
      </c>
      <c r="R719" s="396">
        <v>1900005882</v>
      </c>
      <c r="S719" s="560" t="s">
        <v>2617</v>
      </c>
      <c r="T719" s="560" t="s">
        <v>5915</v>
      </c>
    </row>
    <row r="720" spans="1:20" s="594" customFormat="1" hidden="1" x14ac:dyDescent="0.35">
      <c r="A720" s="595" t="s">
        <v>4397</v>
      </c>
      <c r="B720" s="596" t="s">
        <v>52</v>
      </c>
      <c r="C720" s="583">
        <v>43368</v>
      </c>
      <c r="D720" s="3">
        <v>43368</v>
      </c>
      <c r="E720" s="583" t="s">
        <v>179</v>
      </c>
      <c r="F720" s="394"/>
      <c r="G720" s="597" t="s">
        <v>3655</v>
      </c>
      <c r="H720" s="1" t="s">
        <v>3656</v>
      </c>
      <c r="I720" s="418">
        <f t="shared" si="47"/>
        <v>4738.4129920000005</v>
      </c>
      <c r="J720" s="418">
        <f t="shared" si="49"/>
        <v>1006.4</v>
      </c>
      <c r="K720" s="351">
        <f t="shared" si="50"/>
        <v>559.15584000000001</v>
      </c>
      <c r="L720" s="350">
        <f t="shared" si="51"/>
        <v>111.83116800000001</v>
      </c>
      <c r="M720" s="350" t="s">
        <v>6169</v>
      </c>
      <c r="N720" s="596" t="s">
        <v>3989</v>
      </c>
      <c r="O720" s="1" t="s">
        <v>4343</v>
      </c>
      <c r="P720" s="396" t="s">
        <v>3659</v>
      </c>
      <c r="Q720" s="397">
        <v>0.2</v>
      </c>
      <c r="R720" s="396">
        <v>1900005882</v>
      </c>
      <c r="S720" s="588" t="s">
        <v>3475</v>
      </c>
      <c r="T720" s="588" t="s">
        <v>5915</v>
      </c>
    </row>
    <row r="721" spans="1:21" s="594" customFormat="1" hidden="1" x14ac:dyDescent="0.35">
      <c r="A721" s="595" t="s">
        <v>4398</v>
      </c>
      <c r="B721" s="596" t="s">
        <v>52</v>
      </c>
      <c r="C721" s="583">
        <v>43368</v>
      </c>
      <c r="D721" s="3">
        <v>43368</v>
      </c>
      <c r="E721" s="583" t="s">
        <v>180</v>
      </c>
      <c r="F721" s="394"/>
      <c r="G721" s="597" t="s">
        <v>3655</v>
      </c>
      <c r="H721" s="1" t="s">
        <v>3656</v>
      </c>
      <c r="I721" s="418">
        <f t="shared" si="47"/>
        <v>4738.4129920000005</v>
      </c>
      <c r="J721" s="418">
        <f t="shared" si="49"/>
        <v>1006.4</v>
      </c>
      <c r="K721" s="351">
        <f t="shared" si="50"/>
        <v>559.15584000000001</v>
      </c>
      <c r="L721" s="350">
        <f t="shared" si="51"/>
        <v>111.83116800000001</v>
      </c>
      <c r="M721" s="350" t="s">
        <v>6169</v>
      </c>
      <c r="N721" s="1" t="s">
        <v>3989</v>
      </c>
      <c r="O721" s="1" t="s">
        <v>4343</v>
      </c>
      <c r="P721" s="396" t="s">
        <v>3659</v>
      </c>
      <c r="Q721" s="397">
        <v>0.2</v>
      </c>
      <c r="R721" s="396">
        <v>1900005882</v>
      </c>
      <c r="S721" s="588" t="s">
        <v>3475</v>
      </c>
      <c r="T721" s="588" t="s">
        <v>5915</v>
      </c>
    </row>
    <row r="722" spans="1:21" s="561" customFormat="1" hidden="1" x14ac:dyDescent="0.35">
      <c r="A722" s="556" t="s">
        <v>4399</v>
      </c>
      <c r="B722" s="557" t="s">
        <v>52</v>
      </c>
      <c r="C722" s="558">
        <v>43368</v>
      </c>
      <c r="D722" s="3">
        <v>43368</v>
      </c>
      <c r="E722" s="558" t="s">
        <v>181</v>
      </c>
      <c r="F722" s="394"/>
      <c r="G722" s="562" t="s">
        <v>3655</v>
      </c>
      <c r="H722" s="1" t="s">
        <v>3656</v>
      </c>
      <c r="I722" s="418">
        <f t="shared" si="47"/>
        <v>4738.4129920000005</v>
      </c>
      <c r="J722" s="418">
        <f t="shared" si="49"/>
        <v>1006.4</v>
      </c>
      <c r="K722" s="351">
        <f t="shared" si="50"/>
        <v>559.15584000000001</v>
      </c>
      <c r="L722" s="350">
        <f t="shared" si="51"/>
        <v>111.83116800000001</v>
      </c>
      <c r="M722" s="350" t="s">
        <v>6169</v>
      </c>
      <c r="N722" s="557" t="s">
        <v>3989</v>
      </c>
      <c r="O722" s="1" t="s">
        <v>4343</v>
      </c>
      <c r="P722" s="396" t="s">
        <v>3659</v>
      </c>
      <c r="Q722" s="397">
        <v>0.2</v>
      </c>
      <c r="R722" s="396">
        <v>1900005882</v>
      </c>
      <c r="S722" s="560" t="s">
        <v>2617</v>
      </c>
      <c r="T722" s="560" t="s">
        <v>5915</v>
      </c>
    </row>
    <row r="723" spans="1:21" s="594" customFormat="1" hidden="1" x14ac:dyDescent="0.35">
      <c r="A723" s="595" t="s">
        <v>4400</v>
      </c>
      <c r="B723" s="596" t="s">
        <v>52</v>
      </c>
      <c r="C723" s="583">
        <v>43368</v>
      </c>
      <c r="D723" s="3">
        <v>43368</v>
      </c>
      <c r="E723" s="583" t="s">
        <v>182</v>
      </c>
      <c r="F723" s="394"/>
      <c r="G723" s="597" t="s">
        <v>3655</v>
      </c>
      <c r="H723" s="1" t="s">
        <v>3656</v>
      </c>
      <c r="I723" s="418">
        <f t="shared" si="47"/>
        <v>4738.4129920000005</v>
      </c>
      <c r="J723" s="418">
        <f t="shared" si="49"/>
        <v>1006.4</v>
      </c>
      <c r="K723" s="351">
        <f t="shared" si="50"/>
        <v>559.15584000000001</v>
      </c>
      <c r="L723" s="350">
        <f t="shared" si="51"/>
        <v>111.83116800000001</v>
      </c>
      <c r="M723" s="350" t="s">
        <v>6169</v>
      </c>
      <c r="N723" s="1" t="s">
        <v>3989</v>
      </c>
      <c r="O723" s="1" t="s">
        <v>4343</v>
      </c>
      <c r="P723" s="396" t="s">
        <v>3659</v>
      </c>
      <c r="Q723" s="397">
        <v>0.2</v>
      </c>
      <c r="R723" s="396">
        <v>1900005882</v>
      </c>
      <c r="S723" s="588" t="s">
        <v>3475</v>
      </c>
      <c r="T723" s="588" t="s">
        <v>5915</v>
      </c>
    </row>
    <row r="724" spans="1:21" s="594" customFormat="1" hidden="1" x14ac:dyDescent="0.35">
      <c r="A724" s="595" t="s">
        <v>4401</v>
      </c>
      <c r="B724" s="596" t="s">
        <v>183</v>
      </c>
      <c r="C724" s="583">
        <v>43368</v>
      </c>
      <c r="D724" s="3">
        <v>43368</v>
      </c>
      <c r="E724" s="583" t="s">
        <v>184</v>
      </c>
      <c r="F724" s="394"/>
      <c r="G724" s="597" t="s">
        <v>3655</v>
      </c>
      <c r="H724" s="1" t="s">
        <v>3656</v>
      </c>
      <c r="I724" s="418">
        <f t="shared" si="47"/>
        <v>4738.4129920000005</v>
      </c>
      <c r="J724" s="418">
        <f t="shared" si="49"/>
        <v>1006.4</v>
      </c>
      <c r="K724" s="351">
        <f t="shared" si="50"/>
        <v>559.15584000000001</v>
      </c>
      <c r="L724" s="350">
        <f t="shared" si="51"/>
        <v>111.83116800000001</v>
      </c>
      <c r="M724" s="350" t="s">
        <v>6169</v>
      </c>
      <c r="N724" s="596" t="s">
        <v>3785</v>
      </c>
      <c r="O724" s="1" t="s">
        <v>4343</v>
      </c>
      <c r="P724" s="396" t="s">
        <v>3659</v>
      </c>
      <c r="Q724" s="397">
        <v>0.2</v>
      </c>
      <c r="R724" s="396">
        <v>1900005882</v>
      </c>
      <c r="S724" s="588" t="s">
        <v>3475</v>
      </c>
      <c r="T724" s="588" t="s">
        <v>5915</v>
      </c>
    </row>
    <row r="725" spans="1:21" s="619" customFormat="1" hidden="1" x14ac:dyDescent="0.35">
      <c r="A725" s="663" t="s">
        <v>4402</v>
      </c>
      <c r="B725" s="658" t="s">
        <v>183</v>
      </c>
      <c r="C725" s="659">
        <v>43368</v>
      </c>
      <c r="D725" s="3">
        <v>43368</v>
      </c>
      <c r="E725" s="659" t="s">
        <v>185</v>
      </c>
      <c r="F725" s="394"/>
      <c r="G725" s="664" t="s">
        <v>3655</v>
      </c>
      <c r="H725" s="1" t="s">
        <v>3656</v>
      </c>
      <c r="I725" s="418">
        <f t="shared" si="47"/>
        <v>4738.4129920000005</v>
      </c>
      <c r="J725" s="418">
        <f t="shared" si="49"/>
        <v>1006.4</v>
      </c>
      <c r="K725" s="351">
        <f t="shared" si="50"/>
        <v>559.15584000000001</v>
      </c>
      <c r="L725" s="350">
        <f t="shared" si="51"/>
        <v>111.83116800000001</v>
      </c>
      <c r="M725" s="350" t="s">
        <v>6169</v>
      </c>
      <c r="N725" s="658" t="s">
        <v>3785</v>
      </c>
      <c r="O725" s="1" t="s">
        <v>4343</v>
      </c>
      <c r="P725" s="396" t="s">
        <v>3659</v>
      </c>
      <c r="Q725" s="397">
        <v>0.2</v>
      </c>
      <c r="R725" s="396">
        <v>1900005882</v>
      </c>
      <c r="S725" s="618" t="s">
        <v>186</v>
      </c>
      <c r="T725" s="618" t="s">
        <v>5915</v>
      </c>
    </row>
    <row r="726" spans="1:21" s="619" customFormat="1" hidden="1" x14ac:dyDescent="0.35">
      <c r="A726" s="663" t="s">
        <v>4403</v>
      </c>
      <c r="B726" s="658" t="s">
        <v>183</v>
      </c>
      <c r="C726" s="659">
        <v>43368</v>
      </c>
      <c r="D726" s="3">
        <v>43368</v>
      </c>
      <c r="E726" s="659" t="s">
        <v>187</v>
      </c>
      <c r="F726" s="394"/>
      <c r="G726" s="664" t="s">
        <v>3655</v>
      </c>
      <c r="H726" s="1" t="s">
        <v>3656</v>
      </c>
      <c r="I726" s="418">
        <f t="shared" si="47"/>
        <v>4738.4129920000005</v>
      </c>
      <c r="J726" s="418">
        <f t="shared" si="49"/>
        <v>1006.4</v>
      </c>
      <c r="K726" s="351">
        <f t="shared" si="50"/>
        <v>559.15584000000001</v>
      </c>
      <c r="L726" s="350">
        <f t="shared" si="51"/>
        <v>111.83116800000001</v>
      </c>
      <c r="M726" s="350" t="s">
        <v>6169</v>
      </c>
      <c r="N726" s="658" t="s">
        <v>3785</v>
      </c>
      <c r="O726" s="1" t="s">
        <v>4343</v>
      </c>
      <c r="P726" s="396" t="s">
        <v>3659</v>
      </c>
      <c r="Q726" s="397">
        <v>0.2</v>
      </c>
      <c r="R726" s="396">
        <v>1900005882</v>
      </c>
      <c r="S726" s="618" t="s">
        <v>188</v>
      </c>
      <c r="T726" s="618" t="s">
        <v>5915</v>
      </c>
    </row>
    <row r="727" spans="1:21" s="619" customFormat="1" hidden="1" x14ac:dyDescent="0.35">
      <c r="A727" s="663" t="s">
        <v>4404</v>
      </c>
      <c r="B727" s="658" t="s">
        <v>183</v>
      </c>
      <c r="C727" s="659">
        <v>43368</v>
      </c>
      <c r="D727" s="3">
        <v>43368</v>
      </c>
      <c r="E727" s="659" t="s">
        <v>189</v>
      </c>
      <c r="F727" s="394"/>
      <c r="G727" s="664" t="s">
        <v>3655</v>
      </c>
      <c r="H727" s="1" t="s">
        <v>3656</v>
      </c>
      <c r="I727" s="418">
        <f t="shared" si="47"/>
        <v>4738.4129920000005</v>
      </c>
      <c r="J727" s="418">
        <f t="shared" si="49"/>
        <v>1006.4</v>
      </c>
      <c r="K727" s="351">
        <f t="shared" si="50"/>
        <v>559.15584000000001</v>
      </c>
      <c r="L727" s="350">
        <f t="shared" si="51"/>
        <v>111.83116800000001</v>
      </c>
      <c r="M727" s="350" t="s">
        <v>6169</v>
      </c>
      <c r="N727" s="658" t="s">
        <v>3785</v>
      </c>
      <c r="O727" s="1" t="s">
        <v>4343</v>
      </c>
      <c r="P727" s="396" t="s">
        <v>3659</v>
      </c>
      <c r="Q727" s="397">
        <v>0.2</v>
      </c>
      <c r="R727" s="396">
        <v>1900005882</v>
      </c>
      <c r="S727" s="618" t="s">
        <v>190</v>
      </c>
      <c r="T727" s="618" t="s">
        <v>5915</v>
      </c>
    </row>
    <row r="728" spans="1:21" s="561" customFormat="1" hidden="1" x14ac:dyDescent="0.35">
      <c r="A728" s="556" t="s">
        <v>4405</v>
      </c>
      <c r="B728" s="557" t="s">
        <v>183</v>
      </c>
      <c r="C728" s="558">
        <v>43368</v>
      </c>
      <c r="D728" s="3">
        <v>43368</v>
      </c>
      <c r="E728" s="558" t="s">
        <v>191</v>
      </c>
      <c r="F728" s="394"/>
      <c r="G728" s="562" t="s">
        <v>3655</v>
      </c>
      <c r="H728" s="1" t="s">
        <v>3656</v>
      </c>
      <c r="I728" s="418">
        <f t="shared" si="47"/>
        <v>4738.4129920000005</v>
      </c>
      <c r="J728" s="418">
        <f t="shared" si="49"/>
        <v>1006.4</v>
      </c>
      <c r="K728" s="351">
        <f t="shared" si="50"/>
        <v>559.15584000000001</v>
      </c>
      <c r="L728" s="350">
        <f t="shared" si="51"/>
        <v>111.83116800000001</v>
      </c>
      <c r="M728" s="350" t="s">
        <v>6169</v>
      </c>
      <c r="N728" s="557" t="s">
        <v>3785</v>
      </c>
      <c r="O728" s="1" t="s">
        <v>4343</v>
      </c>
      <c r="P728" s="396" t="s">
        <v>3659</v>
      </c>
      <c r="Q728" s="397">
        <v>0.2</v>
      </c>
      <c r="R728" s="396">
        <v>1900005882</v>
      </c>
      <c r="S728" s="560" t="s">
        <v>2617</v>
      </c>
      <c r="T728" s="560" t="s">
        <v>5915</v>
      </c>
    </row>
    <row r="729" spans="1:21" s="561" customFormat="1" hidden="1" x14ac:dyDescent="0.35">
      <c r="A729" s="556" t="s">
        <v>4406</v>
      </c>
      <c r="B729" s="557" t="s">
        <v>183</v>
      </c>
      <c r="C729" s="558">
        <v>43368</v>
      </c>
      <c r="D729" s="3">
        <v>43368</v>
      </c>
      <c r="E729" s="558" t="s">
        <v>193</v>
      </c>
      <c r="F729" s="394"/>
      <c r="G729" s="562" t="s">
        <v>3655</v>
      </c>
      <c r="H729" s="1" t="s">
        <v>3656</v>
      </c>
      <c r="I729" s="418">
        <f t="shared" si="47"/>
        <v>4738.4129920000005</v>
      </c>
      <c r="J729" s="418">
        <f t="shared" si="49"/>
        <v>1006.4</v>
      </c>
      <c r="K729" s="351">
        <f t="shared" si="50"/>
        <v>559.15584000000001</v>
      </c>
      <c r="L729" s="350">
        <f t="shared" si="51"/>
        <v>111.83116800000001</v>
      </c>
      <c r="M729" s="350" t="s">
        <v>6169</v>
      </c>
      <c r="N729" s="557" t="s">
        <v>3989</v>
      </c>
      <c r="O729" s="1" t="s">
        <v>4343</v>
      </c>
      <c r="P729" s="396" t="s">
        <v>3659</v>
      </c>
      <c r="Q729" s="397">
        <v>0.2</v>
      </c>
      <c r="R729" s="396">
        <v>1900005882</v>
      </c>
      <c r="S729" s="560" t="s">
        <v>6122</v>
      </c>
      <c r="T729" s="560" t="s">
        <v>5915</v>
      </c>
    </row>
    <row r="730" spans="1:21" s="594" customFormat="1" hidden="1" x14ac:dyDescent="0.35">
      <c r="A730" s="595" t="s">
        <v>4407</v>
      </c>
      <c r="B730" s="596" t="s">
        <v>183</v>
      </c>
      <c r="C730" s="583">
        <v>43368</v>
      </c>
      <c r="D730" s="3">
        <v>43368</v>
      </c>
      <c r="E730" s="583"/>
      <c r="F730" s="394"/>
      <c r="G730" s="597" t="s">
        <v>3655</v>
      </c>
      <c r="H730" s="1" t="s">
        <v>3656</v>
      </c>
      <c r="I730" s="418">
        <f t="shared" si="47"/>
        <v>4738.4129920000005</v>
      </c>
      <c r="J730" s="418">
        <f t="shared" si="49"/>
        <v>1006.4</v>
      </c>
      <c r="K730" s="351">
        <f t="shared" si="50"/>
        <v>559.15584000000001</v>
      </c>
      <c r="L730" s="350">
        <f t="shared" si="51"/>
        <v>111.83116800000001</v>
      </c>
      <c r="M730" s="350" t="s">
        <v>6169</v>
      </c>
      <c r="N730" s="1" t="s">
        <v>3989</v>
      </c>
      <c r="O730" s="1" t="s">
        <v>4343</v>
      </c>
      <c r="P730" s="396" t="s">
        <v>3659</v>
      </c>
      <c r="Q730" s="397">
        <v>0.2</v>
      </c>
      <c r="R730" s="396">
        <v>1900005882</v>
      </c>
      <c r="S730" s="588" t="s">
        <v>3475</v>
      </c>
      <c r="T730" s="588" t="s">
        <v>5914</v>
      </c>
      <c r="U730" s="588" t="s">
        <v>3475</v>
      </c>
    </row>
    <row r="731" spans="1:21" s="594" customFormat="1" hidden="1" x14ac:dyDescent="0.35">
      <c r="A731" s="595" t="s">
        <v>4408</v>
      </c>
      <c r="B731" s="596" t="s">
        <v>183</v>
      </c>
      <c r="C731" s="583">
        <v>43368</v>
      </c>
      <c r="D731" s="3">
        <v>43368</v>
      </c>
      <c r="E731" s="583" t="s">
        <v>194</v>
      </c>
      <c r="F731" s="394"/>
      <c r="G731" s="597" t="s">
        <v>3655</v>
      </c>
      <c r="H731" s="1" t="s">
        <v>3656</v>
      </c>
      <c r="I731" s="418">
        <f t="shared" si="47"/>
        <v>4738.4129920000005</v>
      </c>
      <c r="J731" s="418">
        <f t="shared" si="49"/>
        <v>1006.4</v>
      </c>
      <c r="K731" s="351">
        <f t="shared" si="50"/>
        <v>559.15584000000001</v>
      </c>
      <c r="L731" s="350">
        <f t="shared" si="51"/>
        <v>111.83116800000001</v>
      </c>
      <c r="M731" s="350" t="s">
        <v>6169</v>
      </c>
      <c r="N731" s="1" t="s">
        <v>3989</v>
      </c>
      <c r="O731" s="1" t="s">
        <v>4343</v>
      </c>
      <c r="P731" s="396" t="s">
        <v>3659</v>
      </c>
      <c r="Q731" s="397">
        <v>0.2</v>
      </c>
      <c r="R731" s="396">
        <v>1900005882</v>
      </c>
      <c r="S731" s="588" t="s">
        <v>3475</v>
      </c>
      <c r="T731" s="588" t="s">
        <v>5915</v>
      </c>
    </row>
    <row r="732" spans="1:21" s="594" customFormat="1" hidden="1" x14ac:dyDescent="0.35">
      <c r="A732" s="595" t="s">
        <v>4409</v>
      </c>
      <c r="B732" s="596" t="s">
        <v>183</v>
      </c>
      <c r="C732" s="583">
        <v>43368</v>
      </c>
      <c r="D732" s="3">
        <v>43368</v>
      </c>
      <c r="E732" s="583" t="s">
        <v>195</v>
      </c>
      <c r="F732" s="394"/>
      <c r="G732" s="597" t="s">
        <v>3655</v>
      </c>
      <c r="H732" s="1" t="s">
        <v>3656</v>
      </c>
      <c r="I732" s="418">
        <f t="shared" si="47"/>
        <v>4738.4129920000005</v>
      </c>
      <c r="J732" s="418">
        <f t="shared" si="49"/>
        <v>1006.4</v>
      </c>
      <c r="K732" s="351">
        <f t="shared" si="50"/>
        <v>559.15584000000001</v>
      </c>
      <c r="L732" s="350">
        <f t="shared" si="51"/>
        <v>111.83116800000001</v>
      </c>
      <c r="M732" s="350" t="s">
        <v>6169</v>
      </c>
      <c r="N732" s="1" t="s">
        <v>3989</v>
      </c>
      <c r="O732" s="1" t="s">
        <v>4343</v>
      </c>
      <c r="P732" s="396" t="s">
        <v>3659</v>
      </c>
      <c r="Q732" s="397">
        <v>0.2</v>
      </c>
      <c r="R732" s="396">
        <v>1900005882</v>
      </c>
      <c r="S732" s="588" t="s">
        <v>3475</v>
      </c>
      <c r="T732" s="588" t="s">
        <v>5915</v>
      </c>
    </row>
    <row r="733" spans="1:21" s="594" customFormat="1" hidden="1" x14ac:dyDescent="0.35">
      <c r="A733" s="595" t="s">
        <v>4410</v>
      </c>
      <c r="B733" s="596" t="s">
        <v>4170</v>
      </c>
      <c r="C733" s="583">
        <v>43502</v>
      </c>
      <c r="D733" s="3">
        <v>43502</v>
      </c>
      <c r="E733" s="583" t="s">
        <v>4411</v>
      </c>
      <c r="F733" s="394" t="s">
        <v>4412</v>
      </c>
      <c r="G733" s="601" t="s">
        <v>3784</v>
      </c>
      <c r="H733" s="1" t="s">
        <v>3656</v>
      </c>
      <c r="I733" s="418">
        <f t="shared" ref="I733:I796" si="52">+J733*5.0225</f>
        <v>1860.6875840000002</v>
      </c>
      <c r="J733" s="418">
        <f>359.68*1.03</f>
        <v>370.47040000000004</v>
      </c>
      <c r="K733" s="351">
        <f t="shared" ref="K733:K796" si="53">+J733*(0.5556)</f>
        <v>205.83335424000001</v>
      </c>
      <c r="L733" s="350">
        <f t="shared" ref="L733:L796" si="54">+K733*Q733</f>
        <v>41.166670848000003</v>
      </c>
      <c r="M733" s="350" t="s">
        <v>6169</v>
      </c>
      <c r="N733" s="596" t="s">
        <v>3785</v>
      </c>
      <c r="O733" s="1" t="s">
        <v>4413</v>
      </c>
      <c r="P733" s="396" t="s">
        <v>3659</v>
      </c>
      <c r="Q733" s="397">
        <v>0.2</v>
      </c>
      <c r="R733" s="396">
        <v>1900001336</v>
      </c>
      <c r="S733" s="588" t="s">
        <v>3475</v>
      </c>
      <c r="T733" s="588" t="s">
        <v>5914</v>
      </c>
      <c r="U733" s="594" t="s">
        <v>3475</v>
      </c>
    </row>
    <row r="734" spans="1:21" s="594" customFormat="1" hidden="1" x14ac:dyDescent="0.35">
      <c r="A734" s="595" t="s">
        <v>4414</v>
      </c>
      <c r="B734" s="596" t="s">
        <v>4170</v>
      </c>
      <c r="C734" s="583">
        <v>43502</v>
      </c>
      <c r="D734" s="3">
        <v>43502</v>
      </c>
      <c r="E734" s="583" t="s">
        <v>4415</v>
      </c>
      <c r="F734" s="394" t="s">
        <v>4412</v>
      </c>
      <c r="G734" s="601" t="s">
        <v>3784</v>
      </c>
      <c r="H734" s="1" t="s">
        <v>3656</v>
      </c>
      <c r="I734" s="418">
        <f t="shared" si="52"/>
        <v>1860.6875840000002</v>
      </c>
      <c r="J734" s="418">
        <f t="shared" ref="J734:J772" si="55">359.68*1.03</f>
        <v>370.47040000000004</v>
      </c>
      <c r="K734" s="351">
        <f t="shared" si="53"/>
        <v>205.83335424000001</v>
      </c>
      <c r="L734" s="350">
        <f t="shared" si="54"/>
        <v>41.166670848000003</v>
      </c>
      <c r="M734" s="350" t="s">
        <v>6169</v>
      </c>
      <c r="N734" s="596" t="s">
        <v>3785</v>
      </c>
      <c r="O734" s="1" t="s">
        <v>4413</v>
      </c>
      <c r="P734" s="396" t="s">
        <v>3659</v>
      </c>
      <c r="Q734" s="397">
        <v>0.2</v>
      </c>
      <c r="R734" s="396">
        <v>1900001336</v>
      </c>
      <c r="S734" s="588" t="s">
        <v>3475</v>
      </c>
      <c r="T734" s="588" t="s">
        <v>5914</v>
      </c>
      <c r="U734" s="594" t="s">
        <v>3475</v>
      </c>
    </row>
    <row r="735" spans="1:21" s="594" customFormat="1" hidden="1" x14ac:dyDescent="0.35">
      <c r="A735" s="595" t="s">
        <v>4416</v>
      </c>
      <c r="B735" s="596" t="s">
        <v>4170</v>
      </c>
      <c r="C735" s="583">
        <v>43502</v>
      </c>
      <c r="D735" s="3">
        <v>43502</v>
      </c>
      <c r="E735" s="583" t="s">
        <v>4417</v>
      </c>
      <c r="F735" s="394" t="s">
        <v>4412</v>
      </c>
      <c r="G735" s="601" t="s">
        <v>3784</v>
      </c>
      <c r="H735" s="1" t="s">
        <v>3656</v>
      </c>
      <c r="I735" s="418">
        <f t="shared" si="52"/>
        <v>1860.6875840000002</v>
      </c>
      <c r="J735" s="418">
        <f t="shared" si="55"/>
        <v>370.47040000000004</v>
      </c>
      <c r="K735" s="351">
        <f t="shared" si="53"/>
        <v>205.83335424000001</v>
      </c>
      <c r="L735" s="350">
        <f t="shared" si="54"/>
        <v>41.166670848000003</v>
      </c>
      <c r="M735" s="350" t="s">
        <v>6169</v>
      </c>
      <c r="N735" s="596" t="s">
        <v>3785</v>
      </c>
      <c r="O735" s="1" t="s">
        <v>4413</v>
      </c>
      <c r="P735" s="396" t="s">
        <v>3659</v>
      </c>
      <c r="Q735" s="397">
        <v>0.2</v>
      </c>
      <c r="R735" s="396">
        <v>1900001336</v>
      </c>
      <c r="S735" s="588" t="s">
        <v>3475</v>
      </c>
      <c r="T735" s="588" t="s">
        <v>5914</v>
      </c>
      <c r="U735" s="594" t="s">
        <v>3475</v>
      </c>
    </row>
    <row r="736" spans="1:21" s="594" customFormat="1" hidden="1" x14ac:dyDescent="0.35">
      <c r="A736" s="595" t="s">
        <v>4418</v>
      </c>
      <c r="B736" s="596" t="s">
        <v>4170</v>
      </c>
      <c r="C736" s="583">
        <v>43502</v>
      </c>
      <c r="D736" s="3">
        <v>43502</v>
      </c>
      <c r="E736" s="583" t="s">
        <v>4419</v>
      </c>
      <c r="F736" s="394" t="s">
        <v>4412</v>
      </c>
      <c r="G736" s="601" t="s">
        <v>3784</v>
      </c>
      <c r="H736" s="1" t="s">
        <v>3656</v>
      </c>
      <c r="I736" s="418">
        <f t="shared" si="52"/>
        <v>1860.6875840000002</v>
      </c>
      <c r="J736" s="418">
        <f t="shared" si="55"/>
        <v>370.47040000000004</v>
      </c>
      <c r="K736" s="351">
        <f t="shared" si="53"/>
        <v>205.83335424000001</v>
      </c>
      <c r="L736" s="350">
        <f t="shared" si="54"/>
        <v>41.166670848000003</v>
      </c>
      <c r="M736" s="350" t="s">
        <v>6169</v>
      </c>
      <c r="N736" s="596" t="s">
        <v>3785</v>
      </c>
      <c r="O736" s="1" t="s">
        <v>4413</v>
      </c>
      <c r="P736" s="396" t="s">
        <v>3659</v>
      </c>
      <c r="Q736" s="397">
        <v>0.2</v>
      </c>
      <c r="R736" s="396">
        <v>1900001336</v>
      </c>
      <c r="S736" s="588" t="s">
        <v>3475</v>
      </c>
      <c r="T736" s="588" t="s">
        <v>5914</v>
      </c>
      <c r="U736" s="594" t="s">
        <v>3475</v>
      </c>
    </row>
    <row r="737" spans="1:21" s="594" customFormat="1" hidden="1" x14ac:dyDescent="0.35">
      <c r="A737" s="595" t="s">
        <v>4420</v>
      </c>
      <c r="B737" s="596" t="s">
        <v>4170</v>
      </c>
      <c r="C737" s="583">
        <v>43502</v>
      </c>
      <c r="D737" s="3">
        <v>43502</v>
      </c>
      <c r="E737" s="583" t="s">
        <v>4421</v>
      </c>
      <c r="F737" s="394" t="s">
        <v>4412</v>
      </c>
      <c r="G737" s="601" t="s">
        <v>3784</v>
      </c>
      <c r="H737" s="1" t="s">
        <v>3656</v>
      </c>
      <c r="I737" s="418">
        <f t="shared" si="52"/>
        <v>1860.6875840000002</v>
      </c>
      <c r="J737" s="418">
        <f t="shared" si="55"/>
        <v>370.47040000000004</v>
      </c>
      <c r="K737" s="351">
        <f t="shared" si="53"/>
        <v>205.83335424000001</v>
      </c>
      <c r="L737" s="350">
        <f t="shared" si="54"/>
        <v>41.166670848000003</v>
      </c>
      <c r="M737" s="350" t="s">
        <v>6169</v>
      </c>
      <c r="N737" s="596" t="s">
        <v>3785</v>
      </c>
      <c r="O737" s="1" t="s">
        <v>4413</v>
      </c>
      <c r="P737" s="396" t="s">
        <v>3659</v>
      </c>
      <c r="Q737" s="397">
        <v>0.2</v>
      </c>
      <c r="R737" s="396">
        <v>1900001336</v>
      </c>
      <c r="S737" s="588" t="s">
        <v>3475</v>
      </c>
      <c r="T737" s="588" t="s">
        <v>5914</v>
      </c>
      <c r="U737" s="594" t="s">
        <v>3475</v>
      </c>
    </row>
    <row r="738" spans="1:21" s="594" customFormat="1" hidden="1" x14ac:dyDescent="0.35">
      <c r="A738" s="595" t="s">
        <v>4422</v>
      </c>
      <c r="B738" s="596" t="s">
        <v>4170</v>
      </c>
      <c r="C738" s="583">
        <v>43502</v>
      </c>
      <c r="D738" s="3">
        <v>43502</v>
      </c>
      <c r="E738" s="583" t="s">
        <v>4423</v>
      </c>
      <c r="F738" s="394" t="s">
        <v>4412</v>
      </c>
      <c r="G738" s="601" t="s">
        <v>3784</v>
      </c>
      <c r="H738" s="1" t="s">
        <v>3656</v>
      </c>
      <c r="I738" s="418">
        <f t="shared" si="52"/>
        <v>1860.6875840000002</v>
      </c>
      <c r="J738" s="418">
        <f t="shared" si="55"/>
        <v>370.47040000000004</v>
      </c>
      <c r="K738" s="351">
        <f t="shared" si="53"/>
        <v>205.83335424000001</v>
      </c>
      <c r="L738" s="350">
        <f t="shared" si="54"/>
        <v>41.166670848000003</v>
      </c>
      <c r="M738" s="350" t="s">
        <v>6169</v>
      </c>
      <c r="N738" s="596" t="s">
        <v>3785</v>
      </c>
      <c r="O738" s="1" t="s">
        <v>4413</v>
      </c>
      <c r="P738" s="396" t="s">
        <v>3659</v>
      </c>
      <c r="Q738" s="397">
        <v>0.2</v>
      </c>
      <c r="R738" s="396">
        <v>1900001336</v>
      </c>
      <c r="S738" s="588" t="s">
        <v>3475</v>
      </c>
      <c r="T738" s="588" t="s">
        <v>5914</v>
      </c>
      <c r="U738" s="594" t="s">
        <v>3475</v>
      </c>
    </row>
    <row r="739" spans="1:21" s="594" customFormat="1" hidden="1" x14ac:dyDescent="0.35">
      <c r="A739" s="595" t="s">
        <v>4424</v>
      </c>
      <c r="B739" s="596" t="s">
        <v>4170</v>
      </c>
      <c r="C739" s="583">
        <v>43502</v>
      </c>
      <c r="D739" s="3">
        <v>43502</v>
      </c>
      <c r="E739" s="583" t="s">
        <v>4425</v>
      </c>
      <c r="F739" s="394" t="s">
        <v>4412</v>
      </c>
      <c r="G739" s="601" t="s">
        <v>3784</v>
      </c>
      <c r="H739" s="1" t="s">
        <v>3656</v>
      </c>
      <c r="I739" s="418">
        <f t="shared" si="52"/>
        <v>1860.6875840000002</v>
      </c>
      <c r="J739" s="418">
        <f t="shared" si="55"/>
        <v>370.47040000000004</v>
      </c>
      <c r="K739" s="351">
        <f t="shared" si="53"/>
        <v>205.83335424000001</v>
      </c>
      <c r="L739" s="350">
        <f t="shared" si="54"/>
        <v>41.166670848000003</v>
      </c>
      <c r="M739" s="350" t="s">
        <v>6169</v>
      </c>
      <c r="N739" s="596" t="s">
        <v>3785</v>
      </c>
      <c r="O739" s="1" t="s">
        <v>4413</v>
      </c>
      <c r="P739" s="396" t="s">
        <v>3659</v>
      </c>
      <c r="Q739" s="397">
        <v>0.2</v>
      </c>
      <c r="R739" s="396">
        <v>1900001336</v>
      </c>
      <c r="S739" s="588" t="s">
        <v>3475</v>
      </c>
      <c r="T739" s="588" t="s">
        <v>5914</v>
      </c>
      <c r="U739" s="594" t="s">
        <v>3475</v>
      </c>
    </row>
    <row r="740" spans="1:21" s="594" customFormat="1" hidden="1" x14ac:dyDescent="0.35">
      <c r="A740" s="595" t="s">
        <v>4426</v>
      </c>
      <c r="B740" s="596" t="s">
        <v>4170</v>
      </c>
      <c r="C740" s="583">
        <v>43502</v>
      </c>
      <c r="D740" s="3">
        <v>43502</v>
      </c>
      <c r="E740" s="583" t="s">
        <v>4427</v>
      </c>
      <c r="F740" s="394" t="s">
        <v>4412</v>
      </c>
      <c r="G740" s="601" t="s">
        <v>3784</v>
      </c>
      <c r="H740" s="1" t="s">
        <v>3656</v>
      </c>
      <c r="I740" s="418">
        <f t="shared" si="52"/>
        <v>1860.6875840000002</v>
      </c>
      <c r="J740" s="418">
        <f t="shared" si="55"/>
        <v>370.47040000000004</v>
      </c>
      <c r="K740" s="351">
        <f t="shared" si="53"/>
        <v>205.83335424000001</v>
      </c>
      <c r="L740" s="350">
        <f t="shared" si="54"/>
        <v>41.166670848000003</v>
      </c>
      <c r="M740" s="350" t="s">
        <v>6169</v>
      </c>
      <c r="N740" s="596" t="s">
        <v>3785</v>
      </c>
      <c r="O740" s="1" t="s">
        <v>4413</v>
      </c>
      <c r="P740" s="396" t="s">
        <v>3659</v>
      </c>
      <c r="Q740" s="397">
        <v>0.2</v>
      </c>
      <c r="R740" s="396">
        <v>1900001336</v>
      </c>
      <c r="S740" s="588" t="s">
        <v>3475</v>
      </c>
      <c r="T740" s="588" t="s">
        <v>5914</v>
      </c>
      <c r="U740" s="594" t="s">
        <v>3475</v>
      </c>
    </row>
    <row r="741" spans="1:21" s="594" customFormat="1" hidden="1" x14ac:dyDescent="0.35">
      <c r="A741" s="595" t="s">
        <v>4428</v>
      </c>
      <c r="B741" s="596" t="s">
        <v>4170</v>
      </c>
      <c r="C741" s="583">
        <v>43502</v>
      </c>
      <c r="D741" s="3">
        <v>43502</v>
      </c>
      <c r="E741" s="583" t="s">
        <v>4429</v>
      </c>
      <c r="F741" s="394" t="s">
        <v>4412</v>
      </c>
      <c r="G741" s="601" t="s">
        <v>3784</v>
      </c>
      <c r="H741" s="1" t="s">
        <v>3656</v>
      </c>
      <c r="I741" s="418">
        <f t="shared" si="52"/>
        <v>1860.6875840000002</v>
      </c>
      <c r="J741" s="418">
        <f t="shared" si="55"/>
        <v>370.47040000000004</v>
      </c>
      <c r="K741" s="351">
        <f t="shared" si="53"/>
        <v>205.83335424000001</v>
      </c>
      <c r="L741" s="350">
        <f t="shared" si="54"/>
        <v>41.166670848000003</v>
      </c>
      <c r="M741" s="350" t="s">
        <v>6169</v>
      </c>
      <c r="N741" s="596" t="s">
        <v>3785</v>
      </c>
      <c r="O741" s="1" t="s">
        <v>4413</v>
      </c>
      <c r="P741" s="396" t="s">
        <v>3659</v>
      </c>
      <c r="Q741" s="397">
        <v>0.2</v>
      </c>
      <c r="R741" s="396">
        <v>1900001336</v>
      </c>
      <c r="S741" s="588" t="s">
        <v>3475</v>
      </c>
      <c r="T741" s="588" t="s">
        <v>5914</v>
      </c>
      <c r="U741" s="594" t="s">
        <v>3475</v>
      </c>
    </row>
    <row r="742" spans="1:21" s="594" customFormat="1" hidden="1" x14ac:dyDescent="0.35">
      <c r="A742" s="595" t="s">
        <v>4430</v>
      </c>
      <c r="B742" s="596" t="s">
        <v>4170</v>
      </c>
      <c r="C742" s="583">
        <v>43502</v>
      </c>
      <c r="D742" s="3">
        <v>43502</v>
      </c>
      <c r="E742" s="583" t="s">
        <v>4431</v>
      </c>
      <c r="F742" s="394" t="s">
        <v>4412</v>
      </c>
      <c r="G742" s="601" t="s">
        <v>3784</v>
      </c>
      <c r="H742" s="1" t="s">
        <v>3656</v>
      </c>
      <c r="I742" s="418">
        <f t="shared" si="52"/>
        <v>1860.6875840000002</v>
      </c>
      <c r="J742" s="418">
        <f t="shared" si="55"/>
        <v>370.47040000000004</v>
      </c>
      <c r="K742" s="351">
        <f t="shared" si="53"/>
        <v>205.83335424000001</v>
      </c>
      <c r="L742" s="350">
        <f t="shared" si="54"/>
        <v>41.166670848000003</v>
      </c>
      <c r="M742" s="350" t="s">
        <v>6169</v>
      </c>
      <c r="N742" s="596" t="s">
        <v>3785</v>
      </c>
      <c r="O742" s="1" t="s">
        <v>4413</v>
      </c>
      <c r="P742" s="396" t="s">
        <v>3659</v>
      </c>
      <c r="Q742" s="397">
        <v>0.2</v>
      </c>
      <c r="R742" s="396">
        <v>1900001336</v>
      </c>
      <c r="S742" s="588" t="s">
        <v>3475</v>
      </c>
      <c r="T742" s="588" t="s">
        <v>5914</v>
      </c>
      <c r="U742" s="594" t="s">
        <v>3475</v>
      </c>
    </row>
    <row r="743" spans="1:21" s="594" customFormat="1" hidden="1" x14ac:dyDescent="0.35">
      <c r="A743" s="595" t="s">
        <v>4432</v>
      </c>
      <c r="B743" s="596" t="s">
        <v>4170</v>
      </c>
      <c r="C743" s="583">
        <v>43502</v>
      </c>
      <c r="D743" s="3">
        <v>43502</v>
      </c>
      <c r="E743" s="583" t="s">
        <v>4433</v>
      </c>
      <c r="F743" s="394" t="s">
        <v>4412</v>
      </c>
      <c r="G743" s="601" t="s">
        <v>3784</v>
      </c>
      <c r="H743" s="1" t="s">
        <v>3656</v>
      </c>
      <c r="I743" s="418">
        <f t="shared" si="52"/>
        <v>1860.6875840000002</v>
      </c>
      <c r="J743" s="418">
        <f t="shared" si="55"/>
        <v>370.47040000000004</v>
      </c>
      <c r="K743" s="351">
        <f t="shared" si="53"/>
        <v>205.83335424000001</v>
      </c>
      <c r="L743" s="350">
        <f t="shared" si="54"/>
        <v>41.166670848000003</v>
      </c>
      <c r="M743" s="350" t="s">
        <v>6169</v>
      </c>
      <c r="N743" s="596" t="s">
        <v>3785</v>
      </c>
      <c r="O743" s="1" t="s">
        <v>4413</v>
      </c>
      <c r="P743" s="396" t="s">
        <v>3659</v>
      </c>
      <c r="Q743" s="397">
        <v>0.2</v>
      </c>
      <c r="R743" s="396">
        <v>1900001336</v>
      </c>
      <c r="S743" s="588" t="s">
        <v>3475</v>
      </c>
      <c r="T743" s="588" t="s">
        <v>5914</v>
      </c>
      <c r="U743" s="594" t="s">
        <v>3475</v>
      </c>
    </row>
    <row r="744" spans="1:21" s="594" customFormat="1" hidden="1" x14ac:dyDescent="0.35">
      <c r="A744" s="595" t="s">
        <v>4434</v>
      </c>
      <c r="B744" s="596" t="s">
        <v>4170</v>
      </c>
      <c r="C744" s="583">
        <v>43502</v>
      </c>
      <c r="D744" s="3">
        <v>43502</v>
      </c>
      <c r="E744" s="583" t="s">
        <v>4435</v>
      </c>
      <c r="F744" s="394" t="s">
        <v>4412</v>
      </c>
      <c r="G744" s="601" t="s">
        <v>3784</v>
      </c>
      <c r="H744" s="1" t="s">
        <v>3656</v>
      </c>
      <c r="I744" s="418">
        <f t="shared" si="52"/>
        <v>1860.6875840000002</v>
      </c>
      <c r="J744" s="418">
        <f t="shared" si="55"/>
        <v>370.47040000000004</v>
      </c>
      <c r="K744" s="351">
        <f t="shared" si="53"/>
        <v>205.83335424000001</v>
      </c>
      <c r="L744" s="350">
        <f t="shared" si="54"/>
        <v>41.166670848000003</v>
      </c>
      <c r="M744" s="350" t="s">
        <v>6169</v>
      </c>
      <c r="N744" s="596" t="s">
        <v>3785</v>
      </c>
      <c r="O744" s="1" t="s">
        <v>4413</v>
      </c>
      <c r="P744" s="396" t="s">
        <v>3659</v>
      </c>
      <c r="Q744" s="397">
        <v>0.2</v>
      </c>
      <c r="R744" s="396">
        <v>1900001336</v>
      </c>
      <c r="S744" s="588" t="s">
        <v>3475</v>
      </c>
      <c r="T744" s="588" t="s">
        <v>5914</v>
      </c>
      <c r="U744" s="594" t="s">
        <v>3475</v>
      </c>
    </row>
    <row r="745" spans="1:21" s="594" customFormat="1" hidden="1" x14ac:dyDescent="0.35">
      <c r="A745" s="595" t="s">
        <v>4436</v>
      </c>
      <c r="B745" s="596" t="s">
        <v>4170</v>
      </c>
      <c r="C745" s="583">
        <v>43502</v>
      </c>
      <c r="D745" s="3">
        <v>43502</v>
      </c>
      <c r="E745" s="583" t="s">
        <v>4437</v>
      </c>
      <c r="F745" s="394" t="s">
        <v>4412</v>
      </c>
      <c r="G745" s="601" t="s">
        <v>3784</v>
      </c>
      <c r="H745" s="1" t="s">
        <v>3656</v>
      </c>
      <c r="I745" s="418">
        <f t="shared" si="52"/>
        <v>1860.6875840000002</v>
      </c>
      <c r="J745" s="418">
        <f t="shared" si="55"/>
        <v>370.47040000000004</v>
      </c>
      <c r="K745" s="351">
        <f t="shared" si="53"/>
        <v>205.83335424000001</v>
      </c>
      <c r="L745" s="350">
        <f t="shared" si="54"/>
        <v>41.166670848000003</v>
      </c>
      <c r="M745" s="350" t="s">
        <v>6169</v>
      </c>
      <c r="N745" s="596" t="s">
        <v>3785</v>
      </c>
      <c r="O745" s="1" t="s">
        <v>4413</v>
      </c>
      <c r="P745" s="396" t="s">
        <v>3659</v>
      </c>
      <c r="Q745" s="397">
        <v>0.2</v>
      </c>
      <c r="R745" s="396">
        <v>1900001336</v>
      </c>
      <c r="S745" s="588" t="s">
        <v>3475</v>
      </c>
      <c r="T745" s="588" t="s">
        <v>5914</v>
      </c>
      <c r="U745" s="594" t="s">
        <v>3475</v>
      </c>
    </row>
    <row r="746" spans="1:21" s="594" customFormat="1" hidden="1" x14ac:dyDescent="0.35">
      <c r="A746" s="595" t="s">
        <v>4438</v>
      </c>
      <c r="B746" s="596" t="s">
        <v>4170</v>
      </c>
      <c r="C746" s="583">
        <v>43502</v>
      </c>
      <c r="D746" s="3">
        <v>43502</v>
      </c>
      <c r="E746" s="583" t="s">
        <v>4439</v>
      </c>
      <c r="F746" s="394" t="s">
        <v>4412</v>
      </c>
      <c r="G746" s="601" t="s">
        <v>3784</v>
      </c>
      <c r="H746" s="1" t="s">
        <v>3656</v>
      </c>
      <c r="I746" s="418">
        <f t="shared" si="52"/>
        <v>1860.6875840000002</v>
      </c>
      <c r="J746" s="418">
        <f t="shared" si="55"/>
        <v>370.47040000000004</v>
      </c>
      <c r="K746" s="351">
        <f t="shared" si="53"/>
        <v>205.83335424000001</v>
      </c>
      <c r="L746" s="350">
        <f t="shared" si="54"/>
        <v>41.166670848000003</v>
      </c>
      <c r="M746" s="350" t="s">
        <v>6169</v>
      </c>
      <c r="N746" s="596" t="s">
        <v>3785</v>
      </c>
      <c r="O746" s="1" t="s">
        <v>4413</v>
      </c>
      <c r="P746" s="396" t="s">
        <v>3659</v>
      </c>
      <c r="Q746" s="397">
        <v>0.2</v>
      </c>
      <c r="R746" s="396">
        <v>1900001336</v>
      </c>
      <c r="S746" s="588" t="s">
        <v>3475</v>
      </c>
      <c r="T746" s="588" t="s">
        <v>5914</v>
      </c>
      <c r="U746" s="594" t="s">
        <v>3475</v>
      </c>
    </row>
    <row r="747" spans="1:21" s="594" customFormat="1" hidden="1" x14ac:dyDescent="0.35">
      <c r="A747" s="595" t="s">
        <v>4440</v>
      </c>
      <c r="B747" s="596" t="s">
        <v>4170</v>
      </c>
      <c r="C747" s="583">
        <v>43502</v>
      </c>
      <c r="D747" s="3">
        <v>43502</v>
      </c>
      <c r="E747" s="583" t="s">
        <v>4441</v>
      </c>
      <c r="F747" s="394" t="s">
        <v>4412</v>
      </c>
      <c r="G747" s="601" t="s">
        <v>3784</v>
      </c>
      <c r="H747" s="1" t="s">
        <v>3656</v>
      </c>
      <c r="I747" s="418">
        <f t="shared" si="52"/>
        <v>1860.6875840000002</v>
      </c>
      <c r="J747" s="418">
        <f t="shared" si="55"/>
        <v>370.47040000000004</v>
      </c>
      <c r="K747" s="351">
        <f t="shared" si="53"/>
        <v>205.83335424000001</v>
      </c>
      <c r="L747" s="350">
        <f t="shared" si="54"/>
        <v>41.166670848000003</v>
      </c>
      <c r="M747" s="350" t="s">
        <v>6169</v>
      </c>
      <c r="N747" s="596" t="s">
        <v>3785</v>
      </c>
      <c r="O747" s="1" t="s">
        <v>4413</v>
      </c>
      <c r="P747" s="396" t="s">
        <v>3659</v>
      </c>
      <c r="Q747" s="397">
        <v>0.2</v>
      </c>
      <c r="R747" s="396">
        <v>1900001336</v>
      </c>
      <c r="S747" s="588" t="s">
        <v>3475</v>
      </c>
      <c r="T747" s="588" t="s">
        <v>5914</v>
      </c>
      <c r="U747" s="594" t="s">
        <v>3475</v>
      </c>
    </row>
    <row r="748" spans="1:21" s="594" customFormat="1" hidden="1" x14ac:dyDescent="0.35">
      <c r="A748" s="595" t="s">
        <v>4442</v>
      </c>
      <c r="B748" s="596" t="s">
        <v>4170</v>
      </c>
      <c r="C748" s="583">
        <v>43502</v>
      </c>
      <c r="D748" s="3">
        <v>43502</v>
      </c>
      <c r="E748" s="583" t="s">
        <v>4443</v>
      </c>
      <c r="F748" s="394" t="s">
        <v>4412</v>
      </c>
      <c r="G748" s="601" t="s">
        <v>3784</v>
      </c>
      <c r="H748" s="1" t="s">
        <v>3656</v>
      </c>
      <c r="I748" s="418">
        <f t="shared" si="52"/>
        <v>1860.6875840000002</v>
      </c>
      <c r="J748" s="418">
        <f t="shared" si="55"/>
        <v>370.47040000000004</v>
      </c>
      <c r="K748" s="351">
        <f t="shared" si="53"/>
        <v>205.83335424000001</v>
      </c>
      <c r="L748" s="350">
        <f t="shared" si="54"/>
        <v>41.166670848000003</v>
      </c>
      <c r="M748" s="350" t="s">
        <v>6169</v>
      </c>
      <c r="N748" s="596" t="s">
        <v>3785</v>
      </c>
      <c r="O748" s="1" t="s">
        <v>4413</v>
      </c>
      <c r="P748" s="396" t="s">
        <v>3659</v>
      </c>
      <c r="Q748" s="397">
        <v>0.2</v>
      </c>
      <c r="R748" s="396">
        <v>1900001336</v>
      </c>
      <c r="S748" s="588" t="s">
        <v>3475</v>
      </c>
      <c r="T748" s="588" t="s">
        <v>5914</v>
      </c>
      <c r="U748" s="594" t="s">
        <v>3475</v>
      </c>
    </row>
    <row r="749" spans="1:21" s="594" customFormat="1" hidden="1" x14ac:dyDescent="0.35">
      <c r="A749" s="595" t="s">
        <v>4444</v>
      </c>
      <c r="B749" s="596" t="s">
        <v>4170</v>
      </c>
      <c r="C749" s="583">
        <v>43502</v>
      </c>
      <c r="D749" s="3">
        <v>43502</v>
      </c>
      <c r="E749" s="583" t="s">
        <v>4445</v>
      </c>
      <c r="F749" s="394" t="s">
        <v>4412</v>
      </c>
      <c r="G749" s="601" t="s">
        <v>3784</v>
      </c>
      <c r="H749" s="1" t="s">
        <v>3656</v>
      </c>
      <c r="I749" s="418">
        <f t="shared" si="52"/>
        <v>1860.6875840000002</v>
      </c>
      <c r="J749" s="418">
        <f t="shared" si="55"/>
        <v>370.47040000000004</v>
      </c>
      <c r="K749" s="351">
        <f t="shared" si="53"/>
        <v>205.83335424000001</v>
      </c>
      <c r="L749" s="350">
        <f t="shared" si="54"/>
        <v>41.166670848000003</v>
      </c>
      <c r="M749" s="350" t="s">
        <v>6169</v>
      </c>
      <c r="N749" s="596" t="s">
        <v>3785</v>
      </c>
      <c r="O749" s="1" t="s">
        <v>4413</v>
      </c>
      <c r="P749" s="396" t="s">
        <v>3659</v>
      </c>
      <c r="Q749" s="397">
        <v>0.2</v>
      </c>
      <c r="R749" s="396">
        <v>1900001336</v>
      </c>
      <c r="S749" s="588" t="s">
        <v>3475</v>
      </c>
      <c r="T749" s="588" t="s">
        <v>5914</v>
      </c>
      <c r="U749" s="594" t="s">
        <v>3475</v>
      </c>
    </row>
    <row r="750" spans="1:21" s="594" customFormat="1" hidden="1" x14ac:dyDescent="0.35">
      <c r="A750" s="595" t="s">
        <v>4446</v>
      </c>
      <c r="B750" s="596" t="s">
        <v>4170</v>
      </c>
      <c r="C750" s="583">
        <v>43502</v>
      </c>
      <c r="D750" s="3">
        <v>43502</v>
      </c>
      <c r="E750" s="583" t="s">
        <v>4447</v>
      </c>
      <c r="F750" s="394" t="s">
        <v>4412</v>
      </c>
      <c r="G750" s="601" t="s">
        <v>3784</v>
      </c>
      <c r="H750" s="1" t="s">
        <v>3656</v>
      </c>
      <c r="I750" s="418">
        <f t="shared" si="52"/>
        <v>1860.6875840000002</v>
      </c>
      <c r="J750" s="418">
        <f t="shared" si="55"/>
        <v>370.47040000000004</v>
      </c>
      <c r="K750" s="351">
        <f t="shared" si="53"/>
        <v>205.83335424000001</v>
      </c>
      <c r="L750" s="350">
        <f t="shared" si="54"/>
        <v>41.166670848000003</v>
      </c>
      <c r="M750" s="350" t="s">
        <v>6169</v>
      </c>
      <c r="N750" s="596" t="s">
        <v>3785</v>
      </c>
      <c r="O750" s="1" t="s">
        <v>4413</v>
      </c>
      <c r="P750" s="396" t="s">
        <v>3659</v>
      </c>
      <c r="Q750" s="397">
        <v>0.2</v>
      </c>
      <c r="R750" s="396">
        <v>1900001336</v>
      </c>
      <c r="S750" s="588" t="s">
        <v>3475</v>
      </c>
      <c r="T750" s="588" t="s">
        <v>5914</v>
      </c>
      <c r="U750" s="594" t="s">
        <v>3475</v>
      </c>
    </row>
    <row r="751" spans="1:21" s="594" customFormat="1" hidden="1" x14ac:dyDescent="0.35">
      <c r="A751" s="595" t="s">
        <v>4448</v>
      </c>
      <c r="B751" s="596" t="s">
        <v>4170</v>
      </c>
      <c r="C751" s="583">
        <v>43502</v>
      </c>
      <c r="D751" s="3">
        <v>43502</v>
      </c>
      <c r="E751" s="583" t="s">
        <v>4449</v>
      </c>
      <c r="F751" s="394" t="s">
        <v>4412</v>
      </c>
      <c r="G751" s="601" t="s">
        <v>3784</v>
      </c>
      <c r="H751" s="1" t="s">
        <v>3656</v>
      </c>
      <c r="I751" s="418">
        <f t="shared" si="52"/>
        <v>1860.6875840000002</v>
      </c>
      <c r="J751" s="418">
        <f t="shared" si="55"/>
        <v>370.47040000000004</v>
      </c>
      <c r="K751" s="351">
        <f t="shared" si="53"/>
        <v>205.83335424000001</v>
      </c>
      <c r="L751" s="350">
        <f t="shared" si="54"/>
        <v>41.166670848000003</v>
      </c>
      <c r="M751" s="350" t="s">
        <v>6169</v>
      </c>
      <c r="N751" s="596" t="s">
        <v>3785</v>
      </c>
      <c r="O751" s="1" t="s">
        <v>4413</v>
      </c>
      <c r="P751" s="396" t="s">
        <v>3659</v>
      </c>
      <c r="Q751" s="397">
        <v>0.2</v>
      </c>
      <c r="R751" s="396">
        <v>1900001336</v>
      </c>
      <c r="S751" s="588" t="s">
        <v>3475</v>
      </c>
      <c r="T751" s="588" t="s">
        <v>5914</v>
      </c>
      <c r="U751" s="594" t="s">
        <v>3475</v>
      </c>
    </row>
    <row r="752" spans="1:21" s="594" customFormat="1" hidden="1" x14ac:dyDescent="0.35">
      <c r="A752" s="595" t="s">
        <v>4450</v>
      </c>
      <c r="B752" s="596" t="s">
        <v>4170</v>
      </c>
      <c r="C752" s="583">
        <v>43502</v>
      </c>
      <c r="D752" s="3">
        <v>43502</v>
      </c>
      <c r="E752" s="583" t="s">
        <v>4451</v>
      </c>
      <c r="F752" s="394" t="s">
        <v>4412</v>
      </c>
      <c r="G752" s="601" t="s">
        <v>3784</v>
      </c>
      <c r="H752" s="1" t="s">
        <v>3656</v>
      </c>
      <c r="I752" s="418">
        <f t="shared" si="52"/>
        <v>1860.6875840000002</v>
      </c>
      <c r="J752" s="418">
        <f t="shared" si="55"/>
        <v>370.47040000000004</v>
      </c>
      <c r="K752" s="351">
        <f t="shared" si="53"/>
        <v>205.83335424000001</v>
      </c>
      <c r="L752" s="350">
        <f t="shared" si="54"/>
        <v>41.166670848000003</v>
      </c>
      <c r="M752" s="350" t="s">
        <v>6169</v>
      </c>
      <c r="N752" s="596" t="s">
        <v>3785</v>
      </c>
      <c r="O752" s="1" t="s">
        <v>4413</v>
      </c>
      <c r="P752" s="396" t="s">
        <v>3659</v>
      </c>
      <c r="Q752" s="397">
        <v>0.2</v>
      </c>
      <c r="R752" s="396">
        <v>1900001336</v>
      </c>
      <c r="S752" s="588" t="s">
        <v>3475</v>
      </c>
      <c r="T752" s="588" t="s">
        <v>5914</v>
      </c>
      <c r="U752" s="594" t="s">
        <v>3475</v>
      </c>
    </row>
    <row r="753" spans="1:21" s="594" customFormat="1" hidden="1" x14ac:dyDescent="0.35">
      <c r="A753" s="595" t="s">
        <v>4452</v>
      </c>
      <c r="B753" s="596" t="s">
        <v>4170</v>
      </c>
      <c r="C753" s="583">
        <v>43502</v>
      </c>
      <c r="D753" s="3">
        <v>43502</v>
      </c>
      <c r="E753" s="583" t="s">
        <v>4453</v>
      </c>
      <c r="F753" s="394" t="s">
        <v>4412</v>
      </c>
      <c r="G753" s="601" t="s">
        <v>3784</v>
      </c>
      <c r="H753" s="1" t="s">
        <v>3656</v>
      </c>
      <c r="I753" s="418">
        <f t="shared" si="52"/>
        <v>1860.6875840000002</v>
      </c>
      <c r="J753" s="418">
        <f t="shared" si="55"/>
        <v>370.47040000000004</v>
      </c>
      <c r="K753" s="351">
        <f t="shared" si="53"/>
        <v>205.83335424000001</v>
      </c>
      <c r="L753" s="350">
        <f t="shared" si="54"/>
        <v>41.166670848000003</v>
      </c>
      <c r="M753" s="350" t="s">
        <v>6169</v>
      </c>
      <c r="N753" s="596" t="s">
        <v>3785</v>
      </c>
      <c r="O753" s="1" t="s">
        <v>4413</v>
      </c>
      <c r="P753" s="396" t="s">
        <v>3659</v>
      </c>
      <c r="Q753" s="397">
        <v>0.2</v>
      </c>
      <c r="R753" s="396">
        <v>1900001336</v>
      </c>
      <c r="S753" s="588" t="s">
        <v>3475</v>
      </c>
      <c r="T753" s="588" t="s">
        <v>5914</v>
      </c>
      <c r="U753" s="594" t="s">
        <v>3475</v>
      </c>
    </row>
    <row r="754" spans="1:21" s="594" customFormat="1" hidden="1" x14ac:dyDescent="0.35">
      <c r="A754" s="595" t="s">
        <v>4454</v>
      </c>
      <c r="B754" s="596" t="s">
        <v>4170</v>
      </c>
      <c r="C754" s="583">
        <v>43502</v>
      </c>
      <c r="D754" s="3">
        <v>43502</v>
      </c>
      <c r="E754" s="583" t="s">
        <v>4455</v>
      </c>
      <c r="F754" s="394" t="s">
        <v>4412</v>
      </c>
      <c r="G754" s="601" t="s">
        <v>3784</v>
      </c>
      <c r="H754" s="1" t="s">
        <v>3656</v>
      </c>
      <c r="I754" s="418">
        <f t="shared" si="52"/>
        <v>1860.6875840000002</v>
      </c>
      <c r="J754" s="418">
        <f t="shared" si="55"/>
        <v>370.47040000000004</v>
      </c>
      <c r="K754" s="351">
        <f t="shared" si="53"/>
        <v>205.83335424000001</v>
      </c>
      <c r="L754" s="350">
        <f t="shared" si="54"/>
        <v>41.166670848000003</v>
      </c>
      <c r="M754" s="350" t="s">
        <v>6169</v>
      </c>
      <c r="N754" s="596" t="s">
        <v>3785</v>
      </c>
      <c r="O754" s="1" t="s">
        <v>4413</v>
      </c>
      <c r="P754" s="396" t="s">
        <v>3659</v>
      </c>
      <c r="Q754" s="397">
        <v>0.2</v>
      </c>
      <c r="R754" s="396">
        <v>1900001336</v>
      </c>
      <c r="S754" s="588" t="s">
        <v>3475</v>
      </c>
      <c r="T754" s="588" t="s">
        <v>5914</v>
      </c>
      <c r="U754" s="594" t="s">
        <v>3475</v>
      </c>
    </row>
    <row r="755" spans="1:21" s="630" customFormat="1" hidden="1" x14ac:dyDescent="0.35">
      <c r="A755" s="595" t="s">
        <v>4456</v>
      </c>
      <c r="B755" s="596" t="s">
        <v>4170</v>
      </c>
      <c r="C755" s="583">
        <v>43502</v>
      </c>
      <c r="D755" s="3">
        <v>43502</v>
      </c>
      <c r="E755" s="583" t="s">
        <v>4457</v>
      </c>
      <c r="F755" s="394" t="s">
        <v>4412</v>
      </c>
      <c r="G755" s="601" t="s">
        <v>3784</v>
      </c>
      <c r="H755" s="1" t="s">
        <v>3656</v>
      </c>
      <c r="I755" s="418">
        <f t="shared" si="52"/>
        <v>1860.6875840000002</v>
      </c>
      <c r="J755" s="418">
        <f t="shared" si="55"/>
        <v>370.47040000000004</v>
      </c>
      <c r="K755" s="351">
        <f t="shared" si="53"/>
        <v>205.83335424000001</v>
      </c>
      <c r="L755" s="350">
        <f t="shared" si="54"/>
        <v>41.166670848000003</v>
      </c>
      <c r="M755" s="350" t="s">
        <v>6169</v>
      </c>
      <c r="N755" s="596" t="s">
        <v>3785</v>
      </c>
      <c r="O755" s="1" t="s">
        <v>4413</v>
      </c>
      <c r="P755" s="396" t="s">
        <v>3659</v>
      </c>
      <c r="Q755" s="397">
        <v>0.2</v>
      </c>
      <c r="R755" s="396">
        <v>1900001336</v>
      </c>
      <c r="S755" s="588" t="s">
        <v>3475</v>
      </c>
      <c r="T755" s="629" t="s">
        <v>5914</v>
      </c>
      <c r="U755" s="630" t="s">
        <v>3475</v>
      </c>
    </row>
    <row r="756" spans="1:21" s="594" customFormat="1" hidden="1" x14ac:dyDescent="0.35">
      <c r="A756" s="595" t="s">
        <v>4458</v>
      </c>
      <c r="B756" s="596" t="s">
        <v>4170</v>
      </c>
      <c r="C756" s="583">
        <v>43502</v>
      </c>
      <c r="D756" s="3">
        <v>43502</v>
      </c>
      <c r="E756" s="583" t="s">
        <v>4459</v>
      </c>
      <c r="F756" s="394" t="s">
        <v>4412</v>
      </c>
      <c r="G756" s="601" t="s">
        <v>3784</v>
      </c>
      <c r="H756" s="1" t="s">
        <v>3656</v>
      </c>
      <c r="I756" s="418">
        <f t="shared" si="52"/>
        <v>1860.6875840000002</v>
      </c>
      <c r="J756" s="418">
        <f t="shared" si="55"/>
        <v>370.47040000000004</v>
      </c>
      <c r="K756" s="351">
        <f t="shared" si="53"/>
        <v>205.83335424000001</v>
      </c>
      <c r="L756" s="350">
        <f t="shared" si="54"/>
        <v>41.166670848000003</v>
      </c>
      <c r="M756" s="350" t="s">
        <v>6169</v>
      </c>
      <c r="N756" s="596" t="s">
        <v>3785</v>
      </c>
      <c r="O756" s="1" t="s">
        <v>4413</v>
      </c>
      <c r="P756" s="396" t="s">
        <v>3659</v>
      </c>
      <c r="Q756" s="397">
        <v>0.2</v>
      </c>
      <c r="R756" s="396">
        <v>1900001336</v>
      </c>
      <c r="S756" s="588" t="s">
        <v>3475</v>
      </c>
      <c r="T756" s="588" t="s">
        <v>5914</v>
      </c>
      <c r="U756" s="594" t="s">
        <v>3475</v>
      </c>
    </row>
    <row r="757" spans="1:21" s="594" customFormat="1" hidden="1" x14ac:dyDescent="0.35">
      <c r="A757" s="595" t="s">
        <v>4460</v>
      </c>
      <c r="B757" s="596" t="s">
        <v>4170</v>
      </c>
      <c r="C757" s="583">
        <v>43502</v>
      </c>
      <c r="D757" s="3">
        <v>43502</v>
      </c>
      <c r="E757" s="583" t="s">
        <v>4461</v>
      </c>
      <c r="F757" s="394" t="s">
        <v>4412</v>
      </c>
      <c r="G757" s="601" t="s">
        <v>3784</v>
      </c>
      <c r="H757" s="1" t="s">
        <v>3656</v>
      </c>
      <c r="I757" s="418">
        <f t="shared" si="52"/>
        <v>1860.6875840000002</v>
      </c>
      <c r="J757" s="418">
        <f t="shared" si="55"/>
        <v>370.47040000000004</v>
      </c>
      <c r="K757" s="351">
        <f t="shared" si="53"/>
        <v>205.83335424000001</v>
      </c>
      <c r="L757" s="350">
        <f t="shared" si="54"/>
        <v>41.166670848000003</v>
      </c>
      <c r="M757" s="350" t="s">
        <v>6169</v>
      </c>
      <c r="N757" s="596" t="s">
        <v>3785</v>
      </c>
      <c r="O757" s="1" t="s">
        <v>4413</v>
      </c>
      <c r="P757" s="396" t="s">
        <v>3659</v>
      </c>
      <c r="Q757" s="397">
        <v>0.2</v>
      </c>
      <c r="R757" s="396">
        <v>1900001336</v>
      </c>
      <c r="S757" s="588" t="s">
        <v>3475</v>
      </c>
      <c r="T757" s="588" t="s">
        <v>5914</v>
      </c>
      <c r="U757" s="594" t="s">
        <v>3475</v>
      </c>
    </row>
    <row r="758" spans="1:21" s="594" customFormat="1" hidden="1" x14ac:dyDescent="0.35">
      <c r="A758" s="595" t="s">
        <v>4462</v>
      </c>
      <c r="B758" s="596" t="s">
        <v>4170</v>
      </c>
      <c r="C758" s="583">
        <v>43502</v>
      </c>
      <c r="D758" s="3">
        <v>43502</v>
      </c>
      <c r="E758" s="583" t="s">
        <v>4463</v>
      </c>
      <c r="F758" s="394" t="s">
        <v>4412</v>
      </c>
      <c r="G758" s="601" t="s">
        <v>3784</v>
      </c>
      <c r="H758" s="1" t="s">
        <v>3656</v>
      </c>
      <c r="I758" s="418">
        <f t="shared" si="52"/>
        <v>1860.6875840000002</v>
      </c>
      <c r="J758" s="418">
        <f t="shared" si="55"/>
        <v>370.47040000000004</v>
      </c>
      <c r="K758" s="351">
        <f t="shared" si="53"/>
        <v>205.83335424000001</v>
      </c>
      <c r="L758" s="350">
        <f t="shared" si="54"/>
        <v>41.166670848000003</v>
      </c>
      <c r="M758" s="350" t="s">
        <v>6169</v>
      </c>
      <c r="N758" s="596" t="s">
        <v>3785</v>
      </c>
      <c r="O758" s="1" t="s">
        <v>4413</v>
      </c>
      <c r="P758" s="396" t="s">
        <v>3659</v>
      </c>
      <c r="Q758" s="397">
        <v>0.2</v>
      </c>
      <c r="R758" s="396">
        <v>1900001336</v>
      </c>
      <c r="S758" s="588" t="s">
        <v>3475</v>
      </c>
      <c r="T758" s="588" t="s">
        <v>5914</v>
      </c>
      <c r="U758" s="594" t="s">
        <v>3475</v>
      </c>
    </row>
    <row r="759" spans="1:21" s="594" customFormat="1" hidden="1" x14ac:dyDescent="0.35">
      <c r="A759" s="595" t="s">
        <v>4464</v>
      </c>
      <c r="B759" s="596" t="s">
        <v>4170</v>
      </c>
      <c r="C759" s="583">
        <v>43502</v>
      </c>
      <c r="D759" s="3">
        <v>43502</v>
      </c>
      <c r="E759" s="583" t="s">
        <v>4465</v>
      </c>
      <c r="F759" s="394" t="s">
        <v>4412</v>
      </c>
      <c r="G759" s="601" t="s">
        <v>3784</v>
      </c>
      <c r="H759" s="1" t="s">
        <v>3656</v>
      </c>
      <c r="I759" s="418">
        <f t="shared" si="52"/>
        <v>1860.6875840000002</v>
      </c>
      <c r="J759" s="418">
        <f t="shared" si="55"/>
        <v>370.47040000000004</v>
      </c>
      <c r="K759" s="351">
        <f t="shared" si="53"/>
        <v>205.83335424000001</v>
      </c>
      <c r="L759" s="350">
        <f t="shared" si="54"/>
        <v>41.166670848000003</v>
      </c>
      <c r="M759" s="350" t="s">
        <v>6169</v>
      </c>
      <c r="N759" s="596" t="s">
        <v>3785</v>
      </c>
      <c r="O759" s="1" t="s">
        <v>4413</v>
      </c>
      <c r="P759" s="396" t="s">
        <v>3659</v>
      </c>
      <c r="Q759" s="397">
        <v>0.2</v>
      </c>
      <c r="R759" s="396">
        <v>1900001336</v>
      </c>
      <c r="S759" s="588" t="s">
        <v>3475</v>
      </c>
      <c r="T759" s="588" t="s">
        <v>5914</v>
      </c>
      <c r="U759" s="594" t="s">
        <v>3475</v>
      </c>
    </row>
    <row r="760" spans="1:21" s="594" customFormat="1" hidden="1" x14ac:dyDescent="0.35">
      <c r="A760" s="595" t="s">
        <v>4466</v>
      </c>
      <c r="B760" s="596" t="s">
        <v>4170</v>
      </c>
      <c r="C760" s="583">
        <v>43502</v>
      </c>
      <c r="D760" s="3">
        <v>43502</v>
      </c>
      <c r="E760" s="583" t="s">
        <v>4467</v>
      </c>
      <c r="F760" s="394" t="s">
        <v>4412</v>
      </c>
      <c r="G760" s="601" t="s">
        <v>3784</v>
      </c>
      <c r="H760" s="1" t="s">
        <v>3656</v>
      </c>
      <c r="I760" s="418">
        <f t="shared" si="52"/>
        <v>1860.6875840000002</v>
      </c>
      <c r="J760" s="418">
        <f t="shared" si="55"/>
        <v>370.47040000000004</v>
      </c>
      <c r="K760" s="351">
        <f t="shared" si="53"/>
        <v>205.83335424000001</v>
      </c>
      <c r="L760" s="350">
        <f t="shared" si="54"/>
        <v>41.166670848000003</v>
      </c>
      <c r="M760" s="350" t="s">
        <v>6169</v>
      </c>
      <c r="N760" s="596" t="s">
        <v>3785</v>
      </c>
      <c r="O760" s="1" t="s">
        <v>4413</v>
      </c>
      <c r="P760" s="396" t="s">
        <v>3659</v>
      </c>
      <c r="Q760" s="397">
        <v>0.2</v>
      </c>
      <c r="R760" s="396">
        <v>1900001336</v>
      </c>
      <c r="S760" s="588" t="s">
        <v>3475</v>
      </c>
      <c r="T760" s="588" t="s">
        <v>5914</v>
      </c>
      <c r="U760" s="594" t="s">
        <v>3475</v>
      </c>
    </row>
    <row r="761" spans="1:21" s="594" customFormat="1" hidden="1" x14ac:dyDescent="0.35">
      <c r="A761" s="595" t="s">
        <v>4468</v>
      </c>
      <c r="B761" s="596" t="s">
        <v>4170</v>
      </c>
      <c r="C761" s="583">
        <v>43502</v>
      </c>
      <c r="D761" s="3">
        <v>43502</v>
      </c>
      <c r="E761" s="583" t="s">
        <v>4469</v>
      </c>
      <c r="F761" s="394" t="s">
        <v>4412</v>
      </c>
      <c r="G761" s="601" t="s">
        <v>3784</v>
      </c>
      <c r="H761" s="1" t="s">
        <v>3656</v>
      </c>
      <c r="I761" s="418">
        <f t="shared" si="52"/>
        <v>1860.6875840000002</v>
      </c>
      <c r="J761" s="418">
        <f t="shared" si="55"/>
        <v>370.47040000000004</v>
      </c>
      <c r="K761" s="351">
        <f t="shared" si="53"/>
        <v>205.83335424000001</v>
      </c>
      <c r="L761" s="350">
        <f t="shared" si="54"/>
        <v>41.166670848000003</v>
      </c>
      <c r="M761" s="350" t="s">
        <v>6169</v>
      </c>
      <c r="N761" s="596" t="s">
        <v>3785</v>
      </c>
      <c r="O761" s="1" t="s">
        <v>4413</v>
      </c>
      <c r="P761" s="396" t="s">
        <v>3659</v>
      </c>
      <c r="Q761" s="397">
        <v>0.2</v>
      </c>
      <c r="R761" s="396">
        <v>1900001336</v>
      </c>
      <c r="S761" s="588" t="s">
        <v>3475</v>
      </c>
      <c r="T761" s="588" t="s">
        <v>5914</v>
      </c>
      <c r="U761" s="594" t="s">
        <v>3475</v>
      </c>
    </row>
    <row r="762" spans="1:21" s="594" customFormat="1" hidden="1" x14ac:dyDescent="0.35">
      <c r="A762" s="595" t="s">
        <v>4470</v>
      </c>
      <c r="B762" s="596" t="s">
        <v>4170</v>
      </c>
      <c r="C762" s="583">
        <v>43502</v>
      </c>
      <c r="D762" s="3">
        <v>43502</v>
      </c>
      <c r="E762" s="583" t="s">
        <v>4471</v>
      </c>
      <c r="F762" s="394" t="s">
        <v>4412</v>
      </c>
      <c r="G762" s="601" t="s">
        <v>3784</v>
      </c>
      <c r="H762" s="1" t="s">
        <v>3656</v>
      </c>
      <c r="I762" s="418">
        <f t="shared" si="52"/>
        <v>1860.6875840000002</v>
      </c>
      <c r="J762" s="418">
        <f t="shared" si="55"/>
        <v>370.47040000000004</v>
      </c>
      <c r="K762" s="351">
        <f t="shared" si="53"/>
        <v>205.83335424000001</v>
      </c>
      <c r="L762" s="350">
        <f t="shared" si="54"/>
        <v>41.166670848000003</v>
      </c>
      <c r="M762" s="350" t="s">
        <v>6169</v>
      </c>
      <c r="N762" s="596" t="s">
        <v>3785</v>
      </c>
      <c r="O762" s="1" t="s">
        <v>4413</v>
      </c>
      <c r="P762" s="396" t="s">
        <v>3659</v>
      </c>
      <c r="Q762" s="397">
        <v>0.2</v>
      </c>
      <c r="R762" s="396">
        <v>1900001336</v>
      </c>
      <c r="S762" s="588" t="s">
        <v>3475</v>
      </c>
      <c r="T762" s="588" t="s">
        <v>5914</v>
      </c>
      <c r="U762" s="594" t="s">
        <v>3475</v>
      </c>
    </row>
    <row r="763" spans="1:21" s="594" customFormat="1" hidden="1" x14ac:dyDescent="0.35">
      <c r="A763" s="595" t="s">
        <v>4472</v>
      </c>
      <c r="B763" s="596" t="s">
        <v>4170</v>
      </c>
      <c r="C763" s="583">
        <v>43502</v>
      </c>
      <c r="D763" s="3">
        <v>43502</v>
      </c>
      <c r="E763" s="583" t="s">
        <v>4473</v>
      </c>
      <c r="F763" s="394" t="s">
        <v>4412</v>
      </c>
      <c r="G763" s="601" t="s">
        <v>3784</v>
      </c>
      <c r="H763" s="1" t="s">
        <v>3656</v>
      </c>
      <c r="I763" s="418">
        <f t="shared" si="52"/>
        <v>1860.6875840000002</v>
      </c>
      <c r="J763" s="418">
        <f t="shared" si="55"/>
        <v>370.47040000000004</v>
      </c>
      <c r="K763" s="351">
        <f t="shared" si="53"/>
        <v>205.83335424000001</v>
      </c>
      <c r="L763" s="350">
        <f t="shared" si="54"/>
        <v>41.166670848000003</v>
      </c>
      <c r="M763" s="350" t="s">
        <v>6169</v>
      </c>
      <c r="N763" s="596" t="s">
        <v>3785</v>
      </c>
      <c r="O763" s="1" t="s">
        <v>4413</v>
      </c>
      <c r="P763" s="396" t="s">
        <v>3659</v>
      </c>
      <c r="Q763" s="397">
        <v>0.2</v>
      </c>
      <c r="R763" s="396">
        <v>1900001336</v>
      </c>
      <c r="S763" s="588" t="s">
        <v>3475</v>
      </c>
      <c r="T763" s="588" t="s">
        <v>5914</v>
      </c>
      <c r="U763" s="594" t="s">
        <v>3475</v>
      </c>
    </row>
    <row r="764" spans="1:21" s="594" customFormat="1" hidden="1" x14ac:dyDescent="0.35">
      <c r="A764" s="595" t="s">
        <v>4474</v>
      </c>
      <c r="B764" s="596" t="s">
        <v>4170</v>
      </c>
      <c r="C764" s="583">
        <v>43502</v>
      </c>
      <c r="D764" s="3">
        <v>43502</v>
      </c>
      <c r="E764" s="583" t="s">
        <v>4475</v>
      </c>
      <c r="F764" s="394" t="s">
        <v>4412</v>
      </c>
      <c r="G764" s="601" t="s">
        <v>3784</v>
      </c>
      <c r="H764" s="1" t="s">
        <v>3656</v>
      </c>
      <c r="I764" s="418">
        <f t="shared" si="52"/>
        <v>1860.6875840000002</v>
      </c>
      <c r="J764" s="418">
        <f t="shared" si="55"/>
        <v>370.47040000000004</v>
      </c>
      <c r="K764" s="351">
        <f t="shared" si="53"/>
        <v>205.83335424000001</v>
      </c>
      <c r="L764" s="350">
        <f t="shared" si="54"/>
        <v>41.166670848000003</v>
      </c>
      <c r="M764" s="350" t="s">
        <v>6169</v>
      </c>
      <c r="N764" s="596" t="s">
        <v>3785</v>
      </c>
      <c r="O764" s="1" t="s">
        <v>4413</v>
      </c>
      <c r="P764" s="396" t="s">
        <v>3659</v>
      </c>
      <c r="Q764" s="397">
        <v>0.2</v>
      </c>
      <c r="R764" s="396">
        <v>1900001336</v>
      </c>
      <c r="S764" s="588" t="s">
        <v>3475</v>
      </c>
      <c r="T764" s="588" t="s">
        <v>5914</v>
      </c>
      <c r="U764" s="594" t="s">
        <v>3475</v>
      </c>
    </row>
    <row r="765" spans="1:21" s="594" customFormat="1" hidden="1" x14ac:dyDescent="0.35">
      <c r="A765" s="595" t="s">
        <v>4476</v>
      </c>
      <c r="B765" s="596" t="s">
        <v>4170</v>
      </c>
      <c r="C765" s="583">
        <v>43502</v>
      </c>
      <c r="D765" s="3">
        <v>43502</v>
      </c>
      <c r="E765" s="583" t="s">
        <v>4477</v>
      </c>
      <c r="F765" s="394" t="s">
        <v>4412</v>
      </c>
      <c r="G765" s="601" t="s">
        <v>3784</v>
      </c>
      <c r="H765" s="1" t="s">
        <v>3656</v>
      </c>
      <c r="I765" s="418">
        <f t="shared" si="52"/>
        <v>1860.6875840000002</v>
      </c>
      <c r="J765" s="418">
        <f t="shared" si="55"/>
        <v>370.47040000000004</v>
      </c>
      <c r="K765" s="351">
        <f t="shared" si="53"/>
        <v>205.83335424000001</v>
      </c>
      <c r="L765" s="350">
        <f t="shared" si="54"/>
        <v>41.166670848000003</v>
      </c>
      <c r="M765" s="350" t="s">
        <v>6169</v>
      </c>
      <c r="N765" s="596" t="s">
        <v>3785</v>
      </c>
      <c r="O765" s="1" t="s">
        <v>4413</v>
      </c>
      <c r="P765" s="396" t="s">
        <v>3659</v>
      </c>
      <c r="Q765" s="397">
        <v>0.2</v>
      </c>
      <c r="R765" s="396">
        <v>1900001336</v>
      </c>
      <c r="S765" s="588" t="s">
        <v>3475</v>
      </c>
      <c r="T765" s="588" t="s">
        <v>5914</v>
      </c>
      <c r="U765" s="594" t="s">
        <v>3475</v>
      </c>
    </row>
    <row r="766" spans="1:21" s="594" customFormat="1" hidden="1" x14ac:dyDescent="0.35">
      <c r="A766" s="595" t="s">
        <v>4478</v>
      </c>
      <c r="B766" s="596" t="s">
        <v>4170</v>
      </c>
      <c r="C766" s="583">
        <v>43502</v>
      </c>
      <c r="D766" s="3">
        <v>43502</v>
      </c>
      <c r="E766" s="583" t="s">
        <v>4479</v>
      </c>
      <c r="F766" s="394" t="s">
        <v>4412</v>
      </c>
      <c r="G766" s="601" t="s">
        <v>3784</v>
      </c>
      <c r="H766" s="1" t="s">
        <v>3656</v>
      </c>
      <c r="I766" s="418">
        <f t="shared" si="52"/>
        <v>1860.6875840000002</v>
      </c>
      <c r="J766" s="418">
        <f t="shared" si="55"/>
        <v>370.47040000000004</v>
      </c>
      <c r="K766" s="351">
        <f t="shared" si="53"/>
        <v>205.83335424000001</v>
      </c>
      <c r="L766" s="350">
        <f t="shared" si="54"/>
        <v>41.166670848000003</v>
      </c>
      <c r="M766" s="350" t="s">
        <v>6169</v>
      </c>
      <c r="N766" s="596" t="s">
        <v>3785</v>
      </c>
      <c r="O766" s="1" t="s">
        <v>4413</v>
      </c>
      <c r="P766" s="396" t="s">
        <v>3659</v>
      </c>
      <c r="Q766" s="397">
        <v>0.2</v>
      </c>
      <c r="R766" s="396">
        <v>1900001336</v>
      </c>
      <c r="S766" s="588" t="s">
        <v>3475</v>
      </c>
      <c r="T766" s="588" t="s">
        <v>5914</v>
      </c>
      <c r="U766" s="594" t="s">
        <v>3475</v>
      </c>
    </row>
    <row r="767" spans="1:21" s="594" customFormat="1" hidden="1" x14ac:dyDescent="0.35">
      <c r="A767" s="595" t="s">
        <v>4480</v>
      </c>
      <c r="B767" s="596" t="s">
        <v>4170</v>
      </c>
      <c r="C767" s="583">
        <v>43502</v>
      </c>
      <c r="D767" s="3">
        <v>43502</v>
      </c>
      <c r="E767" s="583" t="s">
        <v>4481</v>
      </c>
      <c r="F767" s="394" t="s">
        <v>4412</v>
      </c>
      <c r="G767" s="601" t="s">
        <v>3784</v>
      </c>
      <c r="H767" s="1" t="s">
        <v>3656</v>
      </c>
      <c r="I767" s="418">
        <f t="shared" si="52"/>
        <v>1860.6875840000002</v>
      </c>
      <c r="J767" s="418">
        <f t="shared" si="55"/>
        <v>370.47040000000004</v>
      </c>
      <c r="K767" s="351">
        <f t="shared" si="53"/>
        <v>205.83335424000001</v>
      </c>
      <c r="L767" s="350">
        <f t="shared" si="54"/>
        <v>41.166670848000003</v>
      </c>
      <c r="M767" s="350" t="s">
        <v>6169</v>
      </c>
      <c r="N767" s="596" t="s">
        <v>3785</v>
      </c>
      <c r="O767" s="1" t="s">
        <v>4413</v>
      </c>
      <c r="P767" s="396" t="s">
        <v>3659</v>
      </c>
      <c r="Q767" s="397">
        <v>0.2</v>
      </c>
      <c r="R767" s="396">
        <v>1900001336</v>
      </c>
      <c r="S767" s="588" t="s">
        <v>3475</v>
      </c>
      <c r="T767" s="588" t="s">
        <v>5914</v>
      </c>
      <c r="U767" s="594" t="s">
        <v>3475</v>
      </c>
    </row>
    <row r="768" spans="1:21" s="594" customFormat="1" hidden="1" x14ac:dyDescent="0.35">
      <c r="A768" s="595" t="s">
        <v>4482</v>
      </c>
      <c r="B768" s="596" t="s">
        <v>4170</v>
      </c>
      <c r="C768" s="583">
        <v>43502</v>
      </c>
      <c r="D768" s="3">
        <v>43502</v>
      </c>
      <c r="E768" s="583" t="s">
        <v>4483</v>
      </c>
      <c r="F768" s="394" t="s">
        <v>4412</v>
      </c>
      <c r="G768" s="601" t="s">
        <v>3784</v>
      </c>
      <c r="H768" s="1" t="s">
        <v>3656</v>
      </c>
      <c r="I768" s="418">
        <f t="shared" si="52"/>
        <v>1860.6875840000002</v>
      </c>
      <c r="J768" s="418">
        <f t="shared" si="55"/>
        <v>370.47040000000004</v>
      </c>
      <c r="K768" s="351">
        <f t="shared" si="53"/>
        <v>205.83335424000001</v>
      </c>
      <c r="L768" s="350">
        <f t="shared" si="54"/>
        <v>41.166670848000003</v>
      </c>
      <c r="M768" s="350" t="s">
        <v>6169</v>
      </c>
      <c r="N768" s="596" t="s">
        <v>3785</v>
      </c>
      <c r="O768" s="1" t="s">
        <v>4413</v>
      </c>
      <c r="P768" s="396" t="s">
        <v>3659</v>
      </c>
      <c r="Q768" s="397">
        <v>0.2</v>
      </c>
      <c r="R768" s="396">
        <v>1900001336</v>
      </c>
      <c r="S768" s="588" t="s">
        <v>3475</v>
      </c>
      <c r="T768" s="588" t="s">
        <v>5914</v>
      </c>
      <c r="U768" s="594" t="s">
        <v>3475</v>
      </c>
    </row>
    <row r="769" spans="1:21" s="594" customFormat="1" hidden="1" x14ac:dyDescent="0.35">
      <c r="A769" s="595" t="s">
        <v>4484</v>
      </c>
      <c r="B769" s="596" t="s">
        <v>4170</v>
      </c>
      <c r="C769" s="583">
        <v>43502</v>
      </c>
      <c r="D769" s="3">
        <v>43502</v>
      </c>
      <c r="E769" s="583" t="s">
        <v>4485</v>
      </c>
      <c r="F769" s="394" t="s">
        <v>4412</v>
      </c>
      <c r="G769" s="601" t="s">
        <v>3784</v>
      </c>
      <c r="H769" s="1" t="s">
        <v>3656</v>
      </c>
      <c r="I769" s="418">
        <f t="shared" si="52"/>
        <v>1860.6875840000002</v>
      </c>
      <c r="J769" s="418">
        <f t="shared" si="55"/>
        <v>370.47040000000004</v>
      </c>
      <c r="K769" s="351">
        <f t="shared" si="53"/>
        <v>205.83335424000001</v>
      </c>
      <c r="L769" s="350">
        <f t="shared" si="54"/>
        <v>41.166670848000003</v>
      </c>
      <c r="M769" s="350" t="s">
        <v>6169</v>
      </c>
      <c r="N769" s="596" t="s">
        <v>3785</v>
      </c>
      <c r="O769" s="1" t="s">
        <v>4413</v>
      </c>
      <c r="P769" s="396" t="s">
        <v>3659</v>
      </c>
      <c r="Q769" s="397">
        <v>0.2</v>
      </c>
      <c r="R769" s="396">
        <v>1900001336</v>
      </c>
      <c r="S769" s="588" t="s">
        <v>3475</v>
      </c>
      <c r="T769" s="588" t="s">
        <v>5914</v>
      </c>
      <c r="U769" s="594" t="s">
        <v>3475</v>
      </c>
    </row>
    <row r="770" spans="1:21" s="594" customFormat="1" hidden="1" x14ac:dyDescent="0.35">
      <c r="A770" s="595" t="s">
        <v>4486</v>
      </c>
      <c r="B770" s="596" t="s">
        <v>4170</v>
      </c>
      <c r="C770" s="583">
        <v>43502</v>
      </c>
      <c r="D770" s="3">
        <v>43502</v>
      </c>
      <c r="E770" s="583" t="s">
        <v>4487</v>
      </c>
      <c r="F770" s="394" t="s">
        <v>4412</v>
      </c>
      <c r="G770" s="601" t="s">
        <v>3784</v>
      </c>
      <c r="H770" s="1" t="s">
        <v>3656</v>
      </c>
      <c r="I770" s="418">
        <f t="shared" si="52"/>
        <v>1860.6875840000002</v>
      </c>
      <c r="J770" s="418">
        <f t="shared" si="55"/>
        <v>370.47040000000004</v>
      </c>
      <c r="K770" s="351">
        <f t="shared" si="53"/>
        <v>205.83335424000001</v>
      </c>
      <c r="L770" s="350">
        <f t="shared" si="54"/>
        <v>41.166670848000003</v>
      </c>
      <c r="M770" s="350" t="s">
        <v>6169</v>
      </c>
      <c r="N770" s="596" t="s">
        <v>3785</v>
      </c>
      <c r="O770" s="1" t="s">
        <v>4413</v>
      </c>
      <c r="P770" s="396" t="s">
        <v>3659</v>
      </c>
      <c r="Q770" s="397">
        <v>0.2</v>
      </c>
      <c r="R770" s="396">
        <v>1900001336</v>
      </c>
      <c r="S770" s="588" t="s">
        <v>3475</v>
      </c>
      <c r="T770" s="588" t="s">
        <v>5914</v>
      </c>
      <c r="U770" s="594" t="s">
        <v>3475</v>
      </c>
    </row>
    <row r="771" spans="1:21" s="594" customFormat="1" hidden="1" x14ac:dyDescent="0.35">
      <c r="A771" s="595" t="s">
        <v>4488</v>
      </c>
      <c r="B771" s="596" t="s">
        <v>4170</v>
      </c>
      <c r="C771" s="583">
        <v>43502</v>
      </c>
      <c r="D771" s="3">
        <v>43502</v>
      </c>
      <c r="E771" s="583" t="s">
        <v>4489</v>
      </c>
      <c r="F771" s="394" t="s">
        <v>4412</v>
      </c>
      <c r="G771" s="601" t="s">
        <v>3784</v>
      </c>
      <c r="H771" s="1" t="s">
        <v>3656</v>
      </c>
      <c r="I771" s="418">
        <f t="shared" si="52"/>
        <v>1860.6875840000002</v>
      </c>
      <c r="J771" s="418">
        <f t="shared" si="55"/>
        <v>370.47040000000004</v>
      </c>
      <c r="K771" s="351">
        <f t="shared" si="53"/>
        <v>205.83335424000001</v>
      </c>
      <c r="L771" s="350">
        <f t="shared" si="54"/>
        <v>41.166670848000003</v>
      </c>
      <c r="M771" s="350" t="s">
        <v>6169</v>
      </c>
      <c r="N771" s="596" t="s">
        <v>3785</v>
      </c>
      <c r="O771" s="1" t="s">
        <v>4413</v>
      </c>
      <c r="P771" s="396" t="s">
        <v>3659</v>
      </c>
      <c r="Q771" s="397">
        <v>0.2</v>
      </c>
      <c r="R771" s="396">
        <v>1900001336</v>
      </c>
      <c r="S771" s="588" t="s">
        <v>3475</v>
      </c>
      <c r="T771" s="588" t="s">
        <v>5914</v>
      </c>
      <c r="U771" s="594" t="s">
        <v>3475</v>
      </c>
    </row>
    <row r="772" spans="1:21" s="594" customFormat="1" hidden="1" x14ac:dyDescent="0.35">
      <c r="A772" s="595" t="s">
        <v>4490</v>
      </c>
      <c r="B772" s="596" t="s">
        <v>4170</v>
      </c>
      <c r="C772" s="583">
        <v>43502</v>
      </c>
      <c r="D772" s="3">
        <v>43502</v>
      </c>
      <c r="E772" s="583" t="s">
        <v>4491</v>
      </c>
      <c r="F772" s="394" t="s">
        <v>4412</v>
      </c>
      <c r="G772" s="601" t="s">
        <v>3784</v>
      </c>
      <c r="H772" s="1" t="s">
        <v>3656</v>
      </c>
      <c r="I772" s="418">
        <f t="shared" si="52"/>
        <v>1860.6875840000002</v>
      </c>
      <c r="J772" s="418">
        <f t="shared" si="55"/>
        <v>370.47040000000004</v>
      </c>
      <c r="K772" s="351">
        <f t="shared" si="53"/>
        <v>205.83335424000001</v>
      </c>
      <c r="L772" s="350">
        <f t="shared" si="54"/>
        <v>41.166670848000003</v>
      </c>
      <c r="M772" s="350" t="s">
        <v>6169</v>
      </c>
      <c r="N772" s="596" t="s">
        <v>3785</v>
      </c>
      <c r="O772" s="1" t="s">
        <v>4413</v>
      </c>
      <c r="P772" s="396" t="s">
        <v>3659</v>
      </c>
      <c r="Q772" s="397">
        <v>0.2</v>
      </c>
      <c r="R772" s="396">
        <v>1900001336</v>
      </c>
      <c r="S772" s="588" t="s">
        <v>3475</v>
      </c>
      <c r="T772" s="588" t="s">
        <v>5914</v>
      </c>
      <c r="U772" s="594" t="s">
        <v>3475</v>
      </c>
    </row>
    <row r="773" spans="1:21" hidden="1" x14ac:dyDescent="0.35">
      <c r="A773" s="398" t="s">
        <v>4492</v>
      </c>
      <c r="B773" s="1" t="s">
        <v>2506</v>
      </c>
      <c r="C773" s="3">
        <v>43502</v>
      </c>
      <c r="D773" s="3">
        <v>43502</v>
      </c>
      <c r="E773" s="3" t="s">
        <v>2534</v>
      </c>
      <c r="F773" s="394" t="s">
        <v>4412</v>
      </c>
      <c r="G773" s="394" t="s">
        <v>4387</v>
      </c>
      <c r="H773" s="1" t="s">
        <v>3656</v>
      </c>
      <c r="I773" s="418">
        <f t="shared" si="52"/>
        <v>21842.903729500002</v>
      </c>
      <c r="J773" s="418">
        <f>4222.34*1.03</f>
        <v>4349.0102000000006</v>
      </c>
      <c r="K773" s="351">
        <f t="shared" si="53"/>
        <v>2416.3100671200004</v>
      </c>
      <c r="L773" s="350">
        <f t="shared" si="54"/>
        <v>483.26201342400009</v>
      </c>
      <c r="M773" s="350" t="s">
        <v>6169</v>
      </c>
      <c r="N773" s="1" t="s">
        <v>3785</v>
      </c>
      <c r="O773" s="1" t="s">
        <v>4413</v>
      </c>
      <c r="P773" s="396" t="s">
        <v>3659</v>
      </c>
      <c r="Q773" s="397">
        <v>0.2</v>
      </c>
      <c r="R773" s="396">
        <v>1900001336</v>
      </c>
      <c r="S773" s="2" t="s">
        <v>2504</v>
      </c>
      <c r="T773" s="2" t="s">
        <v>5915</v>
      </c>
    </row>
    <row r="774" spans="1:21" hidden="1" x14ac:dyDescent="0.35">
      <c r="A774" s="398" t="s">
        <v>4493</v>
      </c>
      <c r="B774" s="1" t="s">
        <v>4494</v>
      </c>
      <c r="C774" s="3">
        <v>43502</v>
      </c>
      <c r="D774" s="3">
        <v>43502</v>
      </c>
      <c r="E774" s="3" t="s">
        <v>2532</v>
      </c>
      <c r="F774" s="394" t="s">
        <v>4412</v>
      </c>
      <c r="G774" s="394" t="s">
        <v>4387</v>
      </c>
      <c r="H774" s="1" t="s">
        <v>3656</v>
      </c>
      <c r="I774" s="418">
        <f t="shared" si="52"/>
        <v>21842.903729500002</v>
      </c>
      <c r="J774" s="418">
        <f>4222.34*1.03</f>
        <v>4349.0102000000006</v>
      </c>
      <c r="K774" s="351">
        <f t="shared" si="53"/>
        <v>2416.3100671200004</v>
      </c>
      <c r="L774" s="350">
        <f t="shared" si="54"/>
        <v>483.26201342400009</v>
      </c>
      <c r="M774" s="350" t="s">
        <v>6169</v>
      </c>
      <c r="N774" s="1" t="s">
        <v>3785</v>
      </c>
      <c r="O774" s="1" t="s">
        <v>4413</v>
      </c>
      <c r="P774" s="396" t="s">
        <v>3659</v>
      </c>
      <c r="Q774" s="397">
        <v>0.2</v>
      </c>
      <c r="R774" s="396">
        <v>1900001336</v>
      </c>
      <c r="S774" s="2" t="s">
        <v>1377</v>
      </c>
      <c r="T774" s="2" t="s">
        <v>5915</v>
      </c>
    </row>
    <row r="775" spans="1:21" hidden="1" x14ac:dyDescent="0.35">
      <c r="A775" s="398" t="s">
        <v>4495</v>
      </c>
      <c r="B775" s="1" t="s">
        <v>4496</v>
      </c>
      <c r="C775" s="3">
        <v>43502</v>
      </c>
      <c r="D775" s="3">
        <v>43502</v>
      </c>
      <c r="E775" s="3" t="s">
        <v>2543</v>
      </c>
      <c r="F775" s="394" t="s">
        <v>4412</v>
      </c>
      <c r="G775" s="394" t="s">
        <v>4387</v>
      </c>
      <c r="H775" s="1" t="s">
        <v>3656</v>
      </c>
      <c r="I775" s="418">
        <f t="shared" si="52"/>
        <v>21842.903729500002</v>
      </c>
      <c r="J775" s="418">
        <f>4222.34*1.03</f>
        <v>4349.0102000000006</v>
      </c>
      <c r="K775" s="351">
        <f t="shared" si="53"/>
        <v>2416.3100671200004</v>
      </c>
      <c r="L775" s="350">
        <f t="shared" si="54"/>
        <v>483.26201342400009</v>
      </c>
      <c r="M775" s="350" t="s">
        <v>6169</v>
      </c>
      <c r="N775" s="1" t="s">
        <v>3785</v>
      </c>
      <c r="O775" s="1" t="s">
        <v>4413</v>
      </c>
      <c r="P775" s="396" t="s">
        <v>3659</v>
      </c>
      <c r="Q775" s="397">
        <v>0.2</v>
      </c>
      <c r="R775" s="396">
        <v>1900001336</v>
      </c>
      <c r="S775" s="2" t="s">
        <v>2504</v>
      </c>
      <c r="T775" s="2" t="s">
        <v>5915</v>
      </c>
    </row>
    <row r="776" spans="1:21" hidden="1" x14ac:dyDescent="0.35">
      <c r="A776" s="398" t="s">
        <v>4497</v>
      </c>
      <c r="B776" s="1" t="s">
        <v>4496</v>
      </c>
      <c r="C776" s="3">
        <v>43502</v>
      </c>
      <c r="D776" s="3">
        <v>43502</v>
      </c>
      <c r="E776" s="3" t="s">
        <v>2536</v>
      </c>
      <c r="F776" s="394" t="s">
        <v>4412</v>
      </c>
      <c r="G776" s="394" t="s">
        <v>4387</v>
      </c>
      <c r="H776" s="1" t="s">
        <v>3656</v>
      </c>
      <c r="I776" s="418">
        <f t="shared" si="52"/>
        <v>21842.903729500002</v>
      </c>
      <c r="J776" s="418">
        <f>4222.34*1.03</f>
        <v>4349.0102000000006</v>
      </c>
      <c r="K776" s="351">
        <f t="shared" si="53"/>
        <v>2416.3100671200004</v>
      </c>
      <c r="L776" s="350">
        <f t="shared" si="54"/>
        <v>483.26201342400009</v>
      </c>
      <c r="M776" s="350" t="s">
        <v>6169</v>
      </c>
      <c r="N776" s="1" t="s">
        <v>3785</v>
      </c>
      <c r="O776" s="1" t="s">
        <v>4413</v>
      </c>
      <c r="P776" s="396" t="s">
        <v>3659</v>
      </c>
      <c r="Q776" s="397">
        <v>0.2</v>
      </c>
      <c r="R776" s="396">
        <v>1900001336</v>
      </c>
      <c r="S776" s="2" t="s">
        <v>2504</v>
      </c>
      <c r="T776" s="2" t="s">
        <v>5915</v>
      </c>
    </row>
    <row r="777" spans="1:21" hidden="1" x14ac:dyDescent="0.35">
      <c r="A777" s="398" t="s">
        <v>4498</v>
      </c>
      <c r="B777" s="1" t="s">
        <v>4496</v>
      </c>
      <c r="C777" s="3">
        <v>43502</v>
      </c>
      <c r="D777" s="3">
        <v>43502</v>
      </c>
      <c r="E777" s="3" t="s">
        <v>3487</v>
      </c>
      <c r="F777" s="394" t="s">
        <v>4412</v>
      </c>
      <c r="G777" s="394" t="s">
        <v>4387</v>
      </c>
      <c r="H777" s="1" t="s">
        <v>3656</v>
      </c>
      <c r="I777" s="418">
        <f t="shared" si="52"/>
        <v>21842.903729500002</v>
      </c>
      <c r="J777" s="418">
        <f>4222.34*1.03</f>
        <v>4349.0102000000006</v>
      </c>
      <c r="K777" s="351">
        <f t="shared" si="53"/>
        <v>2416.3100671200004</v>
      </c>
      <c r="L777" s="350">
        <f t="shared" si="54"/>
        <v>483.26201342400009</v>
      </c>
      <c r="M777" s="350" t="s">
        <v>6169</v>
      </c>
      <c r="N777" s="1" t="s">
        <v>3785</v>
      </c>
      <c r="O777" s="1" t="s">
        <v>4413</v>
      </c>
      <c r="P777" s="396" t="s">
        <v>3659</v>
      </c>
      <c r="Q777" s="397">
        <v>0.2</v>
      </c>
      <c r="R777" s="396">
        <v>1900001336</v>
      </c>
      <c r="S777" s="2" t="s">
        <v>2504</v>
      </c>
      <c r="T777" s="2" t="s">
        <v>5915</v>
      </c>
    </row>
    <row r="778" spans="1:21" s="594" customFormat="1" hidden="1" x14ac:dyDescent="0.35">
      <c r="A778" s="595" t="s">
        <v>4499</v>
      </c>
      <c r="B778" s="596" t="s">
        <v>52</v>
      </c>
      <c r="C778" s="583">
        <v>43502</v>
      </c>
      <c r="D778" s="3">
        <v>43502</v>
      </c>
      <c r="E778" s="583" t="s">
        <v>196</v>
      </c>
      <c r="F778" s="394" t="s">
        <v>4412</v>
      </c>
      <c r="G778" s="601" t="s">
        <v>3655</v>
      </c>
      <c r="H778" s="1" t="s">
        <v>3656</v>
      </c>
      <c r="I778" s="418">
        <f t="shared" si="52"/>
        <v>5986.6050370000003</v>
      </c>
      <c r="J778" s="418">
        <f>1157.24*1.03</f>
        <v>1191.9572000000001</v>
      </c>
      <c r="K778" s="351">
        <f t="shared" si="53"/>
        <v>662.25142031999997</v>
      </c>
      <c r="L778" s="350">
        <f t="shared" si="54"/>
        <v>132.45028406399999</v>
      </c>
      <c r="M778" s="350" t="s">
        <v>6169</v>
      </c>
      <c r="N778" s="1" t="s">
        <v>3989</v>
      </c>
      <c r="O778" s="1" t="s">
        <v>4413</v>
      </c>
      <c r="P778" s="396" t="s">
        <v>3659</v>
      </c>
      <c r="Q778" s="397">
        <v>0.2</v>
      </c>
      <c r="R778" s="396">
        <v>1900001336</v>
      </c>
      <c r="S778" s="588" t="s">
        <v>3475</v>
      </c>
      <c r="T778" s="588" t="s">
        <v>5915</v>
      </c>
    </row>
    <row r="779" spans="1:21" s="594" customFormat="1" hidden="1" x14ac:dyDescent="0.35">
      <c r="A779" s="595" t="s">
        <v>4500</v>
      </c>
      <c r="B779" s="596" t="s">
        <v>52</v>
      </c>
      <c r="C779" s="583">
        <v>43502</v>
      </c>
      <c r="D779" s="3">
        <v>43502</v>
      </c>
      <c r="E779" s="583" t="s">
        <v>198</v>
      </c>
      <c r="F779" s="394" t="s">
        <v>4412</v>
      </c>
      <c r="G779" s="601" t="s">
        <v>3655</v>
      </c>
      <c r="H779" s="1" t="s">
        <v>3656</v>
      </c>
      <c r="I779" s="418">
        <f t="shared" si="52"/>
        <v>5986.6050370000003</v>
      </c>
      <c r="J779" s="418">
        <f t="shared" ref="J779:J807" si="56">1157.24*1.03</f>
        <v>1191.9572000000001</v>
      </c>
      <c r="K779" s="351">
        <f t="shared" si="53"/>
        <v>662.25142031999997</v>
      </c>
      <c r="L779" s="350">
        <f t="shared" si="54"/>
        <v>132.45028406399999</v>
      </c>
      <c r="M779" s="350" t="s">
        <v>6169</v>
      </c>
      <c r="N779" s="1" t="s">
        <v>3989</v>
      </c>
      <c r="O779" s="1" t="s">
        <v>4413</v>
      </c>
      <c r="P779" s="396" t="s">
        <v>3659</v>
      </c>
      <c r="Q779" s="397">
        <v>0.2</v>
      </c>
      <c r="R779" s="396">
        <v>1900001336</v>
      </c>
      <c r="S779" s="588" t="s">
        <v>3475</v>
      </c>
      <c r="T779" s="588" t="s">
        <v>5915</v>
      </c>
    </row>
    <row r="780" spans="1:21" s="594" customFormat="1" hidden="1" x14ac:dyDescent="0.35">
      <c r="A780" s="595" t="s">
        <v>4501</v>
      </c>
      <c r="B780" s="596" t="s">
        <v>52</v>
      </c>
      <c r="C780" s="583">
        <v>43502</v>
      </c>
      <c r="D780" s="3">
        <v>43502</v>
      </c>
      <c r="E780" s="583" t="s">
        <v>199</v>
      </c>
      <c r="F780" s="394" t="s">
        <v>4412</v>
      </c>
      <c r="G780" s="601" t="s">
        <v>3655</v>
      </c>
      <c r="H780" s="1" t="s">
        <v>3656</v>
      </c>
      <c r="I780" s="418">
        <f t="shared" si="52"/>
        <v>5986.6050370000003</v>
      </c>
      <c r="J780" s="418">
        <f t="shared" si="56"/>
        <v>1191.9572000000001</v>
      </c>
      <c r="K780" s="351">
        <f t="shared" si="53"/>
        <v>662.25142031999997</v>
      </c>
      <c r="L780" s="350">
        <f t="shared" si="54"/>
        <v>132.45028406399999</v>
      </c>
      <c r="M780" s="350" t="s">
        <v>6169</v>
      </c>
      <c r="N780" s="1" t="s">
        <v>3989</v>
      </c>
      <c r="O780" s="1" t="s">
        <v>4413</v>
      </c>
      <c r="P780" s="396" t="s">
        <v>3659</v>
      </c>
      <c r="Q780" s="397">
        <v>0.2</v>
      </c>
      <c r="R780" s="396">
        <v>1900001336</v>
      </c>
      <c r="S780" s="588" t="s">
        <v>3475</v>
      </c>
      <c r="T780" s="588" t="s">
        <v>5915</v>
      </c>
    </row>
    <row r="781" spans="1:21" s="594" customFormat="1" hidden="1" x14ac:dyDescent="0.35">
      <c r="A781" s="595" t="s">
        <v>4502</v>
      </c>
      <c r="B781" s="596" t="s">
        <v>52</v>
      </c>
      <c r="C781" s="583">
        <v>43502</v>
      </c>
      <c r="D781" s="3">
        <v>43502</v>
      </c>
      <c r="E781" s="583" t="s">
        <v>200</v>
      </c>
      <c r="F781" s="394" t="s">
        <v>4412</v>
      </c>
      <c r="G781" s="601" t="s">
        <v>3655</v>
      </c>
      <c r="H781" s="1" t="s">
        <v>3656</v>
      </c>
      <c r="I781" s="418">
        <f t="shared" si="52"/>
        <v>5986.6050370000003</v>
      </c>
      <c r="J781" s="418">
        <f t="shared" si="56"/>
        <v>1191.9572000000001</v>
      </c>
      <c r="K781" s="351">
        <f t="shared" si="53"/>
        <v>662.25142031999997</v>
      </c>
      <c r="L781" s="350">
        <f t="shared" si="54"/>
        <v>132.45028406399999</v>
      </c>
      <c r="M781" s="350" t="s">
        <v>6169</v>
      </c>
      <c r="N781" s="596" t="s">
        <v>3785</v>
      </c>
      <c r="O781" s="1" t="s">
        <v>4413</v>
      </c>
      <c r="P781" s="396" t="s">
        <v>3659</v>
      </c>
      <c r="Q781" s="397">
        <v>0.2</v>
      </c>
      <c r="R781" s="396">
        <v>1900001336</v>
      </c>
      <c r="S781" s="588" t="s">
        <v>3475</v>
      </c>
      <c r="T781" s="588" t="s">
        <v>5915</v>
      </c>
    </row>
    <row r="782" spans="1:21" s="594" customFormat="1" hidden="1" x14ac:dyDescent="0.35">
      <c r="A782" s="595" t="s">
        <v>4503</v>
      </c>
      <c r="B782" s="596" t="s">
        <v>52</v>
      </c>
      <c r="C782" s="583">
        <v>43502</v>
      </c>
      <c r="D782" s="3">
        <v>43502</v>
      </c>
      <c r="E782" s="583" t="s">
        <v>201</v>
      </c>
      <c r="F782" s="394" t="s">
        <v>4412</v>
      </c>
      <c r="G782" s="601" t="s">
        <v>3655</v>
      </c>
      <c r="H782" s="1" t="s">
        <v>3656</v>
      </c>
      <c r="I782" s="418">
        <f t="shared" si="52"/>
        <v>5986.6050370000003</v>
      </c>
      <c r="J782" s="418">
        <f t="shared" si="56"/>
        <v>1191.9572000000001</v>
      </c>
      <c r="K782" s="351">
        <f t="shared" si="53"/>
        <v>662.25142031999997</v>
      </c>
      <c r="L782" s="350">
        <f t="shared" si="54"/>
        <v>132.45028406399999</v>
      </c>
      <c r="M782" s="350" t="s">
        <v>6169</v>
      </c>
      <c r="N782" s="596" t="s">
        <v>3785</v>
      </c>
      <c r="O782" s="1" t="s">
        <v>4413</v>
      </c>
      <c r="P782" s="396" t="s">
        <v>3659</v>
      </c>
      <c r="Q782" s="397">
        <v>0.2</v>
      </c>
      <c r="R782" s="396">
        <v>1900001336</v>
      </c>
      <c r="S782" s="588" t="s">
        <v>3475</v>
      </c>
      <c r="T782" s="588" t="s">
        <v>5915</v>
      </c>
    </row>
    <row r="783" spans="1:21" s="561" customFormat="1" hidden="1" x14ac:dyDescent="0.35">
      <c r="A783" s="556" t="s">
        <v>4504</v>
      </c>
      <c r="B783" s="557" t="s">
        <v>55</v>
      </c>
      <c r="C783" s="558">
        <v>43502</v>
      </c>
      <c r="D783" s="3">
        <v>43502</v>
      </c>
      <c r="E783" s="558" t="s">
        <v>202</v>
      </c>
      <c r="F783" s="394" t="s">
        <v>4412</v>
      </c>
      <c r="G783" s="559" t="s">
        <v>3655</v>
      </c>
      <c r="H783" s="1" t="s">
        <v>3656</v>
      </c>
      <c r="I783" s="418">
        <f t="shared" si="52"/>
        <v>5986.6050370000003</v>
      </c>
      <c r="J783" s="418">
        <f t="shared" si="56"/>
        <v>1191.9572000000001</v>
      </c>
      <c r="K783" s="351">
        <f t="shared" si="53"/>
        <v>662.25142031999997</v>
      </c>
      <c r="L783" s="350">
        <f t="shared" si="54"/>
        <v>132.45028406399999</v>
      </c>
      <c r="M783" s="350" t="s">
        <v>6169</v>
      </c>
      <c r="N783" s="557" t="s">
        <v>3785</v>
      </c>
      <c r="O783" s="1" t="s">
        <v>4413</v>
      </c>
      <c r="P783" s="396" t="s">
        <v>3659</v>
      </c>
      <c r="Q783" s="397">
        <v>0.2</v>
      </c>
      <c r="R783" s="396">
        <v>1900001336</v>
      </c>
      <c r="S783" s="560" t="s">
        <v>2617</v>
      </c>
      <c r="T783" s="560" t="s">
        <v>5915</v>
      </c>
    </row>
    <row r="784" spans="1:21" s="594" customFormat="1" hidden="1" x14ac:dyDescent="0.35">
      <c r="A784" s="595" t="s">
        <v>4505</v>
      </c>
      <c r="B784" s="596" t="s">
        <v>52</v>
      </c>
      <c r="C784" s="583">
        <v>43502</v>
      </c>
      <c r="D784" s="3">
        <v>43502</v>
      </c>
      <c r="E784" s="583" t="s">
        <v>203</v>
      </c>
      <c r="F784" s="394" t="s">
        <v>4412</v>
      </c>
      <c r="G784" s="601" t="s">
        <v>3655</v>
      </c>
      <c r="H784" s="1" t="s">
        <v>3656</v>
      </c>
      <c r="I784" s="418">
        <f t="shared" si="52"/>
        <v>5986.6050370000003</v>
      </c>
      <c r="J784" s="418">
        <f t="shared" si="56"/>
        <v>1191.9572000000001</v>
      </c>
      <c r="K784" s="351">
        <f t="shared" si="53"/>
        <v>662.25142031999997</v>
      </c>
      <c r="L784" s="350">
        <f t="shared" si="54"/>
        <v>132.45028406399999</v>
      </c>
      <c r="M784" s="350" t="s">
        <v>6169</v>
      </c>
      <c r="N784" s="1" t="s">
        <v>3989</v>
      </c>
      <c r="O784" s="1" t="s">
        <v>4413</v>
      </c>
      <c r="P784" s="396" t="s">
        <v>3659</v>
      </c>
      <c r="Q784" s="397">
        <v>0.2</v>
      </c>
      <c r="R784" s="396">
        <v>1900001336</v>
      </c>
      <c r="S784" s="588" t="s">
        <v>3475</v>
      </c>
      <c r="T784" s="588" t="s">
        <v>5915</v>
      </c>
    </row>
    <row r="785" spans="1:20" s="594" customFormat="1" hidden="1" x14ac:dyDescent="0.35">
      <c r="A785" s="595" t="s">
        <v>4506</v>
      </c>
      <c r="B785" s="596" t="s">
        <v>52</v>
      </c>
      <c r="C785" s="583">
        <v>43502</v>
      </c>
      <c r="D785" s="3">
        <v>43502</v>
      </c>
      <c r="E785" s="583" t="s">
        <v>204</v>
      </c>
      <c r="F785" s="394" t="s">
        <v>4412</v>
      </c>
      <c r="G785" s="601" t="s">
        <v>6161</v>
      </c>
      <c r="H785" s="1" t="s">
        <v>3656</v>
      </c>
      <c r="I785" s="418">
        <f t="shared" si="52"/>
        <v>5986.6050370000003</v>
      </c>
      <c r="J785" s="418">
        <f t="shared" si="56"/>
        <v>1191.9572000000001</v>
      </c>
      <c r="K785" s="351">
        <f t="shared" si="53"/>
        <v>662.25142031999997</v>
      </c>
      <c r="L785" s="350">
        <f t="shared" si="54"/>
        <v>132.45028406399999</v>
      </c>
      <c r="M785" s="350" t="s">
        <v>6169</v>
      </c>
      <c r="N785" s="596" t="s">
        <v>3785</v>
      </c>
      <c r="O785" s="1" t="s">
        <v>4413</v>
      </c>
      <c r="P785" s="396" t="s">
        <v>3659</v>
      </c>
      <c r="Q785" s="397">
        <v>0.2</v>
      </c>
      <c r="R785" s="396">
        <v>1900001336</v>
      </c>
      <c r="S785" s="588" t="s">
        <v>3475</v>
      </c>
      <c r="T785" s="588" t="s">
        <v>5915</v>
      </c>
    </row>
    <row r="786" spans="1:20" s="594" customFormat="1" hidden="1" x14ac:dyDescent="0.35">
      <c r="A786" s="595" t="s">
        <v>4507</v>
      </c>
      <c r="B786" s="596" t="s">
        <v>52</v>
      </c>
      <c r="C786" s="583">
        <v>43502</v>
      </c>
      <c r="D786" s="3">
        <v>43502</v>
      </c>
      <c r="E786" s="583" t="s">
        <v>205</v>
      </c>
      <c r="F786" s="394" t="s">
        <v>4412</v>
      </c>
      <c r="G786" s="601" t="s">
        <v>3655</v>
      </c>
      <c r="H786" s="1" t="s">
        <v>3656</v>
      </c>
      <c r="I786" s="418">
        <f t="shared" si="52"/>
        <v>5986.6050370000003</v>
      </c>
      <c r="J786" s="418">
        <f t="shared" si="56"/>
        <v>1191.9572000000001</v>
      </c>
      <c r="K786" s="351">
        <f t="shared" si="53"/>
        <v>662.25142031999997</v>
      </c>
      <c r="L786" s="350">
        <f t="shared" si="54"/>
        <v>132.45028406399999</v>
      </c>
      <c r="M786" s="350" t="s">
        <v>6169</v>
      </c>
      <c r="N786" s="1" t="s">
        <v>3989</v>
      </c>
      <c r="O786" s="1" t="s">
        <v>4413</v>
      </c>
      <c r="P786" s="396" t="s">
        <v>3659</v>
      </c>
      <c r="Q786" s="397">
        <v>0.2</v>
      </c>
      <c r="R786" s="396">
        <v>1900001336</v>
      </c>
      <c r="S786" s="588" t="s">
        <v>3475</v>
      </c>
      <c r="T786" s="588" t="s">
        <v>5915</v>
      </c>
    </row>
    <row r="787" spans="1:20" s="594" customFormat="1" hidden="1" x14ac:dyDescent="0.35">
      <c r="A787" s="595" t="s">
        <v>4508</v>
      </c>
      <c r="B787" s="596" t="s">
        <v>52</v>
      </c>
      <c r="C787" s="583">
        <v>43502</v>
      </c>
      <c r="D787" s="3">
        <v>43502</v>
      </c>
      <c r="E787" s="583" t="s">
        <v>206</v>
      </c>
      <c r="F787" s="394" t="s">
        <v>4412</v>
      </c>
      <c r="G787" s="601" t="s">
        <v>3655</v>
      </c>
      <c r="H787" s="1" t="s">
        <v>3656</v>
      </c>
      <c r="I787" s="418">
        <f t="shared" si="52"/>
        <v>5986.6050370000003</v>
      </c>
      <c r="J787" s="418">
        <f t="shared" si="56"/>
        <v>1191.9572000000001</v>
      </c>
      <c r="K787" s="351">
        <f t="shared" si="53"/>
        <v>662.25142031999997</v>
      </c>
      <c r="L787" s="350">
        <f t="shared" si="54"/>
        <v>132.45028406399999</v>
      </c>
      <c r="M787" s="350" t="s">
        <v>6169</v>
      </c>
      <c r="N787" s="1" t="s">
        <v>3989</v>
      </c>
      <c r="O787" s="1" t="s">
        <v>4413</v>
      </c>
      <c r="P787" s="396" t="s">
        <v>3659</v>
      </c>
      <c r="Q787" s="397">
        <v>0.2</v>
      </c>
      <c r="R787" s="396">
        <v>1900001336</v>
      </c>
      <c r="S787" s="588" t="s">
        <v>3475</v>
      </c>
      <c r="T787" s="588" t="s">
        <v>5915</v>
      </c>
    </row>
    <row r="788" spans="1:20" s="561" customFormat="1" hidden="1" x14ac:dyDescent="0.35">
      <c r="A788" s="556" t="s">
        <v>4509</v>
      </c>
      <c r="B788" s="557" t="s">
        <v>52</v>
      </c>
      <c r="C788" s="558">
        <v>43502</v>
      </c>
      <c r="D788" s="3">
        <v>43502</v>
      </c>
      <c r="E788" s="558" t="s">
        <v>207</v>
      </c>
      <c r="F788" s="394" t="s">
        <v>4412</v>
      </c>
      <c r="G788" s="559" t="s">
        <v>3655</v>
      </c>
      <c r="H788" s="1" t="s">
        <v>3656</v>
      </c>
      <c r="I788" s="418">
        <f t="shared" si="52"/>
        <v>5986.6050370000003</v>
      </c>
      <c r="J788" s="418">
        <f t="shared" si="56"/>
        <v>1191.9572000000001</v>
      </c>
      <c r="K788" s="351">
        <f t="shared" si="53"/>
        <v>662.25142031999997</v>
      </c>
      <c r="L788" s="350">
        <f t="shared" si="54"/>
        <v>132.45028406399999</v>
      </c>
      <c r="M788" s="350" t="s">
        <v>6169</v>
      </c>
      <c r="N788" s="557" t="s">
        <v>3785</v>
      </c>
      <c r="O788" s="1" t="s">
        <v>4413</v>
      </c>
      <c r="P788" s="396" t="s">
        <v>3659</v>
      </c>
      <c r="Q788" s="397">
        <v>0.2</v>
      </c>
      <c r="R788" s="396">
        <v>1900001336</v>
      </c>
      <c r="S788" s="560" t="s">
        <v>1664</v>
      </c>
      <c r="T788" s="560" t="s">
        <v>5915</v>
      </c>
    </row>
    <row r="789" spans="1:20" s="561" customFormat="1" hidden="1" x14ac:dyDescent="0.35">
      <c r="A789" s="556" t="s">
        <v>4510</v>
      </c>
      <c r="B789" s="557" t="s">
        <v>52</v>
      </c>
      <c r="C789" s="558">
        <v>43502</v>
      </c>
      <c r="D789" s="3">
        <v>43502</v>
      </c>
      <c r="E789" s="558" t="s">
        <v>208</v>
      </c>
      <c r="F789" s="394" t="s">
        <v>4412</v>
      </c>
      <c r="G789" s="559" t="s">
        <v>3655</v>
      </c>
      <c r="H789" s="1" t="s">
        <v>3656</v>
      </c>
      <c r="I789" s="418">
        <f t="shared" si="52"/>
        <v>5986.6050370000003</v>
      </c>
      <c r="J789" s="418">
        <f t="shared" si="56"/>
        <v>1191.9572000000001</v>
      </c>
      <c r="K789" s="351">
        <f t="shared" si="53"/>
        <v>662.25142031999997</v>
      </c>
      <c r="L789" s="350">
        <f t="shared" si="54"/>
        <v>132.45028406399999</v>
      </c>
      <c r="M789" s="350" t="s">
        <v>6169</v>
      </c>
      <c r="N789" s="1" t="s">
        <v>3989</v>
      </c>
      <c r="O789" s="1" t="s">
        <v>4413</v>
      </c>
      <c r="P789" s="396" t="s">
        <v>3659</v>
      </c>
      <c r="Q789" s="397">
        <v>0.2</v>
      </c>
      <c r="R789" s="396">
        <v>1900001336</v>
      </c>
      <c r="S789" s="560" t="s">
        <v>2617</v>
      </c>
      <c r="T789" s="560" t="s">
        <v>5915</v>
      </c>
    </row>
    <row r="790" spans="1:20" s="594" customFormat="1" hidden="1" x14ac:dyDescent="0.35">
      <c r="A790" s="595" t="s">
        <v>4511</v>
      </c>
      <c r="B790" s="596" t="s">
        <v>52</v>
      </c>
      <c r="C790" s="583">
        <v>43502</v>
      </c>
      <c r="D790" s="3">
        <v>43502</v>
      </c>
      <c r="E790" s="583" t="s">
        <v>209</v>
      </c>
      <c r="F790" s="394" t="s">
        <v>4412</v>
      </c>
      <c r="G790" s="601" t="s">
        <v>3655</v>
      </c>
      <c r="H790" s="1" t="s">
        <v>3656</v>
      </c>
      <c r="I790" s="418">
        <f t="shared" si="52"/>
        <v>5986.6050370000003</v>
      </c>
      <c r="J790" s="418">
        <f t="shared" si="56"/>
        <v>1191.9572000000001</v>
      </c>
      <c r="K790" s="351">
        <f t="shared" si="53"/>
        <v>662.25142031999997</v>
      </c>
      <c r="L790" s="350">
        <f t="shared" si="54"/>
        <v>132.45028406399999</v>
      </c>
      <c r="M790" s="350" t="s">
        <v>6169</v>
      </c>
      <c r="N790" s="1" t="s">
        <v>3989</v>
      </c>
      <c r="O790" s="1" t="s">
        <v>4413</v>
      </c>
      <c r="P790" s="396" t="s">
        <v>3659</v>
      </c>
      <c r="Q790" s="397">
        <v>0.2</v>
      </c>
      <c r="R790" s="396">
        <v>1900001336</v>
      </c>
      <c r="S790" s="588" t="s">
        <v>3475</v>
      </c>
      <c r="T790" s="588" t="s">
        <v>5915</v>
      </c>
    </row>
    <row r="791" spans="1:20" s="561" customFormat="1" hidden="1" x14ac:dyDescent="0.35">
      <c r="A791" s="556" t="s">
        <v>4512</v>
      </c>
      <c r="B791" s="557" t="s">
        <v>55</v>
      </c>
      <c r="C791" s="558">
        <v>43502</v>
      </c>
      <c r="D791" s="3">
        <v>43502</v>
      </c>
      <c r="E791" s="558" t="s">
        <v>210</v>
      </c>
      <c r="F791" s="394" t="s">
        <v>4412</v>
      </c>
      <c r="G791" s="559" t="s">
        <v>3655</v>
      </c>
      <c r="H791" s="1" t="s">
        <v>3656</v>
      </c>
      <c r="I791" s="418">
        <f t="shared" si="52"/>
        <v>5986.6050370000003</v>
      </c>
      <c r="J791" s="418">
        <f t="shared" si="56"/>
        <v>1191.9572000000001</v>
      </c>
      <c r="K791" s="351">
        <f t="shared" si="53"/>
        <v>662.25142031999997</v>
      </c>
      <c r="L791" s="350">
        <f t="shared" si="54"/>
        <v>132.45028406399999</v>
      </c>
      <c r="M791" s="350" t="s">
        <v>6169</v>
      </c>
      <c r="N791" s="557" t="s">
        <v>3785</v>
      </c>
      <c r="O791" s="1" t="s">
        <v>4413</v>
      </c>
      <c r="P791" s="396" t="s">
        <v>3659</v>
      </c>
      <c r="Q791" s="397">
        <v>0.2</v>
      </c>
      <c r="R791" s="396">
        <v>1900001336</v>
      </c>
      <c r="S791" s="560" t="s">
        <v>2617</v>
      </c>
      <c r="T791" s="560" t="s">
        <v>5915</v>
      </c>
    </row>
    <row r="792" spans="1:20" s="594" customFormat="1" hidden="1" x14ac:dyDescent="0.35">
      <c r="A792" s="595" t="s">
        <v>4513</v>
      </c>
      <c r="B792" s="596" t="s">
        <v>52</v>
      </c>
      <c r="C792" s="583">
        <v>43502</v>
      </c>
      <c r="D792" s="3">
        <v>43502</v>
      </c>
      <c r="E792" s="583" t="s">
        <v>212</v>
      </c>
      <c r="F792" s="394" t="s">
        <v>4412</v>
      </c>
      <c r="G792" s="601" t="s">
        <v>3655</v>
      </c>
      <c r="H792" s="1" t="s">
        <v>3656</v>
      </c>
      <c r="I792" s="418">
        <f t="shared" si="52"/>
        <v>5986.6050370000003</v>
      </c>
      <c r="J792" s="418">
        <f t="shared" si="56"/>
        <v>1191.9572000000001</v>
      </c>
      <c r="K792" s="351">
        <f t="shared" si="53"/>
        <v>662.25142031999997</v>
      </c>
      <c r="L792" s="350">
        <f t="shared" si="54"/>
        <v>132.45028406399999</v>
      </c>
      <c r="M792" s="350" t="s">
        <v>6169</v>
      </c>
      <c r="N792" s="1" t="s">
        <v>3989</v>
      </c>
      <c r="O792" s="1" t="s">
        <v>4413</v>
      </c>
      <c r="P792" s="396" t="s">
        <v>3659</v>
      </c>
      <c r="Q792" s="397">
        <v>0.2</v>
      </c>
      <c r="R792" s="396">
        <v>1900001336</v>
      </c>
      <c r="S792" s="588" t="s">
        <v>3475</v>
      </c>
      <c r="T792" s="588" t="s">
        <v>5915</v>
      </c>
    </row>
    <row r="793" spans="1:20" s="594" customFormat="1" hidden="1" x14ac:dyDescent="0.35">
      <c r="A793" s="595" t="s">
        <v>4514</v>
      </c>
      <c r="B793" s="596" t="s">
        <v>52</v>
      </c>
      <c r="C793" s="583">
        <v>43502</v>
      </c>
      <c r="D793" s="3">
        <v>43502</v>
      </c>
      <c r="E793" s="583" t="s">
        <v>213</v>
      </c>
      <c r="F793" s="394" t="s">
        <v>4412</v>
      </c>
      <c r="G793" s="601" t="s">
        <v>3655</v>
      </c>
      <c r="H793" s="1" t="s">
        <v>3656</v>
      </c>
      <c r="I793" s="418">
        <f t="shared" si="52"/>
        <v>5986.6050370000003</v>
      </c>
      <c r="J793" s="418">
        <f t="shared" si="56"/>
        <v>1191.9572000000001</v>
      </c>
      <c r="K793" s="351">
        <f t="shared" si="53"/>
        <v>662.25142031999997</v>
      </c>
      <c r="L793" s="350">
        <f t="shared" si="54"/>
        <v>132.45028406399999</v>
      </c>
      <c r="M793" s="350" t="s">
        <v>6169</v>
      </c>
      <c r="N793" s="1" t="s">
        <v>3989</v>
      </c>
      <c r="O793" s="1" t="s">
        <v>4413</v>
      </c>
      <c r="P793" s="396" t="s">
        <v>3659</v>
      </c>
      <c r="Q793" s="397">
        <v>0.2</v>
      </c>
      <c r="R793" s="396">
        <v>1900001336</v>
      </c>
      <c r="S793" s="588" t="s">
        <v>3475</v>
      </c>
      <c r="T793" s="588" t="s">
        <v>5915</v>
      </c>
    </row>
    <row r="794" spans="1:20" s="594" customFormat="1" hidden="1" x14ac:dyDescent="0.35">
      <c r="A794" s="595" t="s">
        <v>4515</v>
      </c>
      <c r="B794" s="596" t="s">
        <v>52</v>
      </c>
      <c r="C794" s="583">
        <v>43502</v>
      </c>
      <c r="D794" s="3">
        <v>43502</v>
      </c>
      <c r="E794" s="583" t="s">
        <v>214</v>
      </c>
      <c r="F794" s="394" t="s">
        <v>4412</v>
      </c>
      <c r="G794" s="601" t="s">
        <v>3655</v>
      </c>
      <c r="H794" s="1" t="s">
        <v>3656</v>
      </c>
      <c r="I794" s="418">
        <f t="shared" si="52"/>
        <v>5986.6050370000003</v>
      </c>
      <c r="J794" s="418">
        <f t="shared" si="56"/>
        <v>1191.9572000000001</v>
      </c>
      <c r="K794" s="351">
        <f t="shared" si="53"/>
        <v>662.25142031999997</v>
      </c>
      <c r="L794" s="350">
        <f t="shared" si="54"/>
        <v>132.45028406399999</v>
      </c>
      <c r="M794" s="350" t="s">
        <v>6169</v>
      </c>
      <c r="N794" s="1" t="s">
        <v>3989</v>
      </c>
      <c r="O794" s="1" t="s">
        <v>4413</v>
      </c>
      <c r="P794" s="396" t="s">
        <v>3659</v>
      </c>
      <c r="Q794" s="397">
        <v>0.2</v>
      </c>
      <c r="R794" s="396">
        <v>1900001336</v>
      </c>
      <c r="S794" s="588" t="s">
        <v>3475</v>
      </c>
      <c r="T794" s="588" t="s">
        <v>5915</v>
      </c>
    </row>
    <row r="795" spans="1:20" s="594" customFormat="1" hidden="1" x14ac:dyDescent="0.35">
      <c r="A795" s="595" t="s">
        <v>4516</v>
      </c>
      <c r="B795" s="596" t="s">
        <v>52</v>
      </c>
      <c r="C795" s="583">
        <v>43502</v>
      </c>
      <c r="D795" s="3">
        <v>43502</v>
      </c>
      <c r="E795" s="583" t="s">
        <v>215</v>
      </c>
      <c r="F795" s="394" t="s">
        <v>4412</v>
      </c>
      <c r="G795" s="601" t="s">
        <v>3655</v>
      </c>
      <c r="H795" s="1" t="s">
        <v>3656</v>
      </c>
      <c r="I795" s="418">
        <f t="shared" si="52"/>
        <v>5986.6050370000003</v>
      </c>
      <c r="J795" s="418">
        <f t="shared" si="56"/>
        <v>1191.9572000000001</v>
      </c>
      <c r="K795" s="351">
        <f t="shared" si="53"/>
        <v>662.25142031999997</v>
      </c>
      <c r="L795" s="350">
        <f t="shared" si="54"/>
        <v>132.45028406399999</v>
      </c>
      <c r="M795" s="350" t="s">
        <v>6169</v>
      </c>
      <c r="N795" s="1" t="s">
        <v>3989</v>
      </c>
      <c r="O795" s="1" t="s">
        <v>4413</v>
      </c>
      <c r="P795" s="396" t="s">
        <v>3659</v>
      </c>
      <c r="Q795" s="397">
        <v>0.2</v>
      </c>
      <c r="R795" s="396">
        <v>1900001336</v>
      </c>
      <c r="S795" s="588" t="s">
        <v>3475</v>
      </c>
      <c r="T795" s="588" t="s">
        <v>5915</v>
      </c>
    </row>
    <row r="796" spans="1:20" s="594" customFormat="1" hidden="1" x14ac:dyDescent="0.35">
      <c r="A796" s="595" t="s">
        <v>4517</v>
      </c>
      <c r="B796" s="596" t="s">
        <v>52</v>
      </c>
      <c r="C796" s="583">
        <v>43502</v>
      </c>
      <c r="D796" s="3">
        <v>43502</v>
      </c>
      <c r="E796" s="583" t="s">
        <v>216</v>
      </c>
      <c r="F796" s="394" t="s">
        <v>4412</v>
      </c>
      <c r="G796" s="601" t="s">
        <v>3655</v>
      </c>
      <c r="H796" s="1" t="s">
        <v>3656</v>
      </c>
      <c r="I796" s="418">
        <f t="shared" si="52"/>
        <v>5986.6050370000003</v>
      </c>
      <c r="J796" s="418">
        <f t="shared" si="56"/>
        <v>1191.9572000000001</v>
      </c>
      <c r="K796" s="351">
        <f t="shared" si="53"/>
        <v>662.25142031999997</v>
      </c>
      <c r="L796" s="350">
        <f t="shared" si="54"/>
        <v>132.45028406399999</v>
      </c>
      <c r="M796" s="350" t="s">
        <v>6169</v>
      </c>
      <c r="N796" s="1" t="s">
        <v>3989</v>
      </c>
      <c r="O796" s="1" t="s">
        <v>4413</v>
      </c>
      <c r="P796" s="396" t="s">
        <v>3659</v>
      </c>
      <c r="Q796" s="397">
        <v>0.2</v>
      </c>
      <c r="R796" s="396">
        <v>1900001336</v>
      </c>
      <c r="S796" s="588" t="s">
        <v>3475</v>
      </c>
      <c r="T796" s="588" t="s">
        <v>5915</v>
      </c>
    </row>
    <row r="797" spans="1:20" s="561" customFormat="1" hidden="1" x14ac:dyDescent="0.35">
      <c r="A797" s="556" t="s">
        <v>4518</v>
      </c>
      <c r="B797" s="557" t="s">
        <v>52</v>
      </c>
      <c r="C797" s="558">
        <v>43502</v>
      </c>
      <c r="D797" s="3">
        <v>43502</v>
      </c>
      <c r="E797" s="558" t="s">
        <v>217</v>
      </c>
      <c r="F797" s="394" t="s">
        <v>4412</v>
      </c>
      <c r="G797" s="559" t="s">
        <v>3655</v>
      </c>
      <c r="H797" s="1" t="s">
        <v>3656</v>
      </c>
      <c r="I797" s="418">
        <f t="shared" ref="I797:I860" si="57">+J797*5.0225</f>
        <v>5986.6050370000003</v>
      </c>
      <c r="J797" s="418">
        <f t="shared" si="56"/>
        <v>1191.9572000000001</v>
      </c>
      <c r="K797" s="351">
        <f t="shared" ref="K797:K860" si="58">+J797*(0.5556)</f>
        <v>662.25142031999997</v>
      </c>
      <c r="L797" s="350">
        <f t="shared" ref="L797:L860" si="59">+K797*Q797</f>
        <v>132.45028406399999</v>
      </c>
      <c r="M797" s="350" t="s">
        <v>6169</v>
      </c>
      <c r="N797" s="557" t="s">
        <v>3785</v>
      </c>
      <c r="O797" s="1" t="s">
        <v>4413</v>
      </c>
      <c r="P797" s="396" t="s">
        <v>3659</v>
      </c>
      <c r="Q797" s="397">
        <v>0.2</v>
      </c>
      <c r="R797" s="396">
        <v>1900001336</v>
      </c>
      <c r="S797" s="560" t="s">
        <v>2617</v>
      </c>
      <c r="T797" s="560" t="s">
        <v>5915</v>
      </c>
    </row>
    <row r="798" spans="1:20" s="594" customFormat="1" hidden="1" x14ac:dyDescent="0.35">
      <c r="A798" s="595" t="s">
        <v>4519</v>
      </c>
      <c r="B798" s="596" t="s">
        <v>52</v>
      </c>
      <c r="C798" s="583">
        <v>43502</v>
      </c>
      <c r="D798" s="3">
        <v>43502</v>
      </c>
      <c r="E798" s="583" t="s">
        <v>219</v>
      </c>
      <c r="F798" s="394" t="s">
        <v>4412</v>
      </c>
      <c r="G798" s="601" t="s">
        <v>3655</v>
      </c>
      <c r="H798" s="1" t="s">
        <v>3656</v>
      </c>
      <c r="I798" s="418">
        <f t="shared" si="57"/>
        <v>5986.6050370000003</v>
      </c>
      <c r="J798" s="418">
        <f t="shared" si="56"/>
        <v>1191.9572000000001</v>
      </c>
      <c r="K798" s="351">
        <f t="shared" si="58"/>
        <v>662.25142031999997</v>
      </c>
      <c r="L798" s="350">
        <f t="shared" si="59"/>
        <v>132.45028406399999</v>
      </c>
      <c r="M798" s="350" t="s">
        <v>6169</v>
      </c>
      <c r="N798" s="1" t="s">
        <v>3989</v>
      </c>
      <c r="O798" s="1" t="s">
        <v>4413</v>
      </c>
      <c r="P798" s="396" t="s">
        <v>3659</v>
      </c>
      <c r="Q798" s="397">
        <v>0.2</v>
      </c>
      <c r="R798" s="396">
        <v>1900001336</v>
      </c>
      <c r="S798" s="588" t="s">
        <v>3475</v>
      </c>
      <c r="T798" s="588" t="s">
        <v>5915</v>
      </c>
    </row>
    <row r="799" spans="1:20" s="594" customFormat="1" hidden="1" x14ac:dyDescent="0.35">
      <c r="A799" s="595" t="s">
        <v>4520</v>
      </c>
      <c r="B799" s="596" t="s">
        <v>52</v>
      </c>
      <c r="C799" s="583">
        <v>43502</v>
      </c>
      <c r="D799" s="3">
        <v>43502</v>
      </c>
      <c r="E799" s="583" t="s">
        <v>220</v>
      </c>
      <c r="F799" s="394" t="s">
        <v>4412</v>
      </c>
      <c r="G799" s="601" t="s">
        <v>3655</v>
      </c>
      <c r="H799" s="1" t="s">
        <v>3656</v>
      </c>
      <c r="I799" s="418">
        <f t="shared" si="57"/>
        <v>5986.6050370000003</v>
      </c>
      <c r="J799" s="418">
        <f t="shared" si="56"/>
        <v>1191.9572000000001</v>
      </c>
      <c r="K799" s="351">
        <f t="shared" si="58"/>
        <v>662.25142031999997</v>
      </c>
      <c r="L799" s="350">
        <f t="shared" si="59"/>
        <v>132.45028406399999</v>
      </c>
      <c r="M799" s="350" t="s">
        <v>6169</v>
      </c>
      <c r="N799" s="1" t="s">
        <v>3989</v>
      </c>
      <c r="O799" s="1" t="s">
        <v>4413</v>
      </c>
      <c r="P799" s="396" t="s">
        <v>3659</v>
      </c>
      <c r="Q799" s="397">
        <v>0.2</v>
      </c>
      <c r="R799" s="396">
        <v>1900001336</v>
      </c>
      <c r="S799" s="588" t="s">
        <v>3475</v>
      </c>
      <c r="T799" s="588" t="s">
        <v>5915</v>
      </c>
    </row>
    <row r="800" spans="1:20" s="594" customFormat="1" hidden="1" x14ac:dyDescent="0.35">
      <c r="A800" s="595" t="s">
        <v>4521</v>
      </c>
      <c r="B800" s="596" t="s">
        <v>52</v>
      </c>
      <c r="C800" s="583">
        <v>43502</v>
      </c>
      <c r="D800" s="3">
        <v>43502</v>
      </c>
      <c r="E800" s="583" t="s">
        <v>221</v>
      </c>
      <c r="F800" s="394" t="s">
        <v>4412</v>
      </c>
      <c r="G800" s="601" t="s">
        <v>3655</v>
      </c>
      <c r="H800" s="1" t="s">
        <v>3656</v>
      </c>
      <c r="I800" s="418">
        <f t="shared" si="57"/>
        <v>5986.6050370000003</v>
      </c>
      <c r="J800" s="418">
        <f t="shared" si="56"/>
        <v>1191.9572000000001</v>
      </c>
      <c r="K800" s="351">
        <f t="shared" si="58"/>
        <v>662.25142031999997</v>
      </c>
      <c r="L800" s="350">
        <f t="shared" si="59"/>
        <v>132.45028406399999</v>
      </c>
      <c r="M800" s="350" t="s">
        <v>6169</v>
      </c>
      <c r="N800" s="596" t="s">
        <v>3785</v>
      </c>
      <c r="O800" s="1" t="s">
        <v>4413</v>
      </c>
      <c r="P800" s="396" t="s">
        <v>3659</v>
      </c>
      <c r="Q800" s="397">
        <v>0.2</v>
      </c>
      <c r="R800" s="396">
        <v>1900001336</v>
      </c>
      <c r="S800" s="588" t="s">
        <v>3475</v>
      </c>
      <c r="T800" s="588" t="s">
        <v>5915</v>
      </c>
    </row>
    <row r="801" spans="1:20" s="594" customFormat="1" hidden="1" x14ac:dyDescent="0.35">
      <c r="A801" s="595" t="s">
        <v>4522</v>
      </c>
      <c r="B801" s="596" t="s">
        <v>52</v>
      </c>
      <c r="C801" s="583">
        <v>43502</v>
      </c>
      <c r="D801" s="3">
        <v>43502</v>
      </c>
      <c r="E801" s="583" t="s">
        <v>222</v>
      </c>
      <c r="F801" s="394" t="s">
        <v>4412</v>
      </c>
      <c r="G801" s="601" t="s">
        <v>3655</v>
      </c>
      <c r="H801" s="1" t="s">
        <v>3656</v>
      </c>
      <c r="I801" s="418">
        <f t="shared" si="57"/>
        <v>5986.6050370000003</v>
      </c>
      <c r="J801" s="418">
        <f t="shared" si="56"/>
        <v>1191.9572000000001</v>
      </c>
      <c r="K801" s="351">
        <f t="shared" si="58"/>
        <v>662.25142031999997</v>
      </c>
      <c r="L801" s="350">
        <f t="shared" si="59"/>
        <v>132.45028406399999</v>
      </c>
      <c r="M801" s="350" t="s">
        <v>6169</v>
      </c>
      <c r="N801" s="596" t="s">
        <v>3785</v>
      </c>
      <c r="O801" s="1" t="s">
        <v>4413</v>
      </c>
      <c r="P801" s="396" t="s">
        <v>3659</v>
      </c>
      <c r="Q801" s="397">
        <v>0.2</v>
      </c>
      <c r="R801" s="396">
        <v>1900001336</v>
      </c>
      <c r="S801" s="588" t="s">
        <v>3475</v>
      </c>
      <c r="T801" s="588" t="s">
        <v>5915</v>
      </c>
    </row>
    <row r="802" spans="1:20" s="594" customFormat="1" hidden="1" x14ac:dyDescent="0.35">
      <c r="A802" s="595" t="s">
        <v>4523</v>
      </c>
      <c r="B802" s="596" t="s">
        <v>52</v>
      </c>
      <c r="C802" s="583">
        <v>43502</v>
      </c>
      <c r="D802" s="3">
        <v>43502</v>
      </c>
      <c r="E802" s="583" t="s">
        <v>223</v>
      </c>
      <c r="F802" s="394" t="s">
        <v>4412</v>
      </c>
      <c r="G802" s="601" t="s">
        <v>3655</v>
      </c>
      <c r="H802" s="1" t="s">
        <v>3656</v>
      </c>
      <c r="I802" s="418">
        <f t="shared" si="57"/>
        <v>5986.6050370000003</v>
      </c>
      <c r="J802" s="418">
        <f t="shared" si="56"/>
        <v>1191.9572000000001</v>
      </c>
      <c r="K802" s="351">
        <f t="shared" si="58"/>
        <v>662.25142031999997</v>
      </c>
      <c r="L802" s="350">
        <f t="shared" si="59"/>
        <v>132.45028406399999</v>
      </c>
      <c r="M802" s="350" t="s">
        <v>6169</v>
      </c>
      <c r="N802" s="1" t="s">
        <v>3989</v>
      </c>
      <c r="O802" s="1" t="s">
        <v>4413</v>
      </c>
      <c r="P802" s="396" t="s">
        <v>3659</v>
      </c>
      <c r="Q802" s="397">
        <v>0.2</v>
      </c>
      <c r="R802" s="396">
        <v>1900001336</v>
      </c>
      <c r="S802" s="588" t="s">
        <v>3475</v>
      </c>
      <c r="T802" s="588" t="s">
        <v>5915</v>
      </c>
    </row>
    <row r="803" spans="1:20" s="594" customFormat="1" hidden="1" x14ac:dyDescent="0.35">
      <c r="A803" s="595" t="s">
        <v>4524</v>
      </c>
      <c r="B803" s="596" t="s">
        <v>52</v>
      </c>
      <c r="C803" s="583">
        <v>43502</v>
      </c>
      <c r="D803" s="3">
        <v>43502</v>
      </c>
      <c r="E803" s="583" t="s">
        <v>224</v>
      </c>
      <c r="F803" s="394" t="s">
        <v>4412</v>
      </c>
      <c r="G803" s="601" t="s">
        <v>3655</v>
      </c>
      <c r="H803" s="1" t="s">
        <v>3656</v>
      </c>
      <c r="I803" s="418">
        <f t="shared" si="57"/>
        <v>5986.6050370000003</v>
      </c>
      <c r="J803" s="418">
        <f t="shared" si="56"/>
        <v>1191.9572000000001</v>
      </c>
      <c r="K803" s="351">
        <f t="shared" si="58"/>
        <v>662.25142031999997</v>
      </c>
      <c r="L803" s="350">
        <f t="shared" si="59"/>
        <v>132.45028406399999</v>
      </c>
      <c r="M803" s="350" t="s">
        <v>6169</v>
      </c>
      <c r="N803" s="1" t="s">
        <v>3989</v>
      </c>
      <c r="O803" s="1" t="s">
        <v>4413</v>
      </c>
      <c r="P803" s="396" t="s">
        <v>3659</v>
      </c>
      <c r="Q803" s="397">
        <v>0.2</v>
      </c>
      <c r="R803" s="396">
        <v>1900001336</v>
      </c>
      <c r="S803" s="588" t="s">
        <v>3475</v>
      </c>
      <c r="T803" s="588" t="s">
        <v>5915</v>
      </c>
    </row>
    <row r="804" spans="1:20" s="594" customFormat="1" hidden="1" x14ac:dyDescent="0.35">
      <c r="A804" s="595" t="s">
        <v>4525</v>
      </c>
      <c r="B804" s="596" t="s">
        <v>52</v>
      </c>
      <c r="C804" s="583">
        <v>43502</v>
      </c>
      <c r="D804" s="3">
        <v>43502</v>
      </c>
      <c r="E804" s="583" t="s">
        <v>225</v>
      </c>
      <c r="F804" s="394" t="s">
        <v>4412</v>
      </c>
      <c r="G804" s="601" t="s">
        <v>3655</v>
      </c>
      <c r="H804" s="1" t="s">
        <v>3656</v>
      </c>
      <c r="I804" s="418">
        <f t="shared" si="57"/>
        <v>5986.6050370000003</v>
      </c>
      <c r="J804" s="418">
        <f t="shared" si="56"/>
        <v>1191.9572000000001</v>
      </c>
      <c r="K804" s="351">
        <f t="shared" si="58"/>
        <v>662.25142031999997</v>
      </c>
      <c r="L804" s="350">
        <f t="shared" si="59"/>
        <v>132.45028406399999</v>
      </c>
      <c r="M804" s="350" t="s">
        <v>6169</v>
      </c>
      <c r="N804" s="1" t="s">
        <v>3989</v>
      </c>
      <c r="O804" s="1" t="s">
        <v>4413</v>
      </c>
      <c r="P804" s="396" t="s">
        <v>3659</v>
      </c>
      <c r="Q804" s="397">
        <v>0.2</v>
      </c>
      <c r="R804" s="396">
        <v>1900001336</v>
      </c>
      <c r="S804" s="588" t="s">
        <v>3475</v>
      </c>
      <c r="T804" s="588" t="s">
        <v>5915</v>
      </c>
    </row>
    <row r="805" spans="1:20" s="594" customFormat="1" hidden="1" x14ac:dyDescent="0.35">
      <c r="A805" s="595" t="s">
        <v>4526</v>
      </c>
      <c r="B805" s="596" t="s">
        <v>52</v>
      </c>
      <c r="C805" s="583">
        <v>43502</v>
      </c>
      <c r="D805" s="3">
        <v>43502</v>
      </c>
      <c r="E805" s="583" t="s">
        <v>226</v>
      </c>
      <c r="F805" s="394" t="s">
        <v>4412</v>
      </c>
      <c r="G805" s="601" t="s">
        <v>3655</v>
      </c>
      <c r="H805" s="1" t="s">
        <v>3656</v>
      </c>
      <c r="I805" s="418">
        <f t="shared" si="57"/>
        <v>5986.6050370000003</v>
      </c>
      <c r="J805" s="418">
        <f t="shared" si="56"/>
        <v>1191.9572000000001</v>
      </c>
      <c r="K805" s="351">
        <f t="shared" si="58"/>
        <v>662.25142031999997</v>
      </c>
      <c r="L805" s="350">
        <f t="shared" si="59"/>
        <v>132.45028406399999</v>
      </c>
      <c r="M805" s="350" t="s">
        <v>6169</v>
      </c>
      <c r="N805" s="1" t="s">
        <v>3989</v>
      </c>
      <c r="O805" s="1" t="s">
        <v>4413</v>
      </c>
      <c r="P805" s="396" t="s">
        <v>3659</v>
      </c>
      <c r="Q805" s="397">
        <v>0.2</v>
      </c>
      <c r="R805" s="396">
        <v>1900001336</v>
      </c>
      <c r="S805" s="588" t="s">
        <v>3475</v>
      </c>
      <c r="T805" s="588" t="s">
        <v>5915</v>
      </c>
    </row>
    <row r="806" spans="1:20" s="594" customFormat="1" hidden="1" x14ac:dyDescent="0.35">
      <c r="A806" s="595" t="s">
        <v>4527</v>
      </c>
      <c r="B806" s="596" t="s">
        <v>52</v>
      </c>
      <c r="C806" s="583">
        <v>43502</v>
      </c>
      <c r="D806" s="3">
        <v>43502</v>
      </c>
      <c r="E806" s="583" t="s">
        <v>227</v>
      </c>
      <c r="F806" s="394" t="s">
        <v>4412</v>
      </c>
      <c r="G806" s="601" t="s">
        <v>3655</v>
      </c>
      <c r="H806" s="1" t="s">
        <v>3656</v>
      </c>
      <c r="I806" s="418">
        <f t="shared" si="57"/>
        <v>5986.6050370000003</v>
      </c>
      <c r="J806" s="418">
        <f t="shared" si="56"/>
        <v>1191.9572000000001</v>
      </c>
      <c r="K806" s="351">
        <f t="shared" si="58"/>
        <v>662.25142031999997</v>
      </c>
      <c r="L806" s="350">
        <f t="shared" si="59"/>
        <v>132.45028406399999</v>
      </c>
      <c r="M806" s="350" t="s">
        <v>6169</v>
      </c>
      <c r="N806" s="1" t="s">
        <v>3989</v>
      </c>
      <c r="O806" s="1" t="s">
        <v>4413</v>
      </c>
      <c r="P806" s="396" t="s">
        <v>3659</v>
      </c>
      <c r="Q806" s="397">
        <v>0.2</v>
      </c>
      <c r="R806" s="396">
        <v>1900001336</v>
      </c>
      <c r="S806" s="588" t="s">
        <v>3475</v>
      </c>
      <c r="T806" s="588" t="s">
        <v>5915</v>
      </c>
    </row>
    <row r="807" spans="1:20" s="594" customFormat="1" hidden="1" x14ac:dyDescent="0.35">
      <c r="A807" s="595" t="s">
        <v>4528</v>
      </c>
      <c r="B807" s="596" t="s">
        <v>52</v>
      </c>
      <c r="C807" s="583">
        <v>43502</v>
      </c>
      <c r="D807" s="3">
        <v>43502</v>
      </c>
      <c r="E807" s="583" t="s">
        <v>228</v>
      </c>
      <c r="F807" s="394" t="s">
        <v>4412</v>
      </c>
      <c r="G807" s="601" t="s">
        <v>3655</v>
      </c>
      <c r="H807" s="1" t="s">
        <v>3656</v>
      </c>
      <c r="I807" s="418">
        <f t="shared" si="57"/>
        <v>5986.6050370000003</v>
      </c>
      <c r="J807" s="418">
        <f t="shared" si="56"/>
        <v>1191.9572000000001</v>
      </c>
      <c r="K807" s="351">
        <f t="shared" si="58"/>
        <v>662.25142031999997</v>
      </c>
      <c r="L807" s="350">
        <f t="shared" si="59"/>
        <v>132.45028406399999</v>
      </c>
      <c r="M807" s="350" t="s">
        <v>6169</v>
      </c>
      <c r="N807" s="596" t="s">
        <v>3785</v>
      </c>
      <c r="O807" s="1" t="s">
        <v>4413</v>
      </c>
      <c r="P807" s="396" t="s">
        <v>3659</v>
      </c>
      <c r="Q807" s="397">
        <v>0.2</v>
      </c>
      <c r="R807" s="396">
        <v>1900001336</v>
      </c>
      <c r="S807" s="588" t="s">
        <v>3475</v>
      </c>
      <c r="T807" s="588" t="s">
        <v>5915</v>
      </c>
    </row>
    <row r="808" spans="1:20" s="594" customFormat="1" hidden="1" x14ac:dyDescent="0.35">
      <c r="A808" s="595" t="s">
        <v>4529</v>
      </c>
      <c r="B808" s="596" t="s">
        <v>229</v>
      </c>
      <c r="C808" s="583">
        <v>43502</v>
      </c>
      <c r="D808" s="3">
        <v>43502</v>
      </c>
      <c r="E808" s="583" t="s">
        <v>230</v>
      </c>
      <c r="F808" s="394" t="s">
        <v>4412</v>
      </c>
      <c r="G808" s="601" t="s">
        <v>3655</v>
      </c>
      <c r="H808" s="1" t="s">
        <v>3656</v>
      </c>
      <c r="I808" s="418">
        <f t="shared" si="57"/>
        <v>7280.9851537500008</v>
      </c>
      <c r="J808" s="418">
        <f t="shared" ref="J808:J826" si="60">1407.45*1.03</f>
        <v>1449.6735000000001</v>
      </c>
      <c r="K808" s="351">
        <f t="shared" si="58"/>
        <v>805.43859659999998</v>
      </c>
      <c r="L808" s="350">
        <f t="shared" si="59"/>
        <v>161.08771932000002</v>
      </c>
      <c r="M808" s="350" t="s">
        <v>6169</v>
      </c>
      <c r="N808" s="1" t="s">
        <v>3989</v>
      </c>
      <c r="O808" s="1" t="s">
        <v>4413</v>
      </c>
      <c r="P808" s="396" t="s">
        <v>3659</v>
      </c>
      <c r="Q808" s="397">
        <v>0.2</v>
      </c>
      <c r="R808" s="396">
        <v>1900001336</v>
      </c>
      <c r="S808" s="588" t="s">
        <v>3475</v>
      </c>
      <c r="T808" s="588" t="s">
        <v>5915</v>
      </c>
    </row>
    <row r="809" spans="1:20" s="594" customFormat="1" hidden="1" x14ac:dyDescent="0.35">
      <c r="A809" s="595" t="s">
        <v>4530</v>
      </c>
      <c r="B809" s="596" t="s">
        <v>229</v>
      </c>
      <c r="C809" s="583">
        <v>43502</v>
      </c>
      <c r="D809" s="3">
        <v>43502</v>
      </c>
      <c r="E809" s="583" t="s">
        <v>231</v>
      </c>
      <c r="F809" s="394" t="s">
        <v>4412</v>
      </c>
      <c r="G809" s="601" t="s">
        <v>3655</v>
      </c>
      <c r="H809" s="1" t="s">
        <v>3656</v>
      </c>
      <c r="I809" s="418">
        <f t="shared" si="57"/>
        <v>7280.9851537500008</v>
      </c>
      <c r="J809" s="418">
        <f t="shared" si="60"/>
        <v>1449.6735000000001</v>
      </c>
      <c r="K809" s="351">
        <f t="shared" si="58"/>
        <v>805.43859659999998</v>
      </c>
      <c r="L809" s="350">
        <f t="shared" si="59"/>
        <v>161.08771932000002</v>
      </c>
      <c r="M809" s="350" t="s">
        <v>6169</v>
      </c>
      <c r="N809" s="1" t="s">
        <v>3989</v>
      </c>
      <c r="O809" s="1" t="s">
        <v>4413</v>
      </c>
      <c r="P809" s="396" t="s">
        <v>3659</v>
      </c>
      <c r="Q809" s="397">
        <v>0.2</v>
      </c>
      <c r="R809" s="396">
        <v>1900001336</v>
      </c>
      <c r="S809" s="588" t="s">
        <v>3475</v>
      </c>
      <c r="T809" s="588" t="s">
        <v>5915</v>
      </c>
    </row>
    <row r="810" spans="1:20" s="619" customFormat="1" hidden="1" x14ac:dyDescent="0.35">
      <c r="A810" s="663" t="s">
        <v>4531</v>
      </c>
      <c r="B810" s="658" t="s">
        <v>229</v>
      </c>
      <c r="C810" s="659">
        <v>43502</v>
      </c>
      <c r="D810" s="3">
        <v>43502</v>
      </c>
      <c r="E810" s="659" t="s">
        <v>232</v>
      </c>
      <c r="F810" s="394" t="s">
        <v>4412</v>
      </c>
      <c r="G810" s="666" t="s">
        <v>3655</v>
      </c>
      <c r="H810" s="1" t="s">
        <v>3656</v>
      </c>
      <c r="I810" s="418">
        <f t="shared" si="57"/>
        <v>7280.9851537500008</v>
      </c>
      <c r="J810" s="418">
        <f t="shared" si="60"/>
        <v>1449.6735000000001</v>
      </c>
      <c r="K810" s="351">
        <f t="shared" si="58"/>
        <v>805.43859659999998</v>
      </c>
      <c r="L810" s="350">
        <f t="shared" si="59"/>
        <v>161.08771932000002</v>
      </c>
      <c r="M810" s="350" t="s">
        <v>6169</v>
      </c>
      <c r="N810" s="596" t="s">
        <v>3785</v>
      </c>
      <c r="O810" s="1" t="s">
        <v>4413</v>
      </c>
      <c r="P810" s="396" t="s">
        <v>3659</v>
      </c>
      <c r="Q810" s="397">
        <v>0.2</v>
      </c>
      <c r="R810" s="396">
        <v>1900001336</v>
      </c>
      <c r="S810" s="618" t="s">
        <v>6226</v>
      </c>
      <c r="T810" s="618" t="s">
        <v>5915</v>
      </c>
    </row>
    <row r="811" spans="1:20" s="594" customFormat="1" hidden="1" x14ac:dyDescent="0.35">
      <c r="A811" s="595" t="s">
        <v>4532</v>
      </c>
      <c r="B811" s="596" t="s">
        <v>229</v>
      </c>
      <c r="C811" s="583">
        <v>43502</v>
      </c>
      <c r="D811" s="3">
        <v>43502</v>
      </c>
      <c r="E811" s="583" t="s">
        <v>233</v>
      </c>
      <c r="F811" s="394" t="s">
        <v>4412</v>
      </c>
      <c r="G811" s="601" t="s">
        <v>3655</v>
      </c>
      <c r="H811" s="1" t="s">
        <v>3656</v>
      </c>
      <c r="I811" s="418">
        <f t="shared" si="57"/>
        <v>7280.9851537500008</v>
      </c>
      <c r="J811" s="418">
        <f t="shared" si="60"/>
        <v>1449.6735000000001</v>
      </c>
      <c r="K811" s="351">
        <f t="shared" si="58"/>
        <v>805.43859659999998</v>
      </c>
      <c r="L811" s="350">
        <f t="shared" si="59"/>
        <v>161.08771932000002</v>
      </c>
      <c r="M811" s="350" t="s">
        <v>6169</v>
      </c>
      <c r="N811" s="1" t="s">
        <v>3989</v>
      </c>
      <c r="O811" s="1" t="s">
        <v>4413</v>
      </c>
      <c r="P811" s="396" t="s">
        <v>3659</v>
      </c>
      <c r="Q811" s="397">
        <v>0.2</v>
      </c>
      <c r="R811" s="396">
        <v>1900001336</v>
      </c>
      <c r="S811" s="588" t="s">
        <v>3475</v>
      </c>
      <c r="T811" s="588" t="s">
        <v>5915</v>
      </c>
    </row>
    <row r="812" spans="1:20" s="594" customFormat="1" hidden="1" x14ac:dyDescent="0.35">
      <c r="A812" s="595" t="s">
        <v>4533</v>
      </c>
      <c r="B812" s="596" t="s">
        <v>229</v>
      </c>
      <c r="C812" s="583">
        <v>43502</v>
      </c>
      <c r="D812" s="3">
        <v>43502</v>
      </c>
      <c r="E812" s="583" t="s">
        <v>234</v>
      </c>
      <c r="F812" s="394" t="s">
        <v>4412</v>
      </c>
      <c r="G812" s="601" t="s">
        <v>3655</v>
      </c>
      <c r="H812" s="1" t="s">
        <v>3656</v>
      </c>
      <c r="I812" s="418">
        <f t="shared" si="57"/>
        <v>7280.9851537500008</v>
      </c>
      <c r="J812" s="418">
        <f t="shared" si="60"/>
        <v>1449.6735000000001</v>
      </c>
      <c r="K812" s="351">
        <f t="shared" si="58"/>
        <v>805.43859659999998</v>
      </c>
      <c r="L812" s="350">
        <f t="shared" si="59"/>
        <v>161.08771932000002</v>
      </c>
      <c r="M812" s="350" t="s">
        <v>6169</v>
      </c>
      <c r="N812" s="1" t="s">
        <v>3989</v>
      </c>
      <c r="O812" s="1" t="s">
        <v>4413</v>
      </c>
      <c r="P812" s="396" t="s">
        <v>3659</v>
      </c>
      <c r="Q812" s="397">
        <v>0.2</v>
      </c>
      <c r="R812" s="396">
        <v>1900001336</v>
      </c>
      <c r="S812" s="588" t="s">
        <v>3475</v>
      </c>
      <c r="T812" s="588" t="s">
        <v>5915</v>
      </c>
    </row>
    <row r="813" spans="1:20" s="594" customFormat="1" hidden="1" x14ac:dyDescent="0.35">
      <c r="A813" s="595" t="s">
        <v>4534</v>
      </c>
      <c r="B813" s="596" t="s">
        <v>229</v>
      </c>
      <c r="C813" s="583">
        <v>43502</v>
      </c>
      <c r="D813" s="3">
        <v>43502</v>
      </c>
      <c r="E813" s="583" t="s">
        <v>235</v>
      </c>
      <c r="F813" s="394" t="s">
        <v>4412</v>
      </c>
      <c r="G813" s="601" t="s">
        <v>3655</v>
      </c>
      <c r="H813" s="1" t="s">
        <v>3656</v>
      </c>
      <c r="I813" s="418">
        <f t="shared" si="57"/>
        <v>7280.9851537500008</v>
      </c>
      <c r="J813" s="418">
        <f t="shared" si="60"/>
        <v>1449.6735000000001</v>
      </c>
      <c r="K813" s="351">
        <f t="shared" si="58"/>
        <v>805.43859659999998</v>
      </c>
      <c r="L813" s="350">
        <f t="shared" si="59"/>
        <v>161.08771932000002</v>
      </c>
      <c r="M813" s="350" t="s">
        <v>6169</v>
      </c>
      <c r="N813" s="1" t="s">
        <v>3989</v>
      </c>
      <c r="O813" s="1" t="s">
        <v>4413</v>
      </c>
      <c r="P813" s="396" t="s">
        <v>3659</v>
      </c>
      <c r="Q813" s="397">
        <v>0.2</v>
      </c>
      <c r="R813" s="396">
        <v>1900001336</v>
      </c>
      <c r="S813" s="588" t="s">
        <v>3475</v>
      </c>
      <c r="T813" s="588" t="s">
        <v>5915</v>
      </c>
    </row>
    <row r="814" spans="1:20" s="561" customFormat="1" hidden="1" x14ac:dyDescent="0.35">
      <c r="A814" s="556" t="s">
        <v>4535</v>
      </c>
      <c r="B814" s="557" t="s">
        <v>229</v>
      </c>
      <c r="C814" s="558">
        <v>43502</v>
      </c>
      <c r="D814" s="3">
        <v>43502</v>
      </c>
      <c r="E814" s="558" t="s">
        <v>236</v>
      </c>
      <c r="F814" s="394" t="s">
        <v>4412</v>
      </c>
      <c r="G814" s="559" t="s">
        <v>3655</v>
      </c>
      <c r="H814" s="1" t="s">
        <v>3656</v>
      </c>
      <c r="I814" s="418">
        <f t="shared" si="57"/>
        <v>7280.9851537500008</v>
      </c>
      <c r="J814" s="418">
        <f t="shared" si="60"/>
        <v>1449.6735000000001</v>
      </c>
      <c r="K814" s="351">
        <f t="shared" si="58"/>
        <v>805.43859659999998</v>
      </c>
      <c r="L814" s="350">
        <f t="shared" si="59"/>
        <v>161.08771932000002</v>
      </c>
      <c r="M814" s="350" t="s">
        <v>6169</v>
      </c>
      <c r="N814" s="557" t="s">
        <v>3785</v>
      </c>
      <c r="O814" s="1" t="s">
        <v>4413</v>
      </c>
      <c r="P814" s="396" t="s">
        <v>3659</v>
      </c>
      <c r="Q814" s="397">
        <v>0.2</v>
      </c>
      <c r="R814" s="396">
        <v>1900001336</v>
      </c>
      <c r="S814" s="560" t="s">
        <v>2617</v>
      </c>
      <c r="T814" s="560" t="s">
        <v>5915</v>
      </c>
    </row>
    <row r="815" spans="1:20" s="594" customFormat="1" hidden="1" x14ac:dyDescent="0.35">
      <c r="A815" s="595" t="s">
        <v>4536</v>
      </c>
      <c r="B815" s="596" t="s">
        <v>229</v>
      </c>
      <c r="C815" s="583">
        <v>43502</v>
      </c>
      <c r="D815" s="3">
        <v>43502</v>
      </c>
      <c r="E815" s="583" t="s">
        <v>238</v>
      </c>
      <c r="F815" s="394" t="s">
        <v>4412</v>
      </c>
      <c r="G815" s="601" t="s">
        <v>3655</v>
      </c>
      <c r="H815" s="1" t="s">
        <v>3656</v>
      </c>
      <c r="I815" s="418">
        <f t="shared" si="57"/>
        <v>7280.9851537500008</v>
      </c>
      <c r="J815" s="418">
        <f t="shared" si="60"/>
        <v>1449.6735000000001</v>
      </c>
      <c r="K815" s="351">
        <f t="shared" si="58"/>
        <v>805.43859659999998</v>
      </c>
      <c r="L815" s="350">
        <f t="shared" si="59"/>
        <v>161.08771932000002</v>
      </c>
      <c r="M815" s="350" t="s">
        <v>6169</v>
      </c>
      <c r="N815" s="1" t="s">
        <v>3989</v>
      </c>
      <c r="O815" s="1" t="s">
        <v>4413</v>
      </c>
      <c r="P815" s="396" t="s">
        <v>3659</v>
      </c>
      <c r="Q815" s="397">
        <v>0.2</v>
      </c>
      <c r="R815" s="396">
        <v>1900001336</v>
      </c>
      <c r="S815" s="588" t="s">
        <v>3475</v>
      </c>
      <c r="T815" s="588" t="s">
        <v>5915</v>
      </c>
    </row>
    <row r="816" spans="1:20" s="594" customFormat="1" hidden="1" x14ac:dyDescent="0.35">
      <c r="A816" s="595" t="s">
        <v>4537</v>
      </c>
      <c r="B816" s="596" t="s">
        <v>229</v>
      </c>
      <c r="C816" s="583">
        <v>43502</v>
      </c>
      <c r="D816" s="3">
        <v>43502</v>
      </c>
      <c r="E816" s="583" t="s">
        <v>239</v>
      </c>
      <c r="F816" s="394" t="s">
        <v>4412</v>
      </c>
      <c r="G816" s="601" t="s">
        <v>3655</v>
      </c>
      <c r="H816" s="1" t="s">
        <v>3656</v>
      </c>
      <c r="I816" s="418">
        <f t="shared" si="57"/>
        <v>7280.9851537500008</v>
      </c>
      <c r="J816" s="418">
        <f t="shared" si="60"/>
        <v>1449.6735000000001</v>
      </c>
      <c r="K816" s="351">
        <f t="shared" si="58"/>
        <v>805.43859659999998</v>
      </c>
      <c r="L816" s="350">
        <f t="shared" si="59"/>
        <v>161.08771932000002</v>
      </c>
      <c r="M816" s="350" t="s">
        <v>6169</v>
      </c>
      <c r="N816" s="1" t="s">
        <v>3989</v>
      </c>
      <c r="O816" s="1" t="s">
        <v>4413</v>
      </c>
      <c r="P816" s="396" t="s">
        <v>3659</v>
      </c>
      <c r="Q816" s="397">
        <v>0.2</v>
      </c>
      <c r="R816" s="396">
        <v>1900001336</v>
      </c>
      <c r="S816" s="588" t="s">
        <v>3475</v>
      </c>
      <c r="T816" s="588" t="s">
        <v>5915</v>
      </c>
    </row>
    <row r="817" spans="1:20" s="594" customFormat="1" hidden="1" x14ac:dyDescent="0.35">
      <c r="A817" s="595" t="s">
        <v>4538</v>
      </c>
      <c r="B817" s="596" t="s">
        <v>229</v>
      </c>
      <c r="C817" s="583">
        <v>43502</v>
      </c>
      <c r="D817" s="3">
        <v>43502</v>
      </c>
      <c r="E817" s="583" t="s">
        <v>240</v>
      </c>
      <c r="F817" s="394" t="s">
        <v>4412</v>
      </c>
      <c r="G817" s="601" t="s">
        <v>3655</v>
      </c>
      <c r="H817" s="1" t="s">
        <v>3656</v>
      </c>
      <c r="I817" s="418">
        <f t="shared" si="57"/>
        <v>7280.9851537500008</v>
      </c>
      <c r="J817" s="418">
        <f t="shared" si="60"/>
        <v>1449.6735000000001</v>
      </c>
      <c r="K817" s="351">
        <f t="shared" si="58"/>
        <v>805.43859659999998</v>
      </c>
      <c r="L817" s="350">
        <f t="shared" si="59"/>
        <v>161.08771932000002</v>
      </c>
      <c r="M817" s="350" t="s">
        <v>6169</v>
      </c>
      <c r="N817" s="596" t="s">
        <v>3989</v>
      </c>
      <c r="O817" s="1" t="s">
        <v>4413</v>
      </c>
      <c r="P817" s="396" t="s">
        <v>3659</v>
      </c>
      <c r="Q817" s="397">
        <v>0.2</v>
      </c>
      <c r="R817" s="396">
        <v>1900001336</v>
      </c>
      <c r="S817" s="588" t="s">
        <v>3475</v>
      </c>
      <c r="T817" s="588" t="s">
        <v>5915</v>
      </c>
    </row>
    <row r="818" spans="1:20" s="594" customFormat="1" hidden="1" x14ac:dyDescent="0.35">
      <c r="A818" s="595" t="s">
        <v>4539</v>
      </c>
      <c r="B818" s="596" t="s">
        <v>229</v>
      </c>
      <c r="C818" s="583">
        <v>43502</v>
      </c>
      <c r="D818" s="3">
        <v>43502</v>
      </c>
      <c r="E818" s="583" t="s">
        <v>241</v>
      </c>
      <c r="F818" s="394" t="s">
        <v>4412</v>
      </c>
      <c r="G818" s="601" t="s">
        <v>3655</v>
      </c>
      <c r="H818" s="1" t="s">
        <v>3656</v>
      </c>
      <c r="I818" s="418">
        <f t="shared" si="57"/>
        <v>7280.9851537500008</v>
      </c>
      <c r="J818" s="418">
        <f t="shared" si="60"/>
        <v>1449.6735000000001</v>
      </c>
      <c r="K818" s="351">
        <f t="shared" si="58"/>
        <v>805.43859659999998</v>
      </c>
      <c r="L818" s="350">
        <f t="shared" si="59"/>
        <v>161.08771932000002</v>
      </c>
      <c r="M818" s="350" t="s">
        <v>6169</v>
      </c>
      <c r="N818" s="1" t="s">
        <v>3989</v>
      </c>
      <c r="O818" s="1" t="s">
        <v>4413</v>
      </c>
      <c r="P818" s="396" t="s">
        <v>3659</v>
      </c>
      <c r="Q818" s="397">
        <v>0.2</v>
      </c>
      <c r="R818" s="396">
        <v>1900001336</v>
      </c>
      <c r="S818" s="588" t="s">
        <v>3475</v>
      </c>
      <c r="T818" s="588" t="s">
        <v>5915</v>
      </c>
    </row>
    <row r="819" spans="1:20" s="594" customFormat="1" hidden="1" x14ac:dyDescent="0.35">
      <c r="A819" s="595" t="s">
        <v>4540</v>
      </c>
      <c r="B819" s="596" t="s">
        <v>229</v>
      </c>
      <c r="C819" s="583">
        <v>43502</v>
      </c>
      <c r="D819" s="3">
        <v>43502</v>
      </c>
      <c r="E819" s="583" t="s">
        <v>242</v>
      </c>
      <c r="F819" s="394" t="s">
        <v>4412</v>
      </c>
      <c r="G819" s="601" t="s">
        <v>3655</v>
      </c>
      <c r="H819" s="1" t="s">
        <v>3656</v>
      </c>
      <c r="I819" s="418">
        <f t="shared" si="57"/>
        <v>7280.9851537500008</v>
      </c>
      <c r="J819" s="418">
        <f t="shared" si="60"/>
        <v>1449.6735000000001</v>
      </c>
      <c r="K819" s="351">
        <f t="shared" si="58"/>
        <v>805.43859659999998</v>
      </c>
      <c r="L819" s="350">
        <f t="shared" si="59"/>
        <v>161.08771932000002</v>
      </c>
      <c r="M819" s="350" t="s">
        <v>6169</v>
      </c>
      <c r="N819" s="1" t="s">
        <v>3989</v>
      </c>
      <c r="O819" s="1" t="s">
        <v>4413</v>
      </c>
      <c r="P819" s="396" t="s">
        <v>3659</v>
      </c>
      <c r="Q819" s="397">
        <v>0.2</v>
      </c>
      <c r="R819" s="396">
        <v>1900001336</v>
      </c>
      <c r="S819" s="588" t="s">
        <v>3475</v>
      </c>
      <c r="T819" s="588" t="s">
        <v>5915</v>
      </c>
    </row>
    <row r="820" spans="1:20" s="594" customFormat="1" hidden="1" x14ac:dyDescent="0.35">
      <c r="A820" s="595" t="s">
        <v>4541</v>
      </c>
      <c r="B820" s="596" t="s">
        <v>229</v>
      </c>
      <c r="C820" s="583">
        <v>43502</v>
      </c>
      <c r="D820" s="3">
        <v>43502</v>
      </c>
      <c r="E820" s="583" t="s">
        <v>243</v>
      </c>
      <c r="F820" s="394" t="s">
        <v>4412</v>
      </c>
      <c r="G820" s="601" t="s">
        <v>3655</v>
      </c>
      <c r="H820" s="1" t="s">
        <v>3656</v>
      </c>
      <c r="I820" s="418">
        <f t="shared" si="57"/>
        <v>7280.9851537500008</v>
      </c>
      <c r="J820" s="418">
        <f t="shared" si="60"/>
        <v>1449.6735000000001</v>
      </c>
      <c r="K820" s="351">
        <f t="shared" si="58"/>
        <v>805.43859659999998</v>
      </c>
      <c r="L820" s="350">
        <f t="shared" si="59"/>
        <v>161.08771932000002</v>
      </c>
      <c r="M820" s="350" t="s">
        <v>6169</v>
      </c>
      <c r="N820" s="1" t="s">
        <v>3989</v>
      </c>
      <c r="O820" s="1" t="s">
        <v>4413</v>
      </c>
      <c r="P820" s="396" t="s">
        <v>3659</v>
      </c>
      <c r="Q820" s="397">
        <v>0.2</v>
      </c>
      <c r="R820" s="396">
        <v>1900001336</v>
      </c>
      <c r="S820" s="588" t="s">
        <v>3475</v>
      </c>
      <c r="T820" s="588" t="s">
        <v>5915</v>
      </c>
    </row>
    <row r="821" spans="1:20" s="594" customFormat="1" hidden="1" x14ac:dyDescent="0.35">
      <c r="A821" s="595" t="s">
        <v>4542</v>
      </c>
      <c r="B821" s="596" t="s">
        <v>229</v>
      </c>
      <c r="C821" s="583">
        <v>43502</v>
      </c>
      <c r="D821" s="3">
        <v>43502</v>
      </c>
      <c r="E821" s="583" t="s">
        <v>244</v>
      </c>
      <c r="F821" s="394" t="s">
        <v>4412</v>
      </c>
      <c r="G821" s="601" t="s">
        <v>3655</v>
      </c>
      <c r="H821" s="1" t="s">
        <v>3656</v>
      </c>
      <c r="I821" s="418">
        <f t="shared" si="57"/>
        <v>7280.9851537500008</v>
      </c>
      <c r="J821" s="418">
        <f t="shared" si="60"/>
        <v>1449.6735000000001</v>
      </c>
      <c r="K821" s="351">
        <f t="shared" si="58"/>
        <v>805.43859659999998</v>
      </c>
      <c r="L821" s="350">
        <f t="shared" si="59"/>
        <v>161.08771932000002</v>
      </c>
      <c r="M821" s="350" t="s">
        <v>6169</v>
      </c>
      <c r="N821" s="1" t="s">
        <v>3989</v>
      </c>
      <c r="O821" s="1" t="s">
        <v>4413</v>
      </c>
      <c r="P821" s="396" t="s">
        <v>3659</v>
      </c>
      <c r="Q821" s="397">
        <v>0.2</v>
      </c>
      <c r="R821" s="396">
        <v>1900001336</v>
      </c>
      <c r="S821" s="588" t="s">
        <v>3475</v>
      </c>
      <c r="T821" s="588" t="s">
        <v>5915</v>
      </c>
    </row>
    <row r="822" spans="1:20" s="594" customFormat="1" hidden="1" x14ac:dyDescent="0.35">
      <c r="A822" s="595" t="s">
        <v>4543</v>
      </c>
      <c r="B822" s="596" t="s">
        <v>229</v>
      </c>
      <c r="C822" s="583">
        <v>43502</v>
      </c>
      <c r="D822" s="3">
        <v>43502</v>
      </c>
      <c r="E822" s="583" t="s">
        <v>245</v>
      </c>
      <c r="F822" s="394" t="s">
        <v>4412</v>
      </c>
      <c r="G822" s="601" t="s">
        <v>3655</v>
      </c>
      <c r="H822" s="1" t="s">
        <v>3656</v>
      </c>
      <c r="I822" s="418">
        <f t="shared" si="57"/>
        <v>7280.9851537500008</v>
      </c>
      <c r="J822" s="418">
        <f t="shared" si="60"/>
        <v>1449.6735000000001</v>
      </c>
      <c r="K822" s="351">
        <f t="shared" si="58"/>
        <v>805.43859659999998</v>
      </c>
      <c r="L822" s="350">
        <f t="shared" si="59"/>
        <v>161.08771932000002</v>
      </c>
      <c r="M822" s="350" t="s">
        <v>6169</v>
      </c>
      <c r="N822" s="1" t="s">
        <v>3989</v>
      </c>
      <c r="O822" s="1" t="s">
        <v>4413</v>
      </c>
      <c r="P822" s="396" t="s">
        <v>3659</v>
      </c>
      <c r="Q822" s="397">
        <v>0.2</v>
      </c>
      <c r="R822" s="396">
        <v>1900001336</v>
      </c>
      <c r="S822" s="588" t="s">
        <v>3475</v>
      </c>
      <c r="T822" s="588" t="s">
        <v>5915</v>
      </c>
    </row>
    <row r="823" spans="1:20" s="594" customFormat="1" hidden="1" x14ac:dyDescent="0.35">
      <c r="A823" s="595" t="s">
        <v>4544</v>
      </c>
      <c r="B823" s="596" t="s">
        <v>229</v>
      </c>
      <c r="C823" s="583">
        <v>43502</v>
      </c>
      <c r="D823" s="3">
        <v>43502</v>
      </c>
      <c r="E823" s="583" t="s">
        <v>246</v>
      </c>
      <c r="F823" s="394" t="s">
        <v>4412</v>
      </c>
      <c r="G823" s="601" t="s">
        <v>3655</v>
      </c>
      <c r="H823" s="1" t="s">
        <v>3656</v>
      </c>
      <c r="I823" s="418">
        <f t="shared" si="57"/>
        <v>7280.9851537500008</v>
      </c>
      <c r="J823" s="418">
        <f t="shared" si="60"/>
        <v>1449.6735000000001</v>
      </c>
      <c r="K823" s="351">
        <f t="shared" si="58"/>
        <v>805.43859659999998</v>
      </c>
      <c r="L823" s="350">
        <f t="shared" si="59"/>
        <v>161.08771932000002</v>
      </c>
      <c r="M823" s="350" t="s">
        <v>6169</v>
      </c>
      <c r="N823" s="1" t="s">
        <v>3989</v>
      </c>
      <c r="O823" s="1" t="s">
        <v>4413</v>
      </c>
      <c r="P823" s="396" t="s">
        <v>3659</v>
      </c>
      <c r="Q823" s="397">
        <v>0.2</v>
      </c>
      <c r="R823" s="396">
        <v>1900001336</v>
      </c>
      <c r="S823" s="588" t="s">
        <v>3475</v>
      </c>
      <c r="T823" s="588" t="s">
        <v>5915</v>
      </c>
    </row>
    <row r="824" spans="1:20" s="594" customFormat="1" hidden="1" x14ac:dyDescent="0.35">
      <c r="A824" s="595" t="s">
        <v>4545</v>
      </c>
      <c r="B824" s="596" t="s">
        <v>229</v>
      </c>
      <c r="C824" s="583">
        <v>43502</v>
      </c>
      <c r="D824" s="3">
        <v>43502</v>
      </c>
      <c r="E824" s="583" t="s">
        <v>247</v>
      </c>
      <c r="F824" s="394" t="s">
        <v>4412</v>
      </c>
      <c r="G824" s="601" t="s">
        <v>3655</v>
      </c>
      <c r="H824" s="1" t="s">
        <v>3656</v>
      </c>
      <c r="I824" s="418">
        <f t="shared" si="57"/>
        <v>7280.9851537500008</v>
      </c>
      <c r="J824" s="418">
        <f t="shared" si="60"/>
        <v>1449.6735000000001</v>
      </c>
      <c r="K824" s="351">
        <f t="shared" si="58"/>
        <v>805.43859659999998</v>
      </c>
      <c r="L824" s="350">
        <f t="shared" si="59"/>
        <v>161.08771932000002</v>
      </c>
      <c r="M824" s="350" t="s">
        <v>6169</v>
      </c>
      <c r="N824" s="1" t="s">
        <v>3989</v>
      </c>
      <c r="O824" s="1" t="s">
        <v>4413</v>
      </c>
      <c r="P824" s="396" t="s">
        <v>3659</v>
      </c>
      <c r="Q824" s="397">
        <v>0.2</v>
      </c>
      <c r="R824" s="396">
        <v>1900001336</v>
      </c>
      <c r="S824" s="588" t="s">
        <v>3475</v>
      </c>
      <c r="T824" s="588" t="s">
        <v>5915</v>
      </c>
    </row>
    <row r="825" spans="1:20" s="594" customFormat="1" hidden="1" x14ac:dyDescent="0.35">
      <c r="A825" s="595" t="s">
        <v>4546</v>
      </c>
      <c r="B825" s="596" t="s">
        <v>229</v>
      </c>
      <c r="C825" s="583">
        <v>43502</v>
      </c>
      <c r="D825" s="3">
        <v>43502</v>
      </c>
      <c r="E825" s="583" t="s">
        <v>248</v>
      </c>
      <c r="F825" s="394" t="s">
        <v>4412</v>
      </c>
      <c r="G825" s="601" t="s">
        <v>3655</v>
      </c>
      <c r="H825" s="1" t="s">
        <v>3656</v>
      </c>
      <c r="I825" s="418">
        <f t="shared" si="57"/>
        <v>7280.9851537500008</v>
      </c>
      <c r="J825" s="418">
        <f t="shared" si="60"/>
        <v>1449.6735000000001</v>
      </c>
      <c r="K825" s="351">
        <f t="shared" si="58"/>
        <v>805.43859659999998</v>
      </c>
      <c r="L825" s="350">
        <f t="shared" si="59"/>
        <v>161.08771932000002</v>
      </c>
      <c r="M825" s="350" t="s">
        <v>6169</v>
      </c>
      <c r="N825" s="1" t="s">
        <v>3989</v>
      </c>
      <c r="O825" s="1" t="s">
        <v>4413</v>
      </c>
      <c r="P825" s="396" t="s">
        <v>3659</v>
      </c>
      <c r="Q825" s="397">
        <v>0.2</v>
      </c>
      <c r="R825" s="396">
        <v>1900001336</v>
      </c>
      <c r="S825" s="588" t="s">
        <v>3475</v>
      </c>
      <c r="T825" s="588" t="s">
        <v>5915</v>
      </c>
    </row>
    <row r="826" spans="1:20" s="594" customFormat="1" hidden="1" x14ac:dyDescent="0.35">
      <c r="A826" s="595" t="s">
        <v>4547</v>
      </c>
      <c r="B826" s="596" t="s">
        <v>229</v>
      </c>
      <c r="C826" s="583">
        <v>43502</v>
      </c>
      <c r="D826" s="3">
        <v>43502</v>
      </c>
      <c r="E826" s="583" t="s">
        <v>249</v>
      </c>
      <c r="F826" s="394" t="s">
        <v>4412</v>
      </c>
      <c r="G826" s="601" t="s">
        <v>3655</v>
      </c>
      <c r="H826" s="1" t="s">
        <v>3656</v>
      </c>
      <c r="I826" s="418">
        <f t="shared" si="57"/>
        <v>7280.9851537500008</v>
      </c>
      <c r="J826" s="418">
        <f t="shared" si="60"/>
        <v>1449.6735000000001</v>
      </c>
      <c r="K826" s="351">
        <f t="shared" si="58"/>
        <v>805.43859659999998</v>
      </c>
      <c r="L826" s="350">
        <f t="shared" si="59"/>
        <v>161.08771932000002</v>
      </c>
      <c r="M826" s="350" t="s">
        <v>6169</v>
      </c>
      <c r="N826" s="1" t="s">
        <v>3989</v>
      </c>
      <c r="O826" s="1" t="s">
        <v>4413</v>
      </c>
      <c r="P826" s="396" t="s">
        <v>3659</v>
      </c>
      <c r="Q826" s="397">
        <v>0.2</v>
      </c>
      <c r="R826" s="396">
        <v>1900001336</v>
      </c>
      <c r="S826" s="588" t="s">
        <v>3475</v>
      </c>
      <c r="T826" s="588" t="s">
        <v>5915</v>
      </c>
    </row>
    <row r="827" spans="1:20" s="619" customFormat="1" hidden="1" x14ac:dyDescent="0.35">
      <c r="A827" s="663" t="s">
        <v>4548</v>
      </c>
      <c r="B827" s="658" t="s">
        <v>229</v>
      </c>
      <c r="C827" s="659">
        <v>43502</v>
      </c>
      <c r="D827" s="3">
        <v>43502</v>
      </c>
      <c r="E827" s="659" t="s">
        <v>250</v>
      </c>
      <c r="F827" s="394" t="s">
        <v>4412</v>
      </c>
      <c r="G827" s="666" t="s">
        <v>3655</v>
      </c>
      <c r="H827" s="1" t="s">
        <v>3656</v>
      </c>
      <c r="I827" s="418">
        <f t="shared" si="57"/>
        <v>7280.9851537500008</v>
      </c>
      <c r="J827" s="418">
        <f>1407.45*1.03</f>
        <v>1449.6735000000001</v>
      </c>
      <c r="K827" s="351">
        <f t="shared" si="58"/>
        <v>805.43859659999998</v>
      </c>
      <c r="L827" s="350">
        <f t="shared" si="59"/>
        <v>161.08771932000002</v>
      </c>
      <c r="M827" s="350" t="s">
        <v>6169</v>
      </c>
      <c r="N827" s="658" t="s">
        <v>3785</v>
      </c>
      <c r="O827" s="1" t="s">
        <v>4413</v>
      </c>
      <c r="P827" s="396" t="s">
        <v>3659</v>
      </c>
      <c r="Q827" s="397">
        <v>0.2</v>
      </c>
      <c r="R827" s="396">
        <v>1900001336</v>
      </c>
      <c r="S827" s="618" t="s">
        <v>237</v>
      </c>
      <c r="T827" s="618" t="s">
        <v>5915</v>
      </c>
    </row>
    <row r="828" spans="1:20" s="594" customFormat="1" hidden="1" x14ac:dyDescent="0.35">
      <c r="A828" s="595" t="s">
        <v>4549</v>
      </c>
      <c r="B828" s="596" t="s">
        <v>229</v>
      </c>
      <c r="C828" s="583">
        <v>43502</v>
      </c>
      <c r="D828" s="3">
        <v>43502</v>
      </c>
      <c r="E828" s="583" t="s">
        <v>251</v>
      </c>
      <c r="F828" s="394" t="s">
        <v>4412</v>
      </c>
      <c r="G828" s="601" t="s">
        <v>3655</v>
      </c>
      <c r="H828" s="1" t="s">
        <v>3656</v>
      </c>
      <c r="I828" s="418">
        <f t="shared" si="57"/>
        <v>7280.9851537500008</v>
      </c>
      <c r="J828" s="418">
        <f t="shared" ref="J828:J847" si="61">1407.45*1.03</f>
        <v>1449.6735000000001</v>
      </c>
      <c r="K828" s="351">
        <f t="shared" si="58"/>
        <v>805.43859659999998</v>
      </c>
      <c r="L828" s="350">
        <f t="shared" si="59"/>
        <v>161.08771932000002</v>
      </c>
      <c r="M828" s="350" t="s">
        <v>6169</v>
      </c>
      <c r="N828" s="1" t="s">
        <v>3989</v>
      </c>
      <c r="O828" s="1" t="s">
        <v>4413</v>
      </c>
      <c r="P828" s="396" t="s">
        <v>3659</v>
      </c>
      <c r="Q828" s="397">
        <v>0.2</v>
      </c>
      <c r="R828" s="396">
        <v>1900001336</v>
      </c>
      <c r="S828" s="588" t="s">
        <v>3475</v>
      </c>
      <c r="T828" s="588" t="s">
        <v>5915</v>
      </c>
    </row>
    <row r="829" spans="1:20" s="594" customFormat="1" hidden="1" x14ac:dyDescent="0.35">
      <c r="A829" s="595" t="s">
        <v>4550</v>
      </c>
      <c r="B829" s="596" t="s">
        <v>229</v>
      </c>
      <c r="C829" s="583">
        <v>43502</v>
      </c>
      <c r="D829" s="3">
        <v>43502</v>
      </c>
      <c r="E829" s="583" t="s">
        <v>252</v>
      </c>
      <c r="F829" s="394" t="s">
        <v>4412</v>
      </c>
      <c r="G829" s="601" t="s">
        <v>3655</v>
      </c>
      <c r="H829" s="1" t="s">
        <v>3656</v>
      </c>
      <c r="I829" s="418">
        <f t="shared" si="57"/>
        <v>7280.9851537500008</v>
      </c>
      <c r="J829" s="418">
        <f t="shared" si="61"/>
        <v>1449.6735000000001</v>
      </c>
      <c r="K829" s="351">
        <f t="shared" si="58"/>
        <v>805.43859659999998</v>
      </c>
      <c r="L829" s="350">
        <f t="shared" si="59"/>
        <v>161.08771932000002</v>
      </c>
      <c r="M829" s="350" t="s">
        <v>6169</v>
      </c>
      <c r="N829" s="1" t="s">
        <v>3989</v>
      </c>
      <c r="O829" s="1" t="s">
        <v>4413</v>
      </c>
      <c r="P829" s="396" t="s">
        <v>3659</v>
      </c>
      <c r="Q829" s="397">
        <v>0.2</v>
      </c>
      <c r="R829" s="396">
        <v>1900001336</v>
      </c>
      <c r="S829" s="588" t="s">
        <v>3475</v>
      </c>
      <c r="T829" s="588" t="s">
        <v>5915</v>
      </c>
    </row>
    <row r="830" spans="1:20" s="594" customFormat="1" hidden="1" x14ac:dyDescent="0.35">
      <c r="A830" s="595" t="s">
        <v>4551</v>
      </c>
      <c r="B830" s="596" t="s">
        <v>229</v>
      </c>
      <c r="C830" s="583">
        <v>43502</v>
      </c>
      <c r="D830" s="3">
        <v>43502</v>
      </c>
      <c r="E830" s="583" t="s">
        <v>253</v>
      </c>
      <c r="F830" s="394" t="s">
        <v>4412</v>
      </c>
      <c r="G830" s="601" t="s">
        <v>3655</v>
      </c>
      <c r="H830" s="1" t="s">
        <v>3656</v>
      </c>
      <c r="I830" s="418">
        <f t="shared" si="57"/>
        <v>7280.9851537500008</v>
      </c>
      <c r="J830" s="418">
        <f t="shared" si="61"/>
        <v>1449.6735000000001</v>
      </c>
      <c r="K830" s="351">
        <f t="shared" si="58"/>
        <v>805.43859659999998</v>
      </c>
      <c r="L830" s="350">
        <f t="shared" si="59"/>
        <v>161.08771932000002</v>
      </c>
      <c r="M830" s="350" t="s">
        <v>6169</v>
      </c>
      <c r="N830" s="1" t="s">
        <v>3989</v>
      </c>
      <c r="O830" s="1" t="s">
        <v>4413</v>
      </c>
      <c r="P830" s="396" t="s">
        <v>3659</v>
      </c>
      <c r="Q830" s="397">
        <v>0.2</v>
      </c>
      <c r="R830" s="396">
        <v>1900001336</v>
      </c>
      <c r="S830" s="588" t="s">
        <v>3475</v>
      </c>
      <c r="T830" s="588" t="s">
        <v>5915</v>
      </c>
    </row>
    <row r="831" spans="1:20" s="594" customFormat="1" hidden="1" x14ac:dyDescent="0.35">
      <c r="A831" s="595" t="s">
        <v>4552</v>
      </c>
      <c r="B831" s="596" t="s">
        <v>229</v>
      </c>
      <c r="C831" s="583">
        <v>43502</v>
      </c>
      <c r="D831" s="3">
        <v>43502</v>
      </c>
      <c r="E831" s="583" t="s">
        <v>254</v>
      </c>
      <c r="F831" s="394" t="s">
        <v>4412</v>
      </c>
      <c r="G831" s="601" t="s">
        <v>3655</v>
      </c>
      <c r="H831" s="1" t="s">
        <v>3656</v>
      </c>
      <c r="I831" s="418">
        <f t="shared" si="57"/>
        <v>7280.9851537500008</v>
      </c>
      <c r="J831" s="418">
        <f t="shared" si="61"/>
        <v>1449.6735000000001</v>
      </c>
      <c r="K831" s="351">
        <f t="shared" si="58"/>
        <v>805.43859659999998</v>
      </c>
      <c r="L831" s="350">
        <f t="shared" si="59"/>
        <v>161.08771932000002</v>
      </c>
      <c r="M831" s="350" t="s">
        <v>6169</v>
      </c>
      <c r="N831" s="1" t="s">
        <v>3989</v>
      </c>
      <c r="O831" s="1" t="s">
        <v>4413</v>
      </c>
      <c r="P831" s="396" t="s">
        <v>3659</v>
      </c>
      <c r="Q831" s="397">
        <v>0.2</v>
      </c>
      <c r="R831" s="396">
        <v>1900001336</v>
      </c>
      <c r="S831" s="588" t="s">
        <v>3475</v>
      </c>
      <c r="T831" s="588" t="s">
        <v>5915</v>
      </c>
    </row>
    <row r="832" spans="1:20" s="594" customFormat="1" hidden="1" x14ac:dyDescent="0.35">
      <c r="A832" s="595" t="s">
        <v>4553</v>
      </c>
      <c r="B832" s="596" t="s">
        <v>229</v>
      </c>
      <c r="C832" s="583">
        <v>43502</v>
      </c>
      <c r="D832" s="3">
        <v>43502</v>
      </c>
      <c r="E832" s="583" t="s">
        <v>255</v>
      </c>
      <c r="F832" s="394" t="s">
        <v>4412</v>
      </c>
      <c r="G832" s="601" t="s">
        <v>3655</v>
      </c>
      <c r="H832" s="1" t="s">
        <v>3656</v>
      </c>
      <c r="I832" s="418">
        <f t="shared" si="57"/>
        <v>7280.9851537500008</v>
      </c>
      <c r="J832" s="418">
        <f t="shared" si="61"/>
        <v>1449.6735000000001</v>
      </c>
      <c r="K832" s="351">
        <f t="shared" si="58"/>
        <v>805.43859659999998</v>
      </c>
      <c r="L832" s="350">
        <f t="shared" si="59"/>
        <v>161.08771932000002</v>
      </c>
      <c r="M832" s="350" t="s">
        <v>6169</v>
      </c>
      <c r="N832" s="1" t="s">
        <v>3989</v>
      </c>
      <c r="O832" s="1" t="s">
        <v>4413</v>
      </c>
      <c r="P832" s="396" t="s">
        <v>3659</v>
      </c>
      <c r="Q832" s="397">
        <v>0.2</v>
      </c>
      <c r="R832" s="396">
        <v>1900001336</v>
      </c>
      <c r="S832" s="588" t="s">
        <v>3475</v>
      </c>
      <c r="T832" s="588" t="s">
        <v>5915</v>
      </c>
    </row>
    <row r="833" spans="1:20" s="594" customFormat="1" hidden="1" x14ac:dyDescent="0.35">
      <c r="A833" s="595" t="s">
        <v>4554</v>
      </c>
      <c r="B833" s="596" t="s">
        <v>229</v>
      </c>
      <c r="C833" s="583">
        <v>43502</v>
      </c>
      <c r="D833" s="3">
        <v>43502</v>
      </c>
      <c r="E833" s="583" t="s">
        <v>256</v>
      </c>
      <c r="F833" s="394" t="s">
        <v>4412</v>
      </c>
      <c r="G833" s="601" t="s">
        <v>3655</v>
      </c>
      <c r="H833" s="1" t="s">
        <v>3656</v>
      </c>
      <c r="I833" s="418">
        <f t="shared" si="57"/>
        <v>7280.9851537500008</v>
      </c>
      <c r="J833" s="418">
        <f t="shared" si="61"/>
        <v>1449.6735000000001</v>
      </c>
      <c r="K833" s="351">
        <f t="shared" si="58"/>
        <v>805.43859659999998</v>
      </c>
      <c r="L833" s="350">
        <f t="shared" si="59"/>
        <v>161.08771932000002</v>
      </c>
      <c r="M833" s="350" t="s">
        <v>6169</v>
      </c>
      <c r="N833" s="1" t="s">
        <v>3989</v>
      </c>
      <c r="O833" s="1" t="s">
        <v>4413</v>
      </c>
      <c r="P833" s="396" t="s">
        <v>3659</v>
      </c>
      <c r="Q833" s="397">
        <v>0.2</v>
      </c>
      <c r="R833" s="396">
        <v>1900001336</v>
      </c>
      <c r="S833" s="588" t="s">
        <v>3475</v>
      </c>
      <c r="T833" s="588" t="s">
        <v>5915</v>
      </c>
    </row>
    <row r="834" spans="1:20" s="594" customFormat="1" hidden="1" x14ac:dyDescent="0.35">
      <c r="A834" s="595" t="s">
        <v>4555</v>
      </c>
      <c r="B834" s="596" t="s">
        <v>229</v>
      </c>
      <c r="C834" s="583">
        <v>43502</v>
      </c>
      <c r="D834" s="3">
        <v>43502</v>
      </c>
      <c r="E834" s="583" t="s">
        <v>257</v>
      </c>
      <c r="F834" s="394" t="s">
        <v>4412</v>
      </c>
      <c r="G834" s="601" t="s">
        <v>3655</v>
      </c>
      <c r="H834" s="1" t="s">
        <v>3656</v>
      </c>
      <c r="I834" s="418">
        <f t="shared" si="57"/>
        <v>7280.9851537500008</v>
      </c>
      <c r="J834" s="418">
        <f t="shared" si="61"/>
        <v>1449.6735000000001</v>
      </c>
      <c r="K834" s="351">
        <f t="shared" si="58"/>
        <v>805.43859659999998</v>
      </c>
      <c r="L834" s="350">
        <f t="shared" si="59"/>
        <v>161.08771932000002</v>
      </c>
      <c r="M834" s="350" t="s">
        <v>6169</v>
      </c>
      <c r="N834" s="1" t="s">
        <v>3989</v>
      </c>
      <c r="O834" s="1" t="s">
        <v>4413</v>
      </c>
      <c r="P834" s="396" t="s">
        <v>3659</v>
      </c>
      <c r="Q834" s="397">
        <v>0.2</v>
      </c>
      <c r="R834" s="396">
        <v>1900001336</v>
      </c>
      <c r="S834" s="588" t="s">
        <v>3475</v>
      </c>
      <c r="T834" s="588" t="s">
        <v>5915</v>
      </c>
    </row>
    <row r="835" spans="1:20" s="619" customFormat="1" hidden="1" x14ac:dyDescent="0.35">
      <c r="A835" s="663" t="s">
        <v>4556</v>
      </c>
      <c r="B835" s="658" t="s">
        <v>229</v>
      </c>
      <c r="C835" s="659">
        <v>43502</v>
      </c>
      <c r="D835" s="3">
        <v>43502</v>
      </c>
      <c r="E835" s="659" t="s">
        <v>258</v>
      </c>
      <c r="F835" s="394" t="s">
        <v>4412</v>
      </c>
      <c r="G835" s="666" t="s">
        <v>3655</v>
      </c>
      <c r="H835" s="1" t="s">
        <v>3656</v>
      </c>
      <c r="I835" s="418">
        <f t="shared" si="57"/>
        <v>7280.9851537500008</v>
      </c>
      <c r="J835" s="418">
        <f t="shared" si="61"/>
        <v>1449.6735000000001</v>
      </c>
      <c r="K835" s="351">
        <f t="shared" si="58"/>
        <v>805.43859659999998</v>
      </c>
      <c r="L835" s="350">
        <f t="shared" si="59"/>
        <v>161.08771932000002</v>
      </c>
      <c r="M835" s="350" t="s">
        <v>6169</v>
      </c>
      <c r="N835" s="658" t="s">
        <v>3785</v>
      </c>
      <c r="O835" s="1" t="s">
        <v>4413</v>
      </c>
      <c r="P835" s="396" t="s">
        <v>3659</v>
      </c>
      <c r="Q835" s="397">
        <v>0.2</v>
      </c>
      <c r="R835" s="396">
        <v>1900001336</v>
      </c>
      <c r="S835" s="618" t="s">
        <v>259</v>
      </c>
      <c r="T835" s="618" t="s">
        <v>5915</v>
      </c>
    </row>
    <row r="836" spans="1:20" s="594" customFormat="1" hidden="1" x14ac:dyDescent="0.35">
      <c r="A836" s="595" t="s">
        <v>4557</v>
      </c>
      <c r="B836" s="596" t="s">
        <v>229</v>
      </c>
      <c r="C836" s="583">
        <v>43502</v>
      </c>
      <c r="D836" s="3">
        <v>43502</v>
      </c>
      <c r="E836" s="583" t="s">
        <v>260</v>
      </c>
      <c r="F836" s="394" t="s">
        <v>4412</v>
      </c>
      <c r="G836" s="601" t="s">
        <v>3655</v>
      </c>
      <c r="H836" s="1" t="s">
        <v>3656</v>
      </c>
      <c r="I836" s="418">
        <f t="shared" si="57"/>
        <v>7280.9851537500008</v>
      </c>
      <c r="J836" s="418">
        <f t="shared" si="61"/>
        <v>1449.6735000000001</v>
      </c>
      <c r="K836" s="351">
        <f t="shared" si="58"/>
        <v>805.43859659999998</v>
      </c>
      <c r="L836" s="350">
        <f t="shared" si="59"/>
        <v>161.08771932000002</v>
      </c>
      <c r="M836" s="350" t="s">
        <v>6169</v>
      </c>
      <c r="N836" s="1" t="s">
        <v>3989</v>
      </c>
      <c r="O836" s="1" t="s">
        <v>4413</v>
      </c>
      <c r="P836" s="396" t="s">
        <v>3659</v>
      </c>
      <c r="Q836" s="397">
        <v>0.2</v>
      </c>
      <c r="R836" s="396">
        <v>1900001336</v>
      </c>
      <c r="S836" s="588" t="s">
        <v>3475</v>
      </c>
      <c r="T836" s="588" t="s">
        <v>5915</v>
      </c>
    </row>
    <row r="837" spans="1:20" s="619" customFormat="1" hidden="1" x14ac:dyDescent="0.35">
      <c r="A837" s="663" t="s">
        <v>4558</v>
      </c>
      <c r="B837" s="658" t="s">
        <v>229</v>
      </c>
      <c r="C837" s="659">
        <v>43502</v>
      </c>
      <c r="D837" s="3">
        <v>43502</v>
      </c>
      <c r="E837" s="659" t="s">
        <v>261</v>
      </c>
      <c r="F837" s="394" t="s">
        <v>4412</v>
      </c>
      <c r="G837" s="666" t="s">
        <v>3655</v>
      </c>
      <c r="H837" s="1" t="s">
        <v>3656</v>
      </c>
      <c r="I837" s="418">
        <f t="shared" si="57"/>
        <v>7280.9851537500008</v>
      </c>
      <c r="J837" s="418">
        <f t="shared" si="61"/>
        <v>1449.6735000000001</v>
      </c>
      <c r="K837" s="351">
        <f t="shared" si="58"/>
        <v>805.43859659999998</v>
      </c>
      <c r="L837" s="350">
        <f t="shared" si="59"/>
        <v>161.08771932000002</v>
      </c>
      <c r="M837" s="350" t="s">
        <v>6169</v>
      </c>
      <c r="N837" s="658" t="s">
        <v>3785</v>
      </c>
      <c r="O837" s="1" t="s">
        <v>4413</v>
      </c>
      <c r="P837" s="396" t="s">
        <v>3659</v>
      </c>
      <c r="Q837" s="397">
        <v>0.2</v>
      </c>
      <c r="R837" s="396">
        <v>1900001336</v>
      </c>
      <c r="S837" s="618" t="s">
        <v>262</v>
      </c>
      <c r="T837" s="618" t="s">
        <v>5915</v>
      </c>
    </row>
    <row r="838" spans="1:20" s="619" customFormat="1" hidden="1" x14ac:dyDescent="0.35">
      <c r="A838" s="663" t="s">
        <v>4559</v>
      </c>
      <c r="B838" s="658" t="s">
        <v>229</v>
      </c>
      <c r="C838" s="659">
        <v>43502</v>
      </c>
      <c r="D838" s="3">
        <v>43502</v>
      </c>
      <c r="E838" s="659" t="s">
        <v>263</v>
      </c>
      <c r="F838" s="394" t="s">
        <v>4412</v>
      </c>
      <c r="G838" s="666" t="s">
        <v>3655</v>
      </c>
      <c r="H838" s="1" t="s">
        <v>3656</v>
      </c>
      <c r="I838" s="418">
        <f t="shared" si="57"/>
        <v>7280.9851537500008</v>
      </c>
      <c r="J838" s="418">
        <f t="shared" si="61"/>
        <v>1449.6735000000001</v>
      </c>
      <c r="K838" s="351">
        <f t="shared" si="58"/>
        <v>805.43859659999998</v>
      </c>
      <c r="L838" s="350">
        <f t="shared" si="59"/>
        <v>161.08771932000002</v>
      </c>
      <c r="M838" s="350" t="s">
        <v>6169</v>
      </c>
      <c r="N838" s="658" t="s">
        <v>3785</v>
      </c>
      <c r="O838" s="1" t="s">
        <v>4413</v>
      </c>
      <c r="P838" s="396" t="s">
        <v>3659</v>
      </c>
      <c r="Q838" s="397">
        <v>0.2</v>
      </c>
      <c r="R838" s="396">
        <v>1900001336</v>
      </c>
      <c r="S838" s="618" t="s">
        <v>6181</v>
      </c>
      <c r="T838" s="618" t="s">
        <v>5915</v>
      </c>
    </row>
    <row r="839" spans="1:20" s="594" customFormat="1" hidden="1" x14ac:dyDescent="0.35">
      <c r="A839" s="595" t="s">
        <v>4560</v>
      </c>
      <c r="B839" s="596" t="s">
        <v>229</v>
      </c>
      <c r="C839" s="583">
        <v>43502</v>
      </c>
      <c r="D839" s="3">
        <v>43502</v>
      </c>
      <c r="E839" s="583" t="s">
        <v>265</v>
      </c>
      <c r="F839" s="394" t="s">
        <v>4412</v>
      </c>
      <c r="G839" s="601" t="s">
        <v>3655</v>
      </c>
      <c r="H839" s="1" t="s">
        <v>3656</v>
      </c>
      <c r="I839" s="418">
        <f t="shared" si="57"/>
        <v>7280.9851537500008</v>
      </c>
      <c r="J839" s="418">
        <f t="shared" si="61"/>
        <v>1449.6735000000001</v>
      </c>
      <c r="K839" s="351">
        <f t="shared" si="58"/>
        <v>805.43859659999998</v>
      </c>
      <c r="L839" s="350">
        <f t="shared" si="59"/>
        <v>161.08771932000002</v>
      </c>
      <c r="M839" s="350" t="s">
        <v>6169</v>
      </c>
      <c r="N839" s="1" t="s">
        <v>3989</v>
      </c>
      <c r="O839" s="1" t="s">
        <v>4413</v>
      </c>
      <c r="P839" s="396" t="s">
        <v>3659</v>
      </c>
      <c r="Q839" s="397">
        <v>0.2</v>
      </c>
      <c r="R839" s="396">
        <v>1900001336</v>
      </c>
      <c r="S839" s="588" t="s">
        <v>3475</v>
      </c>
      <c r="T839" s="588" t="s">
        <v>5915</v>
      </c>
    </row>
    <row r="840" spans="1:20" s="594" customFormat="1" hidden="1" x14ac:dyDescent="0.35">
      <c r="A840" s="595" t="s">
        <v>4561</v>
      </c>
      <c r="B840" s="596" t="s">
        <v>229</v>
      </c>
      <c r="C840" s="583">
        <v>43502</v>
      </c>
      <c r="D840" s="3">
        <v>43502</v>
      </c>
      <c r="E840" s="583" t="s">
        <v>266</v>
      </c>
      <c r="F840" s="394" t="s">
        <v>4412</v>
      </c>
      <c r="G840" s="601" t="s">
        <v>3655</v>
      </c>
      <c r="H840" s="1" t="s">
        <v>3656</v>
      </c>
      <c r="I840" s="418">
        <f t="shared" si="57"/>
        <v>7280.9851537500008</v>
      </c>
      <c r="J840" s="418">
        <f t="shared" si="61"/>
        <v>1449.6735000000001</v>
      </c>
      <c r="K840" s="351">
        <f t="shared" si="58"/>
        <v>805.43859659999998</v>
      </c>
      <c r="L840" s="350">
        <f t="shared" si="59"/>
        <v>161.08771932000002</v>
      </c>
      <c r="M840" s="350" t="s">
        <v>6169</v>
      </c>
      <c r="N840" s="1" t="s">
        <v>3989</v>
      </c>
      <c r="O840" s="1" t="s">
        <v>4413</v>
      </c>
      <c r="P840" s="396" t="s">
        <v>3659</v>
      </c>
      <c r="Q840" s="397">
        <v>0.2</v>
      </c>
      <c r="R840" s="396">
        <v>1900001336</v>
      </c>
      <c r="S840" s="588" t="s">
        <v>3475</v>
      </c>
      <c r="T840" s="588" t="s">
        <v>5915</v>
      </c>
    </row>
    <row r="841" spans="1:20" s="594" customFormat="1" hidden="1" x14ac:dyDescent="0.35">
      <c r="A841" s="595" t="s">
        <v>4562</v>
      </c>
      <c r="B841" s="596" t="s">
        <v>229</v>
      </c>
      <c r="C841" s="583">
        <v>43502</v>
      </c>
      <c r="D841" s="3">
        <v>43502</v>
      </c>
      <c r="E841" s="583" t="s">
        <v>267</v>
      </c>
      <c r="F841" s="394" t="s">
        <v>4412</v>
      </c>
      <c r="G841" s="601" t="s">
        <v>3655</v>
      </c>
      <c r="H841" s="1" t="s">
        <v>3656</v>
      </c>
      <c r="I841" s="418">
        <f t="shared" si="57"/>
        <v>7280.9851537500008</v>
      </c>
      <c r="J841" s="418">
        <f t="shared" si="61"/>
        <v>1449.6735000000001</v>
      </c>
      <c r="K841" s="351">
        <f t="shared" si="58"/>
        <v>805.43859659999998</v>
      </c>
      <c r="L841" s="350">
        <f t="shared" si="59"/>
        <v>161.08771932000002</v>
      </c>
      <c r="M841" s="350" t="s">
        <v>6169</v>
      </c>
      <c r="N841" s="1" t="s">
        <v>3989</v>
      </c>
      <c r="O841" s="1" t="s">
        <v>4413</v>
      </c>
      <c r="P841" s="396" t="s">
        <v>3659</v>
      </c>
      <c r="Q841" s="397">
        <v>0.2</v>
      </c>
      <c r="R841" s="396">
        <v>1900001336</v>
      </c>
      <c r="S841" s="588" t="s">
        <v>3475</v>
      </c>
      <c r="T841" s="588" t="s">
        <v>5915</v>
      </c>
    </row>
    <row r="842" spans="1:20" s="594" customFormat="1" hidden="1" x14ac:dyDescent="0.35">
      <c r="A842" s="595" t="s">
        <v>4563</v>
      </c>
      <c r="B842" s="596" t="s">
        <v>229</v>
      </c>
      <c r="C842" s="583">
        <v>43502</v>
      </c>
      <c r="D842" s="3">
        <v>43502</v>
      </c>
      <c r="E842" s="583" t="s">
        <v>268</v>
      </c>
      <c r="F842" s="394" t="s">
        <v>4412</v>
      </c>
      <c r="G842" s="601" t="s">
        <v>3655</v>
      </c>
      <c r="H842" s="1" t="s">
        <v>3656</v>
      </c>
      <c r="I842" s="418">
        <f t="shared" si="57"/>
        <v>7280.9851537500008</v>
      </c>
      <c r="J842" s="418">
        <f t="shared" si="61"/>
        <v>1449.6735000000001</v>
      </c>
      <c r="K842" s="351">
        <f t="shared" si="58"/>
        <v>805.43859659999998</v>
      </c>
      <c r="L842" s="350">
        <f t="shared" si="59"/>
        <v>161.08771932000002</v>
      </c>
      <c r="M842" s="350" t="s">
        <v>6169</v>
      </c>
      <c r="N842" s="1" t="s">
        <v>3989</v>
      </c>
      <c r="O842" s="1" t="s">
        <v>4413</v>
      </c>
      <c r="P842" s="396" t="s">
        <v>3659</v>
      </c>
      <c r="Q842" s="397">
        <v>0.2</v>
      </c>
      <c r="R842" s="396">
        <v>1900001336</v>
      </c>
      <c r="S842" s="588" t="s">
        <v>3475</v>
      </c>
      <c r="T842" s="588" t="s">
        <v>5915</v>
      </c>
    </row>
    <row r="843" spans="1:20" s="594" customFormat="1" hidden="1" x14ac:dyDescent="0.35">
      <c r="A843" s="595" t="s">
        <v>4564</v>
      </c>
      <c r="B843" s="596" t="s">
        <v>229</v>
      </c>
      <c r="C843" s="583">
        <v>43502</v>
      </c>
      <c r="D843" s="3">
        <v>43502</v>
      </c>
      <c r="E843" s="583" t="s">
        <v>269</v>
      </c>
      <c r="F843" s="394" t="s">
        <v>4412</v>
      </c>
      <c r="G843" s="601" t="s">
        <v>3655</v>
      </c>
      <c r="H843" s="1" t="s">
        <v>3656</v>
      </c>
      <c r="I843" s="418">
        <f t="shared" si="57"/>
        <v>7280.9851537500008</v>
      </c>
      <c r="J843" s="418">
        <f t="shared" si="61"/>
        <v>1449.6735000000001</v>
      </c>
      <c r="K843" s="351">
        <f t="shared" si="58"/>
        <v>805.43859659999998</v>
      </c>
      <c r="L843" s="350">
        <f t="shared" si="59"/>
        <v>161.08771932000002</v>
      </c>
      <c r="M843" s="350" t="s">
        <v>6169</v>
      </c>
      <c r="N843" s="596" t="s">
        <v>3785</v>
      </c>
      <c r="O843" s="1" t="s">
        <v>4413</v>
      </c>
      <c r="P843" s="396" t="s">
        <v>3659</v>
      </c>
      <c r="Q843" s="397">
        <v>0.2</v>
      </c>
      <c r="R843" s="396">
        <v>1900001336</v>
      </c>
      <c r="S843" s="588" t="s">
        <v>3475</v>
      </c>
      <c r="T843" s="588" t="s">
        <v>5915</v>
      </c>
    </row>
    <row r="844" spans="1:20" s="594" customFormat="1" hidden="1" x14ac:dyDescent="0.35">
      <c r="A844" s="595" t="s">
        <v>4565</v>
      </c>
      <c r="B844" s="596" t="s">
        <v>229</v>
      </c>
      <c r="C844" s="583">
        <v>43502</v>
      </c>
      <c r="D844" s="3">
        <v>43502</v>
      </c>
      <c r="E844" s="583" t="s">
        <v>270</v>
      </c>
      <c r="F844" s="394" t="s">
        <v>4412</v>
      </c>
      <c r="G844" s="601" t="s">
        <v>3655</v>
      </c>
      <c r="H844" s="1" t="s">
        <v>3656</v>
      </c>
      <c r="I844" s="418">
        <f t="shared" si="57"/>
        <v>7280.9851537500008</v>
      </c>
      <c r="J844" s="418">
        <f t="shared" si="61"/>
        <v>1449.6735000000001</v>
      </c>
      <c r="K844" s="351">
        <f t="shared" si="58"/>
        <v>805.43859659999998</v>
      </c>
      <c r="L844" s="350">
        <f t="shared" si="59"/>
        <v>161.08771932000002</v>
      </c>
      <c r="M844" s="350" t="s">
        <v>6169</v>
      </c>
      <c r="N844" s="1" t="s">
        <v>3989</v>
      </c>
      <c r="O844" s="1" t="s">
        <v>4413</v>
      </c>
      <c r="P844" s="396" t="s">
        <v>3659</v>
      </c>
      <c r="Q844" s="397">
        <v>0.2</v>
      </c>
      <c r="R844" s="396">
        <v>1900001336</v>
      </c>
      <c r="S844" s="588" t="s">
        <v>3475</v>
      </c>
      <c r="T844" s="588" t="s">
        <v>5915</v>
      </c>
    </row>
    <row r="845" spans="1:20" s="594" customFormat="1" hidden="1" x14ac:dyDescent="0.35">
      <c r="A845" s="595" t="s">
        <v>4566</v>
      </c>
      <c r="B845" s="596" t="s">
        <v>229</v>
      </c>
      <c r="C845" s="583">
        <v>43502</v>
      </c>
      <c r="D845" s="3">
        <v>43502</v>
      </c>
      <c r="E845" s="583" t="s">
        <v>271</v>
      </c>
      <c r="F845" s="394" t="s">
        <v>4412</v>
      </c>
      <c r="G845" s="601" t="s">
        <v>3655</v>
      </c>
      <c r="H845" s="1" t="s">
        <v>3656</v>
      </c>
      <c r="I845" s="418">
        <f t="shared" si="57"/>
        <v>7280.9851537500008</v>
      </c>
      <c r="J845" s="418">
        <f t="shared" si="61"/>
        <v>1449.6735000000001</v>
      </c>
      <c r="K845" s="351">
        <f t="shared" si="58"/>
        <v>805.43859659999998</v>
      </c>
      <c r="L845" s="350">
        <f t="shared" si="59"/>
        <v>161.08771932000002</v>
      </c>
      <c r="M845" s="350" t="s">
        <v>6169</v>
      </c>
      <c r="N845" s="1" t="s">
        <v>3989</v>
      </c>
      <c r="O845" s="1" t="s">
        <v>4413</v>
      </c>
      <c r="P845" s="396" t="s">
        <v>3659</v>
      </c>
      <c r="Q845" s="397">
        <v>0.2</v>
      </c>
      <c r="R845" s="396">
        <v>1900001336</v>
      </c>
      <c r="S845" s="588" t="s">
        <v>3475</v>
      </c>
      <c r="T845" s="588" t="s">
        <v>5915</v>
      </c>
    </row>
    <row r="846" spans="1:20" s="594" customFormat="1" hidden="1" x14ac:dyDescent="0.35">
      <c r="A846" s="595" t="s">
        <v>4567</v>
      </c>
      <c r="B846" s="596" t="s">
        <v>229</v>
      </c>
      <c r="C846" s="583">
        <v>43502</v>
      </c>
      <c r="D846" s="3">
        <v>43502</v>
      </c>
      <c r="E846" s="583" t="s">
        <v>272</v>
      </c>
      <c r="F846" s="394" t="s">
        <v>4412</v>
      </c>
      <c r="G846" s="601" t="s">
        <v>3655</v>
      </c>
      <c r="H846" s="1" t="s">
        <v>3656</v>
      </c>
      <c r="I846" s="418">
        <f t="shared" si="57"/>
        <v>7280.9851537500008</v>
      </c>
      <c r="J846" s="418">
        <f t="shared" si="61"/>
        <v>1449.6735000000001</v>
      </c>
      <c r="K846" s="351">
        <f t="shared" si="58"/>
        <v>805.43859659999998</v>
      </c>
      <c r="L846" s="350">
        <f t="shared" si="59"/>
        <v>161.08771932000002</v>
      </c>
      <c r="M846" s="350" t="s">
        <v>6169</v>
      </c>
      <c r="N846" s="1" t="s">
        <v>3989</v>
      </c>
      <c r="O846" s="1" t="s">
        <v>4413</v>
      </c>
      <c r="P846" s="396" t="s">
        <v>3659</v>
      </c>
      <c r="Q846" s="397">
        <v>0.2</v>
      </c>
      <c r="R846" s="396">
        <v>1900001336</v>
      </c>
      <c r="S846" s="588" t="s">
        <v>3475</v>
      </c>
      <c r="T846" s="588" t="s">
        <v>5915</v>
      </c>
    </row>
    <row r="847" spans="1:20" s="594" customFormat="1" hidden="1" x14ac:dyDescent="0.35">
      <c r="A847" s="595" t="s">
        <v>4568</v>
      </c>
      <c r="B847" s="596" t="s">
        <v>229</v>
      </c>
      <c r="C847" s="583">
        <v>43502</v>
      </c>
      <c r="D847" s="3">
        <v>43502</v>
      </c>
      <c r="E847" s="583" t="s">
        <v>273</v>
      </c>
      <c r="F847" s="394" t="s">
        <v>4412</v>
      </c>
      <c r="G847" s="601" t="s">
        <v>3655</v>
      </c>
      <c r="H847" s="1" t="s">
        <v>3656</v>
      </c>
      <c r="I847" s="418">
        <f t="shared" si="57"/>
        <v>7280.9851537500008</v>
      </c>
      <c r="J847" s="418">
        <f t="shared" si="61"/>
        <v>1449.6735000000001</v>
      </c>
      <c r="K847" s="351">
        <f t="shared" si="58"/>
        <v>805.43859659999998</v>
      </c>
      <c r="L847" s="350">
        <f t="shared" si="59"/>
        <v>161.08771932000002</v>
      </c>
      <c r="M847" s="350" t="s">
        <v>6169</v>
      </c>
      <c r="N847" s="1" t="s">
        <v>3785</v>
      </c>
      <c r="O847" s="1" t="s">
        <v>4413</v>
      </c>
      <c r="P847" s="396" t="s">
        <v>3659</v>
      </c>
      <c r="Q847" s="397">
        <v>0.2</v>
      </c>
      <c r="R847" s="396">
        <v>1900001336</v>
      </c>
      <c r="S847" s="588" t="s">
        <v>3475</v>
      </c>
      <c r="T847" s="588" t="s">
        <v>5915</v>
      </c>
    </row>
    <row r="848" spans="1:20" hidden="1" x14ac:dyDescent="0.35">
      <c r="A848" s="398" t="s">
        <v>4569</v>
      </c>
      <c r="B848" s="1" t="s">
        <v>4570</v>
      </c>
      <c r="C848" s="3">
        <v>43502</v>
      </c>
      <c r="D848" s="3">
        <v>43502</v>
      </c>
      <c r="E848" s="3" t="s">
        <v>761</v>
      </c>
      <c r="F848" s="394" t="s">
        <v>4412</v>
      </c>
      <c r="G848" s="394" t="s">
        <v>3784</v>
      </c>
      <c r="H848" s="1" t="s">
        <v>3656</v>
      </c>
      <c r="I848" s="418">
        <f t="shared" si="57"/>
        <v>1860.6875840000002</v>
      </c>
      <c r="J848" s="418">
        <f>359.68*1.03</f>
        <v>370.47040000000004</v>
      </c>
      <c r="K848" s="351">
        <f t="shared" si="58"/>
        <v>205.83335424000001</v>
      </c>
      <c r="L848" s="350">
        <f t="shared" si="59"/>
        <v>41.166670848000003</v>
      </c>
      <c r="M848" s="350" t="s">
        <v>6169</v>
      </c>
      <c r="N848" s="1" t="s">
        <v>3785</v>
      </c>
      <c r="O848" s="1" t="s">
        <v>4413</v>
      </c>
      <c r="P848" s="396" t="s">
        <v>3659</v>
      </c>
      <c r="Q848" s="397">
        <v>0.2</v>
      </c>
      <c r="R848" s="396">
        <v>1900001336</v>
      </c>
      <c r="S848" s="2" t="s">
        <v>760</v>
      </c>
      <c r="T848" s="2" t="s">
        <v>5915</v>
      </c>
    </row>
    <row r="849" spans="1:20" hidden="1" x14ac:dyDescent="0.35">
      <c r="A849" s="398" t="s">
        <v>4571</v>
      </c>
      <c r="B849" s="1" t="s">
        <v>4570</v>
      </c>
      <c r="C849" s="3">
        <v>43502</v>
      </c>
      <c r="D849" s="3">
        <v>43502</v>
      </c>
      <c r="E849" s="3" t="s">
        <v>763</v>
      </c>
      <c r="F849" s="394" t="s">
        <v>4412</v>
      </c>
      <c r="G849" s="394" t="s">
        <v>3784</v>
      </c>
      <c r="H849" s="1" t="s">
        <v>3656</v>
      </c>
      <c r="I849" s="418">
        <f t="shared" si="57"/>
        <v>1860.6875840000002</v>
      </c>
      <c r="J849" s="418">
        <f t="shared" ref="J849:J877" si="62">359.68*1.03</f>
        <v>370.47040000000004</v>
      </c>
      <c r="K849" s="351">
        <f t="shared" si="58"/>
        <v>205.83335424000001</v>
      </c>
      <c r="L849" s="350">
        <f t="shared" si="59"/>
        <v>41.166670848000003</v>
      </c>
      <c r="M849" s="350" t="s">
        <v>6169</v>
      </c>
      <c r="N849" s="1" t="s">
        <v>3785</v>
      </c>
      <c r="O849" s="1" t="s">
        <v>4413</v>
      </c>
      <c r="P849" s="396" t="s">
        <v>3659</v>
      </c>
      <c r="Q849" s="397">
        <v>0.2</v>
      </c>
      <c r="R849" s="396">
        <v>1900001336</v>
      </c>
      <c r="S849" s="2" t="s">
        <v>707</v>
      </c>
      <c r="T849" s="2" t="s">
        <v>5915</v>
      </c>
    </row>
    <row r="850" spans="1:20" hidden="1" x14ac:dyDescent="0.35">
      <c r="A850" s="398" t="s">
        <v>4572</v>
      </c>
      <c r="B850" s="1" t="s">
        <v>4570</v>
      </c>
      <c r="C850" s="3">
        <v>43502</v>
      </c>
      <c r="D850" s="3">
        <v>43502</v>
      </c>
      <c r="E850" s="3" t="s">
        <v>764</v>
      </c>
      <c r="F850" s="394" t="s">
        <v>4412</v>
      </c>
      <c r="G850" s="394" t="s">
        <v>3784</v>
      </c>
      <c r="H850" s="1" t="s">
        <v>3656</v>
      </c>
      <c r="I850" s="418">
        <f t="shared" si="57"/>
        <v>1860.6875840000002</v>
      </c>
      <c r="J850" s="418">
        <f t="shared" si="62"/>
        <v>370.47040000000004</v>
      </c>
      <c r="K850" s="351">
        <f t="shared" si="58"/>
        <v>205.83335424000001</v>
      </c>
      <c r="L850" s="350">
        <f t="shared" si="59"/>
        <v>41.166670848000003</v>
      </c>
      <c r="M850" s="350" t="s">
        <v>6169</v>
      </c>
      <c r="N850" s="1" t="s">
        <v>3785</v>
      </c>
      <c r="O850" s="1" t="s">
        <v>4413</v>
      </c>
      <c r="P850" s="396" t="s">
        <v>3659</v>
      </c>
      <c r="Q850" s="397">
        <v>0.2</v>
      </c>
      <c r="R850" s="396">
        <v>1900001336</v>
      </c>
      <c r="S850" s="2" t="s">
        <v>707</v>
      </c>
      <c r="T850" s="2" t="s">
        <v>5915</v>
      </c>
    </row>
    <row r="851" spans="1:20" hidden="1" x14ac:dyDescent="0.35">
      <c r="A851" s="398" t="s">
        <v>4573</v>
      </c>
      <c r="B851" s="1" t="s">
        <v>4570</v>
      </c>
      <c r="C851" s="3">
        <v>43502</v>
      </c>
      <c r="D851" s="3">
        <v>43502</v>
      </c>
      <c r="E851" s="3" t="s">
        <v>767</v>
      </c>
      <c r="F851" s="394" t="s">
        <v>4412</v>
      </c>
      <c r="G851" s="394" t="s">
        <v>3784</v>
      </c>
      <c r="H851" s="1" t="s">
        <v>3656</v>
      </c>
      <c r="I851" s="418">
        <f t="shared" si="57"/>
        <v>1860.6875840000002</v>
      </c>
      <c r="J851" s="418">
        <f t="shared" si="62"/>
        <v>370.47040000000004</v>
      </c>
      <c r="K851" s="351">
        <f t="shared" si="58"/>
        <v>205.83335424000001</v>
      </c>
      <c r="L851" s="350">
        <f t="shared" si="59"/>
        <v>41.166670848000003</v>
      </c>
      <c r="M851" s="350" t="s">
        <v>6169</v>
      </c>
      <c r="N851" s="1" t="s">
        <v>3785</v>
      </c>
      <c r="O851" s="1" t="s">
        <v>4413</v>
      </c>
      <c r="P851" s="396" t="s">
        <v>3659</v>
      </c>
      <c r="Q851" s="397">
        <v>0.2</v>
      </c>
      <c r="R851" s="396">
        <v>1900001336</v>
      </c>
      <c r="S851" s="2" t="s">
        <v>765</v>
      </c>
      <c r="T851" s="2" t="s">
        <v>5915</v>
      </c>
    </row>
    <row r="852" spans="1:20" hidden="1" x14ac:dyDescent="0.35">
      <c r="A852" s="398" t="s">
        <v>4574</v>
      </c>
      <c r="B852" s="1" t="s">
        <v>4570</v>
      </c>
      <c r="C852" s="3">
        <v>43502</v>
      </c>
      <c r="D852" s="3">
        <v>43502</v>
      </c>
      <c r="E852" s="3" t="s">
        <v>772</v>
      </c>
      <c r="F852" s="394" t="s">
        <v>4412</v>
      </c>
      <c r="G852" s="394" t="s">
        <v>3784</v>
      </c>
      <c r="H852" s="1" t="s">
        <v>3656</v>
      </c>
      <c r="I852" s="418">
        <f t="shared" si="57"/>
        <v>1860.6875840000002</v>
      </c>
      <c r="J852" s="418">
        <f t="shared" si="62"/>
        <v>370.47040000000004</v>
      </c>
      <c r="K852" s="351">
        <f t="shared" si="58"/>
        <v>205.83335424000001</v>
      </c>
      <c r="L852" s="350">
        <f t="shared" si="59"/>
        <v>41.166670848000003</v>
      </c>
      <c r="M852" s="350" t="s">
        <v>6169</v>
      </c>
      <c r="N852" s="1" t="s">
        <v>3785</v>
      </c>
      <c r="O852" s="1" t="s">
        <v>4413</v>
      </c>
      <c r="P852" s="396" t="s">
        <v>3659</v>
      </c>
      <c r="Q852" s="397">
        <v>0.2</v>
      </c>
      <c r="R852" s="396">
        <v>1900001336</v>
      </c>
      <c r="S852" s="2" t="s">
        <v>771</v>
      </c>
      <c r="T852" s="2" t="s">
        <v>5915</v>
      </c>
    </row>
    <row r="853" spans="1:20" hidden="1" x14ac:dyDescent="0.35">
      <c r="A853" s="398" t="s">
        <v>4575</v>
      </c>
      <c r="B853" s="1" t="s">
        <v>4570</v>
      </c>
      <c r="C853" s="3">
        <v>43502</v>
      </c>
      <c r="D853" s="3">
        <v>43502</v>
      </c>
      <c r="E853" s="3" t="s">
        <v>785</v>
      </c>
      <c r="F853" s="394" t="s">
        <v>4412</v>
      </c>
      <c r="G853" s="394" t="s">
        <v>3784</v>
      </c>
      <c r="H853" s="1" t="s">
        <v>3656</v>
      </c>
      <c r="I853" s="418">
        <f t="shared" si="57"/>
        <v>1860.6875840000002</v>
      </c>
      <c r="J853" s="418">
        <f t="shared" si="62"/>
        <v>370.47040000000004</v>
      </c>
      <c r="K853" s="351">
        <f t="shared" si="58"/>
        <v>205.83335424000001</v>
      </c>
      <c r="L853" s="350">
        <f t="shared" si="59"/>
        <v>41.166670848000003</v>
      </c>
      <c r="M853" s="350" t="s">
        <v>6169</v>
      </c>
      <c r="N853" s="1" t="s">
        <v>3785</v>
      </c>
      <c r="O853" s="1" t="s">
        <v>4413</v>
      </c>
      <c r="P853" s="396" t="s">
        <v>3659</v>
      </c>
      <c r="Q853" s="397">
        <v>0.2</v>
      </c>
      <c r="R853" s="396">
        <v>1900001336</v>
      </c>
      <c r="S853" s="2" t="s">
        <v>784</v>
      </c>
      <c r="T853" s="2" t="s">
        <v>5915</v>
      </c>
    </row>
    <row r="854" spans="1:20" hidden="1" x14ac:dyDescent="0.35">
      <c r="A854" s="398" t="s">
        <v>4576</v>
      </c>
      <c r="B854" s="1" t="s">
        <v>4570</v>
      </c>
      <c r="C854" s="3">
        <v>43502</v>
      </c>
      <c r="D854" s="3">
        <v>43502</v>
      </c>
      <c r="E854" s="3" t="s">
        <v>790</v>
      </c>
      <c r="F854" s="394" t="s">
        <v>4412</v>
      </c>
      <c r="G854" s="394" t="s">
        <v>3784</v>
      </c>
      <c r="H854" s="1" t="s">
        <v>3656</v>
      </c>
      <c r="I854" s="418">
        <f t="shared" si="57"/>
        <v>1860.6875840000002</v>
      </c>
      <c r="J854" s="418">
        <f t="shared" si="62"/>
        <v>370.47040000000004</v>
      </c>
      <c r="K854" s="351">
        <f t="shared" si="58"/>
        <v>205.83335424000001</v>
      </c>
      <c r="L854" s="350">
        <f t="shared" si="59"/>
        <v>41.166670848000003</v>
      </c>
      <c r="M854" s="350" t="s">
        <v>6169</v>
      </c>
      <c r="N854" s="1" t="s">
        <v>3785</v>
      </c>
      <c r="O854" s="1" t="s">
        <v>4413</v>
      </c>
      <c r="P854" s="396" t="s">
        <v>3659</v>
      </c>
      <c r="Q854" s="397">
        <v>0.2</v>
      </c>
      <c r="R854" s="396">
        <v>1900001336</v>
      </c>
      <c r="S854" s="2" t="s">
        <v>787</v>
      </c>
      <c r="T854" s="2" t="s">
        <v>5915</v>
      </c>
    </row>
    <row r="855" spans="1:20" hidden="1" x14ac:dyDescent="0.35">
      <c r="A855" s="398" t="s">
        <v>4577</v>
      </c>
      <c r="B855" s="1" t="s">
        <v>4570</v>
      </c>
      <c r="C855" s="3">
        <v>43502</v>
      </c>
      <c r="D855" s="3">
        <v>43502</v>
      </c>
      <c r="E855" s="3" t="s">
        <v>802</v>
      </c>
      <c r="F855" s="394" t="s">
        <v>4412</v>
      </c>
      <c r="G855" s="394" t="s">
        <v>3784</v>
      </c>
      <c r="H855" s="1" t="s">
        <v>3656</v>
      </c>
      <c r="I855" s="418">
        <f t="shared" si="57"/>
        <v>1860.6875840000002</v>
      </c>
      <c r="J855" s="418">
        <f t="shared" si="62"/>
        <v>370.47040000000004</v>
      </c>
      <c r="K855" s="351">
        <f t="shared" si="58"/>
        <v>205.83335424000001</v>
      </c>
      <c r="L855" s="350">
        <f t="shared" si="59"/>
        <v>41.166670848000003</v>
      </c>
      <c r="M855" s="350" t="s">
        <v>6169</v>
      </c>
      <c r="N855" s="1" t="s">
        <v>3785</v>
      </c>
      <c r="O855" s="1" t="s">
        <v>4413</v>
      </c>
      <c r="P855" s="396" t="s">
        <v>3659</v>
      </c>
      <c r="Q855" s="397">
        <v>0.2</v>
      </c>
      <c r="R855" s="396">
        <v>1900001336</v>
      </c>
      <c r="S855" s="2" t="s">
        <v>801</v>
      </c>
      <c r="T855" s="2" t="s">
        <v>5915</v>
      </c>
    </row>
    <row r="856" spans="1:20" hidden="1" x14ac:dyDescent="0.35">
      <c r="A856" s="398" t="s">
        <v>4578</v>
      </c>
      <c r="B856" s="1" t="s">
        <v>4570</v>
      </c>
      <c r="C856" s="3">
        <v>43502</v>
      </c>
      <c r="D856" s="3">
        <v>43502</v>
      </c>
      <c r="E856" s="3" t="s">
        <v>805</v>
      </c>
      <c r="F856" s="394" t="s">
        <v>4412</v>
      </c>
      <c r="G856" s="394" t="s">
        <v>3784</v>
      </c>
      <c r="H856" s="1" t="s">
        <v>3656</v>
      </c>
      <c r="I856" s="418">
        <f t="shared" si="57"/>
        <v>1860.6875840000002</v>
      </c>
      <c r="J856" s="418">
        <f t="shared" si="62"/>
        <v>370.47040000000004</v>
      </c>
      <c r="K856" s="351">
        <f t="shared" si="58"/>
        <v>205.83335424000001</v>
      </c>
      <c r="L856" s="350">
        <f t="shared" si="59"/>
        <v>41.166670848000003</v>
      </c>
      <c r="M856" s="350" t="s">
        <v>6169</v>
      </c>
      <c r="N856" s="1" t="s">
        <v>3785</v>
      </c>
      <c r="O856" s="1" t="s">
        <v>4413</v>
      </c>
      <c r="P856" s="396" t="s">
        <v>3659</v>
      </c>
      <c r="Q856" s="397">
        <v>0.2</v>
      </c>
      <c r="R856" s="396">
        <v>1900001336</v>
      </c>
      <c r="S856" s="2" t="s">
        <v>514</v>
      </c>
      <c r="T856" s="2" t="s">
        <v>5915</v>
      </c>
    </row>
    <row r="857" spans="1:20" hidden="1" x14ac:dyDescent="0.35">
      <c r="A857" s="398" t="s">
        <v>4579</v>
      </c>
      <c r="B857" s="1" t="s">
        <v>4570</v>
      </c>
      <c r="C857" s="3">
        <v>43502</v>
      </c>
      <c r="D857" s="3">
        <v>43502</v>
      </c>
      <c r="E857" s="3" t="s">
        <v>853</v>
      </c>
      <c r="F857" s="394" t="s">
        <v>4412</v>
      </c>
      <c r="G857" s="394" t="s">
        <v>3784</v>
      </c>
      <c r="H857" s="1" t="s">
        <v>3656</v>
      </c>
      <c r="I857" s="418">
        <f t="shared" si="57"/>
        <v>1860.6875840000002</v>
      </c>
      <c r="J857" s="418">
        <f t="shared" si="62"/>
        <v>370.47040000000004</v>
      </c>
      <c r="K857" s="351">
        <f t="shared" si="58"/>
        <v>205.83335424000001</v>
      </c>
      <c r="L857" s="350">
        <f t="shared" si="59"/>
        <v>41.166670848000003</v>
      </c>
      <c r="M857" s="350" t="s">
        <v>6169</v>
      </c>
      <c r="N857" s="1" t="s">
        <v>3785</v>
      </c>
      <c r="O857" s="1" t="s">
        <v>4413</v>
      </c>
      <c r="P857" s="396" t="s">
        <v>3659</v>
      </c>
      <c r="Q857" s="397">
        <v>0.2</v>
      </c>
      <c r="R857" s="396">
        <v>1900001336</v>
      </c>
      <c r="S857" s="2" t="s">
        <v>852</v>
      </c>
      <c r="T857" s="2" t="s">
        <v>5915</v>
      </c>
    </row>
    <row r="858" spans="1:20" hidden="1" x14ac:dyDescent="0.35">
      <c r="A858" s="398" t="s">
        <v>4580</v>
      </c>
      <c r="B858" s="1" t="s">
        <v>4570</v>
      </c>
      <c r="C858" s="3">
        <v>43502</v>
      </c>
      <c r="D858" s="3">
        <v>43502</v>
      </c>
      <c r="E858" s="3" t="s">
        <v>864</v>
      </c>
      <c r="F858" s="394" t="s">
        <v>4412</v>
      </c>
      <c r="G858" s="394" t="s">
        <v>3784</v>
      </c>
      <c r="H858" s="1" t="s">
        <v>3656</v>
      </c>
      <c r="I858" s="418">
        <f t="shared" si="57"/>
        <v>1860.6875840000002</v>
      </c>
      <c r="J858" s="418">
        <f t="shared" si="62"/>
        <v>370.47040000000004</v>
      </c>
      <c r="K858" s="351">
        <f t="shared" si="58"/>
        <v>205.83335424000001</v>
      </c>
      <c r="L858" s="350">
        <f t="shared" si="59"/>
        <v>41.166670848000003</v>
      </c>
      <c r="M858" s="350" t="s">
        <v>6169</v>
      </c>
      <c r="N858" s="1" t="s">
        <v>3785</v>
      </c>
      <c r="O858" s="1" t="s">
        <v>4413</v>
      </c>
      <c r="P858" s="396" t="s">
        <v>3659</v>
      </c>
      <c r="Q858" s="397">
        <v>0.2</v>
      </c>
      <c r="R858" s="396">
        <v>1900001336</v>
      </c>
      <c r="S858" s="2" t="s">
        <v>415</v>
      </c>
      <c r="T858" s="2" t="s">
        <v>5915</v>
      </c>
    </row>
    <row r="859" spans="1:20" hidden="1" x14ac:dyDescent="0.35">
      <c r="A859" s="398" t="s">
        <v>4581</v>
      </c>
      <c r="B859" s="1" t="s">
        <v>4570</v>
      </c>
      <c r="C859" s="3">
        <v>43502</v>
      </c>
      <c r="D859" s="3">
        <v>43502</v>
      </c>
      <c r="E859" s="3" t="s">
        <v>882</v>
      </c>
      <c r="F859" s="394" t="s">
        <v>4412</v>
      </c>
      <c r="G859" s="394" t="s">
        <v>3784</v>
      </c>
      <c r="H859" s="1" t="s">
        <v>3656</v>
      </c>
      <c r="I859" s="418">
        <f t="shared" si="57"/>
        <v>1860.6875840000002</v>
      </c>
      <c r="J859" s="418">
        <f t="shared" si="62"/>
        <v>370.47040000000004</v>
      </c>
      <c r="K859" s="351">
        <f t="shared" si="58"/>
        <v>205.83335424000001</v>
      </c>
      <c r="L859" s="350">
        <f t="shared" si="59"/>
        <v>41.166670848000003</v>
      </c>
      <c r="M859" s="350" t="s">
        <v>6169</v>
      </c>
      <c r="N859" s="1" t="s">
        <v>3785</v>
      </c>
      <c r="O859" s="1" t="s">
        <v>4413</v>
      </c>
      <c r="P859" s="396" t="s">
        <v>3659</v>
      </c>
      <c r="Q859" s="397">
        <v>0.2</v>
      </c>
      <c r="R859" s="396">
        <v>1900001336</v>
      </c>
      <c r="S859" s="2" t="s">
        <v>880</v>
      </c>
      <c r="T859" s="2" t="s">
        <v>5915</v>
      </c>
    </row>
    <row r="860" spans="1:20" hidden="1" x14ac:dyDescent="0.35">
      <c r="A860" s="398" t="s">
        <v>4582</v>
      </c>
      <c r="B860" s="1" t="s">
        <v>4570</v>
      </c>
      <c r="C860" s="3">
        <v>43502</v>
      </c>
      <c r="D860" s="3">
        <v>43502</v>
      </c>
      <c r="E860" s="3" t="s">
        <v>883</v>
      </c>
      <c r="F860" s="394" t="s">
        <v>4412</v>
      </c>
      <c r="G860" s="394" t="s">
        <v>3784</v>
      </c>
      <c r="H860" s="1" t="s">
        <v>3656</v>
      </c>
      <c r="I860" s="418">
        <f t="shared" si="57"/>
        <v>1860.6875840000002</v>
      </c>
      <c r="J860" s="418">
        <f t="shared" si="62"/>
        <v>370.47040000000004</v>
      </c>
      <c r="K860" s="351">
        <f t="shared" si="58"/>
        <v>205.83335424000001</v>
      </c>
      <c r="L860" s="350">
        <f t="shared" si="59"/>
        <v>41.166670848000003</v>
      </c>
      <c r="M860" s="350" t="s">
        <v>6169</v>
      </c>
      <c r="N860" s="1" t="s">
        <v>3785</v>
      </c>
      <c r="O860" s="1" t="s">
        <v>4413</v>
      </c>
      <c r="P860" s="396" t="s">
        <v>3659</v>
      </c>
      <c r="Q860" s="397">
        <v>0.2</v>
      </c>
      <c r="R860" s="396">
        <v>1900001336</v>
      </c>
      <c r="S860" s="2" t="s">
        <v>577</v>
      </c>
      <c r="T860" s="2" t="s">
        <v>5915</v>
      </c>
    </row>
    <row r="861" spans="1:20" hidden="1" x14ac:dyDescent="0.35">
      <c r="A861" s="398" t="s">
        <v>4583</v>
      </c>
      <c r="B861" s="1" t="s">
        <v>4570</v>
      </c>
      <c r="C861" s="3">
        <v>43502</v>
      </c>
      <c r="D861" s="3">
        <v>43502</v>
      </c>
      <c r="E861" s="3" t="s">
        <v>887</v>
      </c>
      <c r="F861" s="394" t="s">
        <v>4412</v>
      </c>
      <c r="G861" s="394" t="s">
        <v>3784</v>
      </c>
      <c r="H861" s="1" t="s">
        <v>3656</v>
      </c>
      <c r="I861" s="418">
        <f t="shared" ref="I861:I877" si="63">+J861*5.0225</f>
        <v>1860.6875840000002</v>
      </c>
      <c r="J861" s="418">
        <f t="shared" si="62"/>
        <v>370.47040000000004</v>
      </c>
      <c r="K861" s="351">
        <f t="shared" ref="K861:K985" si="64">+J861*(0.5556)</f>
        <v>205.83335424000001</v>
      </c>
      <c r="L861" s="350">
        <f t="shared" ref="L861:L985" si="65">+K861*Q861</f>
        <v>41.166670848000003</v>
      </c>
      <c r="M861" s="350" t="s">
        <v>6169</v>
      </c>
      <c r="N861" s="1" t="s">
        <v>3785</v>
      </c>
      <c r="O861" s="1" t="s">
        <v>4413</v>
      </c>
      <c r="P861" s="396" t="s">
        <v>3659</v>
      </c>
      <c r="Q861" s="397">
        <v>0.2</v>
      </c>
      <c r="R861" s="396">
        <v>1900001336</v>
      </c>
      <c r="S861" s="2" t="s">
        <v>886</v>
      </c>
      <c r="T861" s="2" t="s">
        <v>5915</v>
      </c>
    </row>
    <row r="862" spans="1:20" hidden="1" x14ac:dyDescent="0.35">
      <c r="A862" s="398" t="s">
        <v>4584</v>
      </c>
      <c r="B862" s="1" t="s">
        <v>4570</v>
      </c>
      <c r="C862" s="3">
        <v>43502</v>
      </c>
      <c r="D862" s="3">
        <v>43502</v>
      </c>
      <c r="E862" s="3" t="s">
        <v>893</v>
      </c>
      <c r="F862" s="394" t="s">
        <v>4412</v>
      </c>
      <c r="G862" s="394" t="s">
        <v>3784</v>
      </c>
      <c r="H862" s="1" t="s">
        <v>3656</v>
      </c>
      <c r="I862" s="418">
        <f t="shared" si="63"/>
        <v>1860.6875840000002</v>
      </c>
      <c r="J862" s="418">
        <f t="shared" si="62"/>
        <v>370.47040000000004</v>
      </c>
      <c r="K862" s="351">
        <f t="shared" si="64"/>
        <v>205.83335424000001</v>
      </c>
      <c r="L862" s="350">
        <f t="shared" si="65"/>
        <v>41.166670848000003</v>
      </c>
      <c r="M862" s="350" t="s">
        <v>6169</v>
      </c>
      <c r="N862" s="1" t="s">
        <v>3785</v>
      </c>
      <c r="O862" s="1" t="s">
        <v>4413</v>
      </c>
      <c r="P862" s="396" t="s">
        <v>3659</v>
      </c>
      <c r="Q862" s="397">
        <v>0.2</v>
      </c>
      <c r="R862" s="396">
        <v>1900001336</v>
      </c>
      <c r="S862" s="2" t="s">
        <v>892</v>
      </c>
      <c r="T862" s="2" t="s">
        <v>5915</v>
      </c>
    </row>
    <row r="863" spans="1:20" hidden="1" x14ac:dyDescent="0.35">
      <c r="A863" s="398" t="s">
        <v>4585</v>
      </c>
      <c r="B863" s="1" t="s">
        <v>4570</v>
      </c>
      <c r="C863" s="3">
        <v>43502</v>
      </c>
      <c r="D863" s="3">
        <v>43502</v>
      </c>
      <c r="E863" s="3" t="s">
        <v>904</v>
      </c>
      <c r="F863" s="394" t="s">
        <v>4412</v>
      </c>
      <c r="G863" s="394" t="s">
        <v>3784</v>
      </c>
      <c r="H863" s="1" t="s">
        <v>3656</v>
      </c>
      <c r="I863" s="418">
        <f t="shared" si="63"/>
        <v>1860.6875840000002</v>
      </c>
      <c r="J863" s="418">
        <f t="shared" si="62"/>
        <v>370.47040000000004</v>
      </c>
      <c r="K863" s="351">
        <f t="shared" si="64"/>
        <v>205.83335424000001</v>
      </c>
      <c r="L863" s="350">
        <f t="shared" si="65"/>
        <v>41.166670848000003</v>
      </c>
      <c r="M863" s="350" t="s">
        <v>6169</v>
      </c>
      <c r="N863" s="1" t="s">
        <v>3785</v>
      </c>
      <c r="O863" s="1" t="s">
        <v>4413</v>
      </c>
      <c r="P863" s="396" t="s">
        <v>3659</v>
      </c>
      <c r="Q863" s="397">
        <v>0.2</v>
      </c>
      <c r="R863" s="396">
        <v>1900001336</v>
      </c>
      <c r="S863" s="2" t="s">
        <v>588</v>
      </c>
      <c r="T863" s="2" t="s">
        <v>5915</v>
      </c>
    </row>
    <row r="864" spans="1:20" hidden="1" x14ac:dyDescent="0.35">
      <c r="A864" s="398" t="s">
        <v>4586</v>
      </c>
      <c r="B864" s="1" t="s">
        <v>4570</v>
      </c>
      <c r="C864" s="3">
        <v>43502</v>
      </c>
      <c r="D864" s="3">
        <v>43502</v>
      </c>
      <c r="E864" s="3" t="s">
        <v>914</v>
      </c>
      <c r="F864" s="394" t="s">
        <v>4412</v>
      </c>
      <c r="G864" s="394" t="s">
        <v>3784</v>
      </c>
      <c r="H864" s="1" t="s">
        <v>3656</v>
      </c>
      <c r="I864" s="418">
        <f t="shared" si="63"/>
        <v>1860.6875840000002</v>
      </c>
      <c r="J864" s="418">
        <f t="shared" si="62"/>
        <v>370.47040000000004</v>
      </c>
      <c r="K864" s="351">
        <f t="shared" si="64"/>
        <v>205.83335424000001</v>
      </c>
      <c r="L864" s="350">
        <f t="shared" si="65"/>
        <v>41.166670848000003</v>
      </c>
      <c r="M864" s="350" t="s">
        <v>6169</v>
      </c>
      <c r="N864" s="1" t="s">
        <v>3785</v>
      </c>
      <c r="O864" s="1" t="s">
        <v>4413</v>
      </c>
      <c r="P864" s="396" t="s">
        <v>3659</v>
      </c>
      <c r="Q864" s="397">
        <v>0.2</v>
      </c>
      <c r="R864" s="396">
        <v>1900001336</v>
      </c>
      <c r="S864" s="2" t="s">
        <v>913</v>
      </c>
      <c r="T864" s="2" t="s">
        <v>5915</v>
      </c>
    </row>
    <row r="865" spans="1:20" hidden="1" x14ac:dyDescent="0.35">
      <c r="A865" s="398" t="s">
        <v>4587</v>
      </c>
      <c r="B865" s="1" t="s">
        <v>4570</v>
      </c>
      <c r="C865" s="3">
        <v>43502</v>
      </c>
      <c r="D865" s="3">
        <v>43502</v>
      </c>
      <c r="E865" s="3" t="s">
        <v>915</v>
      </c>
      <c r="F865" s="394" t="s">
        <v>4412</v>
      </c>
      <c r="G865" s="394" t="s">
        <v>3784</v>
      </c>
      <c r="H865" s="1" t="s">
        <v>3656</v>
      </c>
      <c r="I865" s="418">
        <f t="shared" si="63"/>
        <v>1860.6875840000002</v>
      </c>
      <c r="J865" s="418">
        <f t="shared" si="62"/>
        <v>370.47040000000004</v>
      </c>
      <c r="K865" s="351">
        <f t="shared" si="64"/>
        <v>205.83335424000001</v>
      </c>
      <c r="L865" s="350">
        <f t="shared" si="65"/>
        <v>41.166670848000003</v>
      </c>
      <c r="M865" s="350" t="s">
        <v>6169</v>
      </c>
      <c r="N865" s="1" t="s">
        <v>3785</v>
      </c>
      <c r="O865" s="1" t="s">
        <v>4413</v>
      </c>
      <c r="P865" s="396" t="s">
        <v>3659</v>
      </c>
      <c r="Q865" s="397">
        <v>0.2</v>
      </c>
      <c r="R865" s="396">
        <v>1900001336</v>
      </c>
      <c r="S865" s="2" t="s">
        <v>913</v>
      </c>
      <c r="T865" s="2" t="s">
        <v>5915</v>
      </c>
    </row>
    <row r="866" spans="1:20" hidden="1" x14ac:dyDescent="0.35">
      <c r="A866" s="398" t="s">
        <v>4588</v>
      </c>
      <c r="B866" s="1" t="s">
        <v>4570</v>
      </c>
      <c r="C866" s="3">
        <v>43502</v>
      </c>
      <c r="D866" s="3">
        <v>43502</v>
      </c>
      <c r="E866" s="3" t="s">
        <v>919</v>
      </c>
      <c r="F866" s="394" t="s">
        <v>4412</v>
      </c>
      <c r="G866" s="394" t="s">
        <v>3784</v>
      </c>
      <c r="H866" s="1" t="s">
        <v>3656</v>
      </c>
      <c r="I866" s="418">
        <f t="shared" si="63"/>
        <v>1860.6875840000002</v>
      </c>
      <c r="J866" s="418">
        <f t="shared" si="62"/>
        <v>370.47040000000004</v>
      </c>
      <c r="K866" s="351">
        <f t="shared" si="64"/>
        <v>205.83335424000001</v>
      </c>
      <c r="L866" s="350">
        <f t="shared" si="65"/>
        <v>41.166670848000003</v>
      </c>
      <c r="M866" s="350" t="s">
        <v>6169</v>
      </c>
      <c r="N866" s="1" t="s">
        <v>3785</v>
      </c>
      <c r="O866" s="1" t="s">
        <v>4413</v>
      </c>
      <c r="P866" s="396" t="s">
        <v>3659</v>
      </c>
      <c r="Q866" s="397">
        <v>0.2</v>
      </c>
      <c r="R866" s="396">
        <v>1900001336</v>
      </c>
      <c r="S866" s="2" t="s">
        <v>583</v>
      </c>
      <c r="T866" s="2" t="s">
        <v>5915</v>
      </c>
    </row>
    <row r="867" spans="1:20" hidden="1" x14ac:dyDescent="0.35">
      <c r="A867" s="398" t="s">
        <v>4589</v>
      </c>
      <c r="B867" s="1" t="s">
        <v>4570</v>
      </c>
      <c r="C867" s="3">
        <v>43502</v>
      </c>
      <c r="D867" s="3">
        <v>43502</v>
      </c>
      <c r="E867" s="3" t="s">
        <v>923</v>
      </c>
      <c r="F867" s="394" t="s">
        <v>4412</v>
      </c>
      <c r="G867" s="394" t="s">
        <v>3784</v>
      </c>
      <c r="H867" s="1" t="s">
        <v>3656</v>
      </c>
      <c r="I867" s="418">
        <f t="shared" si="63"/>
        <v>1860.6875840000002</v>
      </c>
      <c r="J867" s="418">
        <f t="shared" si="62"/>
        <v>370.47040000000004</v>
      </c>
      <c r="K867" s="351">
        <f t="shared" si="64"/>
        <v>205.83335424000001</v>
      </c>
      <c r="L867" s="350">
        <f t="shared" si="65"/>
        <v>41.166670848000003</v>
      </c>
      <c r="M867" s="350" t="s">
        <v>6169</v>
      </c>
      <c r="N867" s="1" t="s">
        <v>3785</v>
      </c>
      <c r="O867" s="1" t="s">
        <v>4413</v>
      </c>
      <c r="P867" s="396" t="s">
        <v>3659</v>
      </c>
      <c r="Q867" s="397">
        <v>0.2</v>
      </c>
      <c r="R867" s="396">
        <v>1900001336</v>
      </c>
      <c r="S867" s="2" t="s">
        <v>922</v>
      </c>
      <c r="T867" s="2" t="s">
        <v>5915</v>
      </c>
    </row>
    <row r="868" spans="1:20" hidden="1" x14ac:dyDescent="0.35">
      <c r="A868" s="398" t="s">
        <v>4590</v>
      </c>
      <c r="B868" s="1" t="s">
        <v>4570</v>
      </c>
      <c r="C868" s="3">
        <v>43502</v>
      </c>
      <c r="D868" s="3">
        <v>43502</v>
      </c>
      <c r="E868" s="3" t="s">
        <v>941</v>
      </c>
      <c r="F868" s="394" t="s">
        <v>4412</v>
      </c>
      <c r="G868" s="394" t="s">
        <v>3784</v>
      </c>
      <c r="H868" s="1" t="s">
        <v>3656</v>
      </c>
      <c r="I868" s="418">
        <f t="shared" si="63"/>
        <v>1860.6875840000002</v>
      </c>
      <c r="J868" s="418">
        <f t="shared" si="62"/>
        <v>370.47040000000004</v>
      </c>
      <c r="K868" s="351">
        <f t="shared" si="64"/>
        <v>205.83335424000001</v>
      </c>
      <c r="L868" s="350">
        <f t="shared" si="65"/>
        <v>41.166670848000003</v>
      </c>
      <c r="M868" s="350" t="s">
        <v>6169</v>
      </c>
      <c r="N868" s="1" t="s">
        <v>3785</v>
      </c>
      <c r="O868" s="1" t="s">
        <v>4413</v>
      </c>
      <c r="P868" s="396" t="s">
        <v>3659</v>
      </c>
      <c r="Q868" s="397">
        <v>0.2</v>
      </c>
      <c r="R868" s="396">
        <v>1900001336</v>
      </c>
      <c r="S868" s="2" t="s">
        <v>938</v>
      </c>
      <c r="T868" s="2" t="s">
        <v>5915</v>
      </c>
    </row>
    <row r="869" spans="1:20" hidden="1" x14ac:dyDescent="0.35">
      <c r="A869" s="398" t="s">
        <v>4591</v>
      </c>
      <c r="B869" s="1" t="s">
        <v>4570</v>
      </c>
      <c r="C869" s="3">
        <v>43502</v>
      </c>
      <c r="D869" s="3">
        <v>43502</v>
      </c>
      <c r="E869" s="3" t="s">
        <v>969</v>
      </c>
      <c r="F869" s="394" t="s">
        <v>4412</v>
      </c>
      <c r="G869" s="394" t="s">
        <v>3784</v>
      </c>
      <c r="H869" s="1" t="s">
        <v>3656</v>
      </c>
      <c r="I869" s="418">
        <f t="shared" si="63"/>
        <v>1860.6875840000002</v>
      </c>
      <c r="J869" s="418">
        <f t="shared" si="62"/>
        <v>370.47040000000004</v>
      </c>
      <c r="K869" s="351">
        <f t="shared" si="64"/>
        <v>205.83335424000001</v>
      </c>
      <c r="L869" s="350">
        <f t="shared" si="65"/>
        <v>41.166670848000003</v>
      </c>
      <c r="M869" s="350" t="s">
        <v>6169</v>
      </c>
      <c r="N869" s="1" t="s">
        <v>3785</v>
      </c>
      <c r="O869" s="1" t="s">
        <v>4413</v>
      </c>
      <c r="P869" s="396" t="s">
        <v>3659</v>
      </c>
      <c r="Q869" s="397">
        <v>0.2</v>
      </c>
      <c r="R869" s="396">
        <v>1900001336</v>
      </c>
      <c r="S869" s="2" t="s">
        <v>319</v>
      </c>
      <c r="T869" s="2" t="s">
        <v>5915</v>
      </c>
    </row>
    <row r="870" spans="1:20" hidden="1" x14ac:dyDescent="0.35">
      <c r="A870" s="398" t="s">
        <v>4592</v>
      </c>
      <c r="B870" s="1" t="s">
        <v>4570</v>
      </c>
      <c r="C870" s="3">
        <v>43502</v>
      </c>
      <c r="D870" s="3">
        <v>43502</v>
      </c>
      <c r="E870" s="3" t="s">
        <v>970</v>
      </c>
      <c r="F870" s="394" t="s">
        <v>4412</v>
      </c>
      <c r="G870" s="394" t="s">
        <v>3784</v>
      </c>
      <c r="H870" s="1" t="s">
        <v>3656</v>
      </c>
      <c r="I870" s="418">
        <f t="shared" si="63"/>
        <v>1860.6875840000002</v>
      </c>
      <c r="J870" s="418">
        <f t="shared" si="62"/>
        <v>370.47040000000004</v>
      </c>
      <c r="K870" s="351">
        <f t="shared" si="64"/>
        <v>205.83335424000001</v>
      </c>
      <c r="L870" s="350">
        <f t="shared" si="65"/>
        <v>41.166670848000003</v>
      </c>
      <c r="M870" s="350" t="s">
        <v>6169</v>
      </c>
      <c r="N870" s="1" t="s">
        <v>3785</v>
      </c>
      <c r="O870" s="1" t="s">
        <v>4413</v>
      </c>
      <c r="P870" s="396" t="s">
        <v>3659</v>
      </c>
      <c r="Q870" s="397">
        <v>0.2</v>
      </c>
      <c r="R870" s="396">
        <v>1900001336</v>
      </c>
      <c r="S870" s="2" t="s">
        <v>319</v>
      </c>
      <c r="T870" s="2" t="s">
        <v>5915</v>
      </c>
    </row>
    <row r="871" spans="1:20" hidden="1" x14ac:dyDescent="0.35">
      <c r="A871" s="398" t="s">
        <v>4593</v>
      </c>
      <c r="B871" s="1" t="s">
        <v>4570</v>
      </c>
      <c r="C871" s="3">
        <v>43502</v>
      </c>
      <c r="D871" s="3">
        <v>43502</v>
      </c>
      <c r="E871" s="3" t="s">
        <v>975</v>
      </c>
      <c r="F871" s="394" t="s">
        <v>4412</v>
      </c>
      <c r="G871" s="394" t="s">
        <v>3784</v>
      </c>
      <c r="H871" s="1" t="s">
        <v>3656</v>
      </c>
      <c r="I871" s="418">
        <f t="shared" si="63"/>
        <v>1860.6875840000002</v>
      </c>
      <c r="J871" s="418">
        <f t="shared" si="62"/>
        <v>370.47040000000004</v>
      </c>
      <c r="K871" s="351">
        <f t="shared" si="64"/>
        <v>205.83335424000001</v>
      </c>
      <c r="L871" s="350">
        <f t="shared" si="65"/>
        <v>41.166670848000003</v>
      </c>
      <c r="M871" s="350" t="s">
        <v>6169</v>
      </c>
      <c r="N871" s="1" t="s">
        <v>3785</v>
      </c>
      <c r="O871" s="1" t="s">
        <v>4413</v>
      </c>
      <c r="P871" s="396" t="s">
        <v>3659</v>
      </c>
      <c r="Q871" s="397">
        <v>0.2</v>
      </c>
      <c r="R871" s="396">
        <v>1900001336</v>
      </c>
      <c r="S871" s="2" t="s">
        <v>974</v>
      </c>
      <c r="T871" s="2" t="s">
        <v>5915</v>
      </c>
    </row>
    <row r="872" spans="1:20" hidden="1" x14ac:dyDescent="0.35">
      <c r="A872" s="398" t="s">
        <v>4594</v>
      </c>
      <c r="B872" s="1" t="s">
        <v>4570</v>
      </c>
      <c r="C872" s="3">
        <v>43502</v>
      </c>
      <c r="D872" s="3">
        <v>43502</v>
      </c>
      <c r="E872" s="3" t="s">
        <v>976</v>
      </c>
      <c r="F872" s="394" t="s">
        <v>4412</v>
      </c>
      <c r="G872" s="394" t="s">
        <v>3784</v>
      </c>
      <c r="H872" s="1" t="s">
        <v>3656</v>
      </c>
      <c r="I872" s="418">
        <f t="shared" si="63"/>
        <v>1860.6875840000002</v>
      </c>
      <c r="J872" s="418">
        <f t="shared" si="62"/>
        <v>370.47040000000004</v>
      </c>
      <c r="K872" s="351">
        <f t="shared" si="64"/>
        <v>205.83335424000001</v>
      </c>
      <c r="L872" s="350">
        <f t="shared" si="65"/>
        <v>41.166670848000003</v>
      </c>
      <c r="M872" s="350" t="s">
        <v>6169</v>
      </c>
      <c r="N872" s="1" t="s">
        <v>3785</v>
      </c>
      <c r="O872" s="1" t="s">
        <v>4413</v>
      </c>
      <c r="P872" s="396" t="s">
        <v>3659</v>
      </c>
      <c r="Q872" s="397">
        <v>0.2</v>
      </c>
      <c r="R872" s="396">
        <v>1900001336</v>
      </c>
      <c r="S872" s="2" t="s">
        <v>974</v>
      </c>
      <c r="T872" s="2" t="s">
        <v>5915</v>
      </c>
    </row>
    <row r="873" spans="1:20" hidden="1" x14ac:dyDescent="0.35">
      <c r="A873" s="398" t="s">
        <v>4595</v>
      </c>
      <c r="B873" s="1" t="s">
        <v>4570</v>
      </c>
      <c r="C873" s="3">
        <v>43502</v>
      </c>
      <c r="D873" s="3">
        <v>43502</v>
      </c>
      <c r="E873" s="3" t="s">
        <v>1014</v>
      </c>
      <c r="F873" s="394" t="s">
        <v>4412</v>
      </c>
      <c r="G873" s="394" t="s">
        <v>3784</v>
      </c>
      <c r="H873" s="1" t="s">
        <v>3656</v>
      </c>
      <c r="I873" s="418">
        <f t="shared" si="63"/>
        <v>1860.6875840000002</v>
      </c>
      <c r="J873" s="418">
        <f t="shared" si="62"/>
        <v>370.47040000000004</v>
      </c>
      <c r="K873" s="351">
        <f t="shared" si="64"/>
        <v>205.83335424000001</v>
      </c>
      <c r="L873" s="350">
        <f t="shared" si="65"/>
        <v>41.166670848000003</v>
      </c>
      <c r="M873" s="350" t="s">
        <v>6169</v>
      </c>
      <c r="N873" s="1" t="s">
        <v>3785</v>
      </c>
      <c r="O873" s="1" t="s">
        <v>4413</v>
      </c>
      <c r="P873" s="396" t="s">
        <v>3659</v>
      </c>
      <c r="Q873" s="397">
        <v>0.2</v>
      </c>
      <c r="R873" s="396">
        <v>1900001336</v>
      </c>
      <c r="S873" s="2" t="s">
        <v>1012</v>
      </c>
      <c r="T873" s="2" t="s">
        <v>5915</v>
      </c>
    </row>
    <row r="874" spans="1:20" hidden="1" x14ac:dyDescent="0.35">
      <c r="A874" s="398" t="s">
        <v>4596</v>
      </c>
      <c r="B874" s="1" t="s">
        <v>4570</v>
      </c>
      <c r="C874" s="3">
        <v>43502</v>
      </c>
      <c r="D874" s="3">
        <v>43502</v>
      </c>
      <c r="E874" s="3" t="s">
        <v>1049</v>
      </c>
      <c r="F874" s="394" t="s">
        <v>4412</v>
      </c>
      <c r="G874" s="394" t="s">
        <v>3784</v>
      </c>
      <c r="H874" s="1" t="s">
        <v>3656</v>
      </c>
      <c r="I874" s="418">
        <f t="shared" si="63"/>
        <v>1860.6875840000002</v>
      </c>
      <c r="J874" s="418">
        <f t="shared" si="62"/>
        <v>370.47040000000004</v>
      </c>
      <c r="K874" s="351">
        <f t="shared" si="64"/>
        <v>205.83335424000001</v>
      </c>
      <c r="L874" s="350">
        <f t="shared" si="65"/>
        <v>41.166670848000003</v>
      </c>
      <c r="M874" s="350" t="s">
        <v>6169</v>
      </c>
      <c r="N874" s="1" t="s">
        <v>3785</v>
      </c>
      <c r="O874" s="1" t="s">
        <v>4413</v>
      </c>
      <c r="P874" s="396" t="s">
        <v>3659</v>
      </c>
      <c r="Q874" s="397">
        <v>0.2</v>
      </c>
      <c r="R874" s="396">
        <v>1900001336</v>
      </c>
      <c r="S874" s="2" t="s">
        <v>1048</v>
      </c>
      <c r="T874" s="2" t="s">
        <v>5915</v>
      </c>
    </row>
    <row r="875" spans="1:20" hidden="1" x14ac:dyDescent="0.35">
      <c r="A875" s="398" t="s">
        <v>4597</v>
      </c>
      <c r="B875" s="1" t="s">
        <v>4570</v>
      </c>
      <c r="C875" s="3">
        <v>43502</v>
      </c>
      <c r="D875" s="3">
        <v>43502</v>
      </c>
      <c r="E875" s="3" t="s">
        <v>1053</v>
      </c>
      <c r="F875" s="394" t="s">
        <v>4412</v>
      </c>
      <c r="G875" s="394" t="s">
        <v>3784</v>
      </c>
      <c r="H875" s="1" t="s">
        <v>3656</v>
      </c>
      <c r="I875" s="418">
        <f t="shared" si="63"/>
        <v>1860.6875840000002</v>
      </c>
      <c r="J875" s="418">
        <f t="shared" si="62"/>
        <v>370.47040000000004</v>
      </c>
      <c r="K875" s="351">
        <f t="shared" si="64"/>
        <v>205.83335424000001</v>
      </c>
      <c r="L875" s="350">
        <f t="shared" si="65"/>
        <v>41.166670848000003</v>
      </c>
      <c r="M875" s="350" t="s">
        <v>6169</v>
      </c>
      <c r="N875" s="1" t="s">
        <v>3785</v>
      </c>
      <c r="O875" s="1" t="s">
        <v>4413</v>
      </c>
      <c r="P875" s="396" t="s">
        <v>3659</v>
      </c>
      <c r="Q875" s="397">
        <v>0.2</v>
      </c>
      <c r="R875" s="396">
        <v>1900001336</v>
      </c>
      <c r="S875" s="2" t="s">
        <v>1052</v>
      </c>
      <c r="T875" s="2" t="s">
        <v>5915</v>
      </c>
    </row>
    <row r="876" spans="1:20" hidden="1" x14ac:dyDescent="0.35">
      <c r="A876" s="398" t="s">
        <v>4598</v>
      </c>
      <c r="B876" s="1" t="s">
        <v>4570</v>
      </c>
      <c r="C876" s="3">
        <v>43502</v>
      </c>
      <c r="D876" s="3">
        <v>43502</v>
      </c>
      <c r="E876" s="3" t="s">
        <v>1088</v>
      </c>
      <c r="F876" s="394" t="s">
        <v>4412</v>
      </c>
      <c r="G876" s="394" t="s">
        <v>3784</v>
      </c>
      <c r="H876" s="1" t="s">
        <v>3656</v>
      </c>
      <c r="I876" s="418">
        <f t="shared" si="63"/>
        <v>1860.6875840000002</v>
      </c>
      <c r="J876" s="418">
        <f t="shared" si="62"/>
        <v>370.47040000000004</v>
      </c>
      <c r="K876" s="351">
        <f t="shared" si="64"/>
        <v>205.83335424000001</v>
      </c>
      <c r="L876" s="350">
        <f t="shared" si="65"/>
        <v>41.166670848000003</v>
      </c>
      <c r="M876" s="350" t="s">
        <v>6169</v>
      </c>
      <c r="N876" s="1" t="s">
        <v>3785</v>
      </c>
      <c r="O876" s="1" t="s">
        <v>4413</v>
      </c>
      <c r="P876" s="396" t="s">
        <v>3659</v>
      </c>
      <c r="Q876" s="397">
        <v>0.2</v>
      </c>
      <c r="R876" s="396">
        <v>1900001336</v>
      </c>
      <c r="S876" s="2" t="s">
        <v>1089</v>
      </c>
      <c r="T876" s="2" t="s">
        <v>5915</v>
      </c>
    </row>
    <row r="877" spans="1:20" hidden="1" x14ac:dyDescent="0.35">
      <c r="A877" s="398" t="s">
        <v>4599</v>
      </c>
      <c r="B877" s="1" t="s">
        <v>4570</v>
      </c>
      <c r="C877" s="3">
        <v>43502</v>
      </c>
      <c r="D877" s="3">
        <v>43502</v>
      </c>
      <c r="E877" s="3" t="s">
        <v>1090</v>
      </c>
      <c r="F877" s="394" t="s">
        <v>4412</v>
      </c>
      <c r="G877" s="394" t="s">
        <v>3784</v>
      </c>
      <c r="H877" s="1" t="s">
        <v>3656</v>
      </c>
      <c r="I877" s="418">
        <f t="shared" si="63"/>
        <v>1860.6875840000002</v>
      </c>
      <c r="J877" s="418">
        <f t="shared" si="62"/>
        <v>370.47040000000004</v>
      </c>
      <c r="K877" s="351">
        <f t="shared" si="64"/>
        <v>205.83335424000001</v>
      </c>
      <c r="L877" s="350">
        <f t="shared" si="65"/>
        <v>41.166670848000003</v>
      </c>
      <c r="M877" s="350" t="s">
        <v>6169</v>
      </c>
      <c r="N877" s="1" t="s">
        <v>3785</v>
      </c>
      <c r="O877" s="1" t="s">
        <v>4413</v>
      </c>
      <c r="P877" s="396" t="s">
        <v>3659</v>
      </c>
      <c r="Q877" s="397">
        <v>0.2</v>
      </c>
      <c r="R877" s="396">
        <v>1900001336</v>
      </c>
      <c r="S877" s="2" t="s">
        <v>1089</v>
      </c>
      <c r="T877" s="2" t="s">
        <v>5915</v>
      </c>
    </row>
    <row r="878" spans="1:20" hidden="1" x14ac:dyDescent="0.35">
      <c r="A878" s="398" t="s">
        <v>4600</v>
      </c>
      <c r="B878" s="1" t="s">
        <v>1686</v>
      </c>
      <c r="C878" s="3">
        <v>43502</v>
      </c>
      <c r="D878" s="3">
        <v>43502</v>
      </c>
      <c r="E878" s="3" t="s">
        <v>1687</v>
      </c>
      <c r="F878" s="394" t="s">
        <v>4412</v>
      </c>
      <c r="G878" s="394" t="s">
        <v>4601</v>
      </c>
      <c r="H878" s="1" t="s">
        <v>3656</v>
      </c>
      <c r="I878" s="418">
        <f>903.25*1.03</f>
        <v>930.34749999999997</v>
      </c>
      <c r="J878" s="418">
        <f>+I878/5.0225</f>
        <v>185.23593827775011</v>
      </c>
      <c r="K878" s="351">
        <f t="shared" si="64"/>
        <v>102.91708730711795</v>
      </c>
      <c r="L878" s="350">
        <f t="shared" si="65"/>
        <v>20.583417461423593</v>
      </c>
      <c r="M878" s="350" t="s">
        <v>6169</v>
      </c>
      <c r="N878" s="1" t="s">
        <v>3785</v>
      </c>
      <c r="O878" s="1" t="s">
        <v>4413</v>
      </c>
      <c r="P878" s="396" t="s">
        <v>3659</v>
      </c>
      <c r="Q878" s="397">
        <v>0.2</v>
      </c>
      <c r="R878" s="396">
        <v>1900001336</v>
      </c>
      <c r="S878" s="2" t="s">
        <v>2617</v>
      </c>
      <c r="T878" s="2" t="s">
        <v>5915</v>
      </c>
    </row>
    <row r="879" spans="1:20" hidden="1" x14ac:dyDescent="0.35">
      <c r="A879" s="398" t="s">
        <v>4602</v>
      </c>
      <c r="B879" s="1" t="s">
        <v>1686</v>
      </c>
      <c r="C879" s="3">
        <v>43502</v>
      </c>
      <c r="D879" s="3">
        <v>43502</v>
      </c>
      <c r="E879" s="3" t="s">
        <v>1689</v>
      </c>
      <c r="F879" s="394" t="s">
        <v>4412</v>
      </c>
      <c r="G879" s="394" t="s">
        <v>4601</v>
      </c>
      <c r="H879" s="1" t="s">
        <v>3656</v>
      </c>
      <c r="I879" s="418">
        <v>930.34749999999997</v>
      </c>
      <c r="J879" s="418">
        <f t="shared" ref="J879:J942" si="66">+I879/5.0225</f>
        <v>185.23593827775011</v>
      </c>
      <c r="K879" s="351">
        <f t="shared" si="64"/>
        <v>102.91708730711795</v>
      </c>
      <c r="L879" s="350">
        <f t="shared" si="65"/>
        <v>20.583417461423593</v>
      </c>
      <c r="M879" s="350" t="s">
        <v>6169</v>
      </c>
      <c r="N879" s="1" t="s">
        <v>3785</v>
      </c>
      <c r="O879" s="1" t="s">
        <v>4413</v>
      </c>
      <c r="P879" s="396" t="s">
        <v>3659</v>
      </c>
      <c r="Q879" s="397">
        <v>0.2</v>
      </c>
      <c r="R879" s="396">
        <v>1900001336</v>
      </c>
      <c r="S879" s="2" t="s">
        <v>2617</v>
      </c>
      <c r="T879" s="2" t="s">
        <v>5915</v>
      </c>
    </row>
    <row r="880" spans="1:20" hidden="1" x14ac:dyDescent="0.35">
      <c r="A880" s="398" t="s">
        <v>4603</v>
      </c>
      <c r="B880" s="1" t="s">
        <v>1686</v>
      </c>
      <c r="C880" s="3">
        <v>43502</v>
      </c>
      <c r="D880" s="3">
        <v>43502</v>
      </c>
      <c r="E880" s="3" t="s">
        <v>1690</v>
      </c>
      <c r="F880" s="394" t="s">
        <v>4412</v>
      </c>
      <c r="G880" s="394" t="s">
        <v>4601</v>
      </c>
      <c r="H880" s="1" t="s">
        <v>3656</v>
      </c>
      <c r="I880" s="418">
        <v>930.34749999999997</v>
      </c>
      <c r="J880" s="418">
        <f t="shared" si="66"/>
        <v>185.23593827775011</v>
      </c>
      <c r="K880" s="351">
        <f t="shared" si="64"/>
        <v>102.91708730711795</v>
      </c>
      <c r="L880" s="350">
        <f t="shared" si="65"/>
        <v>20.583417461423593</v>
      </c>
      <c r="M880" s="350" t="s">
        <v>6169</v>
      </c>
      <c r="N880" s="1" t="s">
        <v>3785</v>
      </c>
      <c r="O880" s="1" t="s">
        <v>4413</v>
      </c>
      <c r="P880" s="396" t="s">
        <v>3659</v>
      </c>
      <c r="Q880" s="397">
        <v>0.2</v>
      </c>
      <c r="R880" s="396">
        <v>1900001336</v>
      </c>
      <c r="S880" s="2" t="s">
        <v>2617</v>
      </c>
      <c r="T880" s="2" t="s">
        <v>5915</v>
      </c>
    </row>
    <row r="881" spans="1:20" hidden="1" x14ac:dyDescent="0.35">
      <c r="A881" s="398" t="s">
        <v>4604</v>
      </c>
      <c r="B881" s="1" t="s">
        <v>1686</v>
      </c>
      <c r="C881" s="3">
        <v>43502</v>
      </c>
      <c r="D881" s="3">
        <v>43502</v>
      </c>
      <c r="E881" s="3" t="s">
        <v>1691</v>
      </c>
      <c r="F881" s="394" t="s">
        <v>4412</v>
      </c>
      <c r="G881" s="394" t="s">
        <v>4601</v>
      </c>
      <c r="H881" s="1" t="s">
        <v>3656</v>
      </c>
      <c r="I881" s="418">
        <v>930.34749999999997</v>
      </c>
      <c r="J881" s="418">
        <f t="shared" si="66"/>
        <v>185.23593827775011</v>
      </c>
      <c r="K881" s="351">
        <f t="shared" si="64"/>
        <v>102.91708730711795</v>
      </c>
      <c r="L881" s="350">
        <f t="shared" si="65"/>
        <v>20.583417461423593</v>
      </c>
      <c r="M881" s="350" t="s">
        <v>6169</v>
      </c>
      <c r="N881" s="1" t="s">
        <v>3785</v>
      </c>
      <c r="O881" s="1" t="s">
        <v>4413</v>
      </c>
      <c r="P881" s="396" t="s">
        <v>3659</v>
      </c>
      <c r="Q881" s="397">
        <v>0.2</v>
      </c>
      <c r="R881" s="396">
        <v>1900001336</v>
      </c>
      <c r="S881" s="2" t="s">
        <v>2617</v>
      </c>
      <c r="T881" s="2" t="s">
        <v>5915</v>
      </c>
    </row>
    <row r="882" spans="1:20" hidden="1" x14ac:dyDescent="0.35">
      <c r="A882" s="398" t="s">
        <v>4605</v>
      </c>
      <c r="B882" s="1" t="s">
        <v>1686</v>
      </c>
      <c r="C882" s="3">
        <v>43502</v>
      </c>
      <c r="D882" s="3">
        <v>43502</v>
      </c>
      <c r="E882" s="3" t="s">
        <v>1692</v>
      </c>
      <c r="F882" s="394" t="s">
        <v>4412</v>
      </c>
      <c r="G882" s="394" t="s">
        <v>4601</v>
      </c>
      <c r="H882" s="1" t="s">
        <v>3656</v>
      </c>
      <c r="I882" s="418">
        <v>930.34749999999997</v>
      </c>
      <c r="J882" s="418">
        <f t="shared" si="66"/>
        <v>185.23593827775011</v>
      </c>
      <c r="K882" s="351">
        <f t="shared" si="64"/>
        <v>102.91708730711795</v>
      </c>
      <c r="L882" s="350">
        <f t="shared" si="65"/>
        <v>20.583417461423593</v>
      </c>
      <c r="M882" s="350" t="s">
        <v>6169</v>
      </c>
      <c r="N882" s="1" t="s">
        <v>3785</v>
      </c>
      <c r="O882" s="1" t="s">
        <v>4413</v>
      </c>
      <c r="P882" s="396" t="s">
        <v>3659</v>
      </c>
      <c r="Q882" s="397">
        <v>0.2</v>
      </c>
      <c r="R882" s="396">
        <v>1900001336</v>
      </c>
      <c r="S882" s="2" t="s">
        <v>2617</v>
      </c>
      <c r="T882" s="2" t="s">
        <v>5915</v>
      </c>
    </row>
    <row r="883" spans="1:20" hidden="1" x14ac:dyDescent="0.35">
      <c r="A883" s="398" t="s">
        <v>4606</v>
      </c>
      <c r="B883" s="1" t="s">
        <v>1686</v>
      </c>
      <c r="C883" s="3">
        <v>43502</v>
      </c>
      <c r="D883" s="3">
        <v>43502</v>
      </c>
      <c r="E883" s="3" t="s">
        <v>1693</v>
      </c>
      <c r="F883" s="394" t="s">
        <v>4412</v>
      </c>
      <c r="G883" s="394" t="s">
        <v>4601</v>
      </c>
      <c r="H883" s="1" t="s">
        <v>3656</v>
      </c>
      <c r="I883" s="418">
        <v>930.34749999999997</v>
      </c>
      <c r="J883" s="418">
        <f t="shared" si="66"/>
        <v>185.23593827775011</v>
      </c>
      <c r="K883" s="351">
        <f t="shared" si="64"/>
        <v>102.91708730711795</v>
      </c>
      <c r="L883" s="350">
        <f t="shared" si="65"/>
        <v>20.583417461423593</v>
      </c>
      <c r="M883" s="350" t="s">
        <v>6169</v>
      </c>
      <c r="N883" s="1" t="s">
        <v>3785</v>
      </c>
      <c r="O883" s="1" t="s">
        <v>4413</v>
      </c>
      <c r="P883" s="396" t="s">
        <v>3659</v>
      </c>
      <c r="Q883" s="397">
        <v>0.2</v>
      </c>
      <c r="R883" s="396">
        <v>1900001336</v>
      </c>
      <c r="S883" s="2" t="s">
        <v>2617</v>
      </c>
      <c r="T883" s="2" t="s">
        <v>5915</v>
      </c>
    </row>
    <row r="884" spans="1:20" hidden="1" x14ac:dyDescent="0.35">
      <c r="A884" s="398" t="s">
        <v>4607</v>
      </c>
      <c r="B884" s="1" t="s">
        <v>1686</v>
      </c>
      <c r="C884" s="3">
        <v>43502</v>
      </c>
      <c r="D884" s="3">
        <v>43502</v>
      </c>
      <c r="E884" s="3" t="s">
        <v>1694</v>
      </c>
      <c r="F884" s="394" t="s">
        <v>4412</v>
      </c>
      <c r="G884" s="394" t="s">
        <v>4601</v>
      </c>
      <c r="H884" s="1" t="s">
        <v>3656</v>
      </c>
      <c r="I884" s="418">
        <v>930.34749999999997</v>
      </c>
      <c r="J884" s="418">
        <f t="shared" si="66"/>
        <v>185.23593827775011</v>
      </c>
      <c r="K884" s="351">
        <f t="shared" si="64"/>
        <v>102.91708730711795</v>
      </c>
      <c r="L884" s="350">
        <f t="shared" si="65"/>
        <v>20.583417461423593</v>
      </c>
      <c r="M884" s="350" t="s">
        <v>6169</v>
      </c>
      <c r="N884" s="1" t="s">
        <v>3785</v>
      </c>
      <c r="O884" s="1" t="s">
        <v>4413</v>
      </c>
      <c r="P884" s="396" t="s">
        <v>3659</v>
      </c>
      <c r="Q884" s="397">
        <v>0.2</v>
      </c>
      <c r="R884" s="396">
        <v>1900001336</v>
      </c>
      <c r="S884" s="2" t="s">
        <v>2617</v>
      </c>
      <c r="T884" s="2" t="s">
        <v>5915</v>
      </c>
    </row>
    <row r="885" spans="1:20" hidden="1" x14ac:dyDescent="0.35">
      <c r="A885" s="398" t="s">
        <v>4608</v>
      </c>
      <c r="B885" s="1" t="s">
        <v>1686</v>
      </c>
      <c r="C885" s="3">
        <v>43502</v>
      </c>
      <c r="D885" s="3">
        <v>43502</v>
      </c>
      <c r="E885" s="3" t="s">
        <v>1695</v>
      </c>
      <c r="F885" s="394" t="s">
        <v>4412</v>
      </c>
      <c r="G885" s="394" t="s">
        <v>4601</v>
      </c>
      <c r="H885" s="1" t="s">
        <v>3656</v>
      </c>
      <c r="I885" s="418">
        <v>930.34749999999997</v>
      </c>
      <c r="J885" s="418">
        <f t="shared" si="66"/>
        <v>185.23593827775011</v>
      </c>
      <c r="K885" s="351">
        <f t="shared" si="64"/>
        <v>102.91708730711795</v>
      </c>
      <c r="L885" s="350">
        <f t="shared" si="65"/>
        <v>20.583417461423593</v>
      </c>
      <c r="M885" s="350" t="s">
        <v>6169</v>
      </c>
      <c r="N885" s="1" t="s">
        <v>3785</v>
      </c>
      <c r="O885" s="1" t="s">
        <v>4413</v>
      </c>
      <c r="P885" s="396" t="s">
        <v>3659</v>
      </c>
      <c r="Q885" s="397">
        <v>0.2</v>
      </c>
      <c r="R885" s="396">
        <v>1900001336</v>
      </c>
      <c r="S885" s="2" t="s">
        <v>2617</v>
      </c>
      <c r="T885" s="2" t="s">
        <v>5915</v>
      </c>
    </row>
    <row r="886" spans="1:20" hidden="1" x14ac:dyDescent="0.35">
      <c r="A886" s="398" t="s">
        <v>4609</v>
      </c>
      <c r="B886" s="1" t="s">
        <v>1686</v>
      </c>
      <c r="C886" s="3">
        <v>43502</v>
      </c>
      <c r="D886" s="3">
        <v>43502</v>
      </c>
      <c r="E886" s="3" t="s">
        <v>1696</v>
      </c>
      <c r="F886" s="394" t="s">
        <v>4412</v>
      </c>
      <c r="G886" s="394" t="s">
        <v>4601</v>
      </c>
      <c r="H886" s="1" t="s">
        <v>3656</v>
      </c>
      <c r="I886" s="418">
        <v>930.34749999999997</v>
      </c>
      <c r="J886" s="418">
        <f t="shared" si="66"/>
        <v>185.23593827775011</v>
      </c>
      <c r="K886" s="351">
        <f t="shared" si="64"/>
        <v>102.91708730711795</v>
      </c>
      <c r="L886" s="350">
        <f t="shared" si="65"/>
        <v>20.583417461423593</v>
      </c>
      <c r="M886" s="350" t="s">
        <v>6169</v>
      </c>
      <c r="N886" s="1" t="s">
        <v>3785</v>
      </c>
      <c r="O886" s="1" t="s">
        <v>4413</v>
      </c>
      <c r="P886" s="396" t="s">
        <v>3659</v>
      </c>
      <c r="Q886" s="397">
        <v>0.2</v>
      </c>
      <c r="R886" s="396">
        <v>1900001336</v>
      </c>
      <c r="S886" s="2" t="s">
        <v>2617</v>
      </c>
      <c r="T886" s="2" t="s">
        <v>5915</v>
      </c>
    </row>
    <row r="887" spans="1:20" hidden="1" x14ac:dyDescent="0.35">
      <c r="A887" s="398" t="s">
        <v>4610</v>
      </c>
      <c r="B887" s="1" t="s">
        <v>1686</v>
      </c>
      <c r="C887" s="3">
        <v>43502</v>
      </c>
      <c r="D887" s="3">
        <v>43502</v>
      </c>
      <c r="E887" s="3" t="s">
        <v>1696</v>
      </c>
      <c r="F887" s="394" t="s">
        <v>4412</v>
      </c>
      <c r="G887" s="394" t="s">
        <v>4601</v>
      </c>
      <c r="H887" s="1" t="s">
        <v>3656</v>
      </c>
      <c r="I887" s="418">
        <v>930.34749999999997</v>
      </c>
      <c r="J887" s="418">
        <f t="shared" si="66"/>
        <v>185.23593827775011</v>
      </c>
      <c r="K887" s="351">
        <f t="shared" si="64"/>
        <v>102.91708730711795</v>
      </c>
      <c r="L887" s="350">
        <f t="shared" si="65"/>
        <v>20.583417461423593</v>
      </c>
      <c r="M887" s="350" t="s">
        <v>6169</v>
      </c>
      <c r="N887" s="1" t="s">
        <v>3785</v>
      </c>
      <c r="O887" s="1" t="s">
        <v>4413</v>
      </c>
      <c r="P887" s="396" t="s">
        <v>3659</v>
      </c>
      <c r="Q887" s="397">
        <v>0.2</v>
      </c>
      <c r="R887" s="396">
        <v>1900001336</v>
      </c>
      <c r="S887" s="2" t="s">
        <v>2617</v>
      </c>
      <c r="T887" s="2" t="s">
        <v>5915</v>
      </c>
    </row>
    <row r="888" spans="1:20" hidden="1" x14ac:dyDescent="0.35">
      <c r="A888" s="398" t="s">
        <v>4611</v>
      </c>
      <c r="B888" s="1" t="s">
        <v>1686</v>
      </c>
      <c r="C888" s="3">
        <v>43502</v>
      </c>
      <c r="D888" s="3">
        <v>43502</v>
      </c>
      <c r="E888" s="3" t="s">
        <v>1697</v>
      </c>
      <c r="F888" s="394" t="s">
        <v>4412</v>
      </c>
      <c r="G888" s="394" t="s">
        <v>4601</v>
      </c>
      <c r="H888" s="1" t="s">
        <v>3656</v>
      </c>
      <c r="I888" s="418">
        <v>930.34749999999997</v>
      </c>
      <c r="J888" s="418">
        <f t="shared" si="66"/>
        <v>185.23593827775011</v>
      </c>
      <c r="K888" s="351">
        <f t="shared" si="64"/>
        <v>102.91708730711795</v>
      </c>
      <c r="L888" s="350">
        <f t="shared" si="65"/>
        <v>20.583417461423593</v>
      </c>
      <c r="M888" s="350" t="s">
        <v>6169</v>
      </c>
      <c r="N888" s="1" t="s">
        <v>3785</v>
      </c>
      <c r="O888" s="1" t="s">
        <v>4413</v>
      </c>
      <c r="P888" s="396" t="s">
        <v>3659</v>
      </c>
      <c r="Q888" s="397">
        <v>0.2</v>
      </c>
      <c r="R888" s="396">
        <v>1900001336</v>
      </c>
      <c r="S888" s="2" t="s">
        <v>2617</v>
      </c>
      <c r="T888" s="2" t="s">
        <v>5915</v>
      </c>
    </row>
    <row r="889" spans="1:20" hidden="1" x14ac:dyDescent="0.35">
      <c r="A889" s="398" t="s">
        <v>4612</v>
      </c>
      <c r="B889" s="1" t="s">
        <v>1686</v>
      </c>
      <c r="C889" s="3">
        <v>43502</v>
      </c>
      <c r="D889" s="3">
        <v>43502</v>
      </c>
      <c r="E889" s="3" t="s">
        <v>1698</v>
      </c>
      <c r="F889" s="394" t="s">
        <v>4412</v>
      </c>
      <c r="G889" s="394" t="s">
        <v>4601</v>
      </c>
      <c r="H889" s="1" t="s">
        <v>3656</v>
      </c>
      <c r="I889" s="418">
        <v>930.34749999999997</v>
      </c>
      <c r="J889" s="418">
        <f t="shared" si="66"/>
        <v>185.23593827775011</v>
      </c>
      <c r="K889" s="351">
        <f t="shared" si="64"/>
        <v>102.91708730711795</v>
      </c>
      <c r="L889" s="350">
        <f t="shared" si="65"/>
        <v>20.583417461423593</v>
      </c>
      <c r="M889" s="350" t="s">
        <v>6169</v>
      </c>
      <c r="N889" s="1" t="s">
        <v>3785</v>
      </c>
      <c r="O889" s="1" t="s">
        <v>4413</v>
      </c>
      <c r="P889" s="396" t="s">
        <v>3659</v>
      </c>
      <c r="Q889" s="397">
        <v>0.2</v>
      </c>
      <c r="R889" s="396">
        <v>1900001336</v>
      </c>
      <c r="S889" s="2" t="s">
        <v>2617</v>
      </c>
      <c r="T889" s="2" t="s">
        <v>5915</v>
      </c>
    </row>
    <row r="890" spans="1:20" hidden="1" x14ac:dyDescent="0.35">
      <c r="A890" s="398" t="s">
        <v>4613</v>
      </c>
      <c r="B890" s="1" t="s">
        <v>1686</v>
      </c>
      <c r="C890" s="3">
        <v>43502</v>
      </c>
      <c r="D890" s="3">
        <v>43502</v>
      </c>
      <c r="E890" s="3" t="s">
        <v>1700</v>
      </c>
      <c r="F890" s="394" t="s">
        <v>4412</v>
      </c>
      <c r="G890" s="394" t="s">
        <v>4601</v>
      </c>
      <c r="H890" s="1" t="s">
        <v>3656</v>
      </c>
      <c r="I890" s="418">
        <v>930.34749999999997</v>
      </c>
      <c r="J890" s="418">
        <f t="shared" si="66"/>
        <v>185.23593827775011</v>
      </c>
      <c r="K890" s="351">
        <f t="shared" si="64"/>
        <v>102.91708730711795</v>
      </c>
      <c r="L890" s="350">
        <f t="shared" si="65"/>
        <v>20.583417461423593</v>
      </c>
      <c r="M890" s="350" t="s">
        <v>6169</v>
      </c>
      <c r="N890" s="1" t="s">
        <v>3785</v>
      </c>
      <c r="O890" s="1" t="s">
        <v>4413</v>
      </c>
      <c r="P890" s="396" t="s">
        <v>3659</v>
      </c>
      <c r="Q890" s="397">
        <v>0.2</v>
      </c>
      <c r="R890" s="396">
        <v>1900001336</v>
      </c>
      <c r="S890" s="2" t="s">
        <v>2617</v>
      </c>
      <c r="T890" s="2" t="s">
        <v>5915</v>
      </c>
    </row>
    <row r="891" spans="1:20" hidden="1" x14ac:dyDescent="0.35">
      <c r="A891" s="398" t="s">
        <v>4614</v>
      </c>
      <c r="B891" s="1" t="s">
        <v>1686</v>
      </c>
      <c r="C891" s="3">
        <v>43502</v>
      </c>
      <c r="D891" s="3">
        <v>43502</v>
      </c>
      <c r="E891" s="3" t="s">
        <v>1701</v>
      </c>
      <c r="F891" s="394" t="s">
        <v>4412</v>
      </c>
      <c r="G891" s="394" t="s">
        <v>4601</v>
      </c>
      <c r="H891" s="1" t="s">
        <v>3656</v>
      </c>
      <c r="I891" s="418">
        <v>930.34749999999997</v>
      </c>
      <c r="J891" s="418">
        <f t="shared" si="66"/>
        <v>185.23593827775011</v>
      </c>
      <c r="K891" s="351">
        <f t="shared" si="64"/>
        <v>102.91708730711795</v>
      </c>
      <c r="L891" s="350">
        <f t="shared" si="65"/>
        <v>20.583417461423593</v>
      </c>
      <c r="M891" s="350" t="s">
        <v>6169</v>
      </c>
      <c r="N891" s="1" t="s">
        <v>3785</v>
      </c>
      <c r="O891" s="1" t="s">
        <v>4413</v>
      </c>
      <c r="P891" s="396" t="s">
        <v>3659</v>
      </c>
      <c r="Q891" s="397">
        <v>0.2</v>
      </c>
      <c r="R891" s="396">
        <v>1900001336</v>
      </c>
      <c r="S891" s="2" t="s">
        <v>2617</v>
      </c>
      <c r="T891" s="2" t="s">
        <v>5915</v>
      </c>
    </row>
    <row r="892" spans="1:20" hidden="1" x14ac:dyDescent="0.35">
      <c r="A892" s="398" t="s">
        <v>4615</v>
      </c>
      <c r="B892" s="1" t="s">
        <v>1686</v>
      </c>
      <c r="C892" s="3">
        <v>43502</v>
      </c>
      <c r="D892" s="3">
        <v>43502</v>
      </c>
      <c r="E892" s="3" t="s">
        <v>1702</v>
      </c>
      <c r="F892" s="394" t="s">
        <v>4412</v>
      </c>
      <c r="G892" s="394" t="s">
        <v>4601</v>
      </c>
      <c r="H892" s="1" t="s">
        <v>3656</v>
      </c>
      <c r="I892" s="418">
        <v>930.34749999999997</v>
      </c>
      <c r="J892" s="418">
        <f t="shared" si="66"/>
        <v>185.23593827775011</v>
      </c>
      <c r="K892" s="351">
        <f t="shared" si="64"/>
        <v>102.91708730711795</v>
      </c>
      <c r="L892" s="350">
        <f t="shared" si="65"/>
        <v>20.583417461423593</v>
      </c>
      <c r="M892" s="350" t="s">
        <v>6169</v>
      </c>
      <c r="N892" s="1" t="s">
        <v>3785</v>
      </c>
      <c r="O892" s="1" t="s">
        <v>4413</v>
      </c>
      <c r="P892" s="396" t="s">
        <v>3659</v>
      </c>
      <c r="Q892" s="397">
        <v>0.2</v>
      </c>
      <c r="R892" s="396">
        <v>1900001336</v>
      </c>
      <c r="S892" s="2" t="s">
        <v>2617</v>
      </c>
      <c r="T892" s="2" t="s">
        <v>5915</v>
      </c>
    </row>
    <row r="893" spans="1:20" hidden="1" x14ac:dyDescent="0.35">
      <c r="A893" s="398" t="s">
        <v>4616</v>
      </c>
      <c r="B893" s="1" t="s">
        <v>1686</v>
      </c>
      <c r="C893" s="3">
        <v>43502</v>
      </c>
      <c r="D893" s="3">
        <v>43502</v>
      </c>
      <c r="E893" s="3" t="s">
        <v>1703</v>
      </c>
      <c r="F893" s="394" t="s">
        <v>4412</v>
      </c>
      <c r="G893" s="394" t="s">
        <v>4601</v>
      </c>
      <c r="H893" s="1" t="s">
        <v>3656</v>
      </c>
      <c r="I893" s="418">
        <v>930.34749999999997</v>
      </c>
      <c r="J893" s="418">
        <f t="shared" si="66"/>
        <v>185.23593827775011</v>
      </c>
      <c r="K893" s="351">
        <f t="shared" si="64"/>
        <v>102.91708730711795</v>
      </c>
      <c r="L893" s="350">
        <f t="shared" si="65"/>
        <v>20.583417461423593</v>
      </c>
      <c r="M893" s="350" t="s">
        <v>6169</v>
      </c>
      <c r="N893" s="1" t="s">
        <v>3785</v>
      </c>
      <c r="O893" s="1" t="s">
        <v>4413</v>
      </c>
      <c r="P893" s="396" t="s">
        <v>3659</v>
      </c>
      <c r="Q893" s="397">
        <v>0.2</v>
      </c>
      <c r="R893" s="396">
        <v>1900001336</v>
      </c>
      <c r="S893" s="2" t="s">
        <v>2617</v>
      </c>
      <c r="T893" s="2" t="s">
        <v>5915</v>
      </c>
    </row>
    <row r="894" spans="1:20" hidden="1" x14ac:dyDescent="0.35">
      <c r="A894" s="398" t="s">
        <v>4617</v>
      </c>
      <c r="B894" s="1" t="s">
        <v>1686</v>
      </c>
      <c r="C894" s="3">
        <v>43502</v>
      </c>
      <c r="D894" s="3">
        <v>43502</v>
      </c>
      <c r="E894" s="3" t="s">
        <v>1704</v>
      </c>
      <c r="F894" s="394" t="s">
        <v>4412</v>
      </c>
      <c r="G894" s="394" t="s">
        <v>4601</v>
      </c>
      <c r="H894" s="1" t="s">
        <v>3656</v>
      </c>
      <c r="I894" s="418">
        <v>930.34749999999997</v>
      </c>
      <c r="J894" s="418">
        <f t="shared" si="66"/>
        <v>185.23593827775011</v>
      </c>
      <c r="K894" s="351">
        <f t="shared" si="64"/>
        <v>102.91708730711795</v>
      </c>
      <c r="L894" s="350">
        <f t="shared" si="65"/>
        <v>20.583417461423593</v>
      </c>
      <c r="M894" s="350" t="s">
        <v>6169</v>
      </c>
      <c r="N894" s="1" t="s">
        <v>3785</v>
      </c>
      <c r="O894" s="1" t="s">
        <v>4413</v>
      </c>
      <c r="P894" s="396" t="s">
        <v>3659</v>
      </c>
      <c r="Q894" s="397">
        <v>0.2</v>
      </c>
      <c r="R894" s="396">
        <v>1900001336</v>
      </c>
      <c r="S894" s="2" t="s">
        <v>2617</v>
      </c>
      <c r="T894" s="2" t="s">
        <v>5915</v>
      </c>
    </row>
    <row r="895" spans="1:20" hidden="1" x14ac:dyDescent="0.35">
      <c r="A895" s="398" t="s">
        <v>4618</v>
      </c>
      <c r="B895" s="1" t="s">
        <v>1686</v>
      </c>
      <c r="C895" s="3">
        <v>43502</v>
      </c>
      <c r="D895" s="3">
        <v>43502</v>
      </c>
      <c r="E895" s="3" t="s">
        <v>1705</v>
      </c>
      <c r="F895" s="394" t="s">
        <v>4412</v>
      </c>
      <c r="G895" s="394" t="s">
        <v>4601</v>
      </c>
      <c r="H895" s="1" t="s">
        <v>3656</v>
      </c>
      <c r="I895" s="418">
        <v>930.34749999999997</v>
      </c>
      <c r="J895" s="418">
        <f t="shared" si="66"/>
        <v>185.23593827775011</v>
      </c>
      <c r="K895" s="351">
        <f t="shared" si="64"/>
        <v>102.91708730711795</v>
      </c>
      <c r="L895" s="350">
        <f t="shared" si="65"/>
        <v>20.583417461423593</v>
      </c>
      <c r="M895" s="350" t="s">
        <v>6169</v>
      </c>
      <c r="N895" s="1" t="s">
        <v>3785</v>
      </c>
      <c r="O895" s="1" t="s">
        <v>4413</v>
      </c>
      <c r="P895" s="396" t="s">
        <v>3659</v>
      </c>
      <c r="Q895" s="397">
        <v>0.2</v>
      </c>
      <c r="R895" s="396">
        <v>1900001336</v>
      </c>
      <c r="S895" s="2" t="s">
        <v>2617</v>
      </c>
      <c r="T895" s="2" t="s">
        <v>5915</v>
      </c>
    </row>
    <row r="896" spans="1:20" hidden="1" x14ac:dyDescent="0.35">
      <c r="A896" s="398" t="s">
        <v>4619</v>
      </c>
      <c r="B896" s="1" t="s">
        <v>1686</v>
      </c>
      <c r="C896" s="3">
        <v>43502</v>
      </c>
      <c r="D896" s="3">
        <v>43502</v>
      </c>
      <c r="E896" s="3" t="s">
        <v>1706</v>
      </c>
      <c r="F896" s="394" t="s">
        <v>4412</v>
      </c>
      <c r="G896" s="394" t="s">
        <v>4601</v>
      </c>
      <c r="H896" s="1" t="s">
        <v>3656</v>
      </c>
      <c r="I896" s="418">
        <v>930.34749999999997</v>
      </c>
      <c r="J896" s="418">
        <f t="shared" si="66"/>
        <v>185.23593827775011</v>
      </c>
      <c r="K896" s="351">
        <f t="shared" si="64"/>
        <v>102.91708730711795</v>
      </c>
      <c r="L896" s="350">
        <f t="shared" si="65"/>
        <v>20.583417461423593</v>
      </c>
      <c r="M896" s="350" t="s">
        <v>6169</v>
      </c>
      <c r="N896" s="1" t="s">
        <v>3785</v>
      </c>
      <c r="O896" s="1" t="s">
        <v>4413</v>
      </c>
      <c r="P896" s="396" t="s">
        <v>3659</v>
      </c>
      <c r="Q896" s="397">
        <v>0.2</v>
      </c>
      <c r="R896" s="396">
        <v>1900001336</v>
      </c>
      <c r="S896" s="2" t="s">
        <v>2617</v>
      </c>
      <c r="T896" s="2" t="s">
        <v>5915</v>
      </c>
    </row>
    <row r="897" spans="1:20" hidden="1" x14ac:dyDescent="0.35">
      <c r="A897" s="398" t="s">
        <v>4620</v>
      </c>
      <c r="B897" s="1" t="s">
        <v>1686</v>
      </c>
      <c r="C897" s="3">
        <v>43502</v>
      </c>
      <c r="D897" s="3">
        <v>43502</v>
      </c>
      <c r="E897" s="3" t="s">
        <v>1707</v>
      </c>
      <c r="F897" s="394" t="s">
        <v>4412</v>
      </c>
      <c r="G897" s="394" t="s">
        <v>4601</v>
      </c>
      <c r="H897" s="1" t="s">
        <v>3656</v>
      </c>
      <c r="I897" s="418">
        <v>930.34749999999997</v>
      </c>
      <c r="J897" s="418">
        <f t="shared" si="66"/>
        <v>185.23593827775011</v>
      </c>
      <c r="K897" s="351">
        <f t="shared" si="64"/>
        <v>102.91708730711795</v>
      </c>
      <c r="L897" s="350">
        <f t="shared" si="65"/>
        <v>20.583417461423593</v>
      </c>
      <c r="M897" s="350" t="s">
        <v>6169</v>
      </c>
      <c r="N897" s="1" t="s">
        <v>3785</v>
      </c>
      <c r="O897" s="1" t="s">
        <v>4413</v>
      </c>
      <c r="P897" s="396" t="s">
        <v>3659</v>
      </c>
      <c r="Q897" s="397">
        <v>0.2</v>
      </c>
      <c r="R897" s="396">
        <v>1900001336</v>
      </c>
      <c r="S897" s="2" t="s">
        <v>2617</v>
      </c>
      <c r="T897" s="2" t="s">
        <v>5915</v>
      </c>
    </row>
    <row r="898" spans="1:20" hidden="1" x14ac:dyDescent="0.35">
      <c r="A898" s="398" t="s">
        <v>4621</v>
      </c>
      <c r="B898" s="1" t="s">
        <v>1686</v>
      </c>
      <c r="C898" s="3">
        <v>43502</v>
      </c>
      <c r="D898" s="3">
        <v>43502</v>
      </c>
      <c r="E898" s="3" t="s">
        <v>1704</v>
      </c>
      <c r="F898" s="394" t="s">
        <v>4412</v>
      </c>
      <c r="G898" s="394" t="s">
        <v>4601</v>
      </c>
      <c r="H898" s="1" t="s">
        <v>3656</v>
      </c>
      <c r="I898" s="418">
        <v>930.34749999999997</v>
      </c>
      <c r="J898" s="418">
        <f t="shared" si="66"/>
        <v>185.23593827775011</v>
      </c>
      <c r="K898" s="351">
        <f t="shared" si="64"/>
        <v>102.91708730711795</v>
      </c>
      <c r="L898" s="350">
        <f t="shared" si="65"/>
        <v>20.583417461423593</v>
      </c>
      <c r="M898" s="350" t="s">
        <v>6169</v>
      </c>
      <c r="N898" s="1" t="s">
        <v>3785</v>
      </c>
      <c r="O898" s="1" t="s">
        <v>4413</v>
      </c>
      <c r="P898" s="396" t="s">
        <v>3659</v>
      </c>
      <c r="Q898" s="397">
        <v>0.2</v>
      </c>
      <c r="R898" s="396">
        <v>1900001336</v>
      </c>
      <c r="S898" s="2" t="s">
        <v>2617</v>
      </c>
      <c r="T898" s="2" t="s">
        <v>5915</v>
      </c>
    </row>
    <row r="899" spans="1:20" hidden="1" x14ac:dyDescent="0.35">
      <c r="A899" s="398" t="s">
        <v>4622</v>
      </c>
      <c r="B899" s="1" t="s">
        <v>1686</v>
      </c>
      <c r="C899" s="3">
        <v>43502</v>
      </c>
      <c r="D899" s="3">
        <v>43502</v>
      </c>
      <c r="E899" s="3" t="s">
        <v>1708</v>
      </c>
      <c r="F899" s="394" t="s">
        <v>4412</v>
      </c>
      <c r="G899" s="394" t="s">
        <v>4601</v>
      </c>
      <c r="H899" s="1" t="s">
        <v>3656</v>
      </c>
      <c r="I899" s="418">
        <v>930.34749999999997</v>
      </c>
      <c r="J899" s="418">
        <f t="shared" si="66"/>
        <v>185.23593827775011</v>
      </c>
      <c r="K899" s="351">
        <f t="shared" si="64"/>
        <v>102.91708730711795</v>
      </c>
      <c r="L899" s="350">
        <f t="shared" si="65"/>
        <v>20.583417461423593</v>
      </c>
      <c r="M899" s="350" t="s">
        <v>6169</v>
      </c>
      <c r="N899" s="1" t="s">
        <v>3785</v>
      </c>
      <c r="O899" s="1" t="s">
        <v>4413</v>
      </c>
      <c r="P899" s="396" t="s">
        <v>3659</v>
      </c>
      <c r="Q899" s="397">
        <v>0.2</v>
      </c>
      <c r="R899" s="396">
        <v>1900001336</v>
      </c>
      <c r="S899" s="2" t="s">
        <v>2617</v>
      </c>
      <c r="T899" s="2" t="s">
        <v>5915</v>
      </c>
    </row>
    <row r="900" spans="1:20" hidden="1" x14ac:dyDescent="0.35">
      <c r="A900" s="398" t="s">
        <v>4623</v>
      </c>
      <c r="B900" s="1" t="s">
        <v>1686</v>
      </c>
      <c r="C900" s="3">
        <v>43502</v>
      </c>
      <c r="D900" s="3">
        <v>43502</v>
      </c>
      <c r="E900" s="3" t="s">
        <v>1709</v>
      </c>
      <c r="F900" s="394" t="s">
        <v>4412</v>
      </c>
      <c r="G900" s="394" t="s">
        <v>4601</v>
      </c>
      <c r="H900" s="1" t="s">
        <v>3656</v>
      </c>
      <c r="I900" s="418">
        <v>930.34749999999997</v>
      </c>
      <c r="J900" s="418">
        <f t="shared" si="66"/>
        <v>185.23593827775011</v>
      </c>
      <c r="K900" s="351">
        <f t="shared" si="64"/>
        <v>102.91708730711795</v>
      </c>
      <c r="L900" s="350">
        <f t="shared" si="65"/>
        <v>20.583417461423593</v>
      </c>
      <c r="M900" s="350" t="s">
        <v>6169</v>
      </c>
      <c r="N900" s="1" t="s">
        <v>3785</v>
      </c>
      <c r="O900" s="1" t="s">
        <v>4413</v>
      </c>
      <c r="P900" s="396" t="s">
        <v>3659</v>
      </c>
      <c r="Q900" s="397">
        <v>0.2</v>
      </c>
      <c r="R900" s="396">
        <v>1900001336</v>
      </c>
      <c r="S900" s="2" t="s">
        <v>2617</v>
      </c>
      <c r="T900" s="2" t="s">
        <v>5915</v>
      </c>
    </row>
    <row r="901" spans="1:20" hidden="1" x14ac:dyDescent="0.35">
      <c r="A901" s="398" t="s">
        <v>4624</v>
      </c>
      <c r="B901" s="1" t="s">
        <v>1686</v>
      </c>
      <c r="C901" s="3">
        <v>43502</v>
      </c>
      <c r="D901" s="3">
        <v>43502</v>
      </c>
      <c r="E901" s="3" t="s">
        <v>1710</v>
      </c>
      <c r="F901" s="394" t="s">
        <v>4412</v>
      </c>
      <c r="G901" s="394" t="s">
        <v>4601</v>
      </c>
      <c r="H901" s="1" t="s">
        <v>3656</v>
      </c>
      <c r="I901" s="418">
        <v>930.34749999999997</v>
      </c>
      <c r="J901" s="418">
        <f t="shared" si="66"/>
        <v>185.23593827775011</v>
      </c>
      <c r="K901" s="351">
        <f t="shared" si="64"/>
        <v>102.91708730711795</v>
      </c>
      <c r="L901" s="350">
        <f t="shared" si="65"/>
        <v>20.583417461423593</v>
      </c>
      <c r="M901" s="350" t="s">
        <v>6169</v>
      </c>
      <c r="N901" s="1" t="s">
        <v>3785</v>
      </c>
      <c r="O901" s="1" t="s">
        <v>4413</v>
      </c>
      <c r="P901" s="396" t="s">
        <v>3659</v>
      </c>
      <c r="Q901" s="397">
        <v>0.2</v>
      </c>
      <c r="R901" s="396">
        <v>1900001336</v>
      </c>
      <c r="S901" s="2" t="s">
        <v>2617</v>
      </c>
      <c r="T901" s="2" t="s">
        <v>5915</v>
      </c>
    </row>
    <row r="902" spans="1:20" hidden="1" x14ac:dyDescent="0.35">
      <c r="A902" s="398" t="s">
        <v>4625</v>
      </c>
      <c r="B902" s="1" t="s">
        <v>1686</v>
      </c>
      <c r="C902" s="3">
        <v>43502</v>
      </c>
      <c r="D902" s="3">
        <v>43502</v>
      </c>
      <c r="E902" s="3" t="s">
        <v>1711</v>
      </c>
      <c r="F902" s="394" t="s">
        <v>4412</v>
      </c>
      <c r="G902" s="394" t="s">
        <v>4601</v>
      </c>
      <c r="H902" s="1" t="s">
        <v>3656</v>
      </c>
      <c r="I902" s="418">
        <v>930.34749999999997</v>
      </c>
      <c r="J902" s="418">
        <f t="shared" si="66"/>
        <v>185.23593827775011</v>
      </c>
      <c r="K902" s="351">
        <f t="shared" si="64"/>
        <v>102.91708730711795</v>
      </c>
      <c r="L902" s="350">
        <f t="shared" si="65"/>
        <v>20.583417461423593</v>
      </c>
      <c r="M902" s="350" t="s">
        <v>6169</v>
      </c>
      <c r="N902" s="1" t="s">
        <v>3785</v>
      </c>
      <c r="O902" s="1" t="s">
        <v>4413</v>
      </c>
      <c r="P902" s="396" t="s">
        <v>3659</v>
      </c>
      <c r="Q902" s="397">
        <v>0.2</v>
      </c>
      <c r="R902" s="396">
        <v>1900001336</v>
      </c>
      <c r="S902" s="2" t="s">
        <v>2617</v>
      </c>
      <c r="T902" s="2" t="s">
        <v>5915</v>
      </c>
    </row>
    <row r="903" spans="1:20" hidden="1" x14ac:dyDescent="0.35">
      <c r="A903" s="398" t="s">
        <v>4626</v>
      </c>
      <c r="B903" s="1" t="s">
        <v>1686</v>
      </c>
      <c r="C903" s="3">
        <v>43502</v>
      </c>
      <c r="D903" s="3">
        <v>43502</v>
      </c>
      <c r="E903" s="3" t="s">
        <v>1712</v>
      </c>
      <c r="F903" s="394" t="s">
        <v>4412</v>
      </c>
      <c r="G903" s="394" t="s">
        <v>4601</v>
      </c>
      <c r="H903" s="1" t="s">
        <v>3656</v>
      </c>
      <c r="I903" s="418">
        <v>930.34749999999997</v>
      </c>
      <c r="J903" s="418">
        <f t="shared" si="66"/>
        <v>185.23593827775011</v>
      </c>
      <c r="K903" s="351">
        <f t="shared" si="64"/>
        <v>102.91708730711795</v>
      </c>
      <c r="L903" s="350">
        <f t="shared" si="65"/>
        <v>20.583417461423593</v>
      </c>
      <c r="M903" s="350" t="s">
        <v>6169</v>
      </c>
      <c r="N903" s="1" t="s">
        <v>3785</v>
      </c>
      <c r="O903" s="1" t="s">
        <v>4413</v>
      </c>
      <c r="P903" s="396" t="s">
        <v>3659</v>
      </c>
      <c r="Q903" s="397">
        <v>0.2</v>
      </c>
      <c r="R903" s="396">
        <v>1900001336</v>
      </c>
      <c r="S903" s="2" t="s">
        <v>2617</v>
      </c>
      <c r="T903" s="2" t="s">
        <v>5915</v>
      </c>
    </row>
    <row r="904" spans="1:20" hidden="1" x14ac:dyDescent="0.35">
      <c r="A904" s="398" t="s">
        <v>4627</v>
      </c>
      <c r="B904" s="1" t="s">
        <v>1686</v>
      </c>
      <c r="C904" s="3">
        <v>43502</v>
      </c>
      <c r="D904" s="3">
        <v>43502</v>
      </c>
      <c r="E904" s="3" t="s">
        <v>1713</v>
      </c>
      <c r="F904" s="394" t="s">
        <v>4412</v>
      </c>
      <c r="G904" s="394" t="s">
        <v>4601</v>
      </c>
      <c r="H904" s="1" t="s">
        <v>3656</v>
      </c>
      <c r="I904" s="418">
        <v>930.34749999999997</v>
      </c>
      <c r="J904" s="418">
        <f t="shared" si="66"/>
        <v>185.23593827775011</v>
      </c>
      <c r="K904" s="351">
        <f t="shared" si="64"/>
        <v>102.91708730711795</v>
      </c>
      <c r="L904" s="350">
        <f t="shared" si="65"/>
        <v>20.583417461423593</v>
      </c>
      <c r="M904" s="350" t="s">
        <v>6169</v>
      </c>
      <c r="N904" s="1" t="s">
        <v>3785</v>
      </c>
      <c r="O904" s="1" t="s">
        <v>4413</v>
      </c>
      <c r="P904" s="396" t="s">
        <v>3659</v>
      </c>
      <c r="Q904" s="397">
        <v>0.2</v>
      </c>
      <c r="R904" s="396">
        <v>1900001336</v>
      </c>
      <c r="S904" s="2" t="s">
        <v>2617</v>
      </c>
      <c r="T904" s="2" t="s">
        <v>5915</v>
      </c>
    </row>
    <row r="905" spans="1:20" hidden="1" x14ac:dyDescent="0.35">
      <c r="A905" s="398" t="s">
        <v>4628</v>
      </c>
      <c r="B905" s="1" t="s">
        <v>1686</v>
      </c>
      <c r="C905" s="3">
        <v>43502</v>
      </c>
      <c r="D905" s="3">
        <v>43502</v>
      </c>
      <c r="E905" s="3" t="s">
        <v>1714</v>
      </c>
      <c r="F905" s="394" t="s">
        <v>4412</v>
      </c>
      <c r="G905" s="394" t="s">
        <v>4601</v>
      </c>
      <c r="H905" s="1" t="s">
        <v>3656</v>
      </c>
      <c r="I905" s="418">
        <v>930.34749999999997</v>
      </c>
      <c r="J905" s="418">
        <f t="shared" si="66"/>
        <v>185.23593827775011</v>
      </c>
      <c r="K905" s="351">
        <f t="shared" si="64"/>
        <v>102.91708730711795</v>
      </c>
      <c r="L905" s="350">
        <f t="shared" si="65"/>
        <v>20.583417461423593</v>
      </c>
      <c r="M905" s="350" t="s">
        <v>6169</v>
      </c>
      <c r="N905" s="1" t="s">
        <v>3785</v>
      </c>
      <c r="O905" s="1" t="s">
        <v>4413</v>
      </c>
      <c r="P905" s="396" t="s">
        <v>3659</v>
      </c>
      <c r="Q905" s="397">
        <v>0.2</v>
      </c>
      <c r="R905" s="396">
        <v>1900001336</v>
      </c>
      <c r="S905" s="2" t="s">
        <v>2617</v>
      </c>
      <c r="T905" s="2" t="s">
        <v>5915</v>
      </c>
    </row>
    <row r="906" spans="1:20" hidden="1" x14ac:dyDescent="0.35">
      <c r="A906" s="398" t="s">
        <v>4629</v>
      </c>
      <c r="B906" s="1" t="s">
        <v>1686</v>
      </c>
      <c r="C906" s="3">
        <v>43502</v>
      </c>
      <c r="D906" s="3">
        <v>43502</v>
      </c>
      <c r="E906" s="3" t="s">
        <v>1715</v>
      </c>
      <c r="F906" s="394" t="s">
        <v>4412</v>
      </c>
      <c r="G906" s="394" t="s">
        <v>4601</v>
      </c>
      <c r="H906" s="1" t="s">
        <v>3656</v>
      </c>
      <c r="I906" s="418">
        <v>930.34749999999997</v>
      </c>
      <c r="J906" s="418">
        <f t="shared" si="66"/>
        <v>185.23593827775011</v>
      </c>
      <c r="K906" s="351">
        <f t="shared" si="64"/>
        <v>102.91708730711795</v>
      </c>
      <c r="L906" s="350">
        <f t="shared" si="65"/>
        <v>20.583417461423593</v>
      </c>
      <c r="M906" s="350" t="s">
        <v>6169</v>
      </c>
      <c r="N906" s="1" t="s">
        <v>3785</v>
      </c>
      <c r="O906" s="1" t="s">
        <v>4413</v>
      </c>
      <c r="P906" s="396" t="s">
        <v>3659</v>
      </c>
      <c r="Q906" s="397">
        <v>0.2</v>
      </c>
      <c r="R906" s="396">
        <v>1900001336</v>
      </c>
      <c r="S906" s="2" t="s">
        <v>2617</v>
      </c>
      <c r="T906" s="2" t="s">
        <v>5915</v>
      </c>
    </row>
    <row r="907" spans="1:20" hidden="1" x14ac:dyDescent="0.35">
      <c r="A907" s="398" t="s">
        <v>4630</v>
      </c>
      <c r="B907" s="1" t="s">
        <v>1686</v>
      </c>
      <c r="C907" s="3">
        <v>43502</v>
      </c>
      <c r="D907" s="3">
        <v>43502</v>
      </c>
      <c r="E907" s="3" t="s">
        <v>1716</v>
      </c>
      <c r="F907" s="394" t="s">
        <v>4412</v>
      </c>
      <c r="G907" s="394" t="s">
        <v>4601</v>
      </c>
      <c r="H907" s="1" t="s">
        <v>3656</v>
      </c>
      <c r="I907" s="418">
        <v>930.34749999999997</v>
      </c>
      <c r="J907" s="418">
        <f t="shared" si="66"/>
        <v>185.23593827775011</v>
      </c>
      <c r="K907" s="351">
        <f t="shared" si="64"/>
        <v>102.91708730711795</v>
      </c>
      <c r="L907" s="350">
        <f t="shared" si="65"/>
        <v>20.583417461423593</v>
      </c>
      <c r="M907" s="350" t="s">
        <v>6169</v>
      </c>
      <c r="N907" s="1" t="s">
        <v>3785</v>
      </c>
      <c r="O907" s="1" t="s">
        <v>4413</v>
      </c>
      <c r="P907" s="396" t="s">
        <v>3659</v>
      </c>
      <c r="Q907" s="397">
        <v>0.2</v>
      </c>
      <c r="R907" s="396">
        <v>1900001336</v>
      </c>
      <c r="S907" s="2" t="s">
        <v>2617</v>
      </c>
      <c r="T907" s="2" t="s">
        <v>5915</v>
      </c>
    </row>
    <row r="908" spans="1:20" hidden="1" x14ac:dyDescent="0.35">
      <c r="A908" s="398" t="s">
        <v>4631</v>
      </c>
      <c r="B908" s="1" t="s">
        <v>1686</v>
      </c>
      <c r="C908" s="3">
        <v>43502</v>
      </c>
      <c r="D908" s="3">
        <v>43502</v>
      </c>
      <c r="E908" s="3" t="s">
        <v>1717</v>
      </c>
      <c r="F908" s="394" t="s">
        <v>4412</v>
      </c>
      <c r="G908" s="394" t="s">
        <v>4601</v>
      </c>
      <c r="H908" s="1" t="s">
        <v>3656</v>
      </c>
      <c r="I908" s="418">
        <v>930.34749999999997</v>
      </c>
      <c r="J908" s="418">
        <f t="shared" si="66"/>
        <v>185.23593827775011</v>
      </c>
      <c r="K908" s="351">
        <f t="shared" si="64"/>
        <v>102.91708730711795</v>
      </c>
      <c r="L908" s="350">
        <f t="shared" si="65"/>
        <v>20.583417461423593</v>
      </c>
      <c r="M908" s="350" t="s">
        <v>6169</v>
      </c>
      <c r="N908" s="1" t="s">
        <v>3785</v>
      </c>
      <c r="O908" s="1" t="s">
        <v>4413</v>
      </c>
      <c r="P908" s="396" t="s">
        <v>3659</v>
      </c>
      <c r="Q908" s="397">
        <v>0.2</v>
      </c>
      <c r="R908" s="396">
        <v>1900001336</v>
      </c>
      <c r="S908" s="2" t="s">
        <v>2617</v>
      </c>
      <c r="T908" s="2" t="s">
        <v>5915</v>
      </c>
    </row>
    <row r="909" spans="1:20" hidden="1" x14ac:dyDescent="0.35">
      <c r="A909" s="398" t="s">
        <v>4632</v>
      </c>
      <c r="B909" s="1" t="s">
        <v>1686</v>
      </c>
      <c r="C909" s="3">
        <v>43502</v>
      </c>
      <c r="D909" s="3">
        <v>43502</v>
      </c>
      <c r="E909" s="3" t="s">
        <v>1718</v>
      </c>
      <c r="F909" s="394" t="s">
        <v>4412</v>
      </c>
      <c r="G909" s="394" t="s">
        <v>4601</v>
      </c>
      <c r="H909" s="1" t="s">
        <v>3656</v>
      </c>
      <c r="I909" s="418">
        <v>930.34749999999997</v>
      </c>
      <c r="J909" s="418">
        <f t="shared" si="66"/>
        <v>185.23593827775011</v>
      </c>
      <c r="K909" s="351">
        <f t="shared" si="64"/>
        <v>102.91708730711795</v>
      </c>
      <c r="L909" s="350">
        <f t="shared" si="65"/>
        <v>20.583417461423593</v>
      </c>
      <c r="M909" s="350" t="s">
        <v>6169</v>
      </c>
      <c r="N909" s="1" t="s">
        <v>3785</v>
      </c>
      <c r="O909" s="1" t="s">
        <v>4413</v>
      </c>
      <c r="P909" s="396" t="s">
        <v>3659</v>
      </c>
      <c r="Q909" s="397">
        <v>0.2</v>
      </c>
      <c r="R909" s="396">
        <v>1900001336</v>
      </c>
      <c r="S909" s="2" t="s">
        <v>2617</v>
      </c>
      <c r="T909" s="2" t="s">
        <v>5915</v>
      </c>
    </row>
    <row r="910" spans="1:20" hidden="1" x14ac:dyDescent="0.35">
      <c r="A910" s="398" t="s">
        <v>4633</v>
      </c>
      <c r="B910" s="1" t="s">
        <v>1686</v>
      </c>
      <c r="C910" s="3">
        <v>43502</v>
      </c>
      <c r="D910" s="3">
        <v>43502</v>
      </c>
      <c r="E910" s="3" t="s">
        <v>1719</v>
      </c>
      <c r="F910" s="394" t="s">
        <v>4412</v>
      </c>
      <c r="G910" s="394" t="s">
        <v>4601</v>
      </c>
      <c r="H910" s="1" t="s">
        <v>3656</v>
      </c>
      <c r="I910" s="418">
        <v>930.34749999999997</v>
      </c>
      <c r="J910" s="418">
        <f t="shared" si="66"/>
        <v>185.23593827775011</v>
      </c>
      <c r="K910" s="351">
        <f t="shared" si="64"/>
        <v>102.91708730711795</v>
      </c>
      <c r="L910" s="350">
        <f t="shared" si="65"/>
        <v>20.583417461423593</v>
      </c>
      <c r="M910" s="350" t="s">
        <v>6169</v>
      </c>
      <c r="N910" s="1" t="s">
        <v>3785</v>
      </c>
      <c r="O910" s="1" t="s">
        <v>4413</v>
      </c>
      <c r="P910" s="396" t="s">
        <v>3659</v>
      </c>
      <c r="Q910" s="397">
        <v>0.2</v>
      </c>
      <c r="R910" s="396">
        <v>1900001336</v>
      </c>
      <c r="S910" s="2" t="s">
        <v>2617</v>
      </c>
      <c r="T910" s="2" t="s">
        <v>5915</v>
      </c>
    </row>
    <row r="911" spans="1:20" hidden="1" x14ac:dyDescent="0.35">
      <c r="A911" s="398" t="s">
        <v>4634</v>
      </c>
      <c r="B911" s="1" t="s">
        <v>1686</v>
      </c>
      <c r="C911" s="3">
        <v>43502</v>
      </c>
      <c r="D911" s="3">
        <v>43502</v>
      </c>
      <c r="E911" s="3" t="s">
        <v>1720</v>
      </c>
      <c r="F911" s="394" t="s">
        <v>4412</v>
      </c>
      <c r="G911" s="394" t="s">
        <v>4601</v>
      </c>
      <c r="H911" s="1" t="s">
        <v>3656</v>
      </c>
      <c r="I911" s="418">
        <v>930.34749999999997</v>
      </c>
      <c r="J911" s="418">
        <f t="shared" si="66"/>
        <v>185.23593827775011</v>
      </c>
      <c r="K911" s="351">
        <f t="shared" si="64"/>
        <v>102.91708730711795</v>
      </c>
      <c r="L911" s="350">
        <f t="shared" si="65"/>
        <v>20.583417461423593</v>
      </c>
      <c r="M911" s="350" t="s">
        <v>6169</v>
      </c>
      <c r="N911" s="1" t="s">
        <v>3785</v>
      </c>
      <c r="O911" s="1" t="s">
        <v>4413</v>
      </c>
      <c r="P911" s="396" t="s">
        <v>3659</v>
      </c>
      <c r="Q911" s="397">
        <v>0.2</v>
      </c>
      <c r="R911" s="396">
        <v>1900001336</v>
      </c>
      <c r="S911" s="2" t="s">
        <v>2617</v>
      </c>
      <c r="T911" s="2" t="s">
        <v>5915</v>
      </c>
    </row>
    <row r="912" spans="1:20" hidden="1" x14ac:dyDescent="0.35">
      <c r="A912" s="398" t="s">
        <v>4635</v>
      </c>
      <c r="B912" s="1" t="s">
        <v>1686</v>
      </c>
      <c r="C912" s="3">
        <v>43502</v>
      </c>
      <c r="D912" s="3">
        <v>43502</v>
      </c>
      <c r="E912" s="3" t="s">
        <v>1721</v>
      </c>
      <c r="F912" s="394" t="s">
        <v>4412</v>
      </c>
      <c r="G912" s="394" t="s">
        <v>4601</v>
      </c>
      <c r="H912" s="1" t="s">
        <v>3656</v>
      </c>
      <c r="I912" s="418">
        <v>930.34749999999997</v>
      </c>
      <c r="J912" s="418">
        <f t="shared" si="66"/>
        <v>185.23593827775011</v>
      </c>
      <c r="K912" s="351">
        <f t="shared" si="64"/>
        <v>102.91708730711795</v>
      </c>
      <c r="L912" s="350">
        <f t="shared" si="65"/>
        <v>20.583417461423593</v>
      </c>
      <c r="M912" s="350" t="s">
        <v>6169</v>
      </c>
      <c r="N912" s="1" t="s">
        <v>3785</v>
      </c>
      <c r="O912" s="1" t="s">
        <v>4413</v>
      </c>
      <c r="P912" s="396" t="s">
        <v>3659</v>
      </c>
      <c r="Q912" s="397">
        <v>0.2</v>
      </c>
      <c r="R912" s="396">
        <v>1900001336</v>
      </c>
      <c r="S912" s="2" t="s">
        <v>2617</v>
      </c>
      <c r="T912" s="2" t="s">
        <v>5915</v>
      </c>
    </row>
    <row r="913" spans="1:20" hidden="1" x14ac:dyDescent="0.35">
      <c r="A913" s="398" t="s">
        <v>4636</v>
      </c>
      <c r="B913" s="1" t="s">
        <v>1686</v>
      </c>
      <c r="C913" s="3">
        <v>43502</v>
      </c>
      <c r="D913" s="3">
        <v>43502</v>
      </c>
      <c r="E913" s="3" t="s">
        <v>1722</v>
      </c>
      <c r="F913" s="394" t="s">
        <v>4412</v>
      </c>
      <c r="G913" s="394" t="s">
        <v>4601</v>
      </c>
      <c r="H913" s="1" t="s">
        <v>3656</v>
      </c>
      <c r="I913" s="418">
        <v>930.34749999999997</v>
      </c>
      <c r="J913" s="418">
        <f t="shared" si="66"/>
        <v>185.23593827775011</v>
      </c>
      <c r="K913" s="351">
        <f t="shared" si="64"/>
        <v>102.91708730711795</v>
      </c>
      <c r="L913" s="350">
        <f t="shared" si="65"/>
        <v>20.583417461423593</v>
      </c>
      <c r="M913" s="350" t="s">
        <v>6169</v>
      </c>
      <c r="N913" s="1" t="s">
        <v>3785</v>
      </c>
      <c r="O913" s="1" t="s">
        <v>4413</v>
      </c>
      <c r="P913" s="396" t="s">
        <v>3659</v>
      </c>
      <c r="Q913" s="397">
        <v>0.2</v>
      </c>
      <c r="R913" s="396">
        <v>1900001336</v>
      </c>
      <c r="S913" s="2" t="s">
        <v>2617</v>
      </c>
      <c r="T913" s="2" t="s">
        <v>5915</v>
      </c>
    </row>
    <row r="914" spans="1:20" hidden="1" x14ac:dyDescent="0.35">
      <c r="A914" s="398" t="s">
        <v>4637</v>
      </c>
      <c r="B914" s="1" t="s">
        <v>1686</v>
      </c>
      <c r="C914" s="3">
        <v>43502</v>
      </c>
      <c r="D914" s="3">
        <v>43502</v>
      </c>
      <c r="E914" s="3" t="s">
        <v>1723</v>
      </c>
      <c r="F914" s="394" t="s">
        <v>4412</v>
      </c>
      <c r="G914" s="394" t="s">
        <v>4601</v>
      </c>
      <c r="H914" s="1" t="s">
        <v>3656</v>
      </c>
      <c r="I914" s="418">
        <v>930.34749999999997</v>
      </c>
      <c r="J914" s="418">
        <f t="shared" si="66"/>
        <v>185.23593827775011</v>
      </c>
      <c r="K914" s="351">
        <f t="shared" si="64"/>
        <v>102.91708730711795</v>
      </c>
      <c r="L914" s="350">
        <f t="shared" si="65"/>
        <v>20.583417461423593</v>
      </c>
      <c r="M914" s="350" t="s">
        <v>6169</v>
      </c>
      <c r="N914" s="1" t="s">
        <v>3785</v>
      </c>
      <c r="O914" s="1" t="s">
        <v>4413</v>
      </c>
      <c r="P914" s="396" t="s">
        <v>3659</v>
      </c>
      <c r="Q914" s="397">
        <v>0.2</v>
      </c>
      <c r="R914" s="396">
        <v>1900001336</v>
      </c>
      <c r="S914" s="2" t="s">
        <v>2617</v>
      </c>
      <c r="T914" s="2" t="s">
        <v>5915</v>
      </c>
    </row>
    <row r="915" spans="1:20" hidden="1" x14ac:dyDescent="0.35">
      <c r="A915" s="398" t="s">
        <v>4638</v>
      </c>
      <c r="B915" s="1" t="s">
        <v>1686</v>
      </c>
      <c r="C915" s="3">
        <v>43502</v>
      </c>
      <c r="D915" s="3">
        <v>43502</v>
      </c>
      <c r="E915" s="3" t="s">
        <v>1724</v>
      </c>
      <c r="F915" s="394" t="s">
        <v>4412</v>
      </c>
      <c r="G915" s="394" t="s">
        <v>4601</v>
      </c>
      <c r="H915" s="1" t="s">
        <v>3656</v>
      </c>
      <c r="I915" s="418">
        <v>930.34749999999997</v>
      </c>
      <c r="J915" s="418">
        <f t="shared" si="66"/>
        <v>185.23593827775011</v>
      </c>
      <c r="K915" s="351">
        <f t="shared" si="64"/>
        <v>102.91708730711795</v>
      </c>
      <c r="L915" s="350">
        <f t="shared" si="65"/>
        <v>20.583417461423593</v>
      </c>
      <c r="M915" s="350" t="s">
        <v>6169</v>
      </c>
      <c r="N915" s="1" t="s">
        <v>3785</v>
      </c>
      <c r="O915" s="1" t="s">
        <v>4413</v>
      </c>
      <c r="P915" s="396" t="s">
        <v>3659</v>
      </c>
      <c r="Q915" s="397">
        <v>0.2</v>
      </c>
      <c r="R915" s="396">
        <v>1900001336</v>
      </c>
      <c r="S915" s="2" t="s">
        <v>2617</v>
      </c>
      <c r="T915" s="2" t="s">
        <v>5915</v>
      </c>
    </row>
    <row r="916" spans="1:20" hidden="1" x14ac:dyDescent="0.35">
      <c r="A916" s="398" t="s">
        <v>4639</v>
      </c>
      <c r="B916" s="1" t="s">
        <v>1686</v>
      </c>
      <c r="C916" s="3">
        <v>43502</v>
      </c>
      <c r="D916" s="3">
        <v>43502</v>
      </c>
      <c r="E916" s="3" t="s">
        <v>1725</v>
      </c>
      <c r="F916" s="394" t="s">
        <v>4412</v>
      </c>
      <c r="G916" s="394" t="s">
        <v>4601</v>
      </c>
      <c r="H916" s="1" t="s">
        <v>3656</v>
      </c>
      <c r="I916" s="418">
        <v>930.34749999999997</v>
      </c>
      <c r="J916" s="418">
        <f t="shared" si="66"/>
        <v>185.23593827775011</v>
      </c>
      <c r="K916" s="351">
        <f t="shared" si="64"/>
        <v>102.91708730711795</v>
      </c>
      <c r="L916" s="350">
        <f t="shared" si="65"/>
        <v>20.583417461423593</v>
      </c>
      <c r="M916" s="350" t="s">
        <v>6169</v>
      </c>
      <c r="N916" s="1" t="s">
        <v>3785</v>
      </c>
      <c r="O916" s="1" t="s">
        <v>4413</v>
      </c>
      <c r="P916" s="396" t="s">
        <v>3659</v>
      </c>
      <c r="Q916" s="397">
        <v>0.2</v>
      </c>
      <c r="R916" s="396">
        <v>1900001336</v>
      </c>
      <c r="S916" s="2" t="s">
        <v>2617</v>
      </c>
      <c r="T916" s="2" t="s">
        <v>5915</v>
      </c>
    </row>
    <row r="917" spans="1:20" hidden="1" x14ac:dyDescent="0.35">
      <c r="A917" s="398" t="s">
        <v>4640</v>
      </c>
      <c r="B917" s="1" t="s">
        <v>1686</v>
      </c>
      <c r="C917" s="3">
        <v>43502</v>
      </c>
      <c r="D917" s="3">
        <v>43502</v>
      </c>
      <c r="E917" s="3" t="s">
        <v>1726</v>
      </c>
      <c r="F917" s="394" t="s">
        <v>4412</v>
      </c>
      <c r="G917" s="394" t="s">
        <v>4601</v>
      </c>
      <c r="H917" s="1" t="s">
        <v>3656</v>
      </c>
      <c r="I917" s="418">
        <v>930.34749999999997</v>
      </c>
      <c r="J917" s="418">
        <f t="shared" si="66"/>
        <v>185.23593827775011</v>
      </c>
      <c r="K917" s="351">
        <f t="shared" si="64"/>
        <v>102.91708730711795</v>
      </c>
      <c r="L917" s="350">
        <f t="shared" si="65"/>
        <v>20.583417461423593</v>
      </c>
      <c r="M917" s="350" t="s">
        <v>6169</v>
      </c>
      <c r="N917" s="1" t="s">
        <v>3785</v>
      </c>
      <c r="O917" s="1" t="s">
        <v>4413</v>
      </c>
      <c r="P917" s="396" t="s">
        <v>3659</v>
      </c>
      <c r="Q917" s="397">
        <v>0.2</v>
      </c>
      <c r="R917" s="396">
        <v>1900001336</v>
      </c>
      <c r="S917" s="2" t="s">
        <v>2617</v>
      </c>
      <c r="T917" s="2" t="s">
        <v>5915</v>
      </c>
    </row>
    <row r="918" spans="1:20" hidden="1" x14ac:dyDescent="0.35">
      <c r="A918" s="398" t="s">
        <v>4641</v>
      </c>
      <c r="B918" s="1" t="s">
        <v>1686</v>
      </c>
      <c r="C918" s="3">
        <v>43502</v>
      </c>
      <c r="D918" s="3">
        <v>43502</v>
      </c>
      <c r="E918" s="3" t="s">
        <v>1692</v>
      </c>
      <c r="F918" s="394" t="s">
        <v>4412</v>
      </c>
      <c r="G918" s="394" t="s">
        <v>4601</v>
      </c>
      <c r="H918" s="1" t="s">
        <v>3656</v>
      </c>
      <c r="I918" s="418">
        <v>930.34749999999997</v>
      </c>
      <c r="J918" s="418">
        <f t="shared" si="66"/>
        <v>185.23593827775011</v>
      </c>
      <c r="K918" s="351">
        <f t="shared" si="64"/>
        <v>102.91708730711795</v>
      </c>
      <c r="L918" s="350">
        <f t="shared" si="65"/>
        <v>20.583417461423593</v>
      </c>
      <c r="M918" s="350" t="s">
        <v>6169</v>
      </c>
      <c r="N918" s="1" t="s">
        <v>3785</v>
      </c>
      <c r="O918" s="1" t="s">
        <v>4413</v>
      </c>
      <c r="P918" s="396" t="s">
        <v>3659</v>
      </c>
      <c r="Q918" s="397">
        <v>0.2</v>
      </c>
      <c r="R918" s="396">
        <v>1900001336</v>
      </c>
      <c r="S918" s="2" t="s">
        <v>2617</v>
      </c>
      <c r="T918" s="2" t="s">
        <v>5915</v>
      </c>
    </row>
    <row r="919" spans="1:20" hidden="1" x14ac:dyDescent="0.35">
      <c r="A919" s="398" t="s">
        <v>4642</v>
      </c>
      <c r="B919" s="1" t="s">
        <v>1686</v>
      </c>
      <c r="C919" s="3">
        <v>43502</v>
      </c>
      <c r="D919" s="3">
        <v>43502</v>
      </c>
      <c r="E919" s="3" t="s">
        <v>1703</v>
      </c>
      <c r="F919" s="394" t="s">
        <v>4412</v>
      </c>
      <c r="G919" s="394" t="s">
        <v>4601</v>
      </c>
      <c r="H919" s="1" t="s">
        <v>3656</v>
      </c>
      <c r="I919" s="418">
        <v>930.34749999999997</v>
      </c>
      <c r="J919" s="418">
        <f t="shared" si="66"/>
        <v>185.23593827775011</v>
      </c>
      <c r="K919" s="351">
        <f t="shared" si="64"/>
        <v>102.91708730711795</v>
      </c>
      <c r="L919" s="350">
        <f t="shared" si="65"/>
        <v>20.583417461423593</v>
      </c>
      <c r="M919" s="350" t="s">
        <v>6169</v>
      </c>
      <c r="N919" s="1" t="s">
        <v>3785</v>
      </c>
      <c r="O919" s="1" t="s">
        <v>4413</v>
      </c>
      <c r="P919" s="396" t="s">
        <v>3659</v>
      </c>
      <c r="Q919" s="397">
        <v>0.2</v>
      </c>
      <c r="R919" s="396">
        <v>1900001336</v>
      </c>
      <c r="S919" s="2" t="s">
        <v>2617</v>
      </c>
      <c r="T919" s="2" t="s">
        <v>5915</v>
      </c>
    </row>
    <row r="920" spans="1:20" hidden="1" x14ac:dyDescent="0.35">
      <c r="A920" s="398" t="s">
        <v>4643</v>
      </c>
      <c r="B920" s="1" t="s">
        <v>1686</v>
      </c>
      <c r="C920" s="3">
        <v>43502</v>
      </c>
      <c r="D920" s="3">
        <v>43502</v>
      </c>
      <c r="E920" s="3" t="s">
        <v>1727</v>
      </c>
      <c r="F920" s="394" t="s">
        <v>4412</v>
      </c>
      <c r="G920" s="394" t="s">
        <v>4601</v>
      </c>
      <c r="H920" s="1" t="s">
        <v>3656</v>
      </c>
      <c r="I920" s="418">
        <v>930.34749999999997</v>
      </c>
      <c r="J920" s="418">
        <f t="shared" si="66"/>
        <v>185.23593827775011</v>
      </c>
      <c r="K920" s="351">
        <f t="shared" si="64"/>
        <v>102.91708730711795</v>
      </c>
      <c r="L920" s="350">
        <f t="shared" si="65"/>
        <v>20.583417461423593</v>
      </c>
      <c r="M920" s="350" t="s">
        <v>6169</v>
      </c>
      <c r="N920" s="1" t="s">
        <v>3785</v>
      </c>
      <c r="O920" s="1" t="s">
        <v>4413</v>
      </c>
      <c r="P920" s="396" t="s">
        <v>3659</v>
      </c>
      <c r="Q920" s="397">
        <v>0.2</v>
      </c>
      <c r="R920" s="396">
        <v>1900001336</v>
      </c>
      <c r="S920" s="2" t="s">
        <v>2617</v>
      </c>
      <c r="T920" s="2" t="s">
        <v>5915</v>
      </c>
    </row>
    <row r="921" spans="1:20" hidden="1" x14ac:dyDescent="0.35">
      <c r="A921" s="398" t="s">
        <v>4644</v>
      </c>
      <c r="B921" s="1" t="s">
        <v>1686</v>
      </c>
      <c r="C921" s="3">
        <v>43502</v>
      </c>
      <c r="D921" s="3">
        <v>43502</v>
      </c>
      <c r="E921" s="3" t="s">
        <v>1728</v>
      </c>
      <c r="F921" s="394" t="s">
        <v>4412</v>
      </c>
      <c r="G921" s="394" t="s">
        <v>4601</v>
      </c>
      <c r="H921" s="1" t="s">
        <v>3656</v>
      </c>
      <c r="I921" s="418">
        <v>930.34749999999997</v>
      </c>
      <c r="J921" s="418">
        <f t="shared" si="66"/>
        <v>185.23593827775011</v>
      </c>
      <c r="K921" s="351">
        <f t="shared" si="64"/>
        <v>102.91708730711795</v>
      </c>
      <c r="L921" s="350">
        <f t="shared" si="65"/>
        <v>20.583417461423593</v>
      </c>
      <c r="M921" s="350" t="s">
        <v>6169</v>
      </c>
      <c r="N921" s="1" t="s">
        <v>3785</v>
      </c>
      <c r="O921" s="1" t="s">
        <v>4413</v>
      </c>
      <c r="P921" s="396" t="s">
        <v>3659</v>
      </c>
      <c r="Q921" s="397">
        <v>0.2</v>
      </c>
      <c r="R921" s="396">
        <v>1900001336</v>
      </c>
      <c r="S921" s="2" t="s">
        <v>2617</v>
      </c>
      <c r="T921" s="2" t="s">
        <v>5915</v>
      </c>
    </row>
    <row r="922" spans="1:20" hidden="1" x14ac:dyDescent="0.35">
      <c r="A922" s="398" t="s">
        <v>4645</v>
      </c>
      <c r="B922" s="1" t="s">
        <v>1686</v>
      </c>
      <c r="C922" s="3">
        <v>43502</v>
      </c>
      <c r="D922" s="3">
        <v>43502</v>
      </c>
      <c r="E922" s="3" t="s">
        <v>1729</v>
      </c>
      <c r="F922" s="394" t="s">
        <v>4412</v>
      </c>
      <c r="G922" s="394" t="s">
        <v>4601</v>
      </c>
      <c r="H922" s="1" t="s">
        <v>3656</v>
      </c>
      <c r="I922" s="418">
        <v>930.34749999999997</v>
      </c>
      <c r="J922" s="418">
        <f t="shared" si="66"/>
        <v>185.23593827775011</v>
      </c>
      <c r="K922" s="351">
        <f t="shared" si="64"/>
        <v>102.91708730711795</v>
      </c>
      <c r="L922" s="350">
        <f t="shared" si="65"/>
        <v>20.583417461423593</v>
      </c>
      <c r="M922" s="350" t="s">
        <v>6169</v>
      </c>
      <c r="N922" s="1" t="s">
        <v>3785</v>
      </c>
      <c r="O922" s="1" t="s">
        <v>4413</v>
      </c>
      <c r="P922" s="396" t="s">
        <v>3659</v>
      </c>
      <c r="Q922" s="397">
        <v>0.2</v>
      </c>
      <c r="R922" s="396">
        <v>1900001336</v>
      </c>
      <c r="S922" s="2" t="s">
        <v>2617</v>
      </c>
      <c r="T922" s="2" t="s">
        <v>5915</v>
      </c>
    </row>
    <row r="923" spans="1:20" hidden="1" x14ac:dyDescent="0.35">
      <c r="A923" s="398" t="s">
        <v>4646</v>
      </c>
      <c r="B923" s="1" t="s">
        <v>1686</v>
      </c>
      <c r="C923" s="3">
        <v>43502</v>
      </c>
      <c r="D923" s="3">
        <v>43502</v>
      </c>
      <c r="E923" s="3" t="s">
        <v>1730</v>
      </c>
      <c r="F923" s="394" t="s">
        <v>4412</v>
      </c>
      <c r="G923" s="394" t="s">
        <v>4601</v>
      </c>
      <c r="H923" s="1" t="s">
        <v>3656</v>
      </c>
      <c r="I923" s="418">
        <v>930.34749999999997</v>
      </c>
      <c r="J923" s="418">
        <f t="shared" si="66"/>
        <v>185.23593827775011</v>
      </c>
      <c r="K923" s="351">
        <f t="shared" si="64"/>
        <v>102.91708730711795</v>
      </c>
      <c r="L923" s="350">
        <f t="shared" si="65"/>
        <v>20.583417461423593</v>
      </c>
      <c r="M923" s="350" t="s">
        <v>6169</v>
      </c>
      <c r="N923" s="1" t="s">
        <v>3785</v>
      </c>
      <c r="O923" s="1" t="s">
        <v>4413</v>
      </c>
      <c r="P923" s="396" t="s">
        <v>3659</v>
      </c>
      <c r="Q923" s="397">
        <v>0.2</v>
      </c>
      <c r="R923" s="396">
        <v>1900001336</v>
      </c>
      <c r="S923" s="2" t="s">
        <v>2617</v>
      </c>
      <c r="T923" s="2" t="s">
        <v>5915</v>
      </c>
    </row>
    <row r="924" spans="1:20" hidden="1" x14ac:dyDescent="0.35">
      <c r="A924" s="398" t="s">
        <v>4647</v>
      </c>
      <c r="B924" s="1" t="s">
        <v>1686</v>
      </c>
      <c r="C924" s="3">
        <v>43502</v>
      </c>
      <c r="D924" s="3">
        <v>43502</v>
      </c>
      <c r="E924" s="3" t="s">
        <v>1731</v>
      </c>
      <c r="F924" s="394" t="s">
        <v>4412</v>
      </c>
      <c r="G924" s="394" t="s">
        <v>4601</v>
      </c>
      <c r="H924" s="1" t="s">
        <v>3656</v>
      </c>
      <c r="I924" s="418">
        <v>930.34749999999997</v>
      </c>
      <c r="J924" s="418">
        <f t="shared" si="66"/>
        <v>185.23593827775011</v>
      </c>
      <c r="K924" s="351">
        <f t="shared" si="64"/>
        <v>102.91708730711795</v>
      </c>
      <c r="L924" s="350">
        <f t="shared" si="65"/>
        <v>20.583417461423593</v>
      </c>
      <c r="M924" s="350" t="s">
        <v>6169</v>
      </c>
      <c r="N924" s="1" t="s">
        <v>3785</v>
      </c>
      <c r="O924" s="1" t="s">
        <v>4413</v>
      </c>
      <c r="P924" s="396" t="s">
        <v>3659</v>
      </c>
      <c r="Q924" s="397">
        <v>0.2</v>
      </c>
      <c r="R924" s="396">
        <v>1900001336</v>
      </c>
      <c r="S924" s="2" t="s">
        <v>2617</v>
      </c>
      <c r="T924" s="2" t="s">
        <v>5915</v>
      </c>
    </row>
    <row r="925" spans="1:20" hidden="1" x14ac:dyDescent="0.35">
      <c r="A925" s="398" t="s">
        <v>4648</v>
      </c>
      <c r="B925" s="1" t="s">
        <v>1686</v>
      </c>
      <c r="C925" s="3">
        <v>43502</v>
      </c>
      <c r="D925" s="3">
        <v>43502</v>
      </c>
      <c r="E925" s="3" t="s">
        <v>1732</v>
      </c>
      <c r="F925" s="394" t="s">
        <v>4412</v>
      </c>
      <c r="G925" s="394" t="s">
        <v>4601</v>
      </c>
      <c r="H925" s="1" t="s">
        <v>3656</v>
      </c>
      <c r="I925" s="418">
        <v>930.34749999999997</v>
      </c>
      <c r="J925" s="418">
        <f t="shared" si="66"/>
        <v>185.23593827775011</v>
      </c>
      <c r="K925" s="351">
        <f t="shared" si="64"/>
        <v>102.91708730711795</v>
      </c>
      <c r="L925" s="350">
        <f t="shared" si="65"/>
        <v>20.583417461423593</v>
      </c>
      <c r="M925" s="350" t="s">
        <v>6169</v>
      </c>
      <c r="N925" s="1" t="s">
        <v>3785</v>
      </c>
      <c r="O925" s="1" t="s">
        <v>4413</v>
      </c>
      <c r="P925" s="396" t="s">
        <v>3659</v>
      </c>
      <c r="Q925" s="397">
        <v>0.2</v>
      </c>
      <c r="R925" s="396">
        <v>1900001336</v>
      </c>
      <c r="S925" s="2" t="s">
        <v>2617</v>
      </c>
      <c r="T925" s="2" t="s">
        <v>5915</v>
      </c>
    </row>
    <row r="926" spans="1:20" hidden="1" x14ac:dyDescent="0.35">
      <c r="A926" s="398" t="s">
        <v>4649</v>
      </c>
      <c r="B926" s="1" t="s">
        <v>1686</v>
      </c>
      <c r="C926" s="3">
        <v>43502</v>
      </c>
      <c r="D926" s="3">
        <v>43502</v>
      </c>
      <c r="E926" s="3" t="s">
        <v>1733</v>
      </c>
      <c r="F926" s="394" t="s">
        <v>4412</v>
      </c>
      <c r="G926" s="394" t="s">
        <v>4601</v>
      </c>
      <c r="H926" s="1" t="s">
        <v>3656</v>
      </c>
      <c r="I926" s="418">
        <v>930.34749999999997</v>
      </c>
      <c r="J926" s="418">
        <f t="shared" si="66"/>
        <v>185.23593827775011</v>
      </c>
      <c r="K926" s="351">
        <f t="shared" si="64"/>
        <v>102.91708730711795</v>
      </c>
      <c r="L926" s="350">
        <f t="shared" si="65"/>
        <v>20.583417461423593</v>
      </c>
      <c r="M926" s="350" t="s">
        <v>6169</v>
      </c>
      <c r="N926" s="1" t="s">
        <v>3785</v>
      </c>
      <c r="O926" s="1" t="s">
        <v>4413</v>
      </c>
      <c r="P926" s="396" t="s">
        <v>3659</v>
      </c>
      <c r="Q926" s="397">
        <v>0.2</v>
      </c>
      <c r="R926" s="396">
        <v>1900001336</v>
      </c>
      <c r="S926" s="2" t="s">
        <v>2617</v>
      </c>
      <c r="T926" s="2" t="s">
        <v>5915</v>
      </c>
    </row>
    <row r="927" spans="1:20" hidden="1" x14ac:dyDescent="0.35">
      <c r="A927" s="398" t="s">
        <v>4650</v>
      </c>
      <c r="B927" s="1" t="s">
        <v>1686</v>
      </c>
      <c r="C927" s="3">
        <v>43502</v>
      </c>
      <c r="D927" s="3">
        <v>43502</v>
      </c>
      <c r="E927" s="3" t="s">
        <v>1734</v>
      </c>
      <c r="F927" s="394" t="s">
        <v>4412</v>
      </c>
      <c r="G927" s="394" t="s">
        <v>4601</v>
      </c>
      <c r="H927" s="1" t="s">
        <v>3656</v>
      </c>
      <c r="I927" s="418">
        <v>930.34749999999997</v>
      </c>
      <c r="J927" s="418">
        <f t="shared" si="66"/>
        <v>185.23593827775011</v>
      </c>
      <c r="K927" s="351">
        <f t="shared" si="64"/>
        <v>102.91708730711795</v>
      </c>
      <c r="L927" s="350">
        <f t="shared" si="65"/>
        <v>20.583417461423593</v>
      </c>
      <c r="M927" s="350" t="s">
        <v>6169</v>
      </c>
      <c r="N927" s="1" t="s">
        <v>3785</v>
      </c>
      <c r="O927" s="1" t="s">
        <v>4413</v>
      </c>
      <c r="P927" s="396" t="s">
        <v>3659</v>
      </c>
      <c r="Q927" s="397">
        <v>0.2</v>
      </c>
      <c r="R927" s="396">
        <v>1900001336</v>
      </c>
      <c r="S927" s="2" t="s">
        <v>2617</v>
      </c>
      <c r="T927" s="2" t="s">
        <v>5915</v>
      </c>
    </row>
    <row r="928" spans="1:20" hidden="1" x14ac:dyDescent="0.35">
      <c r="A928" s="398" t="s">
        <v>4651</v>
      </c>
      <c r="B928" s="1" t="s">
        <v>1686</v>
      </c>
      <c r="C928" s="3">
        <v>43502</v>
      </c>
      <c r="D928" s="3">
        <v>43502</v>
      </c>
      <c r="E928" s="3" t="s">
        <v>1735</v>
      </c>
      <c r="F928" s="394" t="s">
        <v>4412</v>
      </c>
      <c r="G928" s="394" t="s">
        <v>4601</v>
      </c>
      <c r="H928" s="1" t="s">
        <v>3656</v>
      </c>
      <c r="I928" s="418">
        <v>930.34749999999997</v>
      </c>
      <c r="J928" s="418">
        <f t="shared" si="66"/>
        <v>185.23593827775011</v>
      </c>
      <c r="K928" s="351">
        <f t="shared" si="64"/>
        <v>102.91708730711795</v>
      </c>
      <c r="L928" s="350">
        <f t="shared" si="65"/>
        <v>20.583417461423593</v>
      </c>
      <c r="M928" s="350" t="s">
        <v>6169</v>
      </c>
      <c r="N928" s="1" t="s">
        <v>3785</v>
      </c>
      <c r="O928" s="1" t="s">
        <v>4413</v>
      </c>
      <c r="P928" s="396" t="s">
        <v>3659</v>
      </c>
      <c r="Q928" s="397">
        <v>0.2</v>
      </c>
      <c r="R928" s="396">
        <v>1900001336</v>
      </c>
      <c r="S928" s="2" t="s">
        <v>2617</v>
      </c>
      <c r="T928" s="2" t="s">
        <v>5915</v>
      </c>
    </row>
    <row r="929" spans="1:20" hidden="1" x14ac:dyDescent="0.35">
      <c r="A929" s="398" t="s">
        <v>4652</v>
      </c>
      <c r="B929" s="1" t="s">
        <v>1686</v>
      </c>
      <c r="C929" s="3">
        <v>43502</v>
      </c>
      <c r="D929" s="3">
        <v>43502</v>
      </c>
      <c r="E929" s="3" t="s">
        <v>1736</v>
      </c>
      <c r="F929" s="394" t="s">
        <v>4412</v>
      </c>
      <c r="G929" s="394" t="s">
        <v>4601</v>
      </c>
      <c r="H929" s="1" t="s">
        <v>3656</v>
      </c>
      <c r="I929" s="418">
        <v>930.34749999999997</v>
      </c>
      <c r="J929" s="418">
        <f t="shared" si="66"/>
        <v>185.23593827775011</v>
      </c>
      <c r="K929" s="351">
        <f t="shared" si="64"/>
        <v>102.91708730711795</v>
      </c>
      <c r="L929" s="350">
        <f t="shared" si="65"/>
        <v>20.583417461423593</v>
      </c>
      <c r="M929" s="350" t="s">
        <v>6169</v>
      </c>
      <c r="N929" s="1" t="s">
        <v>3785</v>
      </c>
      <c r="O929" s="1" t="s">
        <v>4413</v>
      </c>
      <c r="P929" s="396" t="s">
        <v>3659</v>
      </c>
      <c r="Q929" s="397">
        <v>0.2</v>
      </c>
      <c r="R929" s="396">
        <v>1900001336</v>
      </c>
      <c r="S929" s="2" t="s">
        <v>2617</v>
      </c>
      <c r="T929" s="2" t="s">
        <v>5915</v>
      </c>
    </row>
    <row r="930" spans="1:20" hidden="1" x14ac:dyDescent="0.35">
      <c r="A930" s="398" t="s">
        <v>4653</v>
      </c>
      <c r="B930" s="1" t="s">
        <v>1686</v>
      </c>
      <c r="C930" s="3">
        <v>43502</v>
      </c>
      <c r="D930" s="3">
        <v>43502</v>
      </c>
      <c r="E930" s="3" t="s">
        <v>1737</v>
      </c>
      <c r="F930" s="394" t="s">
        <v>4412</v>
      </c>
      <c r="G930" s="394" t="s">
        <v>4601</v>
      </c>
      <c r="H930" s="1" t="s">
        <v>3656</v>
      </c>
      <c r="I930" s="418">
        <v>930.34749999999997</v>
      </c>
      <c r="J930" s="418">
        <f t="shared" si="66"/>
        <v>185.23593827775011</v>
      </c>
      <c r="K930" s="351">
        <f t="shared" si="64"/>
        <v>102.91708730711795</v>
      </c>
      <c r="L930" s="350">
        <f t="shared" si="65"/>
        <v>20.583417461423593</v>
      </c>
      <c r="M930" s="350" t="s">
        <v>6169</v>
      </c>
      <c r="N930" s="1" t="s">
        <v>3785</v>
      </c>
      <c r="O930" s="1" t="s">
        <v>4413</v>
      </c>
      <c r="P930" s="396" t="s">
        <v>3659</v>
      </c>
      <c r="Q930" s="397">
        <v>0.2</v>
      </c>
      <c r="R930" s="396">
        <v>1900001336</v>
      </c>
      <c r="S930" s="2" t="s">
        <v>2617</v>
      </c>
      <c r="T930" s="2" t="s">
        <v>5915</v>
      </c>
    </row>
    <row r="931" spans="1:20" hidden="1" x14ac:dyDescent="0.35">
      <c r="A931" s="398" t="s">
        <v>4654</v>
      </c>
      <c r="B931" s="1" t="s">
        <v>1686</v>
      </c>
      <c r="C931" s="3">
        <v>43502</v>
      </c>
      <c r="D931" s="3">
        <v>43502</v>
      </c>
      <c r="E931" s="3" t="s">
        <v>1738</v>
      </c>
      <c r="F931" s="394" t="s">
        <v>4412</v>
      </c>
      <c r="G931" s="394" t="s">
        <v>4601</v>
      </c>
      <c r="H931" s="1" t="s">
        <v>3656</v>
      </c>
      <c r="I931" s="418">
        <v>930.34749999999997</v>
      </c>
      <c r="J931" s="418">
        <f t="shared" si="66"/>
        <v>185.23593827775011</v>
      </c>
      <c r="K931" s="351">
        <f t="shared" si="64"/>
        <v>102.91708730711795</v>
      </c>
      <c r="L931" s="350">
        <f t="shared" si="65"/>
        <v>20.583417461423593</v>
      </c>
      <c r="M931" s="350" t="s">
        <v>6169</v>
      </c>
      <c r="N931" s="1" t="s">
        <v>3785</v>
      </c>
      <c r="O931" s="1" t="s">
        <v>4413</v>
      </c>
      <c r="P931" s="396" t="s">
        <v>3659</v>
      </c>
      <c r="Q931" s="397">
        <v>0.2</v>
      </c>
      <c r="R931" s="396">
        <v>1900001336</v>
      </c>
      <c r="S931" s="2" t="s">
        <v>2617</v>
      </c>
      <c r="T931" s="2" t="s">
        <v>5915</v>
      </c>
    </row>
    <row r="932" spans="1:20" hidden="1" x14ac:dyDescent="0.35">
      <c r="A932" s="398" t="s">
        <v>4655</v>
      </c>
      <c r="B932" s="1" t="s">
        <v>1686</v>
      </c>
      <c r="C932" s="3">
        <v>43502</v>
      </c>
      <c r="D932" s="3">
        <v>43502</v>
      </c>
      <c r="E932" s="3" t="s">
        <v>1739</v>
      </c>
      <c r="F932" s="394" t="s">
        <v>4412</v>
      </c>
      <c r="G932" s="394" t="s">
        <v>4601</v>
      </c>
      <c r="H932" s="1" t="s">
        <v>3656</v>
      </c>
      <c r="I932" s="418">
        <v>930.34749999999997</v>
      </c>
      <c r="J932" s="418">
        <f t="shared" si="66"/>
        <v>185.23593827775011</v>
      </c>
      <c r="K932" s="351">
        <f t="shared" si="64"/>
        <v>102.91708730711795</v>
      </c>
      <c r="L932" s="350">
        <f t="shared" si="65"/>
        <v>20.583417461423593</v>
      </c>
      <c r="M932" s="350" t="s">
        <v>6169</v>
      </c>
      <c r="N932" s="1" t="s">
        <v>3785</v>
      </c>
      <c r="O932" s="1" t="s">
        <v>4413</v>
      </c>
      <c r="P932" s="396" t="s">
        <v>3659</v>
      </c>
      <c r="Q932" s="397">
        <v>0.2</v>
      </c>
      <c r="R932" s="396">
        <v>1900001336</v>
      </c>
      <c r="S932" s="2" t="s">
        <v>2617</v>
      </c>
      <c r="T932" s="2" t="s">
        <v>5915</v>
      </c>
    </row>
    <row r="933" spans="1:20" hidden="1" x14ac:dyDescent="0.35">
      <c r="A933" s="398" t="s">
        <v>4656</v>
      </c>
      <c r="B933" s="1" t="s">
        <v>1686</v>
      </c>
      <c r="C933" s="3">
        <v>43502</v>
      </c>
      <c r="D933" s="3">
        <v>43502</v>
      </c>
      <c r="E933" s="3" t="s">
        <v>4657</v>
      </c>
      <c r="F933" s="394" t="s">
        <v>4412</v>
      </c>
      <c r="G933" s="394" t="s">
        <v>4601</v>
      </c>
      <c r="H933" s="1" t="s">
        <v>3656</v>
      </c>
      <c r="I933" s="418">
        <v>930.34749999999997</v>
      </c>
      <c r="J933" s="418">
        <f t="shared" si="66"/>
        <v>185.23593827775011</v>
      </c>
      <c r="K933" s="351">
        <f t="shared" si="64"/>
        <v>102.91708730711795</v>
      </c>
      <c r="L933" s="350">
        <f t="shared" si="65"/>
        <v>20.583417461423593</v>
      </c>
      <c r="M933" s="350" t="s">
        <v>6169</v>
      </c>
      <c r="N933" s="1" t="s">
        <v>3785</v>
      </c>
      <c r="O933" s="1" t="s">
        <v>4413</v>
      </c>
      <c r="P933" s="396" t="s">
        <v>3659</v>
      </c>
      <c r="Q933" s="397">
        <v>0.2</v>
      </c>
      <c r="R933" s="396">
        <v>1900001336</v>
      </c>
      <c r="S933" s="2" t="s">
        <v>2617</v>
      </c>
      <c r="T933" s="2" t="s">
        <v>5915</v>
      </c>
    </row>
    <row r="934" spans="1:20" hidden="1" x14ac:dyDescent="0.35">
      <c r="A934" s="398" t="s">
        <v>4658</v>
      </c>
      <c r="B934" s="1" t="s">
        <v>1686</v>
      </c>
      <c r="C934" s="3">
        <v>43502</v>
      </c>
      <c r="D934" s="3">
        <v>43502</v>
      </c>
      <c r="E934" s="3" t="s">
        <v>1740</v>
      </c>
      <c r="F934" s="394" t="s">
        <v>4412</v>
      </c>
      <c r="G934" s="394" t="s">
        <v>4601</v>
      </c>
      <c r="H934" s="1" t="s">
        <v>3656</v>
      </c>
      <c r="I934" s="418">
        <v>930.34749999999997</v>
      </c>
      <c r="J934" s="418">
        <f t="shared" si="66"/>
        <v>185.23593827775011</v>
      </c>
      <c r="K934" s="351">
        <f t="shared" si="64"/>
        <v>102.91708730711795</v>
      </c>
      <c r="L934" s="350">
        <f t="shared" si="65"/>
        <v>20.583417461423593</v>
      </c>
      <c r="M934" s="350" t="s">
        <v>6169</v>
      </c>
      <c r="N934" s="1" t="s">
        <v>3785</v>
      </c>
      <c r="O934" s="1" t="s">
        <v>4413</v>
      </c>
      <c r="P934" s="396" t="s">
        <v>3659</v>
      </c>
      <c r="Q934" s="397">
        <v>0.2</v>
      </c>
      <c r="R934" s="396">
        <v>1900001336</v>
      </c>
      <c r="S934" s="2" t="s">
        <v>2617</v>
      </c>
      <c r="T934" s="2" t="s">
        <v>5915</v>
      </c>
    </row>
    <row r="935" spans="1:20" hidden="1" x14ac:dyDescent="0.35">
      <c r="A935" s="398" t="s">
        <v>4659</v>
      </c>
      <c r="B935" s="1" t="s">
        <v>1686</v>
      </c>
      <c r="C935" s="3">
        <v>43502</v>
      </c>
      <c r="D935" s="3">
        <v>43502</v>
      </c>
      <c r="E935" s="3" t="s">
        <v>1741</v>
      </c>
      <c r="F935" s="394" t="s">
        <v>4412</v>
      </c>
      <c r="G935" s="394" t="s">
        <v>4601</v>
      </c>
      <c r="H935" s="1" t="s">
        <v>3656</v>
      </c>
      <c r="I935" s="418">
        <v>930.34749999999997</v>
      </c>
      <c r="J935" s="418">
        <f t="shared" si="66"/>
        <v>185.23593827775011</v>
      </c>
      <c r="K935" s="351">
        <f t="shared" si="64"/>
        <v>102.91708730711795</v>
      </c>
      <c r="L935" s="350">
        <f t="shared" si="65"/>
        <v>20.583417461423593</v>
      </c>
      <c r="M935" s="350" t="s">
        <v>6169</v>
      </c>
      <c r="N935" s="1" t="s">
        <v>3785</v>
      </c>
      <c r="O935" s="1" t="s">
        <v>4413</v>
      </c>
      <c r="P935" s="396" t="s">
        <v>3659</v>
      </c>
      <c r="Q935" s="397">
        <v>0.2</v>
      </c>
      <c r="R935" s="396">
        <v>1900001336</v>
      </c>
      <c r="S935" s="2" t="s">
        <v>2617</v>
      </c>
      <c r="T935" s="2" t="s">
        <v>5915</v>
      </c>
    </row>
    <row r="936" spans="1:20" hidden="1" x14ac:dyDescent="0.35">
      <c r="A936" s="398" t="s">
        <v>4660</v>
      </c>
      <c r="B936" s="1" t="s">
        <v>1686</v>
      </c>
      <c r="C936" s="3">
        <v>43502</v>
      </c>
      <c r="D936" s="3">
        <v>43502</v>
      </c>
      <c r="E936" s="3" t="s">
        <v>1742</v>
      </c>
      <c r="F936" s="394" t="s">
        <v>4412</v>
      </c>
      <c r="G936" s="394" t="s">
        <v>4601</v>
      </c>
      <c r="H936" s="1" t="s">
        <v>3656</v>
      </c>
      <c r="I936" s="418">
        <v>930.34749999999997</v>
      </c>
      <c r="J936" s="418">
        <f t="shared" si="66"/>
        <v>185.23593827775011</v>
      </c>
      <c r="K936" s="351">
        <f t="shared" si="64"/>
        <v>102.91708730711795</v>
      </c>
      <c r="L936" s="350">
        <f t="shared" si="65"/>
        <v>20.583417461423593</v>
      </c>
      <c r="M936" s="350" t="s">
        <v>6169</v>
      </c>
      <c r="N936" s="1" t="s">
        <v>3785</v>
      </c>
      <c r="O936" s="1" t="s">
        <v>4413</v>
      </c>
      <c r="P936" s="396" t="s">
        <v>3659</v>
      </c>
      <c r="Q936" s="397">
        <v>0.2</v>
      </c>
      <c r="R936" s="396">
        <v>1900001336</v>
      </c>
      <c r="S936" s="2" t="s">
        <v>2617</v>
      </c>
      <c r="T936" s="2" t="s">
        <v>5915</v>
      </c>
    </row>
    <row r="937" spans="1:20" hidden="1" x14ac:dyDescent="0.35">
      <c r="A937" s="398" t="s">
        <v>4661</v>
      </c>
      <c r="B937" s="1" t="s">
        <v>1686</v>
      </c>
      <c r="C937" s="3">
        <v>43502</v>
      </c>
      <c r="D937" s="3">
        <v>43502</v>
      </c>
      <c r="E937" s="3" t="s">
        <v>1743</v>
      </c>
      <c r="F937" s="394" t="s">
        <v>4412</v>
      </c>
      <c r="G937" s="394" t="s">
        <v>4601</v>
      </c>
      <c r="H937" s="1" t="s">
        <v>3656</v>
      </c>
      <c r="I937" s="418">
        <v>930.34749999999997</v>
      </c>
      <c r="J937" s="418">
        <f t="shared" si="66"/>
        <v>185.23593827775011</v>
      </c>
      <c r="K937" s="351">
        <f t="shared" si="64"/>
        <v>102.91708730711795</v>
      </c>
      <c r="L937" s="350">
        <f t="shared" si="65"/>
        <v>20.583417461423593</v>
      </c>
      <c r="M937" s="350" t="s">
        <v>6169</v>
      </c>
      <c r="N937" s="1" t="s">
        <v>3785</v>
      </c>
      <c r="O937" s="1" t="s">
        <v>4413</v>
      </c>
      <c r="P937" s="396" t="s">
        <v>3659</v>
      </c>
      <c r="Q937" s="397">
        <v>0.2</v>
      </c>
      <c r="R937" s="396">
        <v>1900001336</v>
      </c>
      <c r="S937" s="2" t="s">
        <v>2617</v>
      </c>
      <c r="T937" s="2" t="s">
        <v>5915</v>
      </c>
    </row>
    <row r="938" spans="1:20" hidden="1" x14ac:dyDescent="0.35">
      <c r="A938" s="398" t="s">
        <v>4662</v>
      </c>
      <c r="B938" s="1" t="s">
        <v>1686</v>
      </c>
      <c r="C938" s="3">
        <v>43502</v>
      </c>
      <c r="D938" s="3">
        <v>43502</v>
      </c>
      <c r="E938" s="3" t="s">
        <v>1744</v>
      </c>
      <c r="F938" s="394" t="s">
        <v>4412</v>
      </c>
      <c r="G938" s="394" t="s">
        <v>4601</v>
      </c>
      <c r="H938" s="1" t="s">
        <v>3656</v>
      </c>
      <c r="I938" s="418">
        <v>930.34749999999997</v>
      </c>
      <c r="J938" s="418">
        <f t="shared" si="66"/>
        <v>185.23593827775011</v>
      </c>
      <c r="K938" s="351">
        <f t="shared" si="64"/>
        <v>102.91708730711795</v>
      </c>
      <c r="L938" s="350">
        <f t="shared" si="65"/>
        <v>20.583417461423593</v>
      </c>
      <c r="M938" s="350" t="s">
        <v>6169</v>
      </c>
      <c r="N938" s="1" t="s">
        <v>3785</v>
      </c>
      <c r="O938" s="1" t="s">
        <v>4413</v>
      </c>
      <c r="P938" s="396" t="s">
        <v>3659</v>
      </c>
      <c r="Q938" s="397">
        <v>0.2</v>
      </c>
      <c r="R938" s="396">
        <v>1900001336</v>
      </c>
      <c r="S938" s="2" t="s">
        <v>2617</v>
      </c>
      <c r="T938" s="2" t="s">
        <v>5915</v>
      </c>
    </row>
    <row r="939" spans="1:20" hidden="1" x14ac:dyDescent="0.35">
      <c r="A939" s="398" t="s">
        <v>4663</v>
      </c>
      <c r="B939" s="1" t="s">
        <v>1686</v>
      </c>
      <c r="C939" s="3">
        <v>43502</v>
      </c>
      <c r="D939" s="3">
        <v>43502</v>
      </c>
      <c r="E939" s="3" t="s">
        <v>1745</v>
      </c>
      <c r="F939" s="394" t="s">
        <v>4412</v>
      </c>
      <c r="G939" s="394" t="s">
        <v>4601</v>
      </c>
      <c r="H939" s="1" t="s">
        <v>3656</v>
      </c>
      <c r="I939" s="418">
        <v>930.34749999999997</v>
      </c>
      <c r="J939" s="418">
        <f t="shared" si="66"/>
        <v>185.23593827775011</v>
      </c>
      <c r="K939" s="351">
        <f t="shared" si="64"/>
        <v>102.91708730711795</v>
      </c>
      <c r="L939" s="350">
        <f t="shared" si="65"/>
        <v>20.583417461423593</v>
      </c>
      <c r="M939" s="350" t="s">
        <v>6169</v>
      </c>
      <c r="N939" s="1" t="s">
        <v>3785</v>
      </c>
      <c r="O939" s="1" t="s">
        <v>4413</v>
      </c>
      <c r="P939" s="396" t="s">
        <v>3659</v>
      </c>
      <c r="Q939" s="397">
        <v>0.2</v>
      </c>
      <c r="R939" s="396">
        <v>1900001336</v>
      </c>
      <c r="S939" s="2" t="s">
        <v>2617</v>
      </c>
      <c r="T939" s="2" t="s">
        <v>5915</v>
      </c>
    </row>
    <row r="940" spans="1:20" hidden="1" x14ac:dyDescent="0.35">
      <c r="A940" s="398" t="s">
        <v>4664</v>
      </c>
      <c r="B940" s="1" t="s">
        <v>1686</v>
      </c>
      <c r="C940" s="3">
        <v>43502</v>
      </c>
      <c r="D940" s="3">
        <v>43502</v>
      </c>
      <c r="E940" s="3" t="s">
        <v>1746</v>
      </c>
      <c r="F940" s="394" t="s">
        <v>4412</v>
      </c>
      <c r="G940" s="394" t="s">
        <v>4601</v>
      </c>
      <c r="H940" s="1" t="s">
        <v>3656</v>
      </c>
      <c r="I940" s="418">
        <v>930.34749999999997</v>
      </c>
      <c r="J940" s="418">
        <f t="shared" si="66"/>
        <v>185.23593827775011</v>
      </c>
      <c r="K940" s="351">
        <f t="shared" si="64"/>
        <v>102.91708730711795</v>
      </c>
      <c r="L940" s="350">
        <f t="shared" si="65"/>
        <v>20.583417461423593</v>
      </c>
      <c r="M940" s="350" t="s">
        <v>6169</v>
      </c>
      <c r="N940" s="1" t="s">
        <v>3785</v>
      </c>
      <c r="O940" s="1" t="s">
        <v>4413</v>
      </c>
      <c r="P940" s="396" t="s">
        <v>3659</v>
      </c>
      <c r="Q940" s="397">
        <v>0.2</v>
      </c>
      <c r="R940" s="396">
        <v>1900001336</v>
      </c>
      <c r="S940" s="2" t="s">
        <v>2617</v>
      </c>
      <c r="T940" s="2" t="s">
        <v>5915</v>
      </c>
    </row>
    <row r="941" spans="1:20" hidden="1" x14ac:dyDescent="0.35">
      <c r="A941" s="398" t="s">
        <v>4665</v>
      </c>
      <c r="B941" s="1" t="s">
        <v>1686</v>
      </c>
      <c r="C941" s="3">
        <v>43502</v>
      </c>
      <c r="D941" s="3">
        <v>43502</v>
      </c>
      <c r="E941" s="3" t="s">
        <v>1747</v>
      </c>
      <c r="F941" s="394" t="s">
        <v>4412</v>
      </c>
      <c r="G941" s="394" t="s">
        <v>4601</v>
      </c>
      <c r="H941" s="1" t="s">
        <v>3656</v>
      </c>
      <c r="I941" s="418">
        <v>930.34749999999997</v>
      </c>
      <c r="J941" s="418">
        <f t="shared" si="66"/>
        <v>185.23593827775011</v>
      </c>
      <c r="K941" s="351">
        <f t="shared" si="64"/>
        <v>102.91708730711795</v>
      </c>
      <c r="L941" s="350">
        <f t="shared" si="65"/>
        <v>20.583417461423593</v>
      </c>
      <c r="M941" s="350" t="s">
        <v>6169</v>
      </c>
      <c r="N941" s="1" t="s">
        <v>3785</v>
      </c>
      <c r="O941" s="1" t="s">
        <v>4413</v>
      </c>
      <c r="P941" s="396" t="s">
        <v>3659</v>
      </c>
      <c r="Q941" s="397">
        <v>0.2</v>
      </c>
      <c r="R941" s="396">
        <v>1900001336</v>
      </c>
      <c r="S941" s="2" t="s">
        <v>2617</v>
      </c>
      <c r="T941" s="2" t="s">
        <v>5915</v>
      </c>
    </row>
    <row r="942" spans="1:20" hidden="1" x14ac:dyDescent="0.35">
      <c r="A942" s="398" t="s">
        <v>4666</v>
      </c>
      <c r="B942" s="1" t="s">
        <v>1686</v>
      </c>
      <c r="C942" s="3">
        <v>43502</v>
      </c>
      <c r="D942" s="3">
        <v>43502</v>
      </c>
      <c r="E942" s="3" t="s">
        <v>1748</v>
      </c>
      <c r="F942" s="394" t="s">
        <v>4412</v>
      </c>
      <c r="G942" s="394" t="s">
        <v>4601</v>
      </c>
      <c r="H942" s="1" t="s">
        <v>3656</v>
      </c>
      <c r="I942" s="418">
        <v>930.34749999999997</v>
      </c>
      <c r="J942" s="418">
        <f t="shared" si="66"/>
        <v>185.23593827775011</v>
      </c>
      <c r="K942" s="351">
        <f t="shared" si="64"/>
        <v>102.91708730711795</v>
      </c>
      <c r="L942" s="350">
        <f t="shared" si="65"/>
        <v>20.583417461423593</v>
      </c>
      <c r="M942" s="350" t="s">
        <v>6169</v>
      </c>
      <c r="N942" s="1" t="s">
        <v>3785</v>
      </c>
      <c r="O942" s="1" t="s">
        <v>4413</v>
      </c>
      <c r="P942" s="396" t="s">
        <v>3659</v>
      </c>
      <c r="Q942" s="397">
        <v>0.2</v>
      </c>
      <c r="R942" s="396">
        <v>1900001336</v>
      </c>
      <c r="S942" s="2" t="s">
        <v>2617</v>
      </c>
      <c r="T942" s="2" t="s">
        <v>5915</v>
      </c>
    </row>
    <row r="943" spans="1:20" hidden="1" x14ac:dyDescent="0.35">
      <c r="A943" s="398" t="s">
        <v>4667</v>
      </c>
      <c r="B943" s="1" t="s">
        <v>1686</v>
      </c>
      <c r="C943" s="3">
        <v>43502</v>
      </c>
      <c r="D943" s="3">
        <v>43502</v>
      </c>
      <c r="E943" s="3" t="s">
        <v>1749</v>
      </c>
      <c r="F943" s="394" t="s">
        <v>4412</v>
      </c>
      <c r="G943" s="394" t="s">
        <v>4601</v>
      </c>
      <c r="H943" s="1" t="s">
        <v>3656</v>
      </c>
      <c r="I943" s="418">
        <v>930.34749999999997</v>
      </c>
      <c r="J943" s="418">
        <f t="shared" ref="J943:J977" si="67">+I943/5.0225</f>
        <v>185.23593827775011</v>
      </c>
      <c r="K943" s="351">
        <f t="shared" si="64"/>
        <v>102.91708730711795</v>
      </c>
      <c r="L943" s="350">
        <f t="shared" si="65"/>
        <v>20.583417461423593</v>
      </c>
      <c r="M943" s="350" t="s">
        <v>6169</v>
      </c>
      <c r="N943" s="1" t="s">
        <v>3785</v>
      </c>
      <c r="O943" s="1" t="s">
        <v>4413</v>
      </c>
      <c r="P943" s="396" t="s">
        <v>3659</v>
      </c>
      <c r="Q943" s="397">
        <v>0.2</v>
      </c>
      <c r="R943" s="396">
        <v>1900001336</v>
      </c>
      <c r="S943" s="2" t="s">
        <v>2617</v>
      </c>
      <c r="T943" s="2" t="s">
        <v>5915</v>
      </c>
    </row>
    <row r="944" spans="1:20" hidden="1" x14ac:dyDescent="0.35">
      <c r="A944" s="398" t="s">
        <v>4668</v>
      </c>
      <c r="B944" s="1" t="s">
        <v>1686</v>
      </c>
      <c r="C944" s="3">
        <v>43502</v>
      </c>
      <c r="D944" s="3">
        <v>43502</v>
      </c>
      <c r="E944" s="3" t="s">
        <v>1750</v>
      </c>
      <c r="F944" s="394" t="s">
        <v>4412</v>
      </c>
      <c r="G944" s="394" t="s">
        <v>4601</v>
      </c>
      <c r="H944" s="1" t="s">
        <v>3656</v>
      </c>
      <c r="I944" s="418">
        <v>930.34749999999997</v>
      </c>
      <c r="J944" s="418">
        <f t="shared" si="67"/>
        <v>185.23593827775011</v>
      </c>
      <c r="K944" s="351">
        <f t="shared" si="64"/>
        <v>102.91708730711795</v>
      </c>
      <c r="L944" s="350">
        <f t="shared" si="65"/>
        <v>20.583417461423593</v>
      </c>
      <c r="M944" s="350" t="s">
        <v>6169</v>
      </c>
      <c r="N944" s="1" t="s">
        <v>3785</v>
      </c>
      <c r="O944" s="1" t="s">
        <v>4413</v>
      </c>
      <c r="P944" s="396" t="s">
        <v>3659</v>
      </c>
      <c r="Q944" s="397">
        <v>0.2</v>
      </c>
      <c r="R944" s="396">
        <v>1900001336</v>
      </c>
      <c r="S944" s="2" t="s">
        <v>2617</v>
      </c>
      <c r="T944" s="2" t="s">
        <v>5915</v>
      </c>
    </row>
    <row r="945" spans="1:20" hidden="1" x14ac:dyDescent="0.35">
      <c r="A945" s="398" t="s">
        <v>4669</v>
      </c>
      <c r="B945" s="1" t="s">
        <v>1686</v>
      </c>
      <c r="C945" s="3">
        <v>43502</v>
      </c>
      <c r="D945" s="3">
        <v>43502</v>
      </c>
      <c r="E945" s="3" t="s">
        <v>1751</v>
      </c>
      <c r="F945" s="394" t="s">
        <v>4412</v>
      </c>
      <c r="G945" s="394" t="s">
        <v>4601</v>
      </c>
      <c r="H945" s="1" t="s">
        <v>3656</v>
      </c>
      <c r="I945" s="418">
        <v>930.34749999999997</v>
      </c>
      <c r="J945" s="418">
        <f t="shared" si="67"/>
        <v>185.23593827775011</v>
      </c>
      <c r="K945" s="351">
        <f t="shared" si="64"/>
        <v>102.91708730711795</v>
      </c>
      <c r="L945" s="350">
        <f t="shared" si="65"/>
        <v>20.583417461423593</v>
      </c>
      <c r="M945" s="350" t="s">
        <v>6169</v>
      </c>
      <c r="N945" s="1" t="s">
        <v>3785</v>
      </c>
      <c r="O945" s="1" t="s">
        <v>4413</v>
      </c>
      <c r="P945" s="396" t="s">
        <v>3659</v>
      </c>
      <c r="Q945" s="397">
        <v>0.2</v>
      </c>
      <c r="R945" s="396">
        <v>1900001336</v>
      </c>
      <c r="S945" s="2" t="s">
        <v>2617</v>
      </c>
      <c r="T945" s="2" t="s">
        <v>5915</v>
      </c>
    </row>
    <row r="946" spans="1:20" hidden="1" x14ac:dyDescent="0.35">
      <c r="A946" s="398" t="s">
        <v>4670</v>
      </c>
      <c r="B946" s="1" t="s">
        <v>1686</v>
      </c>
      <c r="C946" s="3">
        <v>43502</v>
      </c>
      <c r="D946" s="3">
        <v>43502</v>
      </c>
      <c r="E946" s="3" t="s">
        <v>1752</v>
      </c>
      <c r="F946" s="394" t="s">
        <v>4412</v>
      </c>
      <c r="G946" s="394" t="s">
        <v>4601</v>
      </c>
      <c r="H946" s="1" t="s">
        <v>3656</v>
      </c>
      <c r="I946" s="418">
        <v>930.34749999999997</v>
      </c>
      <c r="J946" s="418">
        <f t="shared" si="67"/>
        <v>185.23593827775011</v>
      </c>
      <c r="K946" s="351">
        <f t="shared" si="64"/>
        <v>102.91708730711795</v>
      </c>
      <c r="L946" s="350">
        <f t="shared" si="65"/>
        <v>20.583417461423593</v>
      </c>
      <c r="M946" s="350" t="s">
        <v>6169</v>
      </c>
      <c r="N946" s="1" t="s">
        <v>3785</v>
      </c>
      <c r="O946" s="1" t="s">
        <v>4413</v>
      </c>
      <c r="P946" s="396" t="s">
        <v>3659</v>
      </c>
      <c r="Q946" s="397">
        <v>0.2</v>
      </c>
      <c r="R946" s="396">
        <v>1900001336</v>
      </c>
      <c r="S946" s="2" t="s">
        <v>2617</v>
      </c>
      <c r="T946" s="2" t="s">
        <v>5915</v>
      </c>
    </row>
    <row r="947" spans="1:20" hidden="1" x14ac:dyDescent="0.35">
      <c r="A947" s="398" t="s">
        <v>4671</v>
      </c>
      <c r="B947" s="1" t="s">
        <v>1686</v>
      </c>
      <c r="C947" s="3">
        <v>43502</v>
      </c>
      <c r="D947" s="3">
        <v>43502</v>
      </c>
      <c r="E947" s="3" t="s">
        <v>1753</v>
      </c>
      <c r="F947" s="394" t="s">
        <v>4412</v>
      </c>
      <c r="G947" s="394" t="s">
        <v>4601</v>
      </c>
      <c r="H947" s="1" t="s">
        <v>3656</v>
      </c>
      <c r="I947" s="418">
        <v>930.34749999999997</v>
      </c>
      <c r="J947" s="418">
        <f t="shared" si="67"/>
        <v>185.23593827775011</v>
      </c>
      <c r="K947" s="351">
        <f t="shared" si="64"/>
        <v>102.91708730711795</v>
      </c>
      <c r="L947" s="350">
        <f t="shared" si="65"/>
        <v>20.583417461423593</v>
      </c>
      <c r="M947" s="350" t="s">
        <v>6169</v>
      </c>
      <c r="N947" s="1" t="s">
        <v>3785</v>
      </c>
      <c r="O947" s="1" t="s">
        <v>4413</v>
      </c>
      <c r="P947" s="396" t="s">
        <v>3659</v>
      </c>
      <c r="Q947" s="397">
        <v>0.2</v>
      </c>
      <c r="R947" s="396">
        <v>1900001336</v>
      </c>
      <c r="S947" s="2" t="s">
        <v>2617</v>
      </c>
      <c r="T947" s="2" t="s">
        <v>5915</v>
      </c>
    </row>
    <row r="948" spans="1:20" hidden="1" x14ac:dyDescent="0.35">
      <c r="A948" s="398" t="s">
        <v>4672</v>
      </c>
      <c r="B948" s="1" t="s">
        <v>1686</v>
      </c>
      <c r="C948" s="3">
        <v>43502</v>
      </c>
      <c r="D948" s="3">
        <v>43502</v>
      </c>
      <c r="E948" s="3" t="s">
        <v>1754</v>
      </c>
      <c r="F948" s="394" t="s">
        <v>4412</v>
      </c>
      <c r="G948" s="394" t="s">
        <v>4601</v>
      </c>
      <c r="H948" s="1" t="s">
        <v>3656</v>
      </c>
      <c r="I948" s="418">
        <v>930.34749999999997</v>
      </c>
      <c r="J948" s="418">
        <f t="shared" si="67"/>
        <v>185.23593827775011</v>
      </c>
      <c r="K948" s="351">
        <f t="shared" si="64"/>
        <v>102.91708730711795</v>
      </c>
      <c r="L948" s="350">
        <f t="shared" si="65"/>
        <v>20.583417461423593</v>
      </c>
      <c r="M948" s="350" t="s">
        <v>6169</v>
      </c>
      <c r="N948" s="1" t="s">
        <v>3785</v>
      </c>
      <c r="O948" s="1" t="s">
        <v>4413</v>
      </c>
      <c r="P948" s="396" t="s">
        <v>3659</v>
      </c>
      <c r="Q948" s="397">
        <v>0.2</v>
      </c>
      <c r="R948" s="396">
        <v>1900001336</v>
      </c>
      <c r="S948" s="2" t="s">
        <v>2617</v>
      </c>
      <c r="T948" s="2" t="s">
        <v>5915</v>
      </c>
    </row>
    <row r="949" spans="1:20" hidden="1" x14ac:dyDescent="0.35">
      <c r="A949" s="398" t="s">
        <v>4673</v>
      </c>
      <c r="B949" s="1" t="s">
        <v>1686</v>
      </c>
      <c r="C949" s="3">
        <v>43502</v>
      </c>
      <c r="D949" s="3">
        <v>43502</v>
      </c>
      <c r="E949" s="3" t="s">
        <v>1752</v>
      </c>
      <c r="F949" s="394" t="s">
        <v>4412</v>
      </c>
      <c r="G949" s="394" t="s">
        <v>4601</v>
      </c>
      <c r="H949" s="1" t="s">
        <v>3656</v>
      </c>
      <c r="I949" s="418">
        <v>930.34749999999997</v>
      </c>
      <c r="J949" s="418">
        <f t="shared" si="67"/>
        <v>185.23593827775011</v>
      </c>
      <c r="K949" s="351">
        <f t="shared" si="64"/>
        <v>102.91708730711795</v>
      </c>
      <c r="L949" s="350">
        <f t="shared" si="65"/>
        <v>20.583417461423593</v>
      </c>
      <c r="M949" s="350" t="s">
        <v>6169</v>
      </c>
      <c r="N949" s="1" t="s">
        <v>3785</v>
      </c>
      <c r="O949" s="1" t="s">
        <v>4413</v>
      </c>
      <c r="P949" s="396" t="s">
        <v>3659</v>
      </c>
      <c r="Q949" s="397">
        <v>0.2</v>
      </c>
      <c r="R949" s="396">
        <v>1900001336</v>
      </c>
      <c r="S949" s="2" t="s">
        <v>2617</v>
      </c>
      <c r="T949" s="2" t="s">
        <v>5915</v>
      </c>
    </row>
    <row r="950" spans="1:20" hidden="1" x14ac:dyDescent="0.35">
      <c r="A950" s="398" t="s">
        <v>4674</v>
      </c>
      <c r="B950" s="1" t="s">
        <v>1686</v>
      </c>
      <c r="C950" s="3">
        <v>43502</v>
      </c>
      <c r="D950" s="3">
        <v>43502</v>
      </c>
      <c r="E950" s="3" t="s">
        <v>1753</v>
      </c>
      <c r="F950" s="394" t="s">
        <v>4412</v>
      </c>
      <c r="G950" s="394" t="s">
        <v>4601</v>
      </c>
      <c r="H950" s="1" t="s">
        <v>3656</v>
      </c>
      <c r="I950" s="418">
        <v>930.34749999999997</v>
      </c>
      <c r="J950" s="418">
        <f t="shared" si="67"/>
        <v>185.23593827775011</v>
      </c>
      <c r="K950" s="351">
        <f t="shared" si="64"/>
        <v>102.91708730711795</v>
      </c>
      <c r="L950" s="350">
        <f t="shared" si="65"/>
        <v>20.583417461423593</v>
      </c>
      <c r="M950" s="350" t="s">
        <v>6169</v>
      </c>
      <c r="N950" s="1" t="s">
        <v>3785</v>
      </c>
      <c r="O950" s="1" t="s">
        <v>4413</v>
      </c>
      <c r="P950" s="396" t="s">
        <v>3659</v>
      </c>
      <c r="Q950" s="397">
        <v>0.2</v>
      </c>
      <c r="R950" s="396">
        <v>1900001336</v>
      </c>
      <c r="S950" s="2" t="s">
        <v>2617</v>
      </c>
      <c r="T950" s="2" t="s">
        <v>5915</v>
      </c>
    </row>
    <row r="951" spans="1:20" hidden="1" x14ac:dyDescent="0.35">
      <c r="A951" s="398" t="s">
        <v>4675</v>
      </c>
      <c r="B951" s="1" t="s">
        <v>1686</v>
      </c>
      <c r="C951" s="3">
        <v>43502</v>
      </c>
      <c r="D951" s="3">
        <v>43502</v>
      </c>
      <c r="E951" s="3" t="s">
        <v>1754</v>
      </c>
      <c r="F951" s="394" t="s">
        <v>4412</v>
      </c>
      <c r="G951" s="394" t="s">
        <v>4601</v>
      </c>
      <c r="H951" s="1" t="s">
        <v>3656</v>
      </c>
      <c r="I951" s="418">
        <v>930.34749999999997</v>
      </c>
      <c r="J951" s="418">
        <f t="shared" si="67"/>
        <v>185.23593827775011</v>
      </c>
      <c r="K951" s="351">
        <f t="shared" si="64"/>
        <v>102.91708730711795</v>
      </c>
      <c r="L951" s="350">
        <f t="shared" si="65"/>
        <v>20.583417461423593</v>
      </c>
      <c r="M951" s="350" t="s">
        <v>6169</v>
      </c>
      <c r="N951" s="1" t="s">
        <v>3785</v>
      </c>
      <c r="O951" s="1" t="s">
        <v>4413</v>
      </c>
      <c r="P951" s="396" t="s">
        <v>3659</v>
      </c>
      <c r="Q951" s="397">
        <v>0.2</v>
      </c>
      <c r="R951" s="396">
        <v>1900001336</v>
      </c>
      <c r="S951" s="2" t="s">
        <v>2617</v>
      </c>
      <c r="T951" s="2" t="s">
        <v>5915</v>
      </c>
    </row>
    <row r="952" spans="1:20" hidden="1" x14ac:dyDescent="0.35">
      <c r="A952" s="398" t="s">
        <v>4676</v>
      </c>
      <c r="B952" s="1" t="s">
        <v>1686</v>
      </c>
      <c r="C952" s="3">
        <v>43502</v>
      </c>
      <c r="D952" s="3">
        <v>43502</v>
      </c>
      <c r="E952" s="3" t="s">
        <v>1755</v>
      </c>
      <c r="F952" s="394" t="s">
        <v>4412</v>
      </c>
      <c r="G952" s="394" t="s">
        <v>4601</v>
      </c>
      <c r="H952" s="1" t="s">
        <v>3656</v>
      </c>
      <c r="I952" s="418">
        <v>930.34749999999997</v>
      </c>
      <c r="J952" s="418">
        <f t="shared" si="67"/>
        <v>185.23593827775011</v>
      </c>
      <c r="K952" s="351">
        <f t="shared" si="64"/>
        <v>102.91708730711795</v>
      </c>
      <c r="L952" s="350">
        <f t="shared" si="65"/>
        <v>20.583417461423593</v>
      </c>
      <c r="M952" s="350" t="s">
        <v>6169</v>
      </c>
      <c r="N952" s="1" t="s">
        <v>3785</v>
      </c>
      <c r="O952" s="1" t="s">
        <v>4413</v>
      </c>
      <c r="P952" s="396" t="s">
        <v>3659</v>
      </c>
      <c r="Q952" s="397">
        <v>0.2</v>
      </c>
      <c r="R952" s="396">
        <v>1900001336</v>
      </c>
      <c r="S952" s="2" t="s">
        <v>2617</v>
      </c>
      <c r="T952" s="2" t="s">
        <v>5915</v>
      </c>
    </row>
    <row r="953" spans="1:20" hidden="1" x14ac:dyDescent="0.35">
      <c r="A953" s="398" t="s">
        <v>4677</v>
      </c>
      <c r="B953" s="1" t="s">
        <v>1686</v>
      </c>
      <c r="C953" s="3">
        <v>43502</v>
      </c>
      <c r="D953" s="3">
        <v>43502</v>
      </c>
      <c r="E953" s="3" t="s">
        <v>1756</v>
      </c>
      <c r="F953" s="394" t="s">
        <v>4412</v>
      </c>
      <c r="G953" s="394" t="s">
        <v>4601</v>
      </c>
      <c r="H953" s="1" t="s">
        <v>3656</v>
      </c>
      <c r="I953" s="418">
        <v>930.34749999999997</v>
      </c>
      <c r="J953" s="418">
        <f t="shared" si="67"/>
        <v>185.23593827775011</v>
      </c>
      <c r="K953" s="351">
        <f t="shared" si="64"/>
        <v>102.91708730711795</v>
      </c>
      <c r="L953" s="350">
        <f t="shared" si="65"/>
        <v>20.583417461423593</v>
      </c>
      <c r="M953" s="350" t="s">
        <v>6169</v>
      </c>
      <c r="N953" s="1" t="s">
        <v>3785</v>
      </c>
      <c r="O953" s="1" t="s">
        <v>4413</v>
      </c>
      <c r="P953" s="396" t="s">
        <v>3659</v>
      </c>
      <c r="Q953" s="397">
        <v>0.2</v>
      </c>
      <c r="R953" s="396">
        <v>1900001336</v>
      </c>
      <c r="S953" s="2" t="s">
        <v>2617</v>
      </c>
      <c r="T953" s="2" t="s">
        <v>5915</v>
      </c>
    </row>
    <row r="954" spans="1:20" hidden="1" x14ac:dyDescent="0.35">
      <c r="A954" s="398" t="s">
        <v>4678</v>
      </c>
      <c r="B954" s="1" t="s">
        <v>1686</v>
      </c>
      <c r="C954" s="3">
        <v>43502</v>
      </c>
      <c r="D954" s="3">
        <v>43502</v>
      </c>
      <c r="E954" s="3" t="s">
        <v>1757</v>
      </c>
      <c r="F954" s="394" t="s">
        <v>4412</v>
      </c>
      <c r="G954" s="394" t="s">
        <v>4601</v>
      </c>
      <c r="H954" s="1" t="s">
        <v>3656</v>
      </c>
      <c r="I954" s="418">
        <v>930.34749999999997</v>
      </c>
      <c r="J954" s="418">
        <f t="shared" si="67"/>
        <v>185.23593827775011</v>
      </c>
      <c r="K954" s="351">
        <f t="shared" si="64"/>
        <v>102.91708730711795</v>
      </c>
      <c r="L954" s="350">
        <f t="shared" si="65"/>
        <v>20.583417461423593</v>
      </c>
      <c r="M954" s="350" t="s">
        <v>6169</v>
      </c>
      <c r="N954" s="1" t="s">
        <v>3785</v>
      </c>
      <c r="O954" s="1" t="s">
        <v>4413</v>
      </c>
      <c r="P954" s="396" t="s">
        <v>3659</v>
      </c>
      <c r="Q954" s="397">
        <v>0.2</v>
      </c>
      <c r="R954" s="396">
        <v>1900001336</v>
      </c>
      <c r="S954" s="2" t="s">
        <v>2617</v>
      </c>
      <c r="T954" s="2" t="s">
        <v>5915</v>
      </c>
    </row>
    <row r="955" spans="1:20" hidden="1" x14ac:dyDescent="0.35">
      <c r="A955" s="398" t="s">
        <v>4679</v>
      </c>
      <c r="B955" s="1" t="s">
        <v>1686</v>
      </c>
      <c r="C955" s="3">
        <v>43502</v>
      </c>
      <c r="D955" s="3">
        <v>43502</v>
      </c>
      <c r="E955" s="3" t="s">
        <v>1731</v>
      </c>
      <c r="F955" s="394" t="s">
        <v>4412</v>
      </c>
      <c r="G955" s="394" t="s">
        <v>4601</v>
      </c>
      <c r="H955" s="1" t="s">
        <v>3656</v>
      </c>
      <c r="I955" s="418">
        <v>930.34749999999997</v>
      </c>
      <c r="J955" s="418">
        <f t="shared" si="67"/>
        <v>185.23593827775011</v>
      </c>
      <c r="K955" s="351">
        <f t="shared" si="64"/>
        <v>102.91708730711795</v>
      </c>
      <c r="L955" s="350">
        <f t="shared" si="65"/>
        <v>20.583417461423593</v>
      </c>
      <c r="M955" s="350" t="s">
        <v>6169</v>
      </c>
      <c r="N955" s="1" t="s">
        <v>3785</v>
      </c>
      <c r="O955" s="1" t="s">
        <v>4413</v>
      </c>
      <c r="P955" s="396" t="s">
        <v>3659</v>
      </c>
      <c r="Q955" s="397">
        <v>0.2</v>
      </c>
      <c r="R955" s="396">
        <v>1900001336</v>
      </c>
      <c r="S955" s="2" t="s">
        <v>2617</v>
      </c>
      <c r="T955" s="2" t="s">
        <v>5915</v>
      </c>
    </row>
    <row r="956" spans="1:20" hidden="1" x14ac:dyDescent="0.35">
      <c r="A956" s="398" t="s">
        <v>4680</v>
      </c>
      <c r="B956" s="1" t="s">
        <v>1686</v>
      </c>
      <c r="C956" s="3">
        <v>43502</v>
      </c>
      <c r="D956" s="3">
        <v>43502</v>
      </c>
      <c r="E956" s="3" t="s">
        <v>1758</v>
      </c>
      <c r="F956" s="394" t="s">
        <v>4412</v>
      </c>
      <c r="G956" s="394" t="s">
        <v>4601</v>
      </c>
      <c r="H956" s="1" t="s">
        <v>3656</v>
      </c>
      <c r="I956" s="418">
        <v>930.34749999999997</v>
      </c>
      <c r="J956" s="418">
        <f t="shared" si="67"/>
        <v>185.23593827775011</v>
      </c>
      <c r="K956" s="351">
        <f t="shared" si="64"/>
        <v>102.91708730711795</v>
      </c>
      <c r="L956" s="350">
        <f t="shared" si="65"/>
        <v>20.583417461423593</v>
      </c>
      <c r="M956" s="350" t="s">
        <v>6169</v>
      </c>
      <c r="N956" s="1" t="s">
        <v>3785</v>
      </c>
      <c r="O956" s="1" t="s">
        <v>4413</v>
      </c>
      <c r="P956" s="396" t="s">
        <v>3659</v>
      </c>
      <c r="Q956" s="397">
        <v>0.2</v>
      </c>
      <c r="R956" s="396">
        <v>1900001336</v>
      </c>
      <c r="S956" s="2" t="s">
        <v>2617</v>
      </c>
      <c r="T956" s="2" t="s">
        <v>5915</v>
      </c>
    </row>
    <row r="957" spans="1:20" hidden="1" x14ac:dyDescent="0.35">
      <c r="A957" s="398" t="s">
        <v>4681</v>
      </c>
      <c r="B957" s="1" t="s">
        <v>1686</v>
      </c>
      <c r="C957" s="3">
        <v>43502</v>
      </c>
      <c r="D957" s="3">
        <v>43502</v>
      </c>
      <c r="E957" s="3" t="s">
        <v>4682</v>
      </c>
      <c r="F957" s="394" t="s">
        <v>4412</v>
      </c>
      <c r="G957" s="394" t="s">
        <v>4601</v>
      </c>
      <c r="H957" s="1" t="s">
        <v>3656</v>
      </c>
      <c r="I957" s="418">
        <v>930.34749999999997</v>
      </c>
      <c r="J957" s="418">
        <f t="shared" si="67"/>
        <v>185.23593827775011</v>
      </c>
      <c r="K957" s="351">
        <f t="shared" si="64"/>
        <v>102.91708730711795</v>
      </c>
      <c r="L957" s="350">
        <f t="shared" si="65"/>
        <v>20.583417461423593</v>
      </c>
      <c r="M957" s="350" t="s">
        <v>6169</v>
      </c>
      <c r="N957" s="1" t="s">
        <v>3785</v>
      </c>
      <c r="O957" s="1" t="s">
        <v>4413</v>
      </c>
      <c r="P957" s="396" t="s">
        <v>3659</v>
      </c>
      <c r="Q957" s="397">
        <v>0.2</v>
      </c>
      <c r="R957" s="396">
        <v>1900001336</v>
      </c>
      <c r="S957" s="2" t="s">
        <v>2617</v>
      </c>
      <c r="T957" s="2" t="s">
        <v>5915</v>
      </c>
    </row>
    <row r="958" spans="1:20" hidden="1" x14ac:dyDescent="0.35">
      <c r="A958" s="398" t="s">
        <v>4683</v>
      </c>
      <c r="B958" s="1" t="s">
        <v>1686</v>
      </c>
      <c r="C958" s="3">
        <v>43502</v>
      </c>
      <c r="D958" s="3">
        <v>43502</v>
      </c>
      <c r="E958" s="3" t="s">
        <v>1759</v>
      </c>
      <c r="F958" s="394" t="s">
        <v>4412</v>
      </c>
      <c r="G958" s="394" t="s">
        <v>4601</v>
      </c>
      <c r="H958" s="1" t="s">
        <v>3656</v>
      </c>
      <c r="I958" s="418">
        <v>930.34749999999997</v>
      </c>
      <c r="J958" s="418">
        <f t="shared" si="67"/>
        <v>185.23593827775011</v>
      </c>
      <c r="K958" s="351">
        <f t="shared" si="64"/>
        <v>102.91708730711795</v>
      </c>
      <c r="L958" s="350">
        <f t="shared" si="65"/>
        <v>20.583417461423593</v>
      </c>
      <c r="M958" s="350" t="s">
        <v>6169</v>
      </c>
      <c r="N958" s="1" t="s">
        <v>3785</v>
      </c>
      <c r="O958" s="1" t="s">
        <v>4413</v>
      </c>
      <c r="P958" s="396" t="s">
        <v>3659</v>
      </c>
      <c r="Q958" s="397">
        <v>0.2</v>
      </c>
      <c r="R958" s="396">
        <v>1900001336</v>
      </c>
      <c r="S958" s="2" t="s">
        <v>2617</v>
      </c>
      <c r="T958" s="2" t="s">
        <v>5915</v>
      </c>
    </row>
    <row r="959" spans="1:20" hidden="1" x14ac:dyDescent="0.35">
      <c r="A959" s="398" t="s">
        <v>4684</v>
      </c>
      <c r="B959" s="1" t="s">
        <v>1686</v>
      </c>
      <c r="C959" s="3">
        <v>43502</v>
      </c>
      <c r="D959" s="3">
        <v>43502</v>
      </c>
      <c r="E959" s="3" t="s">
        <v>1760</v>
      </c>
      <c r="F959" s="394" t="s">
        <v>4412</v>
      </c>
      <c r="G959" s="394" t="s">
        <v>4601</v>
      </c>
      <c r="H959" s="1" t="s">
        <v>3656</v>
      </c>
      <c r="I959" s="418">
        <v>930.34749999999997</v>
      </c>
      <c r="J959" s="418">
        <f t="shared" si="67"/>
        <v>185.23593827775011</v>
      </c>
      <c r="K959" s="351">
        <f t="shared" si="64"/>
        <v>102.91708730711795</v>
      </c>
      <c r="L959" s="350">
        <f t="shared" si="65"/>
        <v>20.583417461423593</v>
      </c>
      <c r="M959" s="350" t="s">
        <v>6169</v>
      </c>
      <c r="N959" s="1" t="s">
        <v>3785</v>
      </c>
      <c r="O959" s="1" t="s">
        <v>4413</v>
      </c>
      <c r="P959" s="396" t="s">
        <v>3659</v>
      </c>
      <c r="Q959" s="397">
        <v>0.2</v>
      </c>
      <c r="R959" s="396">
        <v>1900001336</v>
      </c>
      <c r="S959" s="2" t="s">
        <v>2617</v>
      </c>
      <c r="T959" s="2" t="s">
        <v>5915</v>
      </c>
    </row>
    <row r="960" spans="1:20" hidden="1" x14ac:dyDescent="0.35">
      <c r="A960" s="398" t="s">
        <v>4685</v>
      </c>
      <c r="B960" s="1" t="s">
        <v>1686</v>
      </c>
      <c r="C960" s="3">
        <v>43502</v>
      </c>
      <c r="D960" s="3">
        <v>43502</v>
      </c>
      <c r="E960" s="3" t="s">
        <v>1761</v>
      </c>
      <c r="F960" s="394" t="s">
        <v>4412</v>
      </c>
      <c r="G960" s="394" t="s">
        <v>4601</v>
      </c>
      <c r="H960" s="1" t="s">
        <v>3656</v>
      </c>
      <c r="I960" s="418">
        <v>930.34749999999997</v>
      </c>
      <c r="J960" s="418">
        <f t="shared" si="67"/>
        <v>185.23593827775011</v>
      </c>
      <c r="K960" s="351">
        <f t="shared" si="64"/>
        <v>102.91708730711795</v>
      </c>
      <c r="L960" s="350">
        <f t="shared" si="65"/>
        <v>20.583417461423593</v>
      </c>
      <c r="M960" s="350" t="s">
        <v>6169</v>
      </c>
      <c r="N960" s="1" t="s">
        <v>3785</v>
      </c>
      <c r="O960" s="1" t="s">
        <v>4413</v>
      </c>
      <c r="P960" s="396" t="s">
        <v>3659</v>
      </c>
      <c r="Q960" s="397">
        <v>0.2</v>
      </c>
      <c r="R960" s="396">
        <v>1900001336</v>
      </c>
      <c r="S960" s="2" t="s">
        <v>2617</v>
      </c>
      <c r="T960" s="2" t="s">
        <v>5915</v>
      </c>
    </row>
    <row r="961" spans="1:20" hidden="1" x14ac:dyDescent="0.35">
      <c r="A961" s="398" t="s">
        <v>4686</v>
      </c>
      <c r="B961" s="1" t="s">
        <v>1686</v>
      </c>
      <c r="C961" s="3">
        <v>43502</v>
      </c>
      <c r="D961" s="3">
        <v>43502</v>
      </c>
      <c r="E961" s="3" t="s">
        <v>1763</v>
      </c>
      <c r="F961" s="394" t="s">
        <v>4412</v>
      </c>
      <c r="G961" s="394" t="s">
        <v>4601</v>
      </c>
      <c r="H961" s="1" t="s">
        <v>3656</v>
      </c>
      <c r="I961" s="418">
        <v>930.34749999999997</v>
      </c>
      <c r="J961" s="418">
        <f t="shared" si="67"/>
        <v>185.23593827775011</v>
      </c>
      <c r="K961" s="351">
        <f t="shared" si="64"/>
        <v>102.91708730711795</v>
      </c>
      <c r="L961" s="350">
        <f t="shared" si="65"/>
        <v>20.583417461423593</v>
      </c>
      <c r="M961" s="350" t="s">
        <v>6169</v>
      </c>
      <c r="N961" s="1" t="s">
        <v>3785</v>
      </c>
      <c r="O961" s="1" t="s">
        <v>4413</v>
      </c>
      <c r="P961" s="396" t="s">
        <v>3659</v>
      </c>
      <c r="Q961" s="397">
        <v>0.2</v>
      </c>
      <c r="R961" s="396">
        <v>1900001336</v>
      </c>
      <c r="S961" s="2" t="s">
        <v>2617</v>
      </c>
      <c r="T961" s="2" t="s">
        <v>5915</v>
      </c>
    </row>
    <row r="962" spans="1:20" hidden="1" x14ac:dyDescent="0.35">
      <c r="A962" s="398" t="s">
        <v>4687</v>
      </c>
      <c r="B962" s="1" t="s">
        <v>1686</v>
      </c>
      <c r="C962" s="3">
        <v>43502</v>
      </c>
      <c r="D962" s="3">
        <v>43502</v>
      </c>
      <c r="E962" s="3" t="s">
        <v>1764</v>
      </c>
      <c r="F962" s="394" t="s">
        <v>4412</v>
      </c>
      <c r="G962" s="394" t="s">
        <v>4601</v>
      </c>
      <c r="H962" s="1" t="s">
        <v>3656</v>
      </c>
      <c r="I962" s="418">
        <v>930.34749999999997</v>
      </c>
      <c r="J962" s="418">
        <f t="shared" si="67"/>
        <v>185.23593827775011</v>
      </c>
      <c r="K962" s="351">
        <f t="shared" si="64"/>
        <v>102.91708730711795</v>
      </c>
      <c r="L962" s="350">
        <f t="shared" si="65"/>
        <v>20.583417461423593</v>
      </c>
      <c r="M962" s="350" t="s">
        <v>6169</v>
      </c>
      <c r="N962" s="1" t="s">
        <v>3785</v>
      </c>
      <c r="O962" s="1" t="s">
        <v>4413</v>
      </c>
      <c r="P962" s="396" t="s">
        <v>3659</v>
      </c>
      <c r="Q962" s="397">
        <v>0.2</v>
      </c>
      <c r="R962" s="396">
        <v>1900001336</v>
      </c>
      <c r="S962" s="2" t="s">
        <v>2617</v>
      </c>
      <c r="T962" s="2" t="s">
        <v>5915</v>
      </c>
    </row>
    <row r="963" spans="1:20" hidden="1" x14ac:dyDescent="0.35">
      <c r="A963" s="398" t="s">
        <v>4688</v>
      </c>
      <c r="B963" s="1" t="s">
        <v>1686</v>
      </c>
      <c r="C963" s="3">
        <v>43502</v>
      </c>
      <c r="D963" s="3">
        <v>43502</v>
      </c>
      <c r="E963" s="3" t="s">
        <v>1765</v>
      </c>
      <c r="F963" s="394" t="s">
        <v>4412</v>
      </c>
      <c r="G963" s="394" t="s">
        <v>4601</v>
      </c>
      <c r="H963" s="1" t="s">
        <v>3656</v>
      </c>
      <c r="I963" s="418">
        <v>930.34749999999997</v>
      </c>
      <c r="J963" s="418">
        <f t="shared" si="67"/>
        <v>185.23593827775011</v>
      </c>
      <c r="K963" s="351">
        <f t="shared" si="64"/>
        <v>102.91708730711795</v>
      </c>
      <c r="L963" s="350">
        <f t="shared" si="65"/>
        <v>20.583417461423593</v>
      </c>
      <c r="M963" s="350" t="s">
        <v>6169</v>
      </c>
      <c r="N963" s="1" t="s">
        <v>3785</v>
      </c>
      <c r="O963" s="1" t="s">
        <v>4413</v>
      </c>
      <c r="P963" s="396" t="s">
        <v>3659</v>
      </c>
      <c r="Q963" s="397">
        <v>0.2</v>
      </c>
      <c r="R963" s="396">
        <v>1900001336</v>
      </c>
      <c r="S963" s="2" t="s">
        <v>2617</v>
      </c>
      <c r="T963" s="2" t="s">
        <v>5915</v>
      </c>
    </row>
    <row r="964" spans="1:20" hidden="1" x14ac:dyDescent="0.35">
      <c r="A964" s="398" t="s">
        <v>4689</v>
      </c>
      <c r="B964" s="1" t="s">
        <v>1686</v>
      </c>
      <c r="C964" s="3">
        <v>43502</v>
      </c>
      <c r="D964" s="3">
        <v>43502</v>
      </c>
      <c r="E964" s="3" t="s">
        <v>1766</v>
      </c>
      <c r="F964" s="394" t="s">
        <v>4412</v>
      </c>
      <c r="G964" s="394" t="s">
        <v>4601</v>
      </c>
      <c r="H964" s="1" t="s">
        <v>3656</v>
      </c>
      <c r="I964" s="418">
        <v>930.34749999999997</v>
      </c>
      <c r="J964" s="418">
        <f t="shared" si="67"/>
        <v>185.23593827775011</v>
      </c>
      <c r="K964" s="351">
        <f t="shared" si="64"/>
        <v>102.91708730711795</v>
      </c>
      <c r="L964" s="350">
        <f t="shared" si="65"/>
        <v>20.583417461423593</v>
      </c>
      <c r="M964" s="350" t="s">
        <v>6169</v>
      </c>
      <c r="N964" s="1" t="s">
        <v>3785</v>
      </c>
      <c r="O964" s="1" t="s">
        <v>4413</v>
      </c>
      <c r="P964" s="396" t="s">
        <v>3659</v>
      </c>
      <c r="Q964" s="397">
        <v>0.2</v>
      </c>
      <c r="R964" s="396">
        <v>1900001336</v>
      </c>
      <c r="S964" s="2" t="s">
        <v>2617</v>
      </c>
      <c r="T964" s="2" t="s">
        <v>5915</v>
      </c>
    </row>
    <row r="965" spans="1:20" hidden="1" x14ac:dyDescent="0.35">
      <c r="A965" s="398" t="s">
        <v>4690</v>
      </c>
      <c r="B965" s="1" t="s">
        <v>1686</v>
      </c>
      <c r="C965" s="3">
        <v>43502</v>
      </c>
      <c r="D965" s="3">
        <v>43502</v>
      </c>
      <c r="E965" s="3" t="s">
        <v>4657</v>
      </c>
      <c r="F965" s="394" t="s">
        <v>4412</v>
      </c>
      <c r="G965" s="394" t="s">
        <v>4601</v>
      </c>
      <c r="H965" s="1" t="s">
        <v>3656</v>
      </c>
      <c r="I965" s="418">
        <v>930.34749999999997</v>
      </c>
      <c r="J965" s="418">
        <f t="shared" si="67"/>
        <v>185.23593827775011</v>
      </c>
      <c r="K965" s="351">
        <f t="shared" si="64"/>
        <v>102.91708730711795</v>
      </c>
      <c r="L965" s="350">
        <f t="shared" si="65"/>
        <v>20.583417461423593</v>
      </c>
      <c r="M965" s="350" t="s">
        <v>6169</v>
      </c>
      <c r="N965" s="1" t="s">
        <v>3785</v>
      </c>
      <c r="O965" s="1" t="s">
        <v>4413</v>
      </c>
      <c r="P965" s="396" t="s">
        <v>3659</v>
      </c>
      <c r="Q965" s="397">
        <v>0.2</v>
      </c>
      <c r="R965" s="396">
        <v>1900001336</v>
      </c>
      <c r="S965" s="2" t="s">
        <v>2617</v>
      </c>
      <c r="T965" s="2" t="s">
        <v>5915</v>
      </c>
    </row>
    <row r="966" spans="1:20" hidden="1" x14ac:dyDescent="0.35">
      <c r="A966" s="398" t="s">
        <v>4691</v>
      </c>
      <c r="B966" s="1" t="s">
        <v>1686</v>
      </c>
      <c r="C966" s="3">
        <v>43502</v>
      </c>
      <c r="D966" s="3">
        <v>43502</v>
      </c>
      <c r="E966" s="3" t="s">
        <v>1767</v>
      </c>
      <c r="F966" s="394" t="s">
        <v>4412</v>
      </c>
      <c r="G966" s="394" t="s">
        <v>4601</v>
      </c>
      <c r="H966" s="1" t="s">
        <v>3656</v>
      </c>
      <c r="I966" s="418">
        <v>930.34749999999997</v>
      </c>
      <c r="J966" s="418">
        <f t="shared" si="67"/>
        <v>185.23593827775011</v>
      </c>
      <c r="K966" s="351">
        <f t="shared" si="64"/>
        <v>102.91708730711795</v>
      </c>
      <c r="L966" s="350">
        <f t="shared" si="65"/>
        <v>20.583417461423593</v>
      </c>
      <c r="M966" s="350" t="s">
        <v>6169</v>
      </c>
      <c r="N966" s="1" t="s">
        <v>3785</v>
      </c>
      <c r="O966" s="1" t="s">
        <v>4413</v>
      </c>
      <c r="P966" s="396" t="s">
        <v>3659</v>
      </c>
      <c r="Q966" s="397">
        <v>0.2</v>
      </c>
      <c r="R966" s="396">
        <v>1900001336</v>
      </c>
      <c r="S966" s="2" t="s">
        <v>2617</v>
      </c>
      <c r="T966" s="2" t="s">
        <v>5915</v>
      </c>
    </row>
    <row r="967" spans="1:20" hidden="1" x14ac:dyDescent="0.35">
      <c r="A967" s="398" t="s">
        <v>4692</v>
      </c>
      <c r="B967" s="1" t="s">
        <v>1686</v>
      </c>
      <c r="C967" s="3">
        <v>43502</v>
      </c>
      <c r="D967" s="3">
        <v>43502</v>
      </c>
      <c r="E967" s="3" t="s">
        <v>1768</v>
      </c>
      <c r="F967" s="394" t="s">
        <v>4412</v>
      </c>
      <c r="G967" s="394" t="s">
        <v>4601</v>
      </c>
      <c r="H967" s="1" t="s">
        <v>3656</v>
      </c>
      <c r="I967" s="418">
        <v>930.34749999999997</v>
      </c>
      <c r="J967" s="418">
        <f t="shared" si="67"/>
        <v>185.23593827775011</v>
      </c>
      <c r="K967" s="351">
        <f t="shared" si="64"/>
        <v>102.91708730711795</v>
      </c>
      <c r="L967" s="350">
        <f t="shared" si="65"/>
        <v>20.583417461423593</v>
      </c>
      <c r="M967" s="350" t="s">
        <v>6169</v>
      </c>
      <c r="N967" s="1" t="s">
        <v>3785</v>
      </c>
      <c r="O967" s="1" t="s">
        <v>4413</v>
      </c>
      <c r="P967" s="396" t="s">
        <v>3659</v>
      </c>
      <c r="Q967" s="397">
        <v>0.2</v>
      </c>
      <c r="R967" s="396">
        <v>1900001336</v>
      </c>
      <c r="S967" s="2" t="s">
        <v>2617</v>
      </c>
      <c r="T967" s="2" t="s">
        <v>5915</v>
      </c>
    </row>
    <row r="968" spans="1:20" hidden="1" x14ac:dyDescent="0.35">
      <c r="A968" s="398" t="s">
        <v>4693</v>
      </c>
      <c r="B968" s="1" t="s">
        <v>1686</v>
      </c>
      <c r="C968" s="3">
        <v>43502</v>
      </c>
      <c r="D968" s="3">
        <v>43502</v>
      </c>
      <c r="E968" s="3" t="s">
        <v>1769</v>
      </c>
      <c r="F968" s="394" t="s">
        <v>4412</v>
      </c>
      <c r="G968" s="394" t="s">
        <v>4601</v>
      </c>
      <c r="H968" s="1" t="s">
        <v>3656</v>
      </c>
      <c r="I968" s="418">
        <v>930.34749999999997</v>
      </c>
      <c r="J968" s="418">
        <f t="shared" si="67"/>
        <v>185.23593827775011</v>
      </c>
      <c r="K968" s="351">
        <f t="shared" si="64"/>
        <v>102.91708730711795</v>
      </c>
      <c r="L968" s="350">
        <f t="shared" si="65"/>
        <v>20.583417461423593</v>
      </c>
      <c r="M968" s="350" t="s">
        <v>6169</v>
      </c>
      <c r="N968" s="1" t="s">
        <v>3785</v>
      </c>
      <c r="O968" s="1" t="s">
        <v>4413</v>
      </c>
      <c r="P968" s="396" t="s">
        <v>3659</v>
      </c>
      <c r="Q968" s="397">
        <v>0.2</v>
      </c>
      <c r="R968" s="396">
        <v>1900001336</v>
      </c>
      <c r="S968" s="2" t="s">
        <v>2617</v>
      </c>
      <c r="T968" s="2" t="s">
        <v>5915</v>
      </c>
    </row>
    <row r="969" spans="1:20" hidden="1" x14ac:dyDescent="0.35">
      <c r="A969" s="398" t="s">
        <v>4694</v>
      </c>
      <c r="B969" s="1" t="s">
        <v>1686</v>
      </c>
      <c r="C969" s="3">
        <v>43502</v>
      </c>
      <c r="D969" s="3">
        <v>43502</v>
      </c>
      <c r="E969" s="3" t="s">
        <v>1770</v>
      </c>
      <c r="F969" s="394" t="s">
        <v>4412</v>
      </c>
      <c r="G969" s="394" t="s">
        <v>4601</v>
      </c>
      <c r="H969" s="1" t="s">
        <v>3656</v>
      </c>
      <c r="I969" s="418">
        <v>930.34749999999997</v>
      </c>
      <c r="J969" s="418">
        <f t="shared" si="67"/>
        <v>185.23593827775011</v>
      </c>
      <c r="K969" s="351">
        <f t="shared" si="64"/>
        <v>102.91708730711795</v>
      </c>
      <c r="L969" s="350">
        <f t="shared" si="65"/>
        <v>20.583417461423593</v>
      </c>
      <c r="M969" s="350" t="s">
        <v>6169</v>
      </c>
      <c r="N969" s="1" t="s">
        <v>3785</v>
      </c>
      <c r="O969" s="1" t="s">
        <v>4413</v>
      </c>
      <c r="P969" s="396" t="s">
        <v>3659</v>
      </c>
      <c r="Q969" s="397">
        <v>0.2</v>
      </c>
      <c r="R969" s="396">
        <v>1900001336</v>
      </c>
      <c r="S969" s="2" t="s">
        <v>2617</v>
      </c>
      <c r="T969" s="2" t="s">
        <v>5915</v>
      </c>
    </row>
    <row r="970" spans="1:20" hidden="1" x14ac:dyDescent="0.35">
      <c r="A970" s="398" t="s">
        <v>4695</v>
      </c>
      <c r="B970" s="1" t="s">
        <v>1686</v>
      </c>
      <c r="C970" s="3">
        <v>43502</v>
      </c>
      <c r="D970" s="3">
        <v>43502</v>
      </c>
      <c r="E970" s="3" t="s">
        <v>1771</v>
      </c>
      <c r="F970" s="394" t="s">
        <v>4412</v>
      </c>
      <c r="G970" s="394" t="s">
        <v>4601</v>
      </c>
      <c r="H970" s="1" t="s">
        <v>3656</v>
      </c>
      <c r="I970" s="418">
        <v>930.34749999999997</v>
      </c>
      <c r="J970" s="418">
        <f t="shared" si="67"/>
        <v>185.23593827775011</v>
      </c>
      <c r="K970" s="351">
        <f t="shared" si="64"/>
        <v>102.91708730711795</v>
      </c>
      <c r="L970" s="350">
        <f t="shared" si="65"/>
        <v>20.583417461423593</v>
      </c>
      <c r="M970" s="350" t="s">
        <v>6169</v>
      </c>
      <c r="N970" s="1" t="s">
        <v>3785</v>
      </c>
      <c r="O970" s="1" t="s">
        <v>4413</v>
      </c>
      <c r="P970" s="396" t="s">
        <v>3659</v>
      </c>
      <c r="Q970" s="397">
        <v>0.2</v>
      </c>
      <c r="R970" s="396">
        <v>1900001336</v>
      </c>
      <c r="S970" s="2" t="s">
        <v>2617</v>
      </c>
      <c r="T970" s="2" t="s">
        <v>5915</v>
      </c>
    </row>
    <row r="971" spans="1:20" hidden="1" x14ac:dyDescent="0.35">
      <c r="A971" s="398" t="s">
        <v>4696</v>
      </c>
      <c r="B971" s="1" t="s">
        <v>1686</v>
      </c>
      <c r="C971" s="3">
        <v>43502</v>
      </c>
      <c r="D971" s="3">
        <v>43502</v>
      </c>
      <c r="E971" s="3" t="s">
        <v>1772</v>
      </c>
      <c r="F971" s="394" t="s">
        <v>4412</v>
      </c>
      <c r="G971" s="394" t="s">
        <v>4601</v>
      </c>
      <c r="H971" s="1" t="s">
        <v>3656</v>
      </c>
      <c r="I971" s="418">
        <v>930.34749999999997</v>
      </c>
      <c r="J971" s="418">
        <f t="shared" si="67"/>
        <v>185.23593827775011</v>
      </c>
      <c r="K971" s="351">
        <f t="shared" si="64"/>
        <v>102.91708730711795</v>
      </c>
      <c r="L971" s="350">
        <f t="shared" si="65"/>
        <v>20.583417461423593</v>
      </c>
      <c r="M971" s="350" t="s">
        <v>6169</v>
      </c>
      <c r="N971" s="1" t="s">
        <v>3785</v>
      </c>
      <c r="O971" s="1" t="s">
        <v>4413</v>
      </c>
      <c r="P971" s="396" t="s">
        <v>3659</v>
      </c>
      <c r="Q971" s="397">
        <v>0.2</v>
      </c>
      <c r="R971" s="396">
        <v>1900001336</v>
      </c>
      <c r="S971" s="2" t="s">
        <v>2617</v>
      </c>
      <c r="T971" s="2" t="s">
        <v>5915</v>
      </c>
    </row>
    <row r="972" spans="1:20" hidden="1" x14ac:dyDescent="0.35">
      <c r="A972" s="398" t="s">
        <v>4697</v>
      </c>
      <c r="B972" s="1" t="s">
        <v>1686</v>
      </c>
      <c r="C972" s="3">
        <v>43502</v>
      </c>
      <c r="D972" s="3">
        <v>43502</v>
      </c>
      <c r="E972" s="3" t="s">
        <v>1773</v>
      </c>
      <c r="F972" s="394" t="s">
        <v>4412</v>
      </c>
      <c r="G972" s="394" t="s">
        <v>4601</v>
      </c>
      <c r="H972" s="1" t="s">
        <v>3656</v>
      </c>
      <c r="I972" s="418">
        <v>930.34749999999997</v>
      </c>
      <c r="J972" s="418">
        <f t="shared" si="67"/>
        <v>185.23593827775011</v>
      </c>
      <c r="K972" s="351">
        <f t="shared" si="64"/>
        <v>102.91708730711795</v>
      </c>
      <c r="L972" s="350">
        <f t="shared" si="65"/>
        <v>20.583417461423593</v>
      </c>
      <c r="M972" s="350" t="s">
        <v>6169</v>
      </c>
      <c r="N972" s="1" t="s">
        <v>3785</v>
      </c>
      <c r="O972" s="1" t="s">
        <v>4413</v>
      </c>
      <c r="P972" s="396" t="s">
        <v>3659</v>
      </c>
      <c r="Q972" s="397">
        <v>0.2</v>
      </c>
      <c r="R972" s="396">
        <v>1900001336</v>
      </c>
      <c r="S972" s="2" t="s">
        <v>2617</v>
      </c>
      <c r="T972" s="2" t="s">
        <v>5915</v>
      </c>
    </row>
    <row r="973" spans="1:20" hidden="1" x14ac:dyDescent="0.35">
      <c r="A973" s="398" t="s">
        <v>4698</v>
      </c>
      <c r="B973" s="1" t="s">
        <v>1686</v>
      </c>
      <c r="C973" s="3">
        <v>43502</v>
      </c>
      <c r="D973" s="3">
        <v>43502</v>
      </c>
      <c r="E973" s="3" t="s">
        <v>1774</v>
      </c>
      <c r="F973" s="394" t="s">
        <v>4412</v>
      </c>
      <c r="G973" s="394" t="s">
        <v>4601</v>
      </c>
      <c r="H973" s="1" t="s">
        <v>3656</v>
      </c>
      <c r="I973" s="418">
        <v>930.34749999999997</v>
      </c>
      <c r="J973" s="418">
        <f t="shared" si="67"/>
        <v>185.23593827775011</v>
      </c>
      <c r="K973" s="351">
        <f t="shared" si="64"/>
        <v>102.91708730711795</v>
      </c>
      <c r="L973" s="350">
        <f t="shared" si="65"/>
        <v>20.583417461423593</v>
      </c>
      <c r="M973" s="350" t="s">
        <v>6169</v>
      </c>
      <c r="N973" s="1" t="s">
        <v>3785</v>
      </c>
      <c r="O973" s="1" t="s">
        <v>4413</v>
      </c>
      <c r="P973" s="396" t="s">
        <v>3659</v>
      </c>
      <c r="Q973" s="397">
        <v>0.2</v>
      </c>
      <c r="R973" s="396">
        <v>1900001336</v>
      </c>
      <c r="S973" s="2" t="s">
        <v>2617</v>
      </c>
      <c r="T973" s="2" t="s">
        <v>5915</v>
      </c>
    </row>
    <row r="974" spans="1:20" hidden="1" x14ac:dyDescent="0.35">
      <c r="A974" s="398" t="s">
        <v>4699</v>
      </c>
      <c r="B974" s="1" t="s">
        <v>1686</v>
      </c>
      <c r="C974" s="3">
        <v>43502</v>
      </c>
      <c r="D974" s="3">
        <v>43502</v>
      </c>
      <c r="E974" s="3" t="s">
        <v>1775</v>
      </c>
      <c r="F974" s="394" t="s">
        <v>4412</v>
      </c>
      <c r="G974" s="394" t="s">
        <v>4601</v>
      </c>
      <c r="H974" s="1" t="s">
        <v>3656</v>
      </c>
      <c r="I974" s="418">
        <v>930.34749999999997</v>
      </c>
      <c r="J974" s="418">
        <f t="shared" si="67"/>
        <v>185.23593827775011</v>
      </c>
      <c r="K974" s="351">
        <f t="shared" si="64"/>
        <v>102.91708730711795</v>
      </c>
      <c r="L974" s="350">
        <f t="shared" si="65"/>
        <v>20.583417461423593</v>
      </c>
      <c r="M974" s="350" t="s">
        <v>6169</v>
      </c>
      <c r="N974" s="1" t="s">
        <v>3785</v>
      </c>
      <c r="O974" s="1" t="s">
        <v>4413</v>
      </c>
      <c r="P974" s="396" t="s">
        <v>3659</v>
      </c>
      <c r="Q974" s="397">
        <v>0.2</v>
      </c>
      <c r="R974" s="396">
        <v>1900001336</v>
      </c>
      <c r="S974" s="2" t="s">
        <v>2617</v>
      </c>
      <c r="T974" s="2" t="s">
        <v>5915</v>
      </c>
    </row>
    <row r="975" spans="1:20" hidden="1" x14ac:dyDescent="0.35">
      <c r="A975" s="398" t="s">
        <v>4700</v>
      </c>
      <c r="B975" s="1" t="s">
        <v>1686</v>
      </c>
      <c r="C975" s="3">
        <v>43502</v>
      </c>
      <c r="D975" s="3">
        <v>43502</v>
      </c>
      <c r="E975" s="3" t="s">
        <v>1776</v>
      </c>
      <c r="F975" s="394" t="s">
        <v>4412</v>
      </c>
      <c r="G975" s="394" t="s">
        <v>4601</v>
      </c>
      <c r="H975" s="1" t="s">
        <v>3656</v>
      </c>
      <c r="I975" s="418">
        <v>930.34749999999997</v>
      </c>
      <c r="J975" s="418">
        <f t="shared" si="67"/>
        <v>185.23593827775011</v>
      </c>
      <c r="K975" s="351">
        <f t="shared" si="64"/>
        <v>102.91708730711795</v>
      </c>
      <c r="L975" s="350">
        <f t="shared" si="65"/>
        <v>20.583417461423593</v>
      </c>
      <c r="M975" s="350" t="s">
        <v>6169</v>
      </c>
      <c r="N975" s="1" t="s">
        <v>3785</v>
      </c>
      <c r="O975" s="1" t="s">
        <v>4413</v>
      </c>
      <c r="P975" s="396" t="s">
        <v>3659</v>
      </c>
      <c r="Q975" s="397">
        <v>0.2</v>
      </c>
      <c r="R975" s="396">
        <v>1900001336</v>
      </c>
      <c r="S975" s="2" t="s">
        <v>2617</v>
      </c>
      <c r="T975" s="2" t="s">
        <v>5915</v>
      </c>
    </row>
    <row r="976" spans="1:20" hidden="1" x14ac:dyDescent="0.35">
      <c r="A976" s="398" t="s">
        <v>4701</v>
      </c>
      <c r="B976" s="1" t="s">
        <v>1686</v>
      </c>
      <c r="C976" s="3">
        <v>43502</v>
      </c>
      <c r="D976" s="3">
        <v>43502</v>
      </c>
      <c r="E976" s="3" t="s">
        <v>1777</v>
      </c>
      <c r="F976" s="394" t="s">
        <v>4412</v>
      </c>
      <c r="G976" s="394" t="s">
        <v>4601</v>
      </c>
      <c r="H976" s="1" t="s">
        <v>3656</v>
      </c>
      <c r="I976" s="418">
        <v>930.34749999999997</v>
      </c>
      <c r="J976" s="418">
        <f t="shared" si="67"/>
        <v>185.23593827775011</v>
      </c>
      <c r="K976" s="351">
        <f t="shared" si="64"/>
        <v>102.91708730711795</v>
      </c>
      <c r="L976" s="350">
        <f t="shared" si="65"/>
        <v>20.583417461423593</v>
      </c>
      <c r="M976" s="350" t="s">
        <v>6169</v>
      </c>
      <c r="N976" s="1" t="s">
        <v>3785</v>
      </c>
      <c r="O976" s="1" t="s">
        <v>4413</v>
      </c>
      <c r="P976" s="396" t="s">
        <v>3659</v>
      </c>
      <c r="Q976" s="397">
        <v>0.2</v>
      </c>
      <c r="R976" s="396">
        <v>1900001336</v>
      </c>
      <c r="S976" s="2" t="s">
        <v>2617</v>
      </c>
      <c r="T976" s="2" t="s">
        <v>5915</v>
      </c>
    </row>
    <row r="977" spans="1:21" hidden="1" x14ac:dyDescent="0.35">
      <c r="A977" s="398" t="s">
        <v>4702</v>
      </c>
      <c r="B977" s="1" t="s">
        <v>1686</v>
      </c>
      <c r="C977" s="3">
        <v>43502</v>
      </c>
      <c r="D977" s="3">
        <v>43502</v>
      </c>
      <c r="E977" s="3" t="s">
        <v>1778</v>
      </c>
      <c r="F977" s="394" t="s">
        <v>4412</v>
      </c>
      <c r="G977" s="394" t="s">
        <v>4601</v>
      </c>
      <c r="H977" s="1" t="s">
        <v>3656</v>
      </c>
      <c r="I977" s="418">
        <v>930.34749999999997</v>
      </c>
      <c r="J977" s="418">
        <f t="shared" si="67"/>
        <v>185.23593827775011</v>
      </c>
      <c r="K977" s="351">
        <f t="shared" si="64"/>
        <v>102.91708730711795</v>
      </c>
      <c r="L977" s="350">
        <f t="shared" si="65"/>
        <v>20.583417461423593</v>
      </c>
      <c r="M977" s="350" t="s">
        <v>6169</v>
      </c>
      <c r="N977" s="1" t="s">
        <v>3785</v>
      </c>
      <c r="O977" s="1" t="s">
        <v>4413</v>
      </c>
      <c r="P977" s="396" t="s">
        <v>3659</v>
      </c>
      <c r="Q977" s="397">
        <v>0.2</v>
      </c>
      <c r="R977" s="396">
        <v>1900001336</v>
      </c>
      <c r="S977" s="2" t="s">
        <v>2617</v>
      </c>
      <c r="T977" s="2" t="s">
        <v>5915</v>
      </c>
    </row>
    <row r="978" spans="1:21" hidden="1" x14ac:dyDescent="0.35">
      <c r="A978" s="398" t="s">
        <v>4703</v>
      </c>
      <c r="B978" s="1" t="s">
        <v>1686</v>
      </c>
      <c r="C978" s="3">
        <v>43565</v>
      </c>
      <c r="D978" s="3">
        <v>43565</v>
      </c>
      <c r="E978" s="3"/>
      <c r="F978" s="394" t="s">
        <v>4704</v>
      </c>
      <c r="G978" s="394" t="s">
        <v>4601</v>
      </c>
      <c r="H978" s="1" t="s">
        <v>3656</v>
      </c>
      <c r="I978" s="418">
        <f t="shared" ref="I978:I985" si="68">+J978*5.0225</f>
        <v>1306.744005</v>
      </c>
      <c r="J978" s="418">
        <f t="shared" ref="J978:J1010" si="69">10407.12/40</f>
        <v>260.178</v>
      </c>
      <c r="K978" s="351">
        <f t="shared" si="64"/>
        <v>144.55489679999999</v>
      </c>
      <c r="L978" s="350">
        <f t="shared" si="65"/>
        <v>28.910979359999999</v>
      </c>
      <c r="M978" s="350" t="s">
        <v>6169</v>
      </c>
      <c r="N978" s="1" t="s">
        <v>3785</v>
      </c>
      <c r="O978" s="1" t="s">
        <v>3986</v>
      </c>
      <c r="P978" s="396" t="s">
        <v>3659</v>
      </c>
      <c r="Q978" s="397">
        <v>0.2</v>
      </c>
      <c r="R978" s="396">
        <v>1900002053</v>
      </c>
      <c r="S978" s="2" t="s">
        <v>3475</v>
      </c>
      <c r="T978" s="2" t="s">
        <v>5914</v>
      </c>
      <c r="U978" s="2" t="s">
        <v>3475</v>
      </c>
    </row>
    <row r="979" spans="1:21" hidden="1" x14ac:dyDescent="0.35">
      <c r="A979" s="398" t="s">
        <v>4705</v>
      </c>
      <c r="B979" s="1" t="s">
        <v>1686</v>
      </c>
      <c r="C979" s="3">
        <v>43565</v>
      </c>
      <c r="D979" s="3">
        <v>43565</v>
      </c>
      <c r="E979" s="3"/>
      <c r="F979" s="394" t="s">
        <v>4704</v>
      </c>
      <c r="G979" s="394" t="s">
        <v>4601</v>
      </c>
      <c r="H979" s="1" t="s">
        <v>3656</v>
      </c>
      <c r="I979" s="418">
        <f t="shared" si="68"/>
        <v>1306.744005</v>
      </c>
      <c r="J979" s="418">
        <f t="shared" si="69"/>
        <v>260.178</v>
      </c>
      <c r="K979" s="351">
        <f t="shared" si="64"/>
        <v>144.55489679999999</v>
      </c>
      <c r="L979" s="350">
        <f t="shared" si="65"/>
        <v>28.910979359999999</v>
      </c>
      <c r="M979" s="350" t="s">
        <v>6169</v>
      </c>
      <c r="N979" s="1" t="s">
        <v>3785</v>
      </c>
      <c r="O979" s="1" t="s">
        <v>3986</v>
      </c>
      <c r="P979" s="396" t="s">
        <v>3659</v>
      </c>
      <c r="Q979" s="397">
        <v>0.2</v>
      </c>
      <c r="R979" s="396">
        <v>1900002053</v>
      </c>
      <c r="S979" s="2" t="s">
        <v>3475</v>
      </c>
      <c r="T979" s="2" t="s">
        <v>5914</v>
      </c>
      <c r="U979" s="2" t="s">
        <v>3475</v>
      </c>
    </row>
    <row r="980" spans="1:21" hidden="1" x14ac:dyDescent="0.35">
      <c r="A980" s="398" t="s">
        <v>4706</v>
      </c>
      <c r="B980" s="1" t="s">
        <v>1686</v>
      </c>
      <c r="C980" s="3">
        <v>43565</v>
      </c>
      <c r="D980" s="3">
        <v>43565</v>
      </c>
      <c r="E980" s="3"/>
      <c r="F980" s="394" t="s">
        <v>4704</v>
      </c>
      <c r="G980" s="394" t="s">
        <v>4601</v>
      </c>
      <c r="H980" s="1" t="s">
        <v>3656</v>
      </c>
      <c r="I980" s="418">
        <f t="shared" si="68"/>
        <v>1306.744005</v>
      </c>
      <c r="J980" s="418">
        <f t="shared" si="69"/>
        <v>260.178</v>
      </c>
      <c r="K980" s="351">
        <f t="shared" si="64"/>
        <v>144.55489679999999</v>
      </c>
      <c r="L980" s="350">
        <f t="shared" si="65"/>
        <v>28.910979359999999</v>
      </c>
      <c r="M980" s="350" t="s">
        <v>6169</v>
      </c>
      <c r="N980" s="1" t="s">
        <v>3785</v>
      </c>
      <c r="O980" s="1" t="s">
        <v>3986</v>
      </c>
      <c r="P980" s="396" t="s">
        <v>3659</v>
      </c>
      <c r="Q980" s="397">
        <v>0.2</v>
      </c>
      <c r="R980" s="396">
        <v>1900002053</v>
      </c>
      <c r="S980" s="2" t="s">
        <v>3475</v>
      </c>
      <c r="T980" s="2" t="s">
        <v>5914</v>
      </c>
      <c r="U980" s="2" t="s">
        <v>3475</v>
      </c>
    </row>
    <row r="981" spans="1:21" hidden="1" x14ac:dyDescent="0.35">
      <c r="A981" s="398" t="s">
        <v>4707</v>
      </c>
      <c r="B981" s="1" t="s">
        <v>1686</v>
      </c>
      <c r="C981" s="3">
        <v>43565</v>
      </c>
      <c r="D981" s="3">
        <v>43565</v>
      </c>
      <c r="E981" s="3"/>
      <c r="F981" s="394" t="s">
        <v>4704</v>
      </c>
      <c r="G981" s="394" t="s">
        <v>4601</v>
      </c>
      <c r="H981" s="1" t="s">
        <v>3656</v>
      </c>
      <c r="I981" s="418">
        <f t="shared" si="68"/>
        <v>1306.744005</v>
      </c>
      <c r="J981" s="418">
        <f t="shared" si="69"/>
        <v>260.178</v>
      </c>
      <c r="K981" s="351">
        <f t="shared" si="64"/>
        <v>144.55489679999999</v>
      </c>
      <c r="L981" s="350">
        <f t="shared" si="65"/>
        <v>28.910979359999999</v>
      </c>
      <c r="M981" s="350" t="s">
        <v>6169</v>
      </c>
      <c r="N981" s="1" t="s">
        <v>3785</v>
      </c>
      <c r="O981" s="1" t="s">
        <v>3986</v>
      </c>
      <c r="P981" s="396" t="s">
        <v>3659</v>
      </c>
      <c r="Q981" s="397">
        <v>0.2</v>
      </c>
      <c r="R981" s="396">
        <v>1900002053</v>
      </c>
      <c r="S981" s="2" t="s">
        <v>3475</v>
      </c>
      <c r="T981" s="2" t="s">
        <v>5914</v>
      </c>
      <c r="U981" s="2" t="s">
        <v>3475</v>
      </c>
    </row>
    <row r="982" spans="1:21" hidden="1" x14ac:dyDescent="0.35">
      <c r="A982" s="398" t="s">
        <v>4708</v>
      </c>
      <c r="B982" s="1" t="s">
        <v>1686</v>
      </c>
      <c r="C982" s="3">
        <v>43565</v>
      </c>
      <c r="D982" s="3">
        <v>43565</v>
      </c>
      <c r="E982" s="3"/>
      <c r="F982" s="394" t="s">
        <v>4704</v>
      </c>
      <c r="G982" s="394" t="s">
        <v>4601</v>
      </c>
      <c r="H982" s="1" t="s">
        <v>3656</v>
      </c>
      <c r="I982" s="418">
        <f t="shared" si="68"/>
        <v>1306.744005</v>
      </c>
      <c r="J982" s="418">
        <f t="shared" si="69"/>
        <v>260.178</v>
      </c>
      <c r="K982" s="351">
        <f t="shared" si="64"/>
        <v>144.55489679999999</v>
      </c>
      <c r="L982" s="350">
        <f t="shared" si="65"/>
        <v>28.910979359999999</v>
      </c>
      <c r="M982" s="350" t="s">
        <v>6169</v>
      </c>
      <c r="N982" s="1" t="s">
        <v>3785</v>
      </c>
      <c r="O982" s="1" t="s">
        <v>3986</v>
      </c>
      <c r="P982" s="396" t="s">
        <v>3659</v>
      </c>
      <c r="Q982" s="397">
        <v>0.2</v>
      </c>
      <c r="R982" s="396">
        <v>1900002053</v>
      </c>
      <c r="S982" s="2" t="s">
        <v>3475</v>
      </c>
      <c r="T982" s="2" t="s">
        <v>5914</v>
      </c>
      <c r="U982" s="2" t="s">
        <v>3475</v>
      </c>
    </row>
    <row r="983" spans="1:21" hidden="1" x14ac:dyDescent="0.35">
      <c r="A983" s="398" t="s">
        <v>4709</v>
      </c>
      <c r="B983" s="1" t="s">
        <v>1686</v>
      </c>
      <c r="C983" s="3">
        <v>43565</v>
      </c>
      <c r="D983" s="3">
        <v>43565</v>
      </c>
      <c r="E983" s="3"/>
      <c r="F983" s="394" t="s">
        <v>4704</v>
      </c>
      <c r="G983" s="394" t="s">
        <v>4601</v>
      </c>
      <c r="H983" s="1" t="s">
        <v>3656</v>
      </c>
      <c r="I983" s="418">
        <f t="shared" si="68"/>
        <v>1306.744005</v>
      </c>
      <c r="J983" s="418">
        <f t="shared" si="69"/>
        <v>260.178</v>
      </c>
      <c r="K983" s="351">
        <f t="shared" si="64"/>
        <v>144.55489679999999</v>
      </c>
      <c r="L983" s="350">
        <f t="shared" si="65"/>
        <v>28.910979359999999</v>
      </c>
      <c r="M983" s="350" t="s">
        <v>6169</v>
      </c>
      <c r="N983" s="1" t="s">
        <v>3785</v>
      </c>
      <c r="O983" s="1" t="s">
        <v>3986</v>
      </c>
      <c r="P983" s="396" t="s">
        <v>3659</v>
      </c>
      <c r="Q983" s="397">
        <v>0.2</v>
      </c>
      <c r="R983" s="396">
        <v>1900002053</v>
      </c>
      <c r="S983" s="2" t="s">
        <v>3475</v>
      </c>
      <c r="T983" s="2" t="s">
        <v>5914</v>
      </c>
      <c r="U983" s="2" t="s">
        <v>3475</v>
      </c>
    </row>
    <row r="984" spans="1:21" hidden="1" x14ac:dyDescent="0.35">
      <c r="A984" s="398" t="s">
        <v>4710</v>
      </c>
      <c r="B984" s="1" t="s">
        <v>1686</v>
      </c>
      <c r="C984" s="3">
        <v>43565</v>
      </c>
      <c r="D984" s="3">
        <v>43565</v>
      </c>
      <c r="E984" s="3"/>
      <c r="F984" s="394" t="s">
        <v>4704</v>
      </c>
      <c r="G984" s="394" t="s">
        <v>4601</v>
      </c>
      <c r="H984" s="1" t="s">
        <v>3656</v>
      </c>
      <c r="I984" s="418">
        <f t="shared" si="68"/>
        <v>1306.744005</v>
      </c>
      <c r="J984" s="418">
        <f t="shared" si="69"/>
        <v>260.178</v>
      </c>
      <c r="K984" s="351">
        <f t="shared" si="64"/>
        <v>144.55489679999999</v>
      </c>
      <c r="L984" s="350">
        <f t="shared" si="65"/>
        <v>28.910979359999999</v>
      </c>
      <c r="M984" s="350" t="s">
        <v>6169</v>
      </c>
      <c r="N984" s="1" t="s">
        <v>3785</v>
      </c>
      <c r="O984" s="1" t="s">
        <v>3986</v>
      </c>
      <c r="P984" s="396" t="s">
        <v>3659</v>
      </c>
      <c r="Q984" s="397">
        <v>0.2</v>
      </c>
      <c r="R984" s="396">
        <v>1900002053</v>
      </c>
      <c r="S984" s="2" t="s">
        <v>3475</v>
      </c>
      <c r="T984" s="2" t="s">
        <v>5914</v>
      </c>
      <c r="U984" s="2" t="s">
        <v>3475</v>
      </c>
    </row>
    <row r="985" spans="1:21" hidden="1" x14ac:dyDescent="0.35">
      <c r="A985" s="398" t="s">
        <v>4711</v>
      </c>
      <c r="B985" s="1" t="s">
        <v>1686</v>
      </c>
      <c r="C985" s="3">
        <v>43565</v>
      </c>
      <c r="D985" s="3">
        <v>43565</v>
      </c>
      <c r="E985" s="3"/>
      <c r="F985" s="394" t="s">
        <v>4704</v>
      </c>
      <c r="G985" s="394" t="s">
        <v>4601</v>
      </c>
      <c r="H985" s="1" t="s">
        <v>3656</v>
      </c>
      <c r="I985" s="418">
        <f t="shared" si="68"/>
        <v>1306.744005</v>
      </c>
      <c r="J985" s="418">
        <f t="shared" si="69"/>
        <v>260.178</v>
      </c>
      <c r="K985" s="351">
        <f t="shared" si="64"/>
        <v>144.55489679999999</v>
      </c>
      <c r="L985" s="350">
        <f t="shared" si="65"/>
        <v>28.910979359999999</v>
      </c>
      <c r="M985" s="350" t="s">
        <v>6169</v>
      </c>
      <c r="N985" s="1" t="s">
        <v>3785</v>
      </c>
      <c r="O985" s="1" t="s">
        <v>3986</v>
      </c>
      <c r="P985" s="396" t="s">
        <v>3659</v>
      </c>
      <c r="Q985" s="397">
        <v>0.2</v>
      </c>
      <c r="R985" s="396">
        <v>1900002053</v>
      </c>
      <c r="S985" s="2" t="s">
        <v>3475</v>
      </c>
      <c r="T985" s="2" t="s">
        <v>5914</v>
      </c>
      <c r="U985" s="2" t="s">
        <v>3475</v>
      </c>
    </row>
    <row r="986" spans="1:21" hidden="1" x14ac:dyDescent="0.35">
      <c r="A986" s="398" t="s">
        <v>4712</v>
      </c>
      <c r="B986" s="1" t="s">
        <v>1686</v>
      </c>
      <c r="C986" s="3">
        <v>43565</v>
      </c>
      <c r="D986" s="3">
        <v>43565</v>
      </c>
      <c r="E986" s="3"/>
      <c r="F986" s="394" t="s">
        <v>4704</v>
      </c>
      <c r="G986" s="394" t="s">
        <v>4601</v>
      </c>
      <c r="H986" s="1" t="s">
        <v>3656</v>
      </c>
      <c r="I986" s="418">
        <f t="shared" ref="I986:I1011" si="70">+J986*5.0225</f>
        <v>1306.744005</v>
      </c>
      <c r="J986" s="418">
        <f t="shared" si="69"/>
        <v>260.178</v>
      </c>
      <c r="K986" s="351">
        <f t="shared" ref="K986:K1011" si="71">+J986*(0.5556)</f>
        <v>144.55489679999999</v>
      </c>
      <c r="L986" s="350">
        <f t="shared" ref="L986:L1011" si="72">+K986*Q986</f>
        <v>28.910979359999999</v>
      </c>
      <c r="M986" s="350" t="s">
        <v>6169</v>
      </c>
      <c r="N986" s="1" t="s">
        <v>3785</v>
      </c>
      <c r="O986" s="1" t="s">
        <v>3986</v>
      </c>
      <c r="P986" s="396" t="s">
        <v>3659</v>
      </c>
      <c r="Q986" s="397">
        <v>0.2</v>
      </c>
      <c r="R986" s="396">
        <v>1900002053</v>
      </c>
      <c r="S986" s="2" t="s">
        <v>3475</v>
      </c>
      <c r="T986" s="2" t="s">
        <v>5914</v>
      </c>
      <c r="U986" s="2" t="s">
        <v>3475</v>
      </c>
    </row>
    <row r="987" spans="1:21" hidden="1" x14ac:dyDescent="0.35">
      <c r="A987" s="398" t="s">
        <v>4713</v>
      </c>
      <c r="B987" s="1" t="s">
        <v>1686</v>
      </c>
      <c r="C987" s="3">
        <v>43565</v>
      </c>
      <c r="D987" s="3">
        <v>43565</v>
      </c>
      <c r="E987" s="3"/>
      <c r="F987" s="394" t="s">
        <v>4704</v>
      </c>
      <c r="G987" s="394" t="s">
        <v>4601</v>
      </c>
      <c r="H987" s="1" t="s">
        <v>3656</v>
      </c>
      <c r="I987" s="418">
        <f t="shared" si="70"/>
        <v>1306.744005</v>
      </c>
      <c r="J987" s="418">
        <f t="shared" si="69"/>
        <v>260.178</v>
      </c>
      <c r="K987" s="351">
        <f t="shared" si="71"/>
        <v>144.55489679999999</v>
      </c>
      <c r="L987" s="350">
        <f t="shared" si="72"/>
        <v>28.910979359999999</v>
      </c>
      <c r="M987" s="350" t="s">
        <v>6169</v>
      </c>
      <c r="N987" s="1" t="s">
        <v>3785</v>
      </c>
      <c r="O987" s="1" t="s">
        <v>3986</v>
      </c>
      <c r="P987" s="396" t="s">
        <v>3659</v>
      </c>
      <c r="Q987" s="397">
        <v>0.2</v>
      </c>
      <c r="R987" s="396">
        <v>1900002053</v>
      </c>
      <c r="S987" s="2" t="s">
        <v>3475</v>
      </c>
      <c r="T987" s="2" t="s">
        <v>5914</v>
      </c>
      <c r="U987" s="2" t="s">
        <v>3475</v>
      </c>
    </row>
    <row r="988" spans="1:21" hidden="1" x14ac:dyDescent="0.35">
      <c r="A988" s="398" t="s">
        <v>4714</v>
      </c>
      <c r="B988" s="1" t="s">
        <v>1686</v>
      </c>
      <c r="C988" s="3">
        <v>43565</v>
      </c>
      <c r="D988" s="3">
        <v>43565</v>
      </c>
      <c r="E988" s="3"/>
      <c r="F988" s="394" t="s">
        <v>4704</v>
      </c>
      <c r="G988" s="394" t="s">
        <v>4601</v>
      </c>
      <c r="H988" s="1" t="s">
        <v>3656</v>
      </c>
      <c r="I988" s="418">
        <f t="shared" si="70"/>
        <v>1306.744005</v>
      </c>
      <c r="J988" s="418">
        <f t="shared" si="69"/>
        <v>260.178</v>
      </c>
      <c r="K988" s="351">
        <f t="shared" si="71"/>
        <v>144.55489679999999</v>
      </c>
      <c r="L988" s="350">
        <f t="shared" si="72"/>
        <v>28.910979359999999</v>
      </c>
      <c r="M988" s="350" t="s">
        <v>6169</v>
      </c>
      <c r="N988" s="1" t="s">
        <v>3785</v>
      </c>
      <c r="O988" s="1" t="s">
        <v>3986</v>
      </c>
      <c r="P988" s="396" t="s">
        <v>3659</v>
      </c>
      <c r="Q988" s="397">
        <v>0.2</v>
      </c>
      <c r="R988" s="396">
        <v>1900002053</v>
      </c>
      <c r="S988" s="2" t="s">
        <v>3475</v>
      </c>
      <c r="T988" s="2" t="s">
        <v>5914</v>
      </c>
      <c r="U988" s="2" t="s">
        <v>3475</v>
      </c>
    </row>
    <row r="989" spans="1:21" hidden="1" x14ac:dyDescent="0.35">
      <c r="A989" s="398" t="s">
        <v>4715</v>
      </c>
      <c r="B989" s="1" t="s">
        <v>1686</v>
      </c>
      <c r="C989" s="3">
        <v>43565</v>
      </c>
      <c r="D989" s="3">
        <v>43565</v>
      </c>
      <c r="E989" s="3"/>
      <c r="F989" s="394" t="s">
        <v>4704</v>
      </c>
      <c r="G989" s="394" t="s">
        <v>4601</v>
      </c>
      <c r="H989" s="1" t="s">
        <v>3656</v>
      </c>
      <c r="I989" s="418">
        <f t="shared" si="70"/>
        <v>1306.744005</v>
      </c>
      <c r="J989" s="418">
        <f t="shared" si="69"/>
        <v>260.178</v>
      </c>
      <c r="K989" s="351">
        <f t="shared" si="71"/>
        <v>144.55489679999999</v>
      </c>
      <c r="L989" s="350">
        <f t="shared" si="72"/>
        <v>28.910979359999999</v>
      </c>
      <c r="M989" s="350" t="s">
        <v>6169</v>
      </c>
      <c r="N989" s="1" t="s">
        <v>3785</v>
      </c>
      <c r="O989" s="1" t="s">
        <v>3986</v>
      </c>
      <c r="P989" s="396" t="s">
        <v>3659</v>
      </c>
      <c r="Q989" s="397">
        <v>0.2</v>
      </c>
      <c r="R989" s="396">
        <v>1900002053</v>
      </c>
      <c r="S989" s="2" t="s">
        <v>3475</v>
      </c>
      <c r="T989" s="2" t="s">
        <v>5914</v>
      </c>
      <c r="U989" s="2" t="s">
        <v>3475</v>
      </c>
    </row>
    <row r="990" spans="1:21" hidden="1" x14ac:dyDescent="0.35">
      <c r="A990" s="398" t="s">
        <v>4716</v>
      </c>
      <c r="B990" s="1" t="s">
        <v>1686</v>
      </c>
      <c r="C990" s="3">
        <v>43565</v>
      </c>
      <c r="D990" s="3">
        <v>43565</v>
      </c>
      <c r="E990" s="3"/>
      <c r="F990" s="394" t="s">
        <v>4704</v>
      </c>
      <c r="G990" s="394" t="s">
        <v>4601</v>
      </c>
      <c r="H990" s="1" t="s">
        <v>3656</v>
      </c>
      <c r="I990" s="418">
        <f t="shared" si="70"/>
        <v>1306.744005</v>
      </c>
      <c r="J990" s="418">
        <f t="shared" si="69"/>
        <v>260.178</v>
      </c>
      <c r="K990" s="351">
        <f t="shared" si="71"/>
        <v>144.55489679999999</v>
      </c>
      <c r="L990" s="350">
        <f t="shared" si="72"/>
        <v>28.910979359999999</v>
      </c>
      <c r="M990" s="350" t="s">
        <v>6169</v>
      </c>
      <c r="N990" s="1" t="s">
        <v>3785</v>
      </c>
      <c r="O990" s="1" t="s">
        <v>3986</v>
      </c>
      <c r="P990" s="396" t="s">
        <v>3659</v>
      </c>
      <c r="Q990" s="397">
        <v>0.2</v>
      </c>
      <c r="R990" s="396">
        <v>1900002053</v>
      </c>
      <c r="S990" s="2" t="s">
        <v>3475</v>
      </c>
      <c r="T990" s="2" t="s">
        <v>5914</v>
      </c>
      <c r="U990" s="2" t="s">
        <v>3475</v>
      </c>
    </row>
    <row r="991" spans="1:21" hidden="1" x14ac:dyDescent="0.35">
      <c r="A991" s="398" t="s">
        <v>4717</v>
      </c>
      <c r="B991" s="1" t="s">
        <v>1686</v>
      </c>
      <c r="C991" s="3">
        <v>43565</v>
      </c>
      <c r="D991" s="3">
        <v>43565</v>
      </c>
      <c r="E991" s="3"/>
      <c r="F991" s="394" t="s">
        <v>4704</v>
      </c>
      <c r="G991" s="394" t="s">
        <v>4601</v>
      </c>
      <c r="H991" s="1" t="s">
        <v>3656</v>
      </c>
      <c r="I991" s="418">
        <f t="shared" si="70"/>
        <v>1306.744005</v>
      </c>
      <c r="J991" s="418">
        <f t="shared" si="69"/>
        <v>260.178</v>
      </c>
      <c r="K991" s="351">
        <f t="shared" si="71"/>
        <v>144.55489679999999</v>
      </c>
      <c r="L991" s="350">
        <f t="shared" si="72"/>
        <v>28.910979359999999</v>
      </c>
      <c r="M991" s="350" t="s">
        <v>6169</v>
      </c>
      <c r="N991" s="1" t="s">
        <v>3785</v>
      </c>
      <c r="O991" s="1" t="s">
        <v>3986</v>
      </c>
      <c r="P991" s="396" t="s">
        <v>3659</v>
      </c>
      <c r="Q991" s="397">
        <v>0.2</v>
      </c>
      <c r="R991" s="396">
        <v>1900002053</v>
      </c>
      <c r="S991" s="2" t="s">
        <v>3475</v>
      </c>
      <c r="T991" s="2" t="s">
        <v>5914</v>
      </c>
      <c r="U991" s="2" t="s">
        <v>3475</v>
      </c>
    </row>
    <row r="992" spans="1:21" hidden="1" x14ac:dyDescent="0.35">
      <c r="A992" s="398" t="s">
        <v>4718</v>
      </c>
      <c r="B992" s="1" t="s">
        <v>1686</v>
      </c>
      <c r="C992" s="3">
        <v>43565</v>
      </c>
      <c r="D992" s="3">
        <v>43565</v>
      </c>
      <c r="E992" s="3"/>
      <c r="F992" s="394" t="s">
        <v>4704</v>
      </c>
      <c r="G992" s="394" t="s">
        <v>4601</v>
      </c>
      <c r="H992" s="1" t="s">
        <v>3656</v>
      </c>
      <c r="I992" s="418">
        <f t="shared" si="70"/>
        <v>1306.744005</v>
      </c>
      <c r="J992" s="418">
        <f t="shared" si="69"/>
        <v>260.178</v>
      </c>
      <c r="K992" s="351">
        <f t="shared" si="71"/>
        <v>144.55489679999999</v>
      </c>
      <c r="L992" s="350">
        <f t="shared" si="72"/>
        <v>28.910979359999999</v>
      </c>
      <c r="M992" s="350" t="s">
        <v>6169</v>
      </c>
      <c r="N992" s="1" t="s">
        <v>3785</v>
      </c>
      <c r="O992" s="1" t="s">
        <v>3986</v>
      </c>
      <c r="P992" s="396" t="s">
        <v>3659</v>
      </c>
      <c r="Q992" s="397">
        <v>0.2</v>
      </c>
      <c r="R992" s="396">
        <v>1900002053</v>
      </c>
      <c r="S992" s="2" t="s">
        <v>3475</v>
      </c>
      <c r="T992" s="2" t="s">
        <v>5914</v>
      </c>
      <c r="U992" s="2" t="s">
        <v>3475</v>
      </c>
    </row>
    <row r="993" spans="1:21" hidden="1" x14ac:dyDescent="0.35">
      <c r="A993" s="398" t="s">
        <v>4719</v>
      </c>
      <c r="B993" s="1" t="s">
        <v>1686</v>
      </c>
      <c r="C993" s="3">
        <v>43565</v>
      </c>
      <c r="D993" s="3">
        <v>43565</v>
      </c>
      <c r="E993" s="3"/>
      <c r="F993" s="394" t="s">
        <v>4704</v>
      </c>
      <c r="G993" s="394" t="s">
        <v>4601</v>
      </c>
      <c r="H993" s="1" t="s">
        <v>3656</v>
      </c>
      <c r="I993" s="418">
        <f t="shared" si="70"/>
        <v>1306.744005</v>
      </c>
      <c r="J993" s="418">
        <f t="shared" si="69"/>
        <v>260.178</v>
      </c>
      <c r="K993" s="351">
        <f t="shared" si="71"/>
        <v>144.55489679999999</v>
      </c>
      <c r="L993" s="350">
        <f t="shared" si="72"/>
        <v>28.910979359999999</v>
      </c>
      <c r="M993" s="350" t="s">
        <v>6169</v>
      </c>
      <c r="N993" s="1" t="s">
        <v>3785</v>
      </c>
      <c r="O993" s="1" t="s">
        <v>3986</v>
      </c>
      <c r="P993" s="396" t="s">
        <v>3659</v>
      </c>
      <c r="Q993" s="397">
        <v>0.2</v>
      </c>
      <c r="R993" s="396">
        <v>1900002053</v>
      </c>
      <c r="S993" s="2" t="s">
        <v>3475</v>
      </c>
      <c r="T993" s="2" t="s">
        <v>5914</v>
      </c>
      <c r="U993" s="2" t="s">
        <v>3475</v>
      </c>
    </row>
    <row r="994" spans="1:21" hidden="1" x14ac:dyDescent="0.35">
      <c r="A994" s="398" t="s">
        <v>4720</v>
      </c>
      <c r="B994" s="1" t="s">
        <v>1686</v>
      </c>
      <c r="C994" s="3">
        <v>43565</v>
      </c>
      <c r="D994" s="3">
        <v>43565</v>
      </c>
      <c r="E994" s="3"/>
      <c r="F994" s="394" t="s">
        <v>4704</v>
      </c>
      <c r="G994" s="394" t="s">
        <v>4601</v>
      </c>
      <c r="H994" s="1" t="s">
        <v>3656</v>
      </c>
      <c r="I994" s="418">
        <f t="shared" si="70"/>
        <v>1306.744005</v>
      </c>
      <c r="J994" s="418">
        <f t="shared" si="69"/>
        <v>260.178</v>
      </c>
      <c r="K994" s="351">
        <f t="shared" si="71"/>
        <v>144.55489679999999</v>
      </c>
      <c r="L994" s="350">
        <f t="shared" si="72"/>
        <v>28.910979359999999</v>
      </c>
      <c r="M994" s="350" t="s">
        <v>6169</v>
      </c>
      <c r="N994" s="1" t="s">
        <v>3785</v>
      </c>
      <c r="O994" s="1" t="s">
        <v>3986</v>
      </c>
      <c r="P994" s="396" t="s">
        <v>3659</v>
      </c>
      <c r="Q994" s="397">
        <v>0.2</v>
      </c>
      <c r="R994" s="396">
        <v>1900002053</v>
      </c>
      <c r="S994" s="2" t="s">
        <v>3475</v>
      </c>
      <c r="T994" s="2" t="s">
        <v>5914</v>
      </c>
      <c r="U994" s="2" t="s">
        <v>3475</v>
      </c>
    </row>
    <row r="995" spans="1:21" hidden="1" x14ac:dyDescent="0.35">
      <c r="A995" s="398" t="s">
        <v>4721</v>
      </c>
      <c r="B995" s="1" t="s">
        <v>1686</v>
      </c>
      <c r="C995" s="3">
        <v>43565</v>
      </c>
      <c r="D995" s="3">
        <v>43565</v>
      </c>
      <c r="E995" s="3"/>
      <c r="F995" s="394" t="s">
        <v>4704</v>
      </c>
      <c r="G995" s="394" t="s">
        <v>4601</v>
      </c>
      <c r="H995" s="1" t="s">
        <v>3656</v>
      </c>
      <c r="I995" s="418">
        <f t="shared" si="70"/>
        <v>1306.744005</v>
      </c>
      <c r="J995" s="418">
        <f t="shared" si="69"/>
        <v>260.178</v>
      </c>
      <c r="K995" s="351">
        <f t="shared" si="71"/>
        <v>144.55489679999999</v>
      </c>
      <c r="L995" s="350">
        <f t="shared" si="72"/>
        <v>28.910979359999999</v>
      </c>
      <c r="M995" s="350" t="s">
        <v>6169</v>
      </c>
      <c r="N995" s="1" t="s">
        <v>3785</v>
      </c>
      <c r="O995" s="1" t="s">
        <v>3986</v>
      </c>
      <c r="P995" s="396" t="s">
        <v>3659</v>
      </c>
      <c r="Q995" s="397">
        <v>0.2</v>
      </c>
      <c r="R995" s="396">
        <v>1900002053</v>
      </c>
      <c r="S995" s="2" t="s">
        <v>3475</v>
      </c>
      <c r="T995" s="2" t="s">
        <v>5914</v>
      </c>
      <c r="U995" s="2" t="s">
        <v>3475</v>
      </c>
    </row>
    <row r="996" spans="1:21" hidden="1" x14ac:dyDescent="0.35">
      <c r="A996" s="398" t="s">
        <v>4722</v>
      </c>
      <c r="B996" s="1" t="s">
        <v>1686</v>
      </c>
      <c r="C996" s="3">
        <v>43565</v>
      </c>
      <c r="D996" s="3">
        <v>43565</v>
      </c>
      <c r="E996" s="3"/>
      <c r="F996" s="394" t="s">
        <v>4704</v>
      </c>
      <c r="G996" s="394" t="s">
        <v>4601</v>
      </c>
      <c r="H996" s="1" t="s">
        <v>3656</v>
      </c>
      <c r="I996" s="418">
        <f t="shared" si="70"/>
        <v>1306.744005</v>
      </c>
      <c r="J996" s="418">
        <f t="shared" si="69"/>
        <v>260.178</v>
      </c>
      <c r="K996" s="351">
        <f t="shared" si="71"/>
        <v>144.55489679999999</v>
      </c>
      <c r="L996" s="350">
        <f t="shared" si="72"/>
        <v>28.910979359999999</v>
      </c>
      <c r="M996" s="350" t="s">
        <v>6169</v>
      </c>
      <c r="N996" s="1" t="s">
        <v>3785</v>
      </c>
      <c r="O996" s="1" t="s">
        <v>3986</v>
      </c>
      <c r="P996" s="396" t="s">
        <v>3659</v>
      </c>
      <c r="Q996" s="397">
        <v>0.2</v>
      </c>
      <c r="R996" s="396">
        <v>1900002053</v>
      </c>
      <c r="S996" s="2" t="s">
        <v>3475</v>
      </c>
      <c r="T996" s="2" t="s">
        <v>5914</v>
      </c>
      <c r="U996" s="2" t="s">
        <v>3475</v>
      </c>
    </row>
    <row r="997" spans="1:21" hidden="1" x14ac:dyDescent="0.35">
      <c r="A997" s="398" t="s">
        <v>4723</v>
      </c>
      <c r="B997" s="1" t="s">
        <v>1686</v>
      </c>
      <c r="C997" s="3">
        <v>43565</v>
      </c>
      <c r="D997" s="3">
        <v>43565</v>
      </c>
      <c r="E997" s="3"/>
      <c r="F997" s="394" t="s">
        <v>4704</v>
      </c>
      <c r="G997" s="394" t="s">
        <v>4601</v>
      </c>
      <c r="H997" s="1" t="s">
        <v>3656</v>
      </c>
      <c r="I997" s="418">
        <f t="shared" si="70"/>
        <v>1306.744005</v>
      </c>
      <c r="J997" s="418">
        <f t="shared" si="69"/>
        <v>260.178</v>
      </c>
      <c r="K997" s="351">
        <f t="shared" si="71"/>
        <v>144.55489679999999</v>
      </c>
      <c r="L997" s="350">
        <f t="shared" si="72"/>
        <v>28.910979359999999</v>
      </c>
      <c r="M997" s="350" t="s">
        <v>6169</v>
      </c>
      <c r="N997" s="1" t="s">
        <v>3785</v>
      </c>
      <c r="O997" s="1" t="s">
        <v>3986</v>
      </c>
      <c r="P997" s="396" t="s">
        <v>3659</v>
      </c>
      <c r="Q997" s="397">
        <v>0.2</v>
      </c>
      <c r="R997" s="396">
        <v>1900002053</v>
      </c>
      <c r="S997" s="2" t="s">
        <v>3475</v>
      </c>
      <c r="T997" s="2" t="s">
        <v>5914</v>
      </c>
      <c r="U997" s="2" t="s">
        <v>3475</v>
      </c>
    </row>
    <row r="998" spans="1:21" hidden="1" x14ac:dyDescent="0.35">
      <c r="A998" s="398" t="s">
        <v>4724</v>
      </c>
      <c r="B998" s="1" t="s">
        <v>1686</v>
      </c>
      <c r="C998" s="3">
        <v>43565</v>
      </c>
      <c r="D998" s="3">
        <v>43565</v>
      </c>
      <c r="E998" s="3"/>
      <c r="F998" s="394" t="s">
        <v>4704</v>
      </c>
      <c r="G998" s="394" t="s">
        <v>4601</v>
      </c>
      <c r="H998" s="1" t="s">
        <v>3656</v>
      </c>
      <c r="I998" s="418">
        <f t="shared" si="70"/>
        <v>1306.744005</v>
      </c>
      <c r="J998" s="418">
        <f t="shared" si="69"/>
        <v>260.178</v>
      </c>
      <c r="K998" s="351">
        <f t="shared" si="71"/>
        <v>144.55489679999999</v>
      </c>
      <c r="L998" s="350">
        <f t="shared" si="72"/>
        <v>28.910979359999999</v>
      </c>
      <c r="M998" s="350" t="s">
        <v>6169</v>
      </c>
      <c r="N998" s="1" t="s">
        <v>3785</v>
      </c>
      <c r="O998" s="1" t="s">
        <v>3986</v>
      </c>
      <c r="P998" s="396" t="s">
        <v>3659</v>
      </c>
      <c r="Q998" s="397">
        <v>0.2</v>
      </c>
      <c r="R998" s="396">
        <v>1900002053</v>
      </c>
      <c r="S998" s="2" t="s">
        <v>3475</v>
      </c>
      <c r="T998" s="2" t="s">
        <v>5914</v>
      </c>
      <c r="U998" s="2" t="s">
        <v>3475</v>
      </c>
    </row>
    <row r="999" spans="1:21" hidden="1" x14ac:dyDescent="0.35">
      <c r="A999" s="398" t="s">
        <v>4725</v>
      </c>
      <c r="B999" s="1" t="s">
        <v>1686</v>
      </c>
      <c r="C999" s="3">
        <v>43565</v>
      </c>
      <c r="D999" s="3">
        <v>43565</v>
      </c>
      <c r="E999" s="3"/>
      <c r="F999" s="394" t="s">
        <v>4704</v>
      </c>
      <c r="G999" s="394" t="s">
        <v>4601</v>
      </c>
      <c r="H999" s="1" t="s">
        <v>3656</v>
      </c>
      <c r="I999" s="418">
        <f t="shared" si="70"/>
        <v>1306.744005</v>
      </c>
      <c r="J999" s="418">
        <f t="shared" si="69"/>
        <v>260.178</v>
      </c>
      <c r="K999" s="351">
        <f t="shared" si="71"/>
        <v>144.55489679999999</v>
      </c>
      <c r="L999" s="350">
        <f t="shared" si="72"/>
        <v>28.910979359999999</v>
      </c>
      <c r="M999" s="350" t="s">
        <v>6169</v>
      </c>
      <c r="N999" s="1" t="s">
        <v>3785</v>
      </c>
      <c r="O999" s="1" t="s">
        <v>3986</v>
      </c>
      <c r="P999" s="396" t="s">
        <v>3659</v>
      </c>
      <c r="Q999" s="397">
        <v>0.2</v>
      </c>
      <c r="R999" s="396">
        <v>1900002053</v>
      </c>
      <c r="S999" s="2" t="s">
        <v>3475</v>
      </c>
      <c r="T999" s="2" t="s">
        <v>5914</v>
      </c>
      <c r="U999" s="2" t="s">
        <v>3475</v>
      </c>
    </row>
    <row r="1000" spans="1:21" hidden="1" x14ac:dyDescent="0.35">
      <c r="A1000" s="398" t="s">
        <v>4726</v>
      </c>
      <c r="B1000" s="1" t="s">
        <v>1686</v>
      </c>
      <c r="C1000" s="3">
        <v>43565</v>
      </c>
      <c r="D1000" s="3">
        <v>43565</v>
      </c>
      <c r="E1000" s="3"/>
      <c r="F1000" s="394" t="s">
        <v>4704</v>
      </c>
      <c r="G1000" s="394" t="s">
        <v>4601</v>
      </c>
      <c r="H1000" s="1" t="s">
        <v>3656</v>
      </c>
      <c r="I1000" s="418">
        <f t="shared" si="70"/>
        <v>1306.744005</v>
      </c>
      <c r="J1000" s="418">
        <f t="shared" si="69"/>
        <v>260.178</v>
      </c>
      <c r="K1000" s="351">
        <f t="shared" si="71"/>
        <v>144.55489679999999</v>
      </c>
      <c r="L1000" s="350">
        <f t="shared" si="72"/>
        <v>28.910979359999999</v>
      </c>
      <c r="M1000" s="350" t="s">
        <v>6169</v>
      </c>
      <c r="N1000" s="1" t="s">
        <v>3785</v>
      </c>
      <c r="O1000" s="1" t="s">
        <v>3986</v>
      </c>
      <c r="P1000" s="396" t="s">
        <v>3659</v>
      </c>
      <c r="Q1000" s="397">
        <v>0.2</v>
      </c>
      <c r="R1000" s="396">
        <v>1900002053</v>
      </c>
      <c r="S1000" s="2" t="s">
        <v>3475</v>
      </c>
      <c r="T1000" s="2" t="s">
        <v>5914</v>
      </c>
      <c r="U1000" s="2" t="s">
        <v>3475</v>
      </c>
    </row>
    <row r="1001" spans="1:21" hidden="1" x14ac:dyDescent="0.35">
      <c r="A1001" s="398" t="s">
        <v>4727</v>
      </c>
      <c r="B1001" s="1" t="s">
        <v>1686</v>
      </c>
      <c r="C1001" s="3">
        <v>43565</v>
      </c>
      <c r="D1001" s="3">
        <v>43565</v>
      </c>
      <c r="E1001" s="3"/>
      <c r="F1001" s="394" t="s">
        <v>4704</v>
      </c>
      <c r="G1001" s="394" t="s">
        <v>4601</v>
      </c>
      <c r="H1001" s="1" t="s">
        <v>3656</v>
      </c>
      <c r="I1001" s="418">
        <f t="shared" si="70"/>
        <v>1306.744005</v>
      </c>
      <c r="J1001" s="418">
        <f t="shared" si="69"/>
        <v>260.178</v>
      </c>
      <c r="K1001" s="351">
        <f t="shared" si="71"/>
        <v>144.55489679999999</v>
      </c>
      <c r="L1001" s="350">
        <f t="shared" si="72"/>
        <v>28.910979359999999</v>
      </c>
      <c r="M1001" s="350" t="s">
        <v>6169</v>
      </c>
      <c r="N1001" s="1" t="s">
        <v>3785</v>
      </c>
      <c r="O1001" s="1" t="s">
        <v>3986</v>
      </c>
      <c r="P1001" s="396" t="s">
        <v>3659</v>
      </c>
      <c r="Q1001" s="397">
        <v>0.2</v>
      </c>
      <c r="R1001" s="396">
        <v>1900002053</v>
      </c>
      <c r="S1001" s="2" t="s">
        <v>3475</v>
      </c>
      <c r="T1001" s="2" t="s">
        <v>5914</v>
      </c>
      <c r="U1001" s="2" t="s">
        <v>3475</v>
      </c>
    </row>
    <row r="1002" spans="1:21" hidden="1" x14ac:dyDescent="0.35">
      <c r="A1002" s="398" t="s">
        <v>4728</v>
      </c>
      <c r="B1002" s="1" t="s">
        <v>1686</v>
      </c>
      <c r="C1002" s="3">
        <v>43565</v>
      </c>
      <c r="D1002" s="3">
        <v>43565</v>
      </c>
      <c r="E1002" s="3"/>
      <c r="F1002" s="394" t="s">
        <v>4704</v>
      </c>
      <c r="G1002" s="394" t="s">
        <v>4601</v>
      </c>
      <c r="H1002" s="1" t="s">
        <v>3656</v>
      </c>
      <c r="I1002" s="418">
        <f t="shared" si="70"/>
        <v>1306.744005</v>
      </c>
      <c r="J1002" s="418">
        <f t="shared" si="69"/>
        <v>260.178</v>
      </c>
      <c r="K1002" s="351">
        <f t="shared" si="71"/>
        <v>144.55489679999999</v>
      </c>
      <c r="L1002" s="350">
        <f t="shared" si="72"/>
        <v>28.910979359999999</v>
      </c>
      <c r="M1002" s="350" t="s">
        <v>6169</v>
      </c>
      <c r="N1002" s="1" t="s">
        <v>3785</v>
      </c>
      <c r="O1002" s="1" t="s">
        <v>3986</v>
      </c>
      <c r="P1002" s="396" t="s">
        <v>3659</v>
      </c>
      <c r="Q1002" s="397">
        <v>0.2</v>
      </c>
      <c r="R1002" s="396">
        <v>1900002053</v>
      </c>
      <c r="S1002" s="2" t="s">
        <v>3475</v>
      </c>
      <c r="T1002" s="2" t="s">
        <v>5914</v>
      </c>
      <c r="U1002" s="2" t="s">
        <v>3475</v>
      </c>
    </row>
    <row r="1003" spans="1:21" hidden="1" x14ac:dyDescent="0.35">
      <c r="A1003" s="398" t="s">
        <v>4729</v>
      </c>
      <c r="B1003" s="1" t="s">
        <v>1686</v>
      </c>
      <c r="C1003" s="3">
        <v>43565</v>
      </c>
      <c r="D1003" s="3">
        <v>43565</v>
      </c>
      <c r="E1003" s="3"/>
      <c r="F1003" s="394" t="s">
        <v>4704</v>
      </c>
      <c r="G1003" s="394" t="s">
        <v>4601</v>
      </c>
      <c r="H1003" s="1" t="s">
        <v>3656</v>
      </c>
      <c r="I1003" s="418">
        <f t="shared" si="70"/>
        <v>1306.744005</v>
      </c>
      <c r="J1003" s="418">
        <f t="shared" si="69"/>
        <v>260.178</v>
      </c>
      <c r="K1003" s="351">
        <f t="shared" si="71"/>
        <v>144.55489679999999</v>
      </c>
      <c r="L1003" s="350">
        <f t="shared" si="72"/>
        <v>28.910979359999999</v>
      </c>
      <c r="M1003" s="350" t="s">
        <v>6169</v>
      </c>
      <c r="N1003" s="1" t="s">
        <v>3785</v>
      </c>
      <c r="O1003" s="1" t="s">
        <v>3986</v>
      </c>
      <c r="P1003" s="396" t="s">
        <v>3659</v>
      </c>
      <c r="Q1003" s="397">
        <v>0.2</v>
      </c>
      <c r="R1003" s="396">
        <v>1900002053</v>
      </c>
      <c r="S1003" s="2" t="s">
        <v>3475</v>
      </c>
      <c r="T1003" s="2" t="s">
        <v>5914</v>
      </c>
      <c r="U1003" s="2" t="s">
        <v>3475</v>
      </c>
    </row>
    <row r="1004" spans="1:21" hidden="1" x14ac:dyDescent="0.35">
      <c r="A1004" s="398" t="s">
        <v>4730</v>
      </c>
      <c r="B1004" s="1" t="s">
        <v>1686</v>
      </c>
      <c r="C1004" s="3">
        <v>43565</v>
      </c>
      <c r="D1004" s="3">
        <v>43565</v>
      </c>
      <c r="E1004" s="3"/>
      <c r="F1004" s="394" t="s">
        <v>4704</v>
      </c>
      <c r="G1004" s="394" t="s">
        <v>4601</v>
      </c>
      <c r="H1004" s="1" t="s">
        <v>3656</v>
      </c>
      <c r="I1004" s="418">
        <f t="shared" si="70"/>
        <v>1306.744005</v>
      </c>
      <c r="J1004" s="418">
        <f t="shared" si="69"/>
        <v>260.178</v>
      </c>
      <c r="K1004" s="351">
        <f t="shared" si="71"/>
        <v>144.55489679999999</v>
      </c>
      <c r="L1004" s="350">
        <f t="shared" si="72"/>
        <v>28.910979359999999</v>
      </c>
      <c r="M1004" s="350" t="s">
        <v>6169</v>
      </c>
      <c r="N1004" s="1" t="s">
        <v>3785</v>
      </c>
      <c r="O1004" s="1" t="s">
        <v>3986</v>
      </c>
      <c r="P1004" s="396" t="s">
        <v>3659</v>
      </c>
      <c r="Q1004" s="397">
        <v>0.2</v>
      </c>
      <c r="R1004" s="396">
        <v>1900002053</v>
      </c>
      <c r="S1004" s="2" t="s">
        <v>3475</v>
      </c>
      <c r="T1004" s="2" t="s">
        <v>5914</v>
      </c>
      <c r="U1004" s="2" t="s">
        <v>3475</v>
      </c>
    </row>
    <row r="1005" spans="1:21" hidden="1" x14ac:dyDescent="0.35">
      <c r="A1005" s="398" t="s">
        <v>4731</v>
      </c>
      <c r="B1005" s="1" t="s">
        <v>1686</v>
      </c>
      <c r="C1005" s="3">
        <v>43565</v>
      </c>
      <c r="D1005" s="3">
        <v>43565</v>
      </c>
      <c r="E1005" s="3"/>
      <c r="F1005" s="394" t="s">
        <v>4704</v>
      </c>
      <c r="G1005" s="394" t="s">
        <v>4601</v>
      </c>
      <c r="H1005" s="1" t="s">
        <v>3656</v>
      </c>
      <c r="I1005" s="418">
        <f t="shared" si="70"/>
        <v>1306.744005</v>
      </c>
      <c r="J1005" s="418">
        <f t="shared" si="69"/>
        <v>260.178</v>
      </c>
      <c r="K1005" s="351">
        <f t="shared" si="71"/>
        <v>144.55489679999999</v>
      </c>
      <c r="L1005" s="350">
        <f t="shared" si="72"/>
        <v>28.910979359999999</v>
      </c>
      <c r="M1005" s="350" t="s">
        <v>6169</v>
      </c>
      <c r="N1005" s="1" t="s">
        <v>3785</v>
      </c>
      <c r="O1005" s="1" t="s">
        <v>3986</v>
      </c>
      <c r="P1005" s="396" t="s">
        <v>3659</v>
      </c>
      <c r="Q1005" s="397">
        <v>0.2</v>
      </c>
      <c r="R1005" s="396">
        <v>1900002053</v>
      </c>
      <c r="S1005" s="2" t="s">
        <v>3475</v>
      </c>
      <c r="T1005" s="2" t="s">
        <v>5914</v>
      </c>
      <c r="U1005" s="2" t="s">
        <v>3475</v>
      </c>
    </row>
    <row r="1006" spans="1:21" hidden="1" x14ac:dyDescent="0.35">
      <c r="A1006" s="398" t="s">
        <v>4732</v>
      </c>
      <c r="B1006" s="1" t="s">
        <v>1686</v>
      </c>
      <c r="C1006" s="3">
        <v>43565</v>
      </c>
      <c r="D1006" s="3">
        <v>43565</v>
      </c>
      <c r="E1006" s="3"/>
      <c r="F1006" s="394" t="s">
        <v>4704</v>
      </c>
      <c r="G1006" s="394" t="s">
        <v>4601</v>
      </c>
      <c r="H1006" s="1" t="s">
        <v>3656</v>
      </c>
      <c r="I1006" s="418">
        <f t="shared" si="70"/>
        <v>1306.744005</v>
      </c>
      <c r="J1006" s="418">
        <f t="shared" si="69"/>
        <v>260.178</v>
      </c>
      <c r="K1006" s="351">
        <f t="shared" si="71"/>
        <v>144.55489679999999</v>
      </c>
      <c r="L1006" s="350">
        <f t="shared" si="72"/>
        <v>28.910979359999999</v>
      </c>
      <c r="M1006" s="350" t="s">
        <v>6169</v>
      </c>
      <c r="N1006" s="1" t="s">
        <v>3785</v>
      </c>
      <c r="O1006" s="1" t="s">
        <v>3986</v>
      </c>
      <c r="P1006" s="396" t="s">
        <v>3659</v>
      </c>
      <c r="Q1006" s="397">
        <v>0.2</v>
      </c>
      <c r="R1006" s="396">
        <v>1900002053</v>
      </c>
      <c r="S1006" s="2" t="s">
        <v>3475</v>
      </c>
      <c r="T1006" s="2" t="s">
        <v>5914</v>
      </c>
      <c r="U1006" s="2" t="s">
        <v>3475</v>
      </c>
    </row>
    <row r="1007" spans="1:21" hidden="1" x14ac:dyDescent="0.35">
      <c r="A1007" s="398" t="s">
        <v>4733</v>
      </c>
      <c r="B1007" s="1" t="s">
        <v>1686</v>
      </c>
      <c r="C1007" s="3">
        <v>43565</v>
      </c>
      <c r="D1007" s="3">
        <v>43565</v>
      </c>
      <c r="E1007" s="3"/>
      <c r="F1007" s="394" t="s">
        <v>4704</v>
      </c>
      <c r="G1007" s="394" t="s">
        <v>4601</v>
      </c>
      <c r="H1007" s="1" t="s">
        <v>3656</v>
      </c>
      <c r="I1007" s="418">
        <f t="shared" si="70"/>
        <v>1306.744005</v>
      </c>
      <c r="J1007" s="418">
        <f t="shared" si="69"/>
        <v>260.178</v>
      </c>
      <c r="K1007" s="351">
        <f t="shared" si="71"/>
        <v>144.55489679999999</v>
      </c>
      <c r="L1007" s="350">
        <f t="shared" si="72"/>
        <v>28.910979359999999</v>
      </c>
      <c r="M1007" s="350" t="s">
        <v>6169</v>
      </c>
      <c r="N1007" s="1" t="s">
        <v>3785</v>
      </c>
      <c r="O1007" s="1" t="s">
        <v>3986</v>
      </c>
      <c r="P1007" s="396" t="s">
        <v>3659</v>
      </c>
      <c r="Q1007" s="397">
        <v>0.2</v>
      </c>
      <c r="R1007" s="396">
        <v>1900002053</v>
      </c>
      <c r="S1007" s="2" t="s">
        <v>3475</v>
      </c>
      <c r="T1007" s="2" t="s">
        <v>5914</v>
      </c>
      <c r="U1007" s="2" t="s">
        <v>3475</v>
      </c>
    </row>
    <row r="1008" spans="1:21" hidden="1" x14ac:dyDescent="0.35">
      <c r="A1008" s="398" t="s">
        <v>4734</v>
      </c>
      <c r="B1008" s="1" t="s">
        <v>1686</v>
      </c>
      <c r="C1008" s="3">
        <v>43565</v>
      </c>
      <c r="D1008" s="3">
        <v>43565</v>
      </c>
      <c r="E1008" s="3"/>
      <c r="F1008" s="394" t="s">
        <v>4704</v>
      </c>
      <c r="G1008" s="394" t="s">
        <v>4601</v>
      </c>
      <c r="H1008" s="1" t="s">
        <v>3656</v>
      </c>
      <c r="I1008" s="418">
        <f t="shared" si="70"/>
        <v>1306.744005</v>
      </c>
      <c r="J1008" s="418">
        <f t="shared" si="69"/>
        <v>260.178</v>
      </c>
      <c r="K1008" s="351">
        <f t="shared" si="71"/>
        <v>144.55489679999999</v>
      </c>
      <c r="L1008" s="350">
        <f t="shared" si="72"/>
        <v>28.910979359999999</v>
      </c>
      <c r="M1008" s="350" t="s">
        <v>6169</v>
      </c>
      <c r="N1008" s="1" t="s">
        <v>3785</v>
      </c>
      <c r="O1008" s="1" t="s">
        <v>3986</v>
      </c>
      <c r="P1008" s="396" t="s">
        <v>3659</v>
      </c>
      <c r="Q1008" s="397">
        <v>0.2</v>
      </c>
      <c r="R1008" s="396">
        <v>1900002053</v>
      </c>
      <c r="S1008" s="2" t="s">
        <v>3475</v>
      </c>
      <c r="T1008" s="2" t="s">
        <v>5914</v>
      </c>
      <c r="U1008" s="2" t="s">
        <v>3475</v>
      </c>
    </row>
    <row r="1009" spans="1:21" hidden="1" x14ac:dyDescent="0.35">
      <c r="A1009" s="398" t="s">
        <v>4735</v>
      </c>
      <c r="B1009" s="1" t="s">
        <v>1686</v>
      </c>
      <c r="C1009" s="3">
        <v>43565</v>
      </c>
      <c r="D1009" s="3">
        <v>43565</v>
      </c>
      <c r="E1009" s="3"/>
      <c r="F1009" s="394" t="s">
        <v>4704</v>
      </c>
      <c r="G1009" s="394" t="s">
        <v>4601</v>
      </c>
      <c r="H1009" s="1" t="s">
        <v>3656</v>
      </c>
      <c r="I1009" s="418">
        <f t="shared" si="70"/>
        <v>1306.744005</v>
      </c>
      <c r="J1009" s="418">
        <f t="shared" si="69"/>
        <v>260.178</v>
      </c>
      <c r="K1009" s="351">
        <f t="shared" si="71"/>
        <v>144.55489679999999</v>
      </c>
      <c r="L1009" s="350">
        <f t="shared" si="72"/>
        <v>28.910979359999999</v>
      </c>
      <c r="M1009" s="350" t="s">
        <v>6169</v>
      </c>
      <c r="N1009" s="1" t="s">
        <v>3785</v>
      </c>
      <c r="O1009" s="1" t="s">
        <v>3986</v>
      </c>
      <c r="P1009" s="396" t="s">
        <v>3659</v>
      </c>
      <c r="Q1009" s="397">
        <v>0.2</v>
      </c>
      <c r="R1009" s="396">
        <v>1900002053</v>
      </c>
      <c r="S1009" s="2" t="s">
        <v>3475</v>
      </c>
      <c r="T1009" s="2" t="s">
        <v>5914</v>
      </c>
      <c r="U1009" s="2" t="s">
        <v>3475</v>
      </c>
    </row>
    <row r="1010" spans="1:21" hidden="1" x14ac:dyDescent="0.35">
      <c r="A1010" s="398" t="s">
        <v>4736</v>
      </c>
      <c r="B1010" s="1" t="s">
        <v>1686</v>
      </c>
      <c r="C1010" s="3">
        <v>43565</v>
      </c>
      <c r="D1010" s="3">
        <v>43565</v>
      </c>
      <c r="E1010" s="3"/>
      <c r="F1010" s="394" t="s">
        <v>4704</v>
      </c>
      <c r="G1010" s="394" t="s">
        <v>4601</v>
      </c>
      <c r="H1010" s="1" t="s">
        <v>3656</v>
      </c>
      <c r="I1010" s="418">
        <f t="shared" si="70"/>
        <v>1306.744005</v>
      </c>
      <c r="J1010" s="418">
        <f t="shared" si="69"/>
        <v>260.178</v>
      </c>
      <c r="K1010" s="351">
        <f t="shared" si="71"/>
        <v>144.55489679999999</v>
      </c>
      <c r="L1010" s="350">
        <f t="shared" si="72"/>
        <v>28.910979359999999</v>
      </c>
      <c r="M1010" s="350" t="s">
        <v>6169</v>
      </c>
      <c r="N1010" s="1" t="s">
        <v>3785</v>
      </c>
      <c r="O1010" s="1" t="s">
        <v>3986</v>
      </c>
      <c r="P1010" s="396" t="s">
        <v>3659</v>
      </c>
      <c r="Q1010" s="397">
        <v>0.2</v>
      </c>
      <c r="R1010" s="396">
        <v>1900002053</v>
      </c>
      <c r="S1010" s="2" t="s">
        <v>3475</v>
      </c>
      <c r="T1010" s="2" t="s">
        <v>5914</v>
      </c>
      <c r="U1010" s="2" t="s">
        <v>3475</v>
      </c>
    </row>
    <row r="1011" spans="1:21" hidden="1" x14ac:dyDescent="0.35">
      <c r="A1011" s="398" t="s">
        <v>4737</v>
      </c>
      <c r="B1011" s="1" t="s">
        <v>3455</v>
      </c>
      <c r="C1011" s="3">
        <v>43565</v>
      </c>
      <c r="D1011" s="3">
        <v>43565</v>
      </c>
      <c r="E1011" s="3" t="s">
        <v>3456</v>
      </c>
      <c r="F1011" s="394" t="s">
        <v>4704</v>
      </c>
      <c r="G1011" s="394" t="s">
        <v>4738</v>
      </c>
      <c r="H1011" s="1" t="s">
        <v>3656</v>
      </c>
      <c r="I1011" s="418">
        <f t="shared" si="70"/>
        <v>77649.356750000006</v>
      </c>
      <c r="J1011" s="418">
        <v>15460.300000000001</v>
      </c>
      <c r="K1011" s="351">
        <f t="shared" si="71"/>
        <v>8589.7426800000012</v>
      </c>
      <c r="L1011" s="350">
        <f t="shared" si="72"/>
        <v>1717.9485360000003</v>
      </c>
      <c r="M1011" s="350" t="s">
        <v>6169</v>
      </c>
      <c r="N1011" s="1" t="s">
        <v>3785</v>
      </c>
      <c r="O1011" s="1" t="s">
        <v>3986</v>
      </c>
      <c r="P1011" s="396" t="s">
        <v>3659</v>
      </c>
      <c r="Q1011" s="397">
        <v>0.2</v>
      </c>
      <c r="R1011" s="396">
        <v>1900002053</v>
      </c>
      <c r="S1011" s="2" t="s">
        <v>4739</v>
      </c>
      <c r="T1011" s="2" t="s">
        <v>5915</v>
      </c>
    </row>
    <row r="1012" spans="1:21" hidden="1" x14ac:dyDescent="0.35">
      <c r="A1012" s="398"/>
      <c r="B1012" s="1" t="s">
        <v>3455</v>
      </c>
      <c r="C1012" s="3">
        <v>43565</v>
      </c>
      <c r="D1012" s="3">
        <v>43565</v>
      </c>
      <c r="E1012" s="3"/>
      <c r="F1012" s="394" t="s">
        <v>4704</v>
      </c>
      <c r="G1012" s="394" t="s">
        <v>4738</v>
      </c>
      <c r="H1012" s="1" t="s">
        <v>3656</v>
      </c>
      <c r="I1012" s="418">
        <v>77649.356750000006</v>
      </c>
      <c r="J1012" s="418">
        <v>15460.300000000001</v>
      </c>
      <c r="K1012" s="351">
        <v>8589.7426800000012</v>
      </c>
      <c r="L1012" s="350">
        <v>1717.9485360000003</v>
      </c>
      <c r="M1012" s="350" t="s">
        <v>6169</v>
      </c>
      <c r="N1012" s="1" t="s">
        <v>3785</v>
      </c>
      <c r="O1012" s="1" t="s">
        <v>3986</v>
      </c>
      <c r="P1012" s="396" t="s">
        <v>3659</v>
      </c>
      <c r="Q1012" s="397">
        <v>0.2</v>
      </c>
      <c r="R1012" s="396">
        <v>1900002053</v>
      </c>
      <c r="S1012" s="2" t="s">
        <v>1377</v>
      </c>
      <c r="T1012" s="2" t="s">
        <v>5915</v>
      </c>
    </row>
    <row r="1013" spans="1:21" hidden="1" x14ac:dyDescent="0.35">
      <c r="A1013" s="398"/>
      <c r="B1013" t="s">
        <v>6451</v>
      </c>
      <c r="C1013" s="3">
        <v>43565</v>
      </c>
      <c r="D1013" s="3"/>
      <c r="E1013" s="6" t="s">
        <v>6416</v>
      </c>
      <c r="F1013" s="394"/>
      <c r="G1013" s="394" t="s">
        <v>4738</v>
      </c>
      <c r="H1013" s="1"/>
      <c r="I1013" s="418"/>
      <c r="J1013" s="418"/>
      <c r="K1013" s="351"/>
      <c r="L1013" s="350"/>
      <c r="M1013" s="350"/>
      <c r="N1013" s="1" t="s">
        <v>3785</v>
      </c>
      <c r="O1013" s="1"/>
      <c r="P1013" s="396"/>
      <c r="Q1013" s="397"/>
      <c r="R1013" s="396"/>
      <c r="S1013" s="2" t="s">
        <v>2504</v>
      </c>
      <c r="T1013" s="2"/>
    </row>
    <row r="1014" spans="1:21" hidden="1" x14ac:dyDescent="0.35">
      <c r="A1014" s="394"/>
      <c r="B1014" s="1" t="s">
        <v>4740</v>
      </c>
      <c r="C1014" s="399">
        <v>43910</v>
      </c>
      <c r="D1014" s="399">
        <v>43910</v>
      </c>
      <c r="E1014" s="3" t="s">
        <v>1544</v>
      </c>
      <c r="F1014" s="394"/>
      <c r="G1014" s="394" t="s">
        <v>4342</v>
      </c>
      <c r="H1014" s="1" t="s">
        <v>3656</v>
      </c>
      <c r="I1014" s="350">
        <f>12102.5/5</f>
        <v>2420.5</v>
      </c>
      <c r="J1014" s="350">
        <f>2275.15/5</f>
        <v>455.03000000000003</v>
      </c>
      <c r="K1014" s="350">
        <f>+J1014*(0.5556)</f>
        <v>252.81466800000001</v>
      </c>
      <c r="L1014" s="350">
        <f>+K1014*Q1014</f>
        <v>50.562933600000008</v>
      </c>
      <c r="M1014" s="350" t="s">
        <v>6169</v>
      </c>
      <c r="N1014" s="1" t="s">
        <v>3785</v>
      </c>
      <c r="O1014" s="1" t="s">
        <v>3986</v>
      </c>
      <c r="P1014" s="396" t="s">
        <v>3659</v>
      </c>
      <c r="Q1014" s="397">
        <v>0.2</v>
      </c>
      <c r="R1014" s="394"/>
      <c r="S1014" s="2" t="s">
        <v>2617</v>
      </c>
      <c r="T1014" s="2" t="s">
        <v>5915</v>
      </c>
    </row>
    <row r="1015" spans="1:21" s="819" customFormat="1" hidden="1" x14ac:dyDescent="0.35">
      <c r="A1015" s="818"/>
      <c r="B1015" s="1" t="s">
        <v>4741</v>
      </c>
      <c r="C1015" s="399">
        <v>43910</v>
      </c>
      <c r="D1015" s="399"/>
      <c r="E1015" s="821" t="s">
        <v>6245</v>
      </c>
      <c r="F1015" s="394"/>
      <c r="G1015" s="394" t="s">
        <v>4342</v>
      </c>
      <c r="H1015" s="1"/>
      <c r="I1015" s="350"/>
      <c r="J1015" s="350"/>
      <c r="K1015" s="350"/>
      <c r="L1015" s="350"/>
      <c r="M1015" s="350"/>
      <c r="N1015" s="1"/>
      <c r="O1015" s="1"/>
      <c r="P1015" s="396"/>
      <c r="Q1015" s="397"/>
      <c r="R1015" s="394"/>
      <c r="S1015" s="818" t="s">
        <v>57</v>
      </c>
      <c r="T1015" s="818"/>
    </row>
    <row r="1016" spans="1:21" hidden="1" x14ac:dyDescent="0.35">
      <c r="A1016" s="394"/>
      <c r="B1016" s="1" t="s">
        <v>4741</v>
      </c>
      <c r="C1016" s="399">
        <v>43910</v>
      </c>
      <c r="D1016" s="399">
        <v>43910</v>
      </c>
      <c r="E1016" s="3" t="s">
        <v>1578</v>
      </c>
      <c r="F1016" s="394"/>
      <c r="G1016" s="394" t="s">
        <v>4342</v>
      </c>
      <c r="H1016" s="1" t="s">
        <v>3656</v>
      </c>
      <c r="I1016" s="350">
        <f>12102.5/5</f>
        <v>2420.5</v>
      </c>
      <c r="J1016" s="350">
        <f>2275.15/5</f>
        <v>455.03000000000003</v>
      </c>
      <c r="K1016" s="350">
        <f>+J1016*(0.5556)</f>
        <v>252.81466800000001</v>
      </c>
      <c r="L1016" s="350">
        <f>+K1016*Q1016</f>
        <v>50.562933600000008</v>
      </c>
      <c r="M1016" s="350" t="s">
        <v>6169</v>
      </c>
      <c r="N1016" s="1" t="s">
        <v>3785</v>
      </c>
      <c r="O1016" s="1" t="s">
        <v>3986</v>
      </c>
      <c r="P1016" s="396" t="s">
        <v>3659</v>
      </c>
      <c r="Q1016" s="397">
        <v>0.2</v>
      </c>
      <c r="R1016" s="394"/>
      <c r="S1016" s="2" t="s">
        <v>1226</v>
      </c>
      <c r="T1016" s="2" t="s">
        <v>5915</v>
      </c>
    </row>
    <row r="1017" spans="1:21" hidden="1" x14ac:dyDescent="0.35">
      <c r="A1017" s="394"/>
      <c r="B1017" s="1" t="s">
        <v>3967</v>
      </c>
      <c r="C1017" s="399">
        <v>43910</v>
      </c>
      <c r="D1017" s="399">
        <v>43910</v>
      </c>
      <c r="E1017" s="3" t="s">
        <v>1655</v>
      </c>
      <c r="F1017" s="394"/>
      <c r="G1017" s="394" t="s">
        <v>4342</v>
      </c>
      <c r="H1017" s="1" t="s">
        <v>3656</v>
      </c>
      <c r="I1017" s="350">
        <f>12102.5/5</f>
        <v>2420.5</v>
      </c>
      <c r="J1017" s="350">
        <f>2275.15/5</f>
        <v>455.03000000000003</v>
      </c>
      <c r="K1017" s="350">
        <f>+J1017*(0.5556)</f>
        <v>252.81466800000001</v>
      </c>
      <c r="L1017" s="350">
        <f>+K1017*Q1017</f>
        <v>50.562933600000008</v>
      </c>
      <c r="M1017" s="350" t="s">
        <v>6169</v>
      </c>
      <c r="N1017" s="1" t="s">
        <v>3785</v>
      </c>
      <c r="O1017" s="1" t="s">
        <v>3986</v>
      </c>
      <c r="P1017" s="396" t="s">
        <v>3659</v>
      </c>
      <c r="Q1017" s="397">
        <v>0.2</v>
      </c>
      <c r="R1017" s="394"/>
      <c r="S1017" s="2" t="s">
        <v>1445</v>
      </c>
      <c r="T1017" s="2" t="s">
        <v>5915</v>
      </c>
    </row>
    <row r="1018" spans="1:21" hidden="1" x14ac:dyDescent="0.35">
      <c r="A1018" s="394"/>
      <c r="B1018" s="1" t="s">
        <v>4742</v>
      </c>
      <c r="C1018" s="399">
        <v>44197</v>
      </c>
      <c r="D1018" s="399">
        <v>44197</v>
      </c>
      <c r="E1018" s="3" t="s">
        <v>1499</v>
      </c>
      <c r="F1018" s="394"/>
      <c r="G1018" s="394" t="s">
        <v>4342</v>
      </c>
      <c r="H1018" s="1"/>
      <c r="I1018" s="350"/>
      <c r="J1018" s="350"/>
      <c r="K1018" s="350"/>
      <c r="L1018" s="350"/>
      <c r="M1018" s="350"/>
      <c r="N1018" s="1"/>
      <c r="O1018" s="1"/>
      <c r="P1018" s="396"/>
      <c r="Q1018" s="397"/>
      <c r="R1018" s="394"/>
      <c r="S1018" s="2" t="s">
        <v>6247</v>
      </c>
      <c r="T1018" s="2" t="s">
        <v>5915</v>
      </c>
    </row>
    <row r="1019" spans="1:21" hidden="1" x14ac:dyDescent="0.35">
      <c r="A1019" s="419"/>
      <c r="B1019" s="420" t="s">
        <v>4743</v>
      </c>
      <c r="C1019" s="421">
        <v>44197</v>
      </c>
      <c r="D1019" s="421">
        <v>44197</v>
      </c>
      <c r="E1019" s="813" t="s">
        <v>1614</v>
      </c>
      <c r="F1019" s="419"/>
      <c r="G1019" s="419" t="s">
        <v>4342</v>
      </c>
      <c r="H1019" s="420"/>
      <c r="I1019" s="359"/>
      <c r="J1019" s="359"/>
      <c r="K1019" s="359"/>
      <c r="L1019" s="359"/>
      <c r="M1019" s="359"/>
      <c r="N1019" s="1"/>
      <c r="O1019" s="1"/>
      <c r="P1019" s="396"/>
      <c r="Q1019" s="397"/>
      <c r="R1019" s="394"/>
      <c r="S1019" s="2" t="s">
        <v>1373</v>
      </c>
      <c r="T1019" s="2" t="s">
        <v>5915</v>
      </c>
    </row>
    <row r="1020" spans="1:21" hidden="1" x14ac:dyDescent="0.35">
      <c r="A1020" s="394"/>
      <c r="B1020" s="1" t="s">
        <v>4744</v>
      </c>
      <c r="C1020" s="399">
        <v>44197</v>
      </c>
      <c r="D1020" s="399">
        <v>44197</v>
      </c>
      <c r="E1020" s="3" t="s">
        <v>1649</v>
      </c>
      <c r="F1020" s="394"/>
      <c r="G1020" s="394" t="s">
        <v>4342</v>
      </c>
      <c r="H1020" s="1" t="s">
        <v>3656</v>
      </c>
      <c r="I1020" s="350">
        <f>12102.5/5</f>
        <v>2420.5</v>
      </c>
      <c r="J1020" s="350">
        <f>2275.15/5</f>
        <v>455.03000000000003</v>
      </c>
      <c r="K1020" s="350">
        <f>+J1020*(0.5556)</f>
        <v>252.81466800000001</v>
      </c>
      <c r="L1020" s="350">
        <f>+K1020*Q1020</f>
        <v>50.562933600000008</v>
      </c>
      <c r="M1020" s="350" t="s">
        <v>6169</v>
      </c>
      <c r="N1020" s="1" t="s">
        <v>3785</v>
      </c>
      <c r="O1020" s="1" t="s">
        <v>3986</v>
      </c>
      <c r="P1020" s="396" t="s">
        <v>3659</v>
      </c>
      <c r="Q1020" s="397">
        <v>0.2</v>
      </c>
      <c r="R1020" s="394"/>
      <c r="S1020" s="2" t="s">
        <v>1377</v>
      </c>
      <c r="T1020" s="2" t="s">
        <v>5915</v>
      </c>
    </row>
    <row r="1021" spans="1:21" hidden="1" x14ac:dyDescent="0.35">
      <c r="A1021" s="394"/>
      <c r="B1021" s="1" t="s">
        <v>4745</v>
      </c>
      <c r="C1021" s="399">
        <v>44197</v>
      </c>
      <c r="D1021" s="399">
        <v>44197</v>
      </c>
      <c r="E1021" s="3" t="s">
        <v>1658</v>
      </c>
      <c r="F1021" s="394"/>
      <c r="G1021" s="394" t="s">
        <v>4342</v>
      </c>
      <c r="H1021" s="1" t="s">
        <v>3656</v>
      </c>
      <c r="I1021" s="350">
        <f>12102.5/5</f>
        <v>2420.5</v>
      </c>
      <c r="J1021" s="350">
        <f>2275.15/5</f>
        <v>455.03000000000003</v>
      </c>
      <c r="K1021" s="350">
        <f>+J1021*(0.5556)</f>
        <v>252.81466800000001</v>
      </c>
      <c r="L1021" s="350">
        <f>+K1021*Q1021</f>
        <v>50.562933600000008</v>
      </c>
      <c r="M1021" s="350" t="s">
        <v>6169</v>
      </c>
      <c r="N1021" s="1" t="s">
        <v>3785</v>
      </c>
      <c r="O1021" s="1" t="s">
        <v>3986</v>
      </c>
      <c r="P1021" s="396" t="s">
        <v>3659</v>
      </c>
      <c r="Q1021" s="397">
        <v>0.2</v>
      </c>
      <c r="R1021" s="394"/>
      <c r="S1021" s="2" t="s">
        <v>1377</v>
      </c>
      <c r="T1021" s="2" t="s">
        <v>5915</v>
      </c>
    </row>
    <row r="1022" spans="1:21" hidden="1" x14ac:dyDescent="0.35">
      <c r="A1022" s="394"/>
      <c r="B1022" s="1" t="s">
        <v>4746</v>
      </c>
      <c r="C1022" s="399">
        <v>44197</v>
      </c>
      <c r="D1022" s="399">
        <v>44197</v>
      </c>
      <c r="E1022" s="3" t="s">
        <v>1672</v>
      </c>
      <c r="F1022" s="394"/>
      <c r="G1022" s="394" t="s">
        <v>4342</v>
      </c>
      <c r="H1022" s="1"/>
      <c r="I1022" s="350"/>
      <c r="J1022" s="350"/>
      <c r="K1022" s="350"/>
      <c r="L1022" s="350"/>
      <c r="M1022" s="350"/>
      <c r="N1022" s="1" t="s">
        <v>3785</v>
      </c>
      <c r="O1022" s="1"/>
      <c r="P1022" s="396"/>
      <c r="Q1022" s="397"/>
      <c r="R1022" s="394"/>
      <c r="S1022" s="2" t="s">
        <v>6251</v>
      </c>
      <c r="T1022" s="2" t="s">
        <v>5915</v>
      </c>
    </row>
    <row r="1023" spans="1:21" hidden="1" x14ac:dyDescent="0.35">
      <c r="A1023" s="386"/>
      <c r="B1023" s="2" t="s">
        <v>2506</v>
      </c>
      <c r="C1023" s="399">
        <v>44197</v>
      </c>
      <c r="D1023" s="399">
        <v>44197</v>
      </c>
      <c r="E1023" s="2" t="s">
        <v>2521</v>
      </c>
      <c r="F1023" s="386"/>
      <c r="G1023" s="386" t="s">
        <v>4387</v>
      </c>
      <c r="H1023" s="2"/>
      <c r="I1023" s="360">
        <f>SUM(I1014:I1021)</f>
        <v>12102.5</v>
      </c>
      <c r="J1023" s="360">
        <f>SUM(J1014:J1021)</f>
        <v>2275.15</v>
      </c>
      <c r="K1023" s="360">
        <f>SUM(K1014:K1021)</f>
        <v>1264.0733400000001</v>
      </c>
      <c r="L1023" s="360">
        <f>SUM(L1014:L1021)</f>
        <v>252.81466800000004</v>
      </c>
      <c r="M1023" s="360" t="s">
        <v>6169</v>
      </c>
      <c r="N1023" s="2"/>
      <c r="O1023" s="2"/>
      <c r="P1023" s="2"/>
      <c r="Q1023" s="2"/>
      <c r="R1023" s="386"/>
      <c r="S1023" s="2" t="s">
        <v>1377</v>
      </c>
      <c r="T1023" s="2" t="s">
        <v>5915</v>
      </c>
    </row>
    <row r="1024" spans="1:21" hidden="1" x14ac:dyDescent="0.35">
      <c r="A1024" s="386"/>
      <c r="B1024" s="2" t="s">
        <v>2506</v>
      </c>
      <c r="C1024" s="399">
        <v>44197</v>
      </c>
      <c r="D1024" s="399">
        <v>44197</v>
      </c>
      <c r="E1024" s="2" t="s">
        <v>2523</v>
      </c>
      <c r="F1024" s="386"/>
      <c r="G1024" s="386" t="s">
        <v>4387</v>
      </c>
      <c r="H1024" s="2"/>
      <c r="I1024" s="360"/>
      <c r="J1024" s="360"/>
      <c r="K1024" s="360"/>
      <c r="L1024" s="360"/>
      <c r="M1024" s="360"/>
      <c r="N1024" s="2"/>
      <c r="O1024" s="2"/>
      <c r="P1024" s="2"/>
      <c r="Q1024" s="2"/>
      <c r="R1024" s="386"/>
      <c r="S1024" s="2" t="s">
        <v>1377</v>
      </c>
      <c r="T1024" s="2" t="s">
        <v>5915</v>
      </c>
    </row>
    <row r="1025" spans="1:20" hidden="1" x14ac:dyDescent="0.35">
      <c r="A1025" s="386"/>
      <c r="B1025" s="2" t="s">
        <v>2506</v>
      </c>
      <c r="C1025" s="399">
        <v>44197</v>
      </c>
      <c r="D1025" s="399">
        <v>44197</v>
      </c>
      <c r="E1025" s="2" t="s">
        <v>2525</v>
      </c>
      <c r="F1025" s="386"/>
      <c r="G1025" s="386" t="s">
        <v>4387</v>
      </c>
      <c r="H1025" s="2"/>
      <c r="I1025" s="360"/>
      <c r="J1025" s="360"/>
      <c r="K1025" s="360"/>
      <c r="L1025" s="360"/>
      <c r="M1025" s="360"/>
      <c r="N1025" s="2"/>
      <c r="O1025" s="2"/>
      <c r="P1025" s="2"/>
      <c r="Q1025" s="2"/>
      <c r="R1025" s="386"/>
      <c r="S1025" s="2" t="s">
        <v>2504</v>
      </c>
      <c r="T1025" s="2" t="s">
        <v>5915</v>
      </c>
    </row>
    <row r="1026" spans="1:20" hidden="1" x14ac:dyDescent="0.35">
      <c r="A1026" s="386"/>
      <c r="B1026" s="2" t="s">
        <v>2506</v>
      </c>
      <c r="C1026" s="399">
        <v>44197</v>
      </c>
      <c r="D1026" s="399">
        <v>44197</v>
      </c>
      <c r="E1026" s="2" t="s">
        <v>2527</v>
      </c>
      <c r="F1026" s="386"/>
      <c r="G1026" s="386" t="s">
        <v>4387</v>
      </c>
      <c r="H1026" s="2"/>
      <c r="I1026" s="360"/>
      <c r="J1026" s="360"/>
      <c r="K1026" s="360"/>
      <c r="L1026" s="360"/>
      <c r="M1026" s="360"/>
      <c r="N1026" s="2"/>
      <c r="O1026" s="2"/>
      <c r="P1026" s="2"/>
      <c r="Q1026" s="2"/>
      <c r="R1026" s="386"/>
      <c r="S1026" s="2" t="s">
        <v>2504</v>
      </c>
      <c r="T1026" s="2" t="s">
        <v>5915</v>
      </c>
    </row>
    <row r="1027" spans="1:20" hidden="1" x14ac:dyDescent="0.35">
      <c r="A1027" s="2"/>
      <c r="B1027" s="2" t="s">
        <v>2506</v>
      </c>
      <c r="C1027" s="399">
        <v>44197</v>
      </c>
      <c r="D1027" s="399">
        <v>44197</v>
      </c>
      <c r="E1027" s="2" t="s">
        <v>2529</v>
      </c>
      <c r="F1027" s="386"/>
      <c r="G1027" s="386" t="s">
        <v>4387</v>
      </c>
      <c r="H1027" s="2"/>
      <c r="I1027" s="360"/>
      <c r="J1027" s="360"/>
      <c r="K1027" s="360"/>
      <c r="L1027" s="360"/>
      <c r="M1027" s="360"/>
      <c r="N1027" s="2"/>
      <c r="O1027" s="2"/>
      <c r="P1027" s="2"/>
      <c r="Q1027" s="2"/>
      <c r="R1027" s="386"/>
      <c r="S1027" s="2" t="s">
        <v>2504</v>
      </c>
      <c r="T1027" s="2" t="s">
        <v>5915</v>
      </c>
    </row>
    <row r="1028" spans="1:20" ht="12.75" hidden="1" customHeight="1" x14ac:dyDescent="0.35">
      <c r="A1028" s="2"/>
      <c r="B1028" s="2" t="s">
        <v>2549</v>
      </c>
      <c r="C1028" s="399">
        <v>44197</v>
      </c>
      <c r="D1028" s="399">
        <v>44197</v>
      </c>
      <c r="E1028" s="386" t="s">
        <v>4747</v>
      </c>
      <c r="F1028" s="386"/>
      <c r="G1028" s="386" t="s">
        <v>4387</v>
      </c>
      <c r="H1028" s="2"/>
      <c r="I1028" s="360"/>
      <c r="J1028" s="360"/>
      <c r="K1028" s="360"/>
      <c r="L1028" s="360"/>
      <c r="M1028" s="360"/>
      <c r="N1028" s="2"/>
      <c r="O1028" s="2"/>
      <c r="P1028" s="2"/>
      <c r="Q1028" s="2"/>
      <c r="R1028" s="386"/>
      <c r="S1028" s="2" t="s">
        <v>2511</v>
      </c>
      <c r="T1028" s="2" t="s">
        <v>5915</v>
      </c>
    </row>
    <row r="1029" spans="1:20" hidden="1" x14ac:dyDescent="0.35">
      <c r="A1029" s="2"/>
      <c r="B1029" s="2" t="s">
        <v>2549</v>
      </c>
      <c r="C1029" s="399">
        <v>44197</v>
      </c>
      <c r="D1029" s="399">
        <v>44197</v>
      </c>
      <c r="E1029" s="422">
        <v>952252000626</v>
      </c>
      <c r="F1029" s="386"/>
      <c r="G1029" s="386" t="s">
        <v>4387</v>
      </c>
      <c r="H1029" s="2"/>
      <c r="I1029" s="360"/>
      <c r="J1029" s="360"/>
      <c r="K1029" s="360"/>
      <c r="L1029" s="360"/>
      <c r="M1029" s="360"/>
      <c r="N1029" s="2"/>
      <c r="O1029" s="2"/>
      <c r="P1029" s="2"/>
      <c r="Q1029" s="2"/>
      <c r="R1029" s="386"/>
      <c r="S1029" s="2" t="s">
        <v>2511</v>
      </c>
      <c r="T1029" s="2" t="s">
        <v>5915</v>
      </c>
    </row>
    <row r="1030" spans="1:20" hidden="1" x14ac:dyDescent="0.35">
      <c r="A1030" s="2"/>
      <c r="B1030" s="2" t="s">
        <v>2554</v>
      </c>
      <c r="C1030" s="399">
        <v>44197</v>
      </c>
      <c r="D1030" s="399">
        <v>44197</v>
      </c>
      <c r="E1030" s="422" t="s">
        <v>2555</v>
      </c>
      <c r="F1030" s="386"/>
      <c r="G1030" s="386" t="s">
        <v>4387</v>
      </c>
      <c r="H1030" s="2"/>
      <c r="I1030" s="360"/>
      <c r="J1030" s="360"/>
      <c r="K1030" s="360"/>
      <c r="L1030" s="360"/>
      <c r="M1030" s="360"/>
      <c r="N1030" s="2"/>
      <c r="O1030" s="2"/>
      <c r="P1030" s="2"/>
      <c r="Q1030" s="2"/>
      <c r="R1030" s="386"/>
      <c r="S1030" s="2" t="s">
        <v>2504</v>
      </c>
      <c r="T1030" s="2" t="s">
        <v>5915</v>
      </c>
    </row>
    <row r="1031" spans="1:20" hidden="1" x14ac:dyDescent="0.35">
      <c r="A1031" s="2"/>
      <c r="B1031" s="2" t="s">
        <v>2557</v>
      </c>
      <c r="C1031" s="399">
        <v>44197</v>
      </c>
      <c r="D1031" s="399">
        <v>44197</v>
      </c>
      <c r="E1031" s="422">
        <v>652006000153</v>
      </c>
      <c r="F1031" s="386"/>
      <c r="G1031" s="386" t="s">
        <v>4387</v>
      </c>
      <c r="H1031" s="2"/>
      <c r="I1031" s="360"/>
      <c r="J1031" s="360"/>
      <c r="K1031" s="360"/>
      <c r="L1031" s="360"/>
      <c r="M1031" s="360"/>
      <c r="N1031" s="2"/>
      <c r="O1031" s="2"/>
      <c r="P1031" s="2"/>
      <c r="Q1031" s="2"/>
      <c r="R1031" s="386"/>
      <c r="S1031" s="2" t="s">
        <v>2504</v>
      </c>
      <c r="T1031" s="2" t="s">
        <v>5915</v>
      </c>
    </row>
    <row r="1032" spans="1:20" hidden="1" x14ac:dyDescent="0.35">
      <c r="A1032" s="2"/>
      <c r="B1032" s="2" t="s">
        <v>2557</v>
      </c>
      <c r="C1032" s="399">
        <v>44197</v>
      </c>
      <c r="D1032" s="399">
        <v>44197</v>
      </c>
      <c r="E1032" s="422">
        <v>952346002725</v>
      </c>
      <c r="F1032" s="386"/>
      <c r="G1032" s="386" t="s">
        <v>4387</v>
      </c>
      <c r="H1032" s="2"/>
      <c r="I1032" s="360"/>
      <c r="J1032" s="360"/>
      <c r="K1032" s="360"/>
      <c r="L1032" s="360"/>
      <c r="M1032" s="360"/>
      <c r="N1032" s="2"/>
      <c r="O1032" s="2"/>
      <c r="P1032" s="2"/>
      <c r="Q1032" s="2"/>
      <c r="R1032" s="386"/>
      <c r="S1032" s="2" t="s">
        <v>2504</v>
      </c>
      <c r="T1032" s="2" t="s">
        <v>5915</v>
      </c>
    </row>
    <row r="1033" spans="1:20" hidden="1" x14ac:dyDescent="0.35">
      <c r="A1033" s="2"/>
      <c r="B1033" s="2" t="s">
        <v>2557</v>
      </c>
      <c r="C1033" s="399">
        <v>44197</v>
      </c>
      <c r="D1033" s="399">
        <v>44197</v>
      </c>
      <c r="E1033" s="422">
        <v>652006000154</v>
      </c>
      <c r="F1033" s="386"/>
      <c r="G1033" s="386" t="s">
        <v>4387</v>
      </c>
      <c r="H1033" s="2"/>
      <c r="I1033" s="360"/>
      <c r="J1033" s="360"/>
      <c r="K1033" s="360"/>
      <c r="L1033" s="360"/>
      <c r="M1033" s="360"/>
      <c r="N1033" s="2"/>
      <c r="O1033" s="2"/>
      <c r="P1033" s="2"/>
      <c r="Q1033" s="2"/>
      <c r="R1033" s="386"/>
      <c r="S1033" s="2" t="s">
        <v>2504</v>
      </c>
      <c r="T1033" s="2" t="s">
        <v>5915</v>
      </c>
    </row>
    <row r="1034" spans="1:20" s="619" customFormat="1" hidden="1" x14ac:dyDescent="0.35">
      <c r="A1034" s="618"/>
      <c r="B1034" s="658" t="s">
        <v>274</v>
      </c>
      <c r="C1034" s="669">
        <v>45000</v>
      </c>
      <c r="D1034" s="399"/>
      <c r="E1034" s="808" t="s">
        <v>589</v>
      </c>
      <c r="F1034" s="386"/>
      <c r="G1034" s="670" t="s">
        <v>3655</v>
      </c>
      <c r="H1034" s="2"/>
      <c r="I1034" s="360"/>
      <c r="J1034" s="360"/>
      <c r="K1034" s="360"/>
      <c r="L1034" s="360"/>
      <c r="M1034" s="360"/>
      <c r="N1034" s="2"/>
      <c r="O1034" s="2"/>
      <c r="P1034" s="2"/>
      <c r="Q1034" s="2"/>
      <c r="R1034" s="386"/>
      <c r="S1034" s="618" t="s">
        <v>590</v>
      </c>
      <c r="T1034" s="618"/>
    </row>
    <row r="1035" spans="1:20" s="619" customFormat="1" hidden="1" x14ac:dyDescent="0.35">
      <c r="A1035" s="666" t="s">
        <v>4654</v>
      </c>
      <c r="B1035" s="658" t="s">
        <v>274</v>
      </c>
      <c r="C1035" s="669">
        <v>45000</v>
      </c>
      <c r="D1035" s="399">
        <v>45000</v>
      </c>
      <c r="E1035" s="669" t="s">
        <v>275</v>
      </c>
      <c r="F1035" s="423" t="s">
        <v>4748</v>
      </c>
      <c r="G1035" s="670" t="s">
        <v>3655</v>
      </c>
      <c r="H1035" s="1" t="s">
        <v>3656</v>
      </c>
      <c r="I1035" s="350">
        <f t="shared" ref="I1035:I1044" si="73">125155.83/10</f>
        <v>12515.583000000001</v>
      </c>
      <c r="J1035" s="350">
        <f t="shared" ref="J1035:J1044" si="74">12415.27/10</f>
        <v>1241.527</v>
      </c>
      <c r="K1035" s="350">
        <f t="shared" ref="K1035:K1049" si="75">+J1035*(0.5556)</f>
        <v>689.79240119999997</v>
      </c>
      <c r="L1035" s="350">
        <f t="shared" ref="L1035:L1049" si="76">+K1035*Q1035</f>
        <v>137.95848024</v>
      </c>
      <c r="M1035" s="350" t="s">
        <v>6169</v>
      </c>
      <c r="N1035" s="658" t="s">
        <v>2511</v>
      </c>
      <c r="O1035" s="1" t="s">
        <v>3986</v>
      </c>
      <c r="P1035" s="396" t="s">
        <v>3659</v>
      </c>
      <c r="Q1035" s="397">
        <v>0.2</v>
      </c>
      <c r="R1035" s="394">
        <v>1900000833</v>
      </c>
      <c r="S1035" s="618" t="s">
        <v>277</v>
      </c>
      <c r="T1035" s="618" t="s">
        <v>5915</v>
      </c>
    </row>
    <row r="1036" spans="1:20" s="594" customFormat="1" hidden="1" x14ac:dyDescent="0.35">
      <c r="A1036" s="601" t="s">
        <v>4655</v>
      </c>
      <c r="B1036" s="596" t="s">
        <v>274</v>
      </c>
      <c r="C1036" s="803">
        <v>45000</v>
      </c>
      <c r="D1036" s="399">
        <v>45000</v>
      </c>
      <c r="E1036" s="803" t="s">
        <v>278</v>
      </c>
      <c r="F1036" s="423" t="s">
        <v>4748</v>
      </c>
      <c r="G1036" s="811" t="s">
        <v>3655</v>
      </c>
      <c r="H1036" s="1" t="s">
        <v>3656</v>
      </c>
      <c r="I1036" s="350">
        <f t="shared" si="73"/>
        <v>12515.583000000001</v>
      </c>
      <c r="J1036" s="350">
        <f t="shared" si="74"/>
        <v>1241.527</v>
      </c>
      <c r="K1036" s="350">
        <f t="shared" si="75"/>
        <v>689.79240119999997</v>
      </c>
      <c r="L1036" s="350">
        <f t="shared" si="76"/>
        <v>137.95848024</v>
      </c>
      <c r="M1036" s="350" t="s">
        <v>6169</v>
      </c>
      <c r="N1036" s="1" t="s">
        <v>2511</v>
      </c>
      <c r="O1036" s="1" t="s">
        <v>3986</v>
      </c>
      <c r="P1036" s="396" t="s">
        <v>3659</v>
      </c>
      <c r="Q1036" s="397">
        <v>0.2</v>
      </c>
      <c r="R1036" s="394">
        <v>1900000833</v>
      </c>
      <c r="S1036" s="588" t="s">
        <v>4001</v>
      </c>
      <c r="T1036" s="588" t="s">
        <v>5915</v>
      </c>
    </row>
    <row r="1037" spans="1:20" s="619" customFormat="1" hidden="1" x14ac:dyDescent="0.35">
      <c r="A1037" s="666" t="s">
        <v>4656</v>
      </c>
      <c r="B1037" s="658" t="s">
        <v>274</v>
      </c>
      <c r="C1037" s="669">
        <v>45000</v>
      </c>
      <c r="D1037" s="399">
        <v>45000</v>
      </c>
      <c r="E1037" s="669" t="s">
        <v>279</v>
      </c>
      <c r="F1037" s="423" t="s">
        <v>4748</v>
      </c>
      <c r="G1037" s="670" t="s">
        <v>3655</v>
      </c>
      <c r="H1037" s="1" t="s">
        <v>3656</v>
      </c>
      <c r="I1037" s="350">
        <f t="shared" si="73"/>
        <v>12515.583000000001</v>
      </c>
      <c r="J1037" s="350">
        <f t="shared" si="74"/>
        <v>1241.527</v>
      </c>
      <c r="K1037" s="350">
        <f t="shared" si="75"/>
        <v>689.79240119999997</v>
      </c>
      <c r="L1037" s="350">
        <f t="shared" si="76"/>
        <v>137.95848024</v>
      </c>
      <c r="M1037" s="350" t="s">
        <v>6169</v>
      </c>
      <c r="N1037" s="658" t="s">
        <v>2511</v>
      </c>
      <c r="O1037" s="1" t="s">
        <v>3986</v>
      </c>
      <c r="P1037" s="396" t="s">
        <v>3659</v>
      </c>
      <c r="Q1037" s="397">
        <v>0.2</v>
      </c>
      <c r="R1037" s="394">
        <v>1900000833</v>
      </c>
      <c r="S1037" s="618" t="s">
        <v>280</v>
      </c>
      <c r="T1037" s="618" t="s">
        <v>5915</v>
      </c>
    </row>
    <row r="1038" spans="1:20" s="619" customFormat="1" hidden="1" x14ac:dyDescent="0.35">
      <c r="A1038" s="666" t="s">
        <v>4658</v>
      </c>
      <c r="B1038" s="658" t="s">
        <v>274</v>
      </c>
      <c r="C1038" s="669">
        <v>45000</v>
      </c>
      <c r="D1038" s="399">
        <v>45000</v>
      </c>
      <c r="E1038" s="669" t="s">
        <v>281</v>
      </c>
      <c r="F1038" s="423" t="s">
        <v>4748</v>
      </c>
      <c r="G1038" s="670" t="s">
        <v>3655</v>
      </c>
      <c r="H1038" s="1" t="s">
        <v>3656</v>
      </c>
      <c r="I1038" s="350">
        <f t="shared" si="73"/>
        <v>12515.583000000001</v>
      </c>
      <c r="J1038" s="350">
        <f t="shared" si="74"/>
        <v>1241.527</v>
      </c>
      <c r="K1038" s="350">
        <f t="shared" si="75"/>
        <v>689.79240119999997</v>
      </c>
      <c r="L1038" s="350">
        <f t="shared" si="76"/>
        <v>137.95848024</v>
      </c>
      <c r="M1038" s="350" t="s">
        <v>6169</v>
      </c>
      <c r="N1038" s="658" t="s">
        <v>2511</v>
      </c>
      <c r="O1038" s="1" t="s">
        <v>3986</v>
      </c>
      <c r="P1038" s="396" t="s">
        <v>3659</v>
      </c>
      <c r="Q1038" s="397">
        <v>0.2</v>
      </c>
      <c r="R1038" s="394">
        <v>1900000833</v>
      </c>
      <c r="S1038" s="618" t="s">
        <v>282</v>
      </c>
      <c r="T1038" s="618" t="s">
        <v>5915</v>
      </c>
    </row>
    <row r="1039" spans="1:20" s="619" customFormat="1" hidden="1" x14ac:dyDescent="0.35">
      <c r="A1039" s="666" t="s">
        <v>4659</v>
      </c>
      <c r="B1039" s="658" t="s">
        <v>274</v>
      </c>
      <c r="C1039" s="669">
        <v>45000</v>
      </c>
      <c r="D1039" s="399">
        <v>45000</v>
      </c>
      <c r="E1039" s="669" t="s">
        <v>283</v>
      </c>
      <c r="F1039" s="423" t="s">
        <v>4748</v>
      </c>
      <c r="G1039" s="670" t="s">
        <v>3655</v>
      </c>
      <c r="H1039" s="1" t="s">
        <v>3656</v>
      </c>
      <c r="I1039" s="350">
        <f t="shared" si="73"/>
        <v>12515.583000000001</v>
      </c>
      <c r="J1039" s="350">
        <f t="shared" si="74"/>
        <v>1241.527</v>
      </c>
      <c r="K1039" s="350">
        <f t="shared" si="75"/>
        <v>689.79240119999997</v>
      </c>
      <c r="L1039" s="350">
        <f t="shared" si="76"/>
        <v>137.95848024</v>
      </c>
      <c r="M1039" s="350" t="s">
        <v>6169</v>
      </c>
      <c r="N1039" s="658" t="s">
        <v>2511</v>
      </c>
      <c r="O1039" s="1" t="s">
        <v>3986</v>
      </c>
      <c r="P1039" s="396" t="s">
        <v>3659</v>
      </c>
      <c r="Q1039" s="397">
        <v>0.2</v>
      </c>
      <c r="R1039" s="394">
        <v>1900000833</v>
      </c>
      <c r="S1039" s="618" t="s">
        <v>284</v>
      </c>
      <c r="T1039" s="618" t="s">
        <v>5915</v>
      </c>
    </row>
    <row r="1040" spans="1:20" s="619" customFormat="1" hidden="1" x14ac:dyDescent="0.35">
      <c r="A1040" s="666" t="s">
        <v>4660</v>
      </c>
      <c r="B1040" s="658" t="s">
        <v>274</v>
      </c>
      <c r="C1040" s="669">
        <v>45000</v>
      </c>
      <c r="D1040" s="399">
        <v>45000</v>
      </c>
      <c r="E1040" s="669" t="s">
        <v>285</v>
      </c>
      <c r="F1040" s="423" t="s">
        <v>4748</v>
      </c>
      <c r="G1040" s="670" t="s">
        <v>3655</v>
      </c>
      <c r="H1040" s="1" t="s">
        <v>3656</v>
      </c>
      <c r="I1040" s="350">
        <f t="shared" si="73"/>
        <v>12515.583000000001</v>
      </c>
      <c r="J1040" s="350">
        <f t="shared" si="74"/>
        <v>1241.527</v>
      </c>
      <c r="K1040" s="350">
        <f t="shared" si="75"/>
        <v>689.79240119999997</v>
      </c>
      <c r="L1040" s="350">
        <f t="shared" si="76"/>
        <v>137.95848024</v>
      </c>
      <c r="M1040" s="350" t="s">
        <v>6169</v>
      </c>
      <c r="N1040" s="658" t="s">
        <v>2511</v>
      </c>
      <c r="O1040" s="1" t="s">
        <v>3986</v>
      </c>
      <c r="P1040" s="396" t="s">
        <v>3659</v>
      </c>
      <c r="Q1040" s="397">
        <v>0.2</v>
      </c>
      <c r="R1040" s="394">
        <v>1900000833</v>
      </c>
      <c r="S1040" s="618" t="s">
        <v>286</v>
      </c>
      <c r="T1040" s="618" t="s">
        <v>5915</v>
      </c>
    </row>
    <row r="1041" spans="1:21" s="619" customFormat="1" hidden="1" x14ac:dyDescent="0.35">
      <c r="A1041" s="666" t="s">
        <v>4661</v>
      </c>
      <c r="B1041" s="658" t="s">
        <v>274</v>
      </c>
      <c r="C1041" s="669">
        <v>45000</v>
      </c>
      <c r="D1041" s="399">
        <v>45000</v>
      </c>
      <c r="E1041" s="669" t="s">
        <v>287</v>
      </c>
      <c r="F1041" s="423" t="s">
        <v>4748</v>
      </c>
      <c r="G1041" s="670" t="s">
        <v>3655</v>
      </c>
      <c r="H1041" s="1" t="s">
        <v>3656</v>
      </c>
      <c r="I1041" s="350">
        <f t="shared" si="73"/>
        <v>12515.583000000001</v>
      </c>
      <c r="J1041" s="350">
        <f t="shared" si="74"/>
        <v>1241.527</v>
      </c>
      <c r="K1041" s="350">
        <f t="shared" si="75"/>
        <v>689.79240119999997</v>
      </c>
      <c r="L1041" s="350">
        <f t="shared" si="76"/>
        <v>137.95848024</v>
      </c>
      <c r="M1041" s="350" t="s">
        <v>6169</v>
      </c>
      <c r="N1041" s="658" t="s">
        <v>2511</v>
      </c>
      <c r="O1041" s="1" t="s">
        <v>3986</v>
      </c>
      <c r="P1041" s="396" t="s">
        <v>3659</v>
      </c>
      <c r="Q1041" s="397">
        <v>0.2</v>
      </c>
      <c r="R1041" s="394">
        <v>1900000833</v>
      </c>
      <c r="S1041" s="618" t="s">
        <v>288</v>
      </c>
      <c r="T1041" s="618" t="s">
        <v>5915</v>
      </c>
    </row>
    <row r="1042" spans="1:21" s="619" customFormat="1" hidden="1" x14ac:dyDescent="0.35">
      <c r="A1042" s="666" t="s">
        <v>4662</v>
      </c>
      <c r="B1042" s="658" t="s">
        <v>274</v>
      </c>
      <c r="C1042" s="669">
        <v>45000</v>
      </c>
      <c r="D1042" s="399">
        <v>45000</v>
      </c>
      <c r="E1042" s="669" t="s">
        <v>289</v>
      </c>
      <c r="F1042" s="423" t="s">
        <v>4748</v>
      </c>
      <c r="G1042" s="670" t="s">
        <v>3655</v>
      </c>
      <c r="H1042" s="1" t="s">
        <v>3656</v>
      </c>
      <c r="I1042" s="350">
        <f t="shared" si="73"/>
        <v>12515.583000000001</v>
      </c>
      <c r="J1042" s="350">
        <f t="shared" si="74"/>
        <v>1241.527</v>
      </c>
      <c r="K1042" s="350">
        <f t="shared" si="75"/>
        <v>689.79240119999997</v>
      </c>
      <c r="L1042" s="350">
        <f t="shared" si="76"/>
        <v>137.95848024</v>
      </c>
      <c r="M1042" s="350" t="s">
        <v>6169</v>
      </c>
      <c r="N1042" s="658" t="s">
        <v>2511</v>
      </c>
      <c r="O1042" s="1" t="s">
        <v>3986</v>
      </c>
      <c r="P1042" s="396" t="s">
        <v>3659</v>
      </c>
      <c r="Q1042" s="397">
        <v>0.2</v>
      </c>
      <c r="R1042" s="394">
        <v>1900000833</v>
      </c>
      <c r="S1042" s="618" t="s">
        <v>290</v>
      </c>
      <c r="T1042" s="618" t="s">
        <v>5915</v>
      </c>
    </row>
    <row r="1043" spans="1:21" s="619" customFormat="1" hidden="1" x14ac:dyDescent="0.35">
      <c r="A1043" s="666" t="s">
        <v>4663</v>
      </c>
      <c r="B1043" s="658" t="s">
        <v>274</v>
      </c>
      <c r="C1043" s="669">
        <v>45000</v>
      </c>
      <c r="D1043" s="399">
        <v>45000</v>
      </c>
      <c r="E1043" s="669" t="s">
        <v>291</v>
      </c>
      <c r="F1043" s="423" t="s">
        <v>4748</v>
      </c>
      <c r="G1043" s="670" t="s">
        <v>3655</v>
      </c>
      <c r="H1043" s="1" t="s">
        <v>3656</v>
      </c>
      <c r="I1043" s="350">
        <f t="shared" si="73"/>
        <v>12515.583000000001</v>
      </c>
      <c r="J1043" s="350">
        <f t="shared" si="74"/>
        <v>1241.527</v>
      </c>
      <c r="K1043" s="350">
        <f t="shared" si="75"/>
        <v>689.79240119999997</v>
      </c>
      <c r="L1043" s="350">
        <f t="shared" si="76"/>
        <v>137.95848024</v>
      </c>
      <c r="M1043" s="350" t="s">
        <v>6169</v>
      </c>
      <c r="N1043" s="658" t="s">
        <v>2511</v>
      </c>
      <c r="O1043" s="1" t="s">
        <v>3986</v>
      </c>
      <c r="P1043" s="396" t="s">
        <v>3659</v>
      </c>
      <c r="Q1043" s="397">
        <v>0.2</v>
      </c>
      <c r="R1043" s="394">
        <v>1900000833</v>
      </c>
      <c r="S1043" s="618" t="s">
        <v>292</v>
      </c>
      <c r="T1043" s="618" t="s">
        <v>5915</v>
      </c>
    </row>
    <row r="1044" spans="1:21" s="619" customFormat="1" hidden="1" x14ac:dyDescent="0.35">
      <c r="A1044" s="666" t="s">
        <v>4664</v>
      </c>
      <c r="B1044" s="658" t="s">
        <v>274</v>
      </c>
      <c r="C1044" s="669">
        <v>45000</v>
      </c>
      <c r="D1044" s="399">
        <v>45000</v>
      </c>
      <c r="E1044" s="669" t="s">
        <v>293</v>
      </c>
      <c r="F1044" s="423" t="s">
        <v>4748</v>
      </c>
      <c r="G1044" s="670" t="s">
        <v>3655</v>
      </c>
      <c r="H1044" s="1" t="s">
        <v>3656</v>
      </c>
      <c r="I1044" s="350">
        <f t="shared" si="73"/>
        <v>12515.583000000001</v>
      </c>
      <c r="J1044" s="350">
        <f t="shared" si="74"/>
        <v>1241.527</v>
      </c>
      <c r="K1044" s="350">
        <f t="shared" si="75"/>
        <v>689.79240119999997</v>
      </c>
      <c r="L1044" s="350">
        <f t="shared" si="76"/>
        <v>137.95848024</v>
      </c>
      <c r="M1044" s="350" t="s">
        <v>6169</v>
      </c>
      <c r="N1044" s="658" t="s">
        <v>2511</v>
      </c>
      <c r="O1044" s="1" t="s">
        <v>3986</v>
      </c>
      <c r="P1044" s="396" t="s">
        <v>3659</v>
      </c>
      <c r="Q1044" s="397">
        <v>0.2</v>
      </c>
      <c r="R1044" s="394">
        <v>1900000833</v>
      </c>
      <c r="S1044" s="618" t="s">
        <v>294</v>
      </c>
      <c r="T1044" s="618" t="s">
        <v>5915</v>
      </c>
    </row>
    <row r="1045" spans="1:21" hidden="1" x14ac:dyDescent="0.35">
      <c r="A1045" s="394" t="s">
        <v>4665</v>
      </c>
      <c r="B1045" s="1" t="s">
        <v>2490</v>
      </c>
      <c r="C1045" s="399">
        <v>44987</v>
      </c>
      <c r="D1045" s="399">
        <v>44987</v>
      </c>
      <c r="E1045" s="399" t="s">
        <v>2491</v>
      </c>
      <c r="F1045" s="423" t="s">
        <v>4749</v>
      </c>
      <c r="G1045" s="423" t="s">
        <v>3937</v>
      </c>
      <c r="H1045" s="1" t="s">
        <v>3656</v>
      </c>
      <c r="I1045" s="350">
        <f>80143.08*11.6106</f>
        <v>930509.24464799999</v>
      </c>
      <c r="J1045" s="350">
        <v>80143.08</v>
      </c>
      <c r="K1045" s="350">
        <f t="shared" si="75"/>
        <v>44527.495247999999</v>
      </c>
      <c r="L1045" s="350">
        <f t="shared" si="76"/>
        <v>8905.4990496000009</v>
      </c>
      <c r="M1045" s="350" t="s">
        <v>6169</v>
      </c>
      <c r="N1045" s="1" t="s">
        <v>2511</v>
      </c>
      <c r="O1045" s="1" t="s">
        <v>4750</v>
      </c>
      <c r="P1045" s="396" t="s">
        <v>3659</v>
      </c>
      <c r="Q1045" s="397">
        <v>0.2</v>
      </c>
      <c r="R1045" s="394">
        <v>1900001486</v>
      </c>
      <c r="S1045" s="2" t="s">
        <v>2511</v>
      </c>
      <c r="T1045" s="2" t="s">
        <v>5915</v>
      </c>
    </row>
    <row r="1046" spans="1:21" hidden="1" x14ac:dyDescent="0.35">
      <c r="A1046" s="394" t="s">
        <v>4666</v>
      </c>
      <c r="B1046" s="1" t="s">
        <v>2492</v>
      </c>
      <c r="C1046" s="399">
        <v>44987</v>
      </c>
      <c r="D1046" s="399">
        <v>44987</v>
      </c>
      <c r="E1046" s="399" t="s">
        <v>2493</v>
      </c>
      <c r="F1046" s="423" t="s">
        <v>4749</v>
      </c>
      <c r="G1046" s="423" t="s">
        <v>3937</v>
      </c>
      <c r="H1046" s="1" t="s">
        <v>3656</v>
      </c>
      <c r="I1046" s="350">
        <f>12687.17*11.6106</f>
        <v>147305.656002</v>
      </c>
      <c r="J1046" s="350">
        <v>12687.17</v>
      </c>
      <c r="K1046" s="350">
        <f t="shared" si="75"/>
        <v>7048.9916519999997</v>
      </c>
      <c r="L1046" s="350">
        <f t="shared" si="76"/>
        <v>1409.7983303999999</v>
      </c>
      <c r="M1046" s="350" t="s">
        <v>6169</v>
      </c>
      <c r="N1046" s="1" t="s">
        <v>2511</v>
      </c>
      <c r="O1046" s="1" t="s">
        <v>4750</v>
      </c>
      <c r="P1046" s="396" t="s">
        <v>3659</v>
      </c>
      <c r="Q1046" s="397">
        <v>0.2</v>
      </c>
      <c r="R1046" s="394">
        <v>1900001486</v>
      </c>
      <c r="S1046" s="2" t="s">
        <v>2511</v>
      </c>
      <c r="T1046" s="2" t="s">
        <v>5915</v>
      </c>
    </row>
    <row r="1047" spans="1:21" hidden="1" x14ac:dyDescent="0.35">
      <c r="A1047" s="394" t="s">
        <v>4667</v>
      </c>
      <c r="B1047" s="1" t="s">
        <v>2494</v>
      </c>
      <c r="C1047" s="399">
        <v>44987</v>
      </c>
      <c r="D1047" s="399">
        <v>44987</v>
      </c>
      <c r="E1047" s="399" t="s">
        <v>2495</v>
      </c>
      <c r="F1047" s="423" t="s">
        <v>4749</v>
      </c>
      <c r="G1047" s="423" t="s">
        <v>3937</v>
      </c>
      <c r="H1047" s="1" t="s">
        <v>3656</v>
      </c>
      <c r="I1047" s="350">
        <f>19379.66*11.6106</f>
        <v>225009.480396</v>
      </c>
      <c r="J1047" s="350">
        <f>58138.98/3</f>
        <v>19379.66</v>
      </c>
      <c r="K1047" s="350">
        <f t="shared" si="75"/>
        <v>10767.339096</v>
      </c>
      <c r="L1047" s="350">
        <f t="shared" si="76"/>
        <v>2153.4678192000001</v>
      </c>
      <c r="M1047" s="350" t="s">
        <v>6169</v>
      </c>
      <c r="N1047" s="1" t="s">
        <v>2511</v>
      </c>
      <c r="O1047" s="1" t="s">
        <v>4750</v>
      </c>
      <c r="P1047" s="396" t="s">
        <v>3659</v>
      </c>
      <c r="Q1047" s="397">
        <v>0.2</v>
      </c>
      <c r="R1047" s="394">
        <v>1900001486</v>
      </c>
      <c r="S1047" s="2" t="s">
        <v>2511</v>
      </c>
      <c r="T1047" s="2" t="s">
        <v>5915</v>
      </c>
    </row>
    <row r="1048" spans="1:21" hidden="1" x14ac:dyDescent="0.35">
      <c r="A1048" s="394" t="s">
        <v>4668</v>
      </c>
      <c r="B1048" s="1" t="s">
        <v>2494</v>
      </c>
      <c r="C1048" s="399">
        <v>44987</v>
      </c>
      <c r="D1048" s="399">
        <v>44987</v>
      </c>
      <c r="E1048" s="399" t="s">
        <v>2496</v>
      </c>
      <c r="F1048" s="423" t="s">
        <v>4749</v>
      </c>
      <c r="G1048" s="423" t="s">
        <v>3937</v>
      </c>
      <c r="H1048" s="1" t="s">
        <v>3656</v>
      </c>
      <c r="I1048" s="350">
        <v>225009.480396</v>
      </c>
      <c r="J1048" s="350">
        <v>19379.66</v>
      </c>
      <c r="K1048" s="350">
        <f t="shared" si="75"/>
        <v>10767.339096</v>
      </c>
      <c r="L1048" s="350">
        <f t="shared" si="76"/>
        <v>2153.4678192000001</v>
      </c>
      <c r="M1048" s="350" t="s">
        <v>6169</v>
      </c>
      <c r="N1048" s="1" t="s">
        <v>2511</v>
      </c>
      <c r="O1048" s="1" t="s">
        <v>4750</v>
      </c>
      <c r="P1048" s="396" t="s">
        <v>3659</v>
      </c>
      <c r="Q1048" s="397">
        <v>0.2</v>
      </c>
      <c r="R1048" s="394">
        <v>1900001486</v>
      </c>
      <c r="S1048" s="2" t="s">
        <v>2511</v>
      </c>
      <c r="T1048" s="2" t="s">
        <v>5915</v>
      </c>
      <c r="U1048"/>
    </row>
    <row r="1049" spans="1:21" hidden="1" x14ac:dyDescent="0.35">
      <c r="A1049" s="419" t="s">
        <v>4669</v>
      </c>
      <c r="B1049" s="420" t="s">
        <v>2494</v>
      </c>
      <c r="C1049" s="421">
        <v>44987</v>
      </c>
      <c r="D1049" s="421">
        <v>44987</v>
      </c>
      <c r="E1049" s="421" t="s">
        <v>2497</v>
      </c>
      <c r="F1049" s="424" t="s">
        <v>4749</v>
      </c>
      <c r="G1049" s="424" t="s">
        <v>3937</v>
      </c>
      <c r="H1049" s="420" t="s">
        <v>3656</v>
      </c>
      <c r="I1049" s="359">
        <v>225009.480396</v>
      </c>
      <c r="J1049" s="359">
        <v>19379.66</v>
      </c>
      <c r="K1049" s="359">
        <f t="shared" si="75"/>
        <v>10767.339096</v>
      </c>
      <c r="L1049" s="359">
        <f t="shared" si="76"/>
        <v>2153.4678192000001</v>
      </c>
      <c r="M1049" s="359" t="s">
        <v>6169</v>
      </c>
      <c r="N1049" s="420" t="s">
        <v>2511</v>
      </c>
      <c r="O1049" s="420" t="s">
        <v>4750</v>
      </c>
      <c r="P1049" s="425" t="s">
        <v>3659</v>
      </c>
      <c r="Q1049" s="426">
        <v>0.2</v>
      </c>
      <c r="R1049" s="419">
        <v>1900001486</v>
      </c>
      <c r="S1049" s="2" t="s">
        <v>2511</v>
      </c>
      <c r="T1049" s="2" t="s">
        <v>5915</v>
      </c>
    </row>
    <row r="1050" spans="1:21" hidden="1" x14ac:dyDescent="0.35">
      <c r="A1050" s="386"/>
      <c r="B1050" s="2" t="s">
        <v>4740</v>
      </c>
      <c r="C1050" s="399">
        <v>44987</v>
      </c>
      <c r="D1050" s="399">
        <v>44987</v>
      </c>
      <c r="E1050" s="387" t="s">
        <v>1590</v>
      </c>
      <c r="F1050" s="386"/>
      <c r="G1050" s="386" t="s">
        <v>1486</v>
      </c>
      <c r="H1050" s="2"/>
      <c r="I1050" s="360"/>
      <c r="J1050" s="360"/>
      <c r="K1050" s="360"/>
      <c r="L1050" s="360"/>
      <c r="M1050" s="360"/>
      <c r="N1050" s="2" t="s">
        <v>3785</v>
      </c>
      <c r="O1050" s="2"/>
      <c r="P1050" s="2"/>
      <c r="Q1050" s="2"/>
      <c r="R1050" s="386"/>
      <c r="S1050" s="2" t="s">
        <v>1201</v>
      </c>
      <c r="T1050" s="2" t="s">
        <v>5915</v>
      </c>
    </row>
    <row r="1051" spans="1:21" hidden="1" x14ac:dyDescent="0.35">
      <c r="A1051" s="427"/>
      <c r="B1051" s="427" t="s">
        <v>4751</v>
      </c>
      <c r="C1051" s="428">
        <v>43937</v>
      </c>
      <c r="D1051" s="428">
        <v>43937</v>
      </c>
      <c r="E1051" s="427" t="s">
        <v>746</v>
      </c>
      <c r="F1051" s="427" t="s">
        <v>4752</v>
      </c>
      <c r="G1051" s="427" t="s">
        <v>3784</v>
      </c>
      <c r="H1051" s="427" t="s">
        <v>3656</v>
      </c>
      <c r="I1051" s="429">
        <f>+J1051*6</f>
        <v>1828.5</v>
      </c>
      <c r="J1051" s="427">
        <v>304.75</v>
      </c>
      <c r="K1051" s="427">
        <v>304.75</v>
      </c>
      <c r="L1051" s="427">
        <f>+K1051*Q1051</f>
        <v>60.95</v>
      </c>
      <c r="M1051" s="427" t="s">
        <v>6171</v>
      </c>
      <c r="N1051" s="427" t="s">
        <v>3785</v>
      </c>
      <c r="O1051" s="427" t="s">
        <v>4120</v>
      </c>
      <c r="P1051" s="430" t="s">
        <v>3659</v>
      </c>
      <c r="Q1051" s="431">
        <v>0.2</v>
      </c>
      <c r="R1051" s="427">
        <v>1900001148</v>
      </c>
      <c r="S1051" s="427" t="s">
        <v>654</v>
      </c>
      <c r="T1051" s="2" t="s">
        <v>5915</v>
      </c>
    </row>
    <row r="1052" spans="1:21" hidden="1" x14ac:dyDescent="0.35">
      <c r="A1052" s="427"/>
      <c r="B1052" s="427" t="s">
        <v>4751</v>
      </c>
      <c r="C1052" s="428">
        <v>43937</v>
      </c>
      <c r="D1052" s="428">
        <v>43937</v>
      </c>
      <c r="E1052" s="427" t="s">
        <v>781</v>
      </c>
      <c r="F1052" s="427" t="s">
        <v>4752</v>
      </c>
      <c r="G1052" s="427" t="s">
        <v>3784</v>
      </c>
      <c r="H1052" s="427" t="s">
        <v>3656</v>
      </c>
      <c r="I1052" s="429">
        <f t="shared" ref="I1052:I1073" si="77">+J1052*6</f>
        <v>1828.5</v>
      </c>
      <c r="J1052" s="427">
        <v>304.75</v>
      </c>
      <c r="K1052" s="427">
        <v>304.75</v>
      </c>
      <c r="L1052" s="427">
        <f t="shared" ref="L1052:L1073" si="78">+K1052*Q1052</f>
        <v>60.95</v>
      </c>
      <c r="M1052" s="427" t="s">
        <v>6171</v>
      </c>
      <c r="N1052" s="432" t="s">
        <v>3785</v>
      </c>
      <c r="O1052" s="433" t="s">
        <v>4120</v>
      </c>
      <c r="P1052" s="430" t="s">
        <v>3659</v>
      </c>
      <c r="Q1052" s="431">
        <v>0.2</v>
      </c>
      <c r="R1052" s="427">
        <v>1900001148</v>
      </c>
      <c r="S1052" s="427" t="s">
        <v>780</v>
      </c>
      <c r="T1052" s="2" t="s">
        <v>5915</v>
      </c>
    </row>
    <row r="1053" spans="1:21" hidden="1" x14ac:dyDescent="0.35">
      <c r="A1053" s="427"/>
      <c r="B1053" s="427" t="s">
        <v>4751</v>
      </c>
      <c r="C1053" s="428">
        <v>43937</v>
      </c>
      <c r="D1053" s="428">
        <v>43937</v>
      </c>
      <c r="E1053" s="427" t="s">
        <v>783</v>
      </c>
      <c r="F1053" s="427" t="s">
        <v>4752</v>
      </c>
      <c r="G1053" s="427" t="s">
        <v>3784</v>
      </c>
      <c r="H1053" s="427" t="s">
        <v>3656</v>
      </c>
      <c r="I1053" s="429">
        <f t="shared" si="77"/>
        <v>1828.5</v>
      </c>
      <c r="J1053" s="427">
        <v>304.75</v>
      </c>
      <c r="K1053" s="427">
        <v>304.75</v>
      </c>
      <c r="L1053" s="427">
        <f t="shared" si="78"/>
        <v>60.95</v>
      </c>
      <c r="M1053" s="427" t="s">
        <v>6171</v>
      </c>
      <c r="N1053" s="432" t="s">
        <v>3785</v>
      </c>
      <c r="O1053" s="433" t="s">
        <v>4120</v>
      </c>
      <c r="P1053" s="430" t="s">
        <v>3659</v>
      </c>
      <c r="Q1053" s="431">
        <v>0.2</v>
      </c>
      <c r="R1053" s="427">
        <v>1900001148</v>
      </c>
      <c r="S1053" s="427" t="s">
        <v>780</v>
      </c>
      <c r="T1053" s="2" t="s">
        <v>5915</v>
      </c>
    </row>
    <row r="1054" spans="1:21" hidden="1" x14ac:dyDescent="0.35">
      <c r="A1054" s="427"/>
      <c r="B1054" s="427" t="s">
        <v>4751</v>
      </c>
      <c r="C1054" s="428">
        <v>43937</v>
      </c>
      <c r="D1054" s="428">
        <v>43937</v>
      </c>
      <c r="E1054" s="427" t="s">
        <v>858</v>
      </c>
      <c r="F1054" s="427" t="s">
        <v>4752</v>
      </c>
      <c r="G1054" s="427" t="s">
        <v>3784</v>
      </c>
      <c r="H1054" s="427" t="s">
        <v>3656</v>
      </c>
      <c r="I1054" s="429">
        <f t="shared" si="77"/>
        <v>1828.5</v>
      </c>
      <c r="J1054" s="427">
        <v>304.75</v>
      </c>
      <c r="K1054" s="427">
        <v>304.75</v>
      </c>
      <c r="L1054" s="427">
        <f t="shared" si="78"/>
        <v>60.95</v>
      </c>
      <c r="M1054" s="427" t="s">
        <v>6171</v>
      </c>
      <c r="N1054" s="432" t="s">
        <v>3785</v>
      </c>
      <c r="O1054" s="433" t="s">
        <v>4120</v>
      </c>
      <c r="P1054" s="430" t="s">
        <v>3659</v>
      </c>
      <c r="Q1054" s="431">
        <v>0.2</v>
      </c>
      <c r="R1054" s="427">
        <v>1900001148</v>
      </c>
      <c r="S1054" s="427" t="s">
        <v>600</v>
      </c>
      <c r="T1054" s="2" t="s">
        <v>5915</v>
      </c>
    </row>
    <row r="1055" spans="1:21" hidden="1" x14ac:dyDescent="0.35">
      <c r="A1055" s="427"/>
      <c r="B1055" s="427" t="s">
        <v>4751</v>
      </c>
      <c r="C1055" s="428">
        <v>43937</v>
      </c>
      <c r="D1055" s="428">
        <v>43937</v>
      </c>
      <c r="E1055" s="427" t="s">
        <v>902</v>
      </c>
      <c r="F1055" s="427" t="s">
        <v>4752</v>
      </c>
      <c r="G1055" s="427" t="s">
        <v>3784</v>
      </c>
      <c r="H1055" s="427" t="s">
        <v>3656</v>
      </c>
      <c r="I1055" s="429">
        <f t="shared" si="77"/>
        <v>1828.5</v>
      </c>
      <c r="J1055" s="427">
        <v>304.75</v>
      </c>
      <c r="K1055" s="427">
        <v>304.75</v>
      </c>
      <c r="L1055" s="427">
        <f t="shared" si="78"/>
        <v>60.95</v>
      </c>
      <c r="M1055" s="427" t="s">
        <v>6171</v>
      </c>
      <c r="N1055" s="432" t="s">
        <v>3785</v>
      </c>
      <c r="O1055" s="433" t="s">
        <v>4120</v>
      </c>
      <c r="P1055" s="430" t="s">
        <v>3659</v>
      </c>
      <c r="Q1055" s="431">
        <v>0.2</v>
      </c>
      <c r="R1055" s="427">
        <v>1900001148</v>
      </c>
      <c r="S1055" s="427" t="s">
        <v>588</v>
      </c>
      <c r="T1055" s="2" t="s">
        <v>5915</v>
      </c>
    </row>
    <row r="1056" spans="1:21" hidden="1" x14ac:dyDescent="0.35">
      <c r="A1056" s="427"/>
      <c r="B1056" s="427" t="s">
        <v>4751</v>
      </c>
      <c r="C1056" s="428">
        <v>43937</v>
      </c>
      <c r="D1056" s="428">
        <v>43937</v>
      </c>
      <c r="E1056" s="427" t="s">
        <v>909</v>
      </c>
      <c r="F1056" s="427" t="s">
        <v>4752</v>
      </c>
      <c r="G1056" s="427" t="s">
        <v>3784</v>
      </c>
      <c r="H1056" s="427" t="s">
        <v>3656</v>
      </c>
      <c r="I1056" s="429">
        <f t="shared" si="77"/>
        <v>1828.5</v>
      </c>
      <c r="J1056" s="427">
        <v>304.75</v>
      </c>
      <c r="K1056" s="427">
        <v>304.75</v>
      </c>
      <c r="L1056" s="427">
        <f t="shared" si="78"/>
        <v>60.95</v>
      </c>
      <c r="M1056" s="427" t="s">
        <v>6171</v>
      </c>
      <c r="N1056" s="432" t="s">
        <v>3785</v>
      </c>
      <c r="O1056" s="433" t="s">
        <v>4120</v>
      </c>
      <c r="P1056" s="430" t="s">
        <v>3659</v>
      </c>
      <c r="Q1056" s="431">
        <v>0.2</v>
      </c>
      <c r="R1056" s="427">
        <v>1900001148</v>
      </c>
      <c r="S1056" s="427" t="s">
        <v>907</v>
      </c>
      <c r="T1056" s="2" t="s">
        <v>5915</v>
      </c>
    </row>
    <row r="1057" spans="1:20" hidden="1" x14ac:dyDescent="0.35">
      <c r="A1057" s="427"/>
      <c r="B1057" s="427" t="s">
        <v>4751</v>
      </c>
      <c r="C1057" s="428">
        <v>43937</v>
      </c>
      <c r="D1057" s="428">
        <v>43937</v>
      </c>
      <c r="E1057" s="427" t="s">
        <v>912</v>
      </c>
      <c r="F1057" s="427" t="s">
        <v>4752</v>
      </c>
      <c r="G1057" s="427" t="s">
        <v>3784</v>
      </c>
      <c r="H1057" s="427" t="s">
        <v>3656</v>
      </c>
      <c r="I1057" s="429">
        <f t="shared" si="77"/>
        <v>1828.5</v>
      </c>
      <c r="J1057" s="427">
        <v>304.75</v>
      </c>
      <c r="K1057" s="427">
        <v>304.75</v>
      </c>
      <c r="L1057" s="427">
        <f t="shared" si="78"/>
        <v>60.95</v>
      </c>
      <c r="M1057" s="427" t="s">
        <v>6171</v>
      </c>
      <c r="N1057" s="432" t="s">
        <v>3785</v>
      </c>
      <c r="O1057" s="433" t="s">
        <v>4120</v>
      </c>
      <c r="P1057" s="430" t="s">
        <v>3659</v>
      </c>
      <c r="Q1057" s="431">
        <v>0.2</v>
      </c>
      <c r="R1057" s="427">
        <v>1900001148</v>
      </c>
      <c r="S1057" s="427" t="s">
        <v>910</v>
      </c>
      <c r="T1057" s="2" t="s">
        <v>5915</v>
      </c>
    </row>
    <row r="1058" spans="1:20" hidden="1" x14ac:dyDescent="0.35">
      <c r="A1058" s="427"/>
      <c r="B1058" s="427" t="s">
        <v>4751</v>
      </c>
      <c r="C1058" s="428">
        <v>43937</v>
      </c>
      <c r="D1058" s="428">
        <v>43937</v>
      </c>
      <c r="E1058" s="427" t="s">
        <v>946</v>
      </c>
      <c r="F1058" s="427" t="s">
        <v>4752</v>
      </c>
      <c r="G1058" s="427" t="s">
        <v>3784</v>
      </c>
      <c r="H1058" s="427" t="s">
        <v>3656</v>
      </c>
      <c r="I1058" s="429">
        <f t="shared" si="77"/>
        <v>1828.5</v>
      </c>
      <c r="J1058" s="427">
        <v>304.75</v>
      </c>
      <c r="K1058" s="427">
        <v>304.75</v>
      </c>
      <c r="L1058" s="427">
        <f t="shared" si="78"/>
        <v>60.95</v>
      </c>
      <c r="M1058" s="427" t="s">
        <v>6171</v>
      </c>
      <c r="N1058" s="432" t="s">
        <v>3785</v>
      </c>
      <c r="O1058" s="433" t="s">
        <v>4120</v>
      </c>
      <c r="P1058" s="430" t="s">
        <v>3659</v>
      </c>
      <c r="Q1058" s="431">
        <v>0.2</v>
      </c>
      <c r="R1058" s="427">
        <v>1900001148</v>
      </c>
      <c r="S1058" s="427" t="s">
        <v>434</v>
      </c>
      <c r="T1058" s="2" t="s">
        <v>5915</v>
      </c>
    </row>
    <row r="1059" spans="1:20" hidden="1" x14ac:dyDescent="0.35">
      <c r="A1059" s="427"/>
      <c r="B1059" s="427" t="s">
        <v>4751</v>
      </c>
      <c r="C1059" s="428">
        <v>43937</v>
      </c>
      <c r="D1059" s="428">
        <v>43937</v>
      </c>
      <c r="E1059" s="427" t="s">
        <v>964</v>
      </c>
      <c r="F1059" s="427" t="s">
        <v>4752</v>
      </c>
      <c r="G1059" s="427" t="s">
        <v>3784</v>
      </c>
      <c r="H1059" s="427" t="s">
        <v>3656</v>
      </c>
      <c r="I1059" s="429">
        <f t="shared" si="77"/>
        <v>1828.5</v>
      </c>
      <c r="J1059" s="427">
        <v>304.75</v>
      </c>
      <c r="K1059" s="427">
        <v>304.75</v>
      </c>
      <c r="L1059" s="427">
        <f t="shared" si="78"/>
        <v>60.95</v>
      </c>
      <c r="M1059" s="427" t="s">
        <v>6171</v>
      </c>
      <c r="N1059" s="432" t="s">
        <v>3785</v>
      </c>
      <c r="O1059" s="433" t="s">
        <v>4120</v>
      </c>
      <c r="P1059" s="430" t="s">
        <v>3659</v>
      </c>
      <c r="Q1059" s="431">
        <v>0.2</v>
      </c>
      <c r="R1059" s="427">
        <v>1900001148</v>
      </c>
      <c r="S1059" s="427" t="s">
        <v>961</v>
      </c>
      <c r="T1059" s="2" t="s">
        <v>5915</v>
      </c>
    </row>
    <row r="1060" spans="1:20" hidden="1" x14ac:dyDescent="0.35">
      <c r="A1060" s="427"/>
      <c r="B1060" s="427" t="s">
        <v>4751</v>
      </c>
      <c r="C1060" s="428">
        <v>43937</v>
      </c>
      <c r="D1060" s="428">
        <v>43937</v>
      </c>
      <c r="E1060" s="427" t="s">
        <v>968</v>
      </c>
      <c r="F1060" s="427" t="s">
        <v>4752</v>
      </c>
      <c r="G1060" s="427" t="s">
        <v>3784</v>
      </c>
      <c r="H1060" s="427" t="s">
        <v>3656</v>
      </c>
      <c r="I1060" s="429">
        <f t="shared" si="77"/>
        <v>1828.5</v>
      </c>
      <c r="J1060" s="427">
        <v>304.75</v>
      </c>
      <c r="K1060" s="427">
        <v>304.75</v>
      </c>
      <c r="L1060" s="427">
        <f t="shared" si="78"/>
        <v>60.95</v>
      </c>
      <c r="M1060" s="427" t="s">
        <v>6171</v>
      </c>
      <c r="N1060" s="432" t="s">
        <v>3785</v>
      </c>
      <c r="O1060" s="433" t="s">
        <v>4120</v>
      </c>
      <c r="P1060" s="430" t="s">
        <v>3659</v>
      </c>
      <c r="Q1060" s="431">
        <v>0.2</v>
      </c>
      <c r="R1060" s="427">
        <v>1900001148</v>
      </c>
      <c r="S1060" s="427" t="s">
        <v>638</v>
      </c>
      <c r="T1060" s="2" t="s">
        <v>5915</v>
      </c>
    </row>
    <row r="1061" spans="1:20" hidden="1" x14ac:dyDescent="0.35">
      <c r="A1061" s="427"/>
      <c r="B1061" s="427" t="s">
        <v>4751</v>
      </c>
      <c r="C1061" s="428">
        <v>43937</v>
      </c>
      <c r="D1061" s="428">
        <v>43937</v>
      </c>
      <c r="E1061" s="427" t="s">
        <v>986</v>
      </c>
      <c r="F1061" s="427" t="s">
        <v>4752</v>
      </c>
      <c r="G1061" s="427" t="s">
        <v>3784</v>
      </c>
      <c r="H1061" s="427" t="s">
        <v>3656</v>
      </c>
      <c r="I1061" s="429">
        <f t="shared" si="77"/>
        <v>1828.5</v>
      </c>
      <c r="J1061" s="427">
        <v>304.75</v>
      </c>
      <c r="K1061" s="427">
        <v>304.75</v>
      </c>
      <c r="L1061" s="427">
        <f t="shared" si="78"/>
        <v>60.95</v>
      </c>
      <c r="M1061" s="427" t="s">
        <v>6171</v>
      </c>
      <c r="N1061" s="432" t="s">
        <v>3785</v>
      </c>
      <c r="O1061" s="433" t="s">
        <v>4120</v>
      </c>
      <c r="P1061" s="430" t="s">
        <v>3659</v>
      </c>
      <c r="Q1061" s="431">
        <v>0.2</v>
      </c>
      <c r="R1061" s="427">
        <v>1900001148</v>
      </c>
      <c r="S1061" s="427" t="s">
        <v>6440</v>
      </c>
      <c r="T1061" s="2" t="s">
        <v>5915</v>
      </c>
    </row>
    <row r="1062" spans="1:20" hidden="1" x14ac:dyDescent="0.35">
      <c r="A1062" s="427"/>
      <c r="B1062" s="427" t="s">
        <v>4751</v>
      </c>
      <c r="C1062" s="428">
        <v>43937</v>
      </c>
      <c r="D1062" s="428">
        <v>43937</v>
      </c>
      <c r="E1062" s="427" t="s">
        <v>1011</v>
      </c>
      <c r="F1062" s="427" t="s">
        <v>4752</v>
      </c>
      <c r="G1062" s="427" t="s">
        <v>3784</v>
      </c>
      <c r="H1062" s="427" t="s">
        <v>3656</v>
      </c>
      <c r="I1062" s="429">
        <f t="shared" si="77"/>
        <v>1828.5</v>
      </c>
      <c r="J1062" s="427">
        <v>304.75</v>
      </c>
      <c r="K1062" s="427">
        <v>304.75</v>
      </c>
      <c r="L1062" s="427">
        <f t="shared" si="78"/>
        <v>60.95</v>
      </c>
      <c r="M1062" s="427" t="s">
        <v>6171</v>
      </c>
      <c r="N1062" s="432" t="s">
        <v>3785</v>
      </c>
      <c r="O1062" s="433" t="s">
        <v>4120</v>
      </c>
      <c r="P1062" s="430" t="s">
        <v>3659</v>
      </c>
      <c r="Q1062" s="431">
        <v>0.2</v>
      </c>
      <c r="R1062" s="427">
        <v>1900001148</v>
      </c>
      <c r="S1062" s="427" t="s">
        <v>1009</v>
      </c>
      <c r="T1062" s="2" t="s">
        <v>5915</v>
      </c>
    </row>
    <row r="1063" spans="1:20" hidden="1" x14ac:dyDescent="0.35">
      <c r="A1063" s="427"/>
      <c r="B1063" s="427" t="s">
        <v>4751</v>
      </c>
      <c r="C1063" s="428">
        <v>43937</v>
      </c>
      <c r="D1063" s="428">
        <v>43937</v>
      </c>
      <c r="E1063" s="427" t="s">
        <v>1060</v>
      </c>
      <c r="F1063" s="427" t="s">
        <v>4752</v>
      </c>
      <c r="G1063" s="427" t="s">
        <v>3784</v>
      </c>
      <c r="H1063" s="427" t="s">
        <v>3656</v>
      </c>
      <c r="I1063" s="429">
        <f t="shared" si="77"/>
        <v>1828.5</v>
      </c>
      <c r="J1063" s="427">
        <v>304.75</v>
      </c>
      <c r="K1063" s="427">
        <v>304.75</v>
      </c>
      <c r="L1063" s="427">
        <f t="shared" si="78"/>
        <v>60.95</v>
      </c>
      <c r="M1063" s="427" t="s">
        <v>6171</v>
      </c>
      <c r="N1063" s="432" t="s">
        <v>3785</v>
      </c>
      <c r="O1063" s="433" t="s">
        <v>4120</v>
      </c>
      <c r="P1063" s="430" t="s">
        <v>3659</v>
      </c>
      <c r="Q1063" s="431">
        <v>0.2</v>
      </c>
      <c r="R1063" s="427">
        <v>1900001148</v>
      </c>
      <c r="S1063" s="427" t="s">
        <v>1061</v>
      </c>
      <c r="T1063" s="2" t="s">
        <v>5915</v>
      </c>
    </row>
    <row r="1064" spans="1:20" hidden="1" x14ac:dyDescent="0.35">
      <c r="A1064" s="427"/>
      <c r="B1064" s="427" t="s">
        <v>4751</v>
      </c>
      <c r="C1064" s="428">
        <v>43937</v>
      </c>
      <c r="D1064" s="428">
        <v>43937</v>
      </c>
      <c r="E1064" s="427" t="s">
        <v>1071</v>
      </c>
      <c r="F1064" s="427" t="s">
        <v>4752</v>
      </c>
      <c r="G1064" s="427" t="s">
        <v>3784</v>
      </c>
      <c r="H1064" s="427" t="s">
        <v>3656</v>
      </c>
      <c r="I1064" s="429">
        <f t="shared" si="77"/>
        <v>1828.5</v>
      </c>
      <c r="J1064" s="427">
        <v>304.75</v>
      </c>
      <c r="K1064" s="427">
        <v>304.75</v>
      </c>
      <c r="L1064" s="427">
        <f t="shared" si="78"/>
        <v>60.95</v>
      </c>
      <c r="M1064" s="427" t="s">
        <v>6171</v>
      </c>
      <c r="N1064" s="432" t="s">
        <v>3785</v>
      </c>
      <c r="O1064" s="433" t="s">
        <v>4120</v>
      </c>
      <c r="P1064" s="430" t="s">
        <v>3659</v>
      </c>
      <c r="Q1064" s="431">
        <v>0.2</v>
      </c>
      <c r="R1064" s="427">
        <v>1900001148</v>
      </c>
      <c r="S1064" s="427" t="s">
        <v>1069</v>
      </c>
      <c r="T1064" s="2" t="s">
        <v>5915</v>
      </c>
    </row>
    <row r="1065" spans="1:20" hidden="1" x14ac:dyDescent="0.35">
      <c r="A1065" s="427"/>
      <c r="B1065" s="427" t="s">
        <v>4751</v>
      </c>
      <c r="C1065" s="428">
        <v>43937</v>
      </c>
      <c r="D1065" s="428">
        <v>43937</v>
      </c>
      <c r="E1065" s="427" t="s">
        <v>1101</v>
      </c>
      <c r="F1065" s="427" t="s">
        <v>4752</v>
      </c>
      <c r="G1065" s="427" t="s">
        <v>3784</v>
      </c>
      <c r="H1065" s="427" t="s">
        <v>3656</v>
      </c>
      <c r="I1065" s="429">
        <f t="shared" si="77"/>
        <v>1828.5</v>
      </c>
      <c r="J1065" s="427">
        <v>304.75</v>
      </c>
      <c r="K1065" s="427">
        <v>304.75</v>
      </c>
      <c r="L1065" s="427">
        <f t="shared" si="78"/>
        <v>60.95</v>
      </c>
      <c r="M1065" s="427" t="s">
        <v>6171</v>
      </c>
      <c r="N1065" s="432" t="s">
        <v>3785</v>
      </c>
      <c r="O1065" s="433" t="s">
        <v>4120</v>
      </c>
      <c r="P1065" s="430" t="s">
        <v>3659</v>
      </c>
      <c r="Q1065" s="431">
        <v>0.2</v>
      </c>
      <c r="R1065" s="427">
        <v>1900001148</v>
      </c>
      <c r="S1065" s="427" t="s">
        <v>1089</v>
      </c>
      <c r="T1065" s="2" t="s">
        <v>5915</v>
      </c>
    </row>
    <row r="1066" spans="1:20" hidden="1" x14ac:dyDescent="0.35">
      <c r="A1066" s="427"/>
      <c r="B1066" s="427" t="s">
        <v>4751</v>
      </c>
      <c r="C1066" s="428">
        <v>43937</v>
      </c>
      <c r="D1066" s="428">
        <v>43937</v>
      </c>
      <c r="E1066" s="427" t="s">
        <v>1102</v>
      </c>
      <c r="F1066" s="427" t="s">
        <v>4752</v>
      </c>
      <c r="G1066" s="427" t="s">
        <v>3784</v>
      </c>
      <c r="H1066" s="427" t="s">
        <v>3656</v>
      </c>
      <c r="I1066" s="429">
        <f t="shared" si="77"/>
        <v>1828.5</v>
      </c>
      <c r="J1066" s="427">
        <v>304.75</v>
      </c>
      <c r="K1066" s="427">
        <v>304.75</v>
      </c>
      <c r="L1066" s="427">
        <f t="shared" si="78"/>
        <v>60.95</v>
      </c>
      <c r="M1066" s="427" t="s">
        <v>6171</v>
      </c>
      <c r="N1066" s="432" t="s">
        <v>3785</v>
      </c>
      <c r="O1066" s="433" t="s">
        <v>4120</v>
      </c>
      <c r="P1066" s="430" t="s">
        <v>3659</v>
      </c>
      <c r="Q1066" s="431">
        <v>0.2</v>
      </c>
      <c r="R1066" s="427">
        <v>1900001148</v>
      </c>
      <c r="S1066" s="427" t="s">
        <v>1089</v>
      </c>
      <c r="T1066" s="2" t="s">
        <v>5915</v>
      </c>
    </row>
    <row r="1067" spans="1:20" hidden="1" x14ac:dyDescent="0.35">
      <c r="A1067" s="427"/>
      <c r="B1067" s="427" t="s">
        <v>4751</v>
      </c>
      <c r="C1067" s="428">
        <v>43937</v>
      </c>
      <c r="D1067" s="428">
        <v>43937</v>
      </c>
      <c r="E1067" s="427" t="s">
        <v>1116</v>
      </c>
      <c r="F1067" s="427" t="s">
        <v>4752</v>
      </c>
      <c r="G1067" s="427" t="s">
        <v>3784</v>
      </c>
      <c r="H1067" s="427" t="s">
        <v>3656</v>
      </c>
      <c r="I1067" s="429">
        <f t="shared" si="77"/>
        <v>1828.5</v>
      </c>
      <c r="J1067" s="427">
        <v>304.75</v>
      </c>
      <c r="K1067" s="427">
        <v>304.75</v>
      </c>
      <c r="L1067" s="427">
        <f t="shared" si="78"/>
        <v>60.95</v>
      </c>
      <c r="M1067" s="427" t="s">
        <v>6171</v>
      </c>
      <c r="N1067" s="432" t="s">
        <v>3785</v>
      </c>
      <c r="O1067" s="433" t="s">
        <v>4120</v>
      </c>
      <c r="P1067" s="430" t="s">
        <v>3659</v>
      </c>
      <c r="Q1067" s="431">
        <v>0.2</v>
      </c>
      <c r="R1067" s="427">
        <v>1900001148</v>
      </c>
      <c r="S1067" s="427" t="s">
        <v>503</v>
      </c>
      <c r="T1067" s="2" t="s">
        <v>5915</v>
      </c>
    </row>
    <row r="1068" spans="1:20" hidden="1" x14ac:dyDescent="0.35">
      <c r="A1068" s="427"/>
      <c r="B1068" s="427" t="s">
        <v>4751</v>
      </c>
      <c r="C1068" s="428">
        <v>43937</v>
      </c>
      <c r="D1068" s="428">
        <v>43937</v>
      </c>
      <c r="E1068" s="427" t="s">
        <v>1139</v>
      </c>
      <c r="F1068" s="427" t="s">
        <v>4752</v>
      </c>
      <c r="G1068" s="427" t="s">
        <v>3784</v>
      </c>
      <c r="H1068" s="427" t="s">
        <v>3656</v>
      </c>
      <c r="I1068" s="429">
        <f t="shared" si="77"/>
        <v>1828.5</v>
      </c>
      <c r="J1068" s="427">
        <v>304.75</v>
      </c>
      <c r="K1068" s="427">
        <v>304.75</v>
      </c>
      <c r="L1068" s="427">
        <f t="shared" si="78"/>
        <v>60.95</v>
      </c>
      <c r="M1068" s="427" t="s">
        <v>6171</v>
      </c>
      <c r="N1068" s="432" t="s">
        <v>3785</v>
      </c>
      <c r="O1068" s="433" t="s">
        <v>4120</v>
      </c>
      <c r="P1068" s="430" t="s">
        <v>3659</v>
      </c>
      <c r="Q1068" s="431">
        <v>0.2</v>
      </c>
      <c r="R1068" s="427">
        <v>1900001148</v>
      </c>
      <c r="S1068" s="427" t="s">
        <v>1137</v>
      </c>
      <c r="T1068" s="2" t="s">
        <v>5915</v>
      </c>
    </row>
    <row r="1069" spans="1:20" hidden="1" x14ac:dyDescent="0.35">
      <c r="A1069" s="427"/>
      <c r="B1069" s="427" t="s">
        <v>4751</v>
      </c>
      <c r="C1069" s="428">
        <v>43937</v>
      </c>
      <c r="D1069" s="428">
        <v>43937</v>
      </c>
      <c r="E1069" s="427" t="s">
        <v>1189</v>
      </c>
      <c r="F1069" s="427" t="s">
        <v>4752</v>
      </c>
      <c r="G1069" s="427" t="s">
        <v>3784</v>
      </c>
      <c r="H1069" s="427" t="s">
        <v>3656</v>
      </c>
      <c r="I1069" s="429">
        <f t="shared" si="77"/>
        <v>1828.5</v>
      </c>
      <c r="J1069" s="427">
        <v>304.75</v>
      </c>
      <c r="K1069" s="427">
        <v>304.75</v>
      </c>
      <c r="L1069" s="427">
        <f t="shared" si="78"/>
        <v>60.95</v>
      </c>
      <c r="M1069" s="427" t="s">
        <v>6171</v>
      </c>
      <c r="N1069" s="432" t="s">
        <v>3785</v>
      </c>
      <c r="O1069" s="433" t="s">
        <v>4120</v>
      </c>
      <c r="P1069" s="430" t="s">
        <v>3659</v>
      </c>
      <c r="Q1069" s="431">
        <v>0.2</v>
      </c>
      <c r="R1069" s="427">
        <v>1900001148</v>
      </c>
      <c r="S1069" s="427" t="s">
        <v>1166</v>
      </c>
      <c r="T1069" s="2" t="s">
        <v>5915</v>
      </c>
    </row>
    <row r="1070" spans="1:20" hidden="1" x14ac:dyDescent="0.35">
      <c r="A1070" s="427"/>
      <c r="B1070" s="427" t="s">
        <v>4751</v>
      </c>
      <c r="C1070" s="428">
        <v>43937</v>
      </c>
      <c r="D1070" s="428">
        <v>43937</v>
      </c>
      <c r="E1070" s="427" t="s">
        <v>1259</v>
      </c>
      <c r="F1070" s="427" t="s">
        <v>4752</v>
      </c>
      <c r="G1070" s="427" t="s">
        <v>3784</v>
      </c>
      <c r="H1070" s="427" t="s">
        <v>3656</v>
      </c>
      <c r="I1070" s="429">
        <f t="shared" si="77"/>
        <v>1828.5</v>
      </c>
      <c r="J1070" s="427">
        <v>304.75</v>
      </c>
      <c r="K1070" s="427">
        <v>304.75</v>
      </c>
      <c r="L1070" s="427">
        <f t="shared" si="78"/>
        <v>60.95</v>
      </c>
      <c r="M1070" s="427" t="s">
        <v>6171</v>
      </c>
      <c r="N1070" s="432" t="s">
        <v>3785</v>
      </c>
      <c r="O1070" s="433" t="s">
        <v>4120</v>
      </c>
      <c r="P1070" s="430" t="s">
        <v>3659</v>
      </c>
      <c r="Q1070" s="431">
        <v>0.2</v>
      </c>
      <c r="R1070" s="427">
        <v>1900001148</v>
      </c>
      <c r="S1070" s="427" t="s">
        <v>1256</v>
      </c>
      <c r="T1070" s="2" t="s">
        <v>5915</v>
      </c>
    </row>
    <row r="1071" spans="1:20" hidden="1" x14ac:dyDescent="0.35">
      <c r="A1071" s="427"/>
      <c r="B1071" s="427" t="s">
        <v>4751</v>
      </c>
      <c r="C1071" s="428">
        <v>43937</v>
      </c>
      <c r="D1071" s="428">
        <v>43937</v>
      </c>
      <c r="E1071" s="427" t="s">
        <v>1337</v>
      </c>
      <c r="F1071" s="427" t="s">
        <v>4752</v>
      </c>
      <c r="G1071" s="427" t="s">
        <v>3784</v>
      </c>
      <c r="H1071" s="427" t="s">
        <v>3656</v>
      </c>
      <c r="I1071" s="429">
        <f t="shared" si="77"/>
        <v>1828.5</v>
      </c>
      <c r="J1071" s="427">
        <v>304.75</v>
      </c>
      <c r="K1071" s="427">
        <v>304.75</v>
      </c>
      <c r="L1071" s="427">
        <f t="shared" si="78"/>
        <v>60.95</v>
      </c>
      <c r="M1071" s="427" t="s">
        <v>6171</v>
      </c>
      <c r="N1071" s="432" t="s">
        <v>3785</v>
      </c>
      <c r="O1071" s="433" t="s">
        <v>4120</v>
      </c>
      <c r="P1071" s="430" t="s">
        <v>3659</v>
      </c>
      <c r="Q1071" s="431">
        <v>0.2</v>
      </c>
      <c r="R1071" s="427">
        <v>1900001148</v>
      </c>
      <c r="S1071" s="427" t="s">
        <v>495</v>
      </c>
      <c r="T1071" s="2" t="s">
        <v>5915</v>
      </c>
    </row>
    <row r="1072" spans="1:20" hidden="1" x14ac:dyDescent="0.35">
      <c r="A1072" s="427"/>
      <c r="B1072" s="427" t="s">
        <v>4751</v>
      </c>
      <c r="C1072" s="428">
        <v>43937</v>
      </c>
      <c r="D1072" s="428">
        <v>43937</v>
      </c>
      <c r="E1072" s="427" t="s">
        <v>1346</v>
      </c>
      <c r="F1072" s="427" t="s">
        <v>4752</v>
      </c>
      <c r="G1072" s="427" t="s">
        <v>3784</v>
      </c>
      <c r="H1072" s="427" t="s">
        <v>3656</v>
      </c>
      <c r="I1072" s="429">
        <f t="shared" si="77"/>
        <v>1828.5</v>
      </c>
      <c r="J1072" s="427">
        <v>304.75</v>
      </c>
      <c r="K1072" s="427">
        <v>304.75</v>
      </c>
      <c r="L1072" s="427">
        <f t="shared" si="78"/>
        <v>60.95</v>
      </c>
      <c r="M1072" s="427" t="s">
        <v>6171</v>
      </c>
      <c r="N1072" s="432" t="s">
        <v>3785</v>
      </c>
      <c r="O1072" s="433" t="s">
        <v>4120</v>
      </c>
      <c r="P1072" s="430" t="s">
        <v>3659</v>
      </c>
      <c r="Q1072" s="431">
        <v>0.2</v>
      </c>
      <c r="R1072" s="427">
        <v>1900001148</v>
      </c>
      <c r="S1072" s="427" t="s">
        <v>1345</v>
      </c>
      <c r="T1072" s="2" t="s">
        <v>5915</v>
      </c>
    </row>
    <row r="1073" spans="1:20" hidden="1" x14ac:dyDescent="0.35">
      <c r="A1073" s="427"/>
      <c r="B1073" s="427" t="s">
        <v>4751</v>
      </c>
      <c r="C1073" s="428">
        <v>43937</v>
      </c>
      <c r="D1073" s="428">
        <v>43937</v>
      </c>
      <c r="E1073" s="427" t="s">
        <v>1442</v>
      </c>
      <c r="F1073" s="427" t="s">
        <v>4752</v>
      </c>
      <c r="G1073" s="427" t="s">
        <v>3784</v>
      </c>
      <c r="H1073" s="427" t="s">
        <v>3656</v>
      </c>
      <c r="I1073" s="429">
        <f t="shared" si="77"/>
        <v>1828.5</v>
      </c>
      <c r="J1073" s="427">
        <v>304.75</v>
      </c>
      <c r="K1073" s="427">
        <v>304.75</v>
      </c>
      <c r="L1073" s="427">
        <f t="shared" si="78"/>
        <v>60.95</v>
      </c>
      <c r="M1073" s="427" t="s">
        <v>6171</v>
      </c>
      <c r="N1073" s="432" t="s">
        <v>4753</v>
      </c>
      <c r="O1073" s="433" t="s">
        <v>4120</v>
      </c>
      <c r="P1073" s="430" t="s">
        <v>3659</v>
      </c>
      <c r="Q1073" s="431">
        <v>0.2</v>
      </c>
      <c r="R1073" s="427">
        <v>1900001148</v>
      </c>
      <c r="S1073" s="427" t="s">
        <v>1377</v>
      </c>
      <c r="T1073" s="2" t="s">
        <v>5915</v>
      </c>
    </row>
    <row r="1074" spans="1:20" hidden="1" x14ac:dyDescent="0.35">
      <c r="A1074" s="434"/>
      <c r="B1074" s="435" t="s">
        <v>4751</v>
      </c>
      <c r="C1074" s="436">
        <v>44446</v>
      </c>
      <c r="D1074" s="436">
        <v>44446</v>
      </c>
      <c r="E1074" s="437" t="s">
        <v>796</v>
      </c>
      <c r="F1074" s="438" t="s">
        <v>4754</v>
      </c>
      <c r="G1074" s="438" t="s">
        <v>3784</v>
      </c>
      <c r="H1074" s="438" t="s">
        <v>3656</v>
      </c>
      <c r="I1074" s="439">
        <f>14535.57/10</f>
        <v>1453.557</v>
      </c>
      <c r="J1074" s="439">
        <f>2395.53/10</f>
        <v>239.55300000000003</v>
      </c>
      <c r="K1074" s="440">
        <v>239.55300000000003</v>
      </c>
      <c r="L1074" s="427">
        <f t="shared" ref="L1074:L1081" si="79">+K1074*Q1074</f>
        <v>47.910600000000009</v>
      </c>
      <c r="M1074" s="427" t="s">
        <v>6171</v>
      </c>
      <c r="N1074" s="438" t="s">
        <v>3785</v>
      </c>
      <c r="O1074" s="432" t="s">
        <v>4120</v>
      </c>
      <c r="P1074" s="430" t="s">
        <v>3659</v>
      </c>
      <c r="Q1074" s="431">
        <v>0.2</v>
      </c>
      <c r="R1074" s="438">
        <v>1900003002</v>
      </c>
      <c r="S1074" s="435" t="s">
        <v>333</v>
      </c>
      <c r="T1074" s="2" t="s">
        <v>5915</v>
      </c>
    </row>
    <row r="1075" spans="1:20" hidden="1" x14ac:dyDescent="0.35">
      <c r="A1075" s="441"/>
      <c r="B1075" s="435" t="s">
        <v>4751</v>
      </c>
      <c r="C1075" s="436">
        <v>44446</v>
      </c>
      <c r="D1075" s="436">
        <v>44446</v>
      </c>
      <c r="E1075" s="437" t="s">
        <v>859</v>
      </c>
      <c r="F1075" s="438" t="s">
        <v>4754</v>
      </c>
      <c r="G1075" s="438" t="s">
        <v>3784</v>
      </c>
      <c r="H1075" s="438" t="s">
        <v>3656</v>
      </c>
      <c r="I1075" s="439">
        <f t="shared" ref="I1075:I1081" si="80">14535.57/10</f>
        <v>1453.557</v>
      </c>
      <c r="J1075" s="439">
        <f t="shared" ref="J1075:J1081" si="81">2395.53/10</f>
        <v>239.55300000000003</v>
      </c>
      <c r="K1075" s="440">
        <v>239.55300000000003</v>
      </c>
      <c r="L1075" s="427">
        <f t="shared" si="79"/>
        <v>47.910600000000009</v>
      </c>
      <c r="M1075" s="427" t="s">
        <v>6171</v>
      </c>
      <c r="N1075" s="438" t="s">
        <v>3785</v>
      </c>
      <c r="O1075" s="432" t="s">
        <v>4120</v>
      </c>
      <c r="P1075" s="430" t="s">
        <v>3659</v>
      </c>
      <c r="Q1075" s="431">
        <v>0.2</v>
      </c>
      <c r="R1075" s="438">
        <v>1900003002</v>
      </c>
      <c r="S1075" s="435" t="s">
        <v>725</v>
      </c>
      <c r="T1075" s="2" t="s">
        <v>5915</v>
      </c>
    </row>
    <row r="1076" spans="1:20" hidden="1" x14ac:dyDescent="0.35">
      <c r="A1076" s="441"/>
      <c r="B1076" s="435" t="s">
        <v>4751</v>
      </c>
      <c r="C1076" s="436">
        <v>44446</v>
      </c>
      <c r="D1076" s="436">
        <v>44446</v>
      </c>
      <c r="E1076" s="437" t="s">
        <v>1007</v>
      </c>
      <c r="F1076" s="438" t="s">
        <v>4754</v>
      </c>
      <c r="G1076" s="438" t="s">
        <v>3784</v>
      </c>
      <c r="H1076" s="438" t="s">
        <v>3656</v>
      </c>
      <c r="I1076" s="439">
        <f t="shared" si="80"/>
        <v>1453.557</v>
      </c>
      <c r="J1076" s="439">
        <f t="shared" si="81"/>
        <v>239.55300000000003</v>
      </c>
      <c r="K1076" s="440">
        <v>239.55300000000003</v>
      </c>
      <c r="L1076" s="427">
        <f t="shared" si="79"/>
        <v>47.910600000000009</v>
      </c>
      <c r="M1076" s="427" t="s">
        <v>6171</v>
      </c>
      <c r="N1076" s="438" t="s">
        <v>3785</v>
      </c>
      <c r="O1076" s="432" t="s">
        <v>4120</v>
      </c>
      <c r="P1076" s="430" t="s">
        <v>3659</v>
      </c>
      <c r="Q1076" s="431">
        <v>0.2</v>
      </c>
      <c r="R1076" s="438">
        <v>1900003002</v>
      </c>
      <c r="S1076" s="435" t="s">
        <v>465</v>
      </c>
      <c r="T1076" s="2" t="s">
        <v>5915</v>
      </c>
    </row>
    <row r="1077" spans="1:20" hidden="1" x14ac:dyDescent="0.35">
      <c r="A1077" s="441"/>
      <c r="B1077" s="435" t="s">
        <v>4751</v>
      </c>
      <c r="C1077" s="436">
        <v>44446</v>
      </c>
      <c r="D1077" s="436">
        <v>44446</v>
      </c>
      <c r="E1077" s="437" t="s">
        <v>1272</v>
      </c>
      <c r="F1077" s="438" t="s">
        <v>4754</v>
      </c>
      <c r="G1077" s="438" t="s">
        <v>3784</v>
      </c>
      <c r="H1077" s="438" t="s">
        <v>3656</v>
      </c>
      <c r="I1077" s="439">
        <f t="shared" si="80"/>
        <v>1453.557</v>
      </c>
      <c r="J1077" s="439">
        <f t="shared" si="81"/>
        <v>239.55300000000003</v>
      </c>
      <c r="K1077" s="440">
        <v>239.55300000000003</v>
      </c>
      <c r="L1077" s="427">
        <f t="shared" si="79"/>
        <v>47.910600000000009</v>
      </c>
      <c r="M1077" s="427" t="s">
        <v>6171</v>
      </c>
      <c r="N1077" s="438" t="s">
        <v>3785</v>
      </c>
      <c r="O1077" s="432" t="s">
        <v>4120</v>
      </c>
      <c r="P1077" s="430" t="s">
        <v>3659</v>
      </c>
      <c r="Q1077" s="431">
        <v>0.2</v>
      </c>
      <c r="R1077" s="438">
        <v>1900003002</v>
      </c>
      <c r="S1077" s="435" t="s">
        <v>1271</v>
      </c>
      <c r="T1077" s="2" t="s">
        <v>5915</v>
      </c>
    </row>
    <row r="1078" spans="1:20" hidden="1" x14ac:dyDescent="0.35">
      <c r="A1078" s="441"/>
      <c r="B1078" s="435" t="s">
        <v>4751</v>
      </c>
      <c r="C1078" s="436">
        <v>44446</v>
      </c>
      <c r="D1078" s="436">
        <v>44446</v>
      </c>
      <c r="E1078" s="437" t="s">
        <v>1382</v>
      </c>
      <c r="F1078" s="438" t="s">
        <v>4754</v>
      </c>
      <c r="G1078" s="438" t="s">
        <v>3784</v>
      </c>
      <c r="H1078" s="438" t="s">
        <v>3656</v>
      </c>
      <c r="I1078" s="439">
        <f t="shared" si="80"/>
        <v>1453.557</v>
      </c>
      <c r="J1078" s="439">
        <f t="shared" si="81"/>
        <v>239.55300000000003</v>
      </c>
      <c r="K1078" s="440">
        <v>239.55300000000003</v>
      </c>
      <c r="L1078" s="427">
        <f t="shared" si="79"/>
        <v>47.910600000000009</v>
      </c>
      <c r="M1078" s="427" t="s">
        <v>6171</v>
      </c>
      <c r="N1078" s="438" t="s">
        <v>3785</v>
      </c>
      <c r="O1078" s="432" t="s">
        <v>4120</v>
      </c>
      <c r="P1078" s="430" t="s">
        <v>3659</v>
      </c>
      <c r="Q1078" s="431">
        <v>0.2</v>
      </c>
      <c r="R1078" s="438">
        <v>1900003002</v>
      </c>
      <c r="S1078" s="435" t="s">
        <v>1381</v>
      </c>
      <c r="T1078" s="2" t="s">
        <v>5915</v>
      </c>
    </row>
    <row r="1079" spans="1:20" hidden="1" x14ac:dyDescent="0.35">
      <c r="A1079" s="441"/>
      <c r="B1079" s="435" t="s">
        <v>4751</v>
      </c>
      <c r="C1079" s="436">
        <v>44446</v>
      </c>
      <c r="D1079" s="436">
        <v>44446</v>
      </c>
      <c r="E1079" s="437" t="s">
        <v>1407</v>
      </c>
      <c r="F1079" s="438" t="s">
        <v>4754</v>
      </c>
      <c r="G1079" s="438" t="s">
        <v>3784</v>
      </c>
      <c r="H1079" s="438" t="s">
        <v>3656</v>
      </c>
      <c r="I1079" s="439">
        <f t="shared" si="80"/>
        <v>1453.557</v>
      </c>
      <c r="J1079" s="439">
        <f t="shared" si="81"/>
        <v>239.55300000000003</v>
      </c>
      <c r="K1079" s="440">
        <v>239.55300000000003</v>
      </c>
      <c r="L1079" s="427">
        <f t="shared" si="79"/>
        <v>47.910600000000009</v>
      </c>
      <c r="M1079" s="427" t="s">
        <v>6171</v>
      </c>
      <c r="N1079" s="432" t="s">
        <v>4753</v>
      </c>
      <c r="O1079" s="433" t="s">
        <v>4120</v>
      </c>
      <c r="P1079" s="430" t="s">
        <v>3659</v>
      </c>
      <c r="Q1079" s="431">
        <v>0.2</v>
      </c>
      <c r="R1079" s="438">
        <v>1900003002</v>
      </c>
      <c r="S1079" s="435" t="s">
        <v>1377</v>
      </c>
      <c r="T1079" s="2" t="s">
        <v>5915</v>
      </c>
    </row>
    <row r="1080" spans="1:20" hidden="1" x14ac:dyDescent="0.35">
      <c r="A1080" s="441"/>
      <c r="B1080" s="435" t="s">
        <v>4751</v>
      </c>
      <c r="C1080" s="436">
        <v>44446</v>
      </c>
      <c r="D1080" s="436">
        <v>44446</v>
      </c>
      <c r="E1080" s="437" t="s">
        <v>1444</v>
      </c>
      <c r="F1080" s="438" t="s">
        <v>4754</v>
      </c>
      <c r="G1080" s="438" t="s">
        <v>3784</v>
      </c>
      <c r="H1080" s="438" t="s">
        <v>3656</v>
      </c>
      <c r="I1080" s="439">
        <f t="shared" si="80"/>
        <v>1453.557</v>
      </c>
      <c r="J1080" s="439">
        <f t="shared" si="81"/>
        <v>239.55300000000003</v>
      </c>
      <c r="K1080" s="440">
        <v>239.55300000000003</v>
      </c>
      <c r="L1080" s="427">
        <f t="shared" si="79"/>
        <v>47.910600000000009</v>
      </c>
      <c r="M1080" s="427" t="s">
        <v>6171</v>
      </c>
      <c r="N1080" s="438" t="s">
        <v>4753</v>
      </c>
      <c r="O1080" s="432" t="s">
        <v>4120</v>
      </c>
      <c r="P1080" s="430" t="s">
        <v>3659</v>
      </c>
      <c r="Q1080" s="431">
        <v>0.2</v>
      </c>
      <c r="R1080" s="438">
        <v>1900003002</v>
      </c>
      <c r="S1080" s="435" t="s">
        <v>1443</v>
      </c>
      <c r="T1080" s="2" t="s">
        <v>5915</v>
      </c>
    </row>
    <row r="1081" spans="1:20" hidden="1" x14ac:dyDescent="0.35">
      <c r="A1081" s="441"/>
      <c r="B1081" s="435" t="s">
        <v>4751</v>
      </c>
      <c r="C1081" s="436">
        <v>44446</v>
      </c>
      <c r="D1081" s="436">
        <v>44446</v>
      </c>
      <c r="E1081" s="437" t="s">
        <v>1459</v>
      </c>
      <c r="F1081" s="438" t="s">
        <v>4754</v>
      </c>
      <c r="G1081" s="438" t="s">
        <v>3784</v>
      </c>
      <c r="H1081" s="438" t="s">
        <v>3656</v>
      </c>
      <c r="I1081" s="439">
        <f t="shared" si="80"/>
        <v>1453.557</v>
      </c>
      <c r="J1081" s="439">
        <f t="shared" si="81"/>
        <v>239.55300000000003</v>
      </c>
      <c r="K1081" s="440">
        <v>239.55300000000003</v>
      </c>
      <c r="L1081" s="427">
        <f t="shared" si="79"/>
        <v>47.910600000000009</v>
      </c>
      <c r="M1081" s="427" t="s">
        <v>6171</v>
      </c>
      <c r="N1081" s="438" t="s">
        <v>3785</v>
      </c>
      <c r="O1081" s="432" t="s">
        <v>4120</v>
      </c>
      <c r="P1081" s="430" t="s">
        <v>3659</v>
      </c>
      <c r="Q1081" s="431">
        <v>0.2</v>
      </c>
      <c r="R1081" s="438">
        <v>1900003002</v>
      </c>
      <c r="S1081" s="435" t="s">
        <v>392</v>
      </c>
      <c r="T1081" s="2" t="s">
        <v>5915</v>
      </c>
    </row>
    <row r="1082" spans="1:20" s="594" customFormat="1" hidden="1" x14ac:dyDescent="0.35">
      <c r="A1082" s="608" t="s">
        <v>4755</v>
      </c>
      <c r="B1082" s="609" t="s">
        <v>91</v>
      </c>
      <c r="C1082" s="610">
        <v>44636</v>
      </c>
      <c r="D1082" s="443">
        <v>44636</v>
      </c>
      <c r="E1082" s="610" t="s">
        <v>295</v>
      </c>
      <c r="F1082" s="430" t="s">
        <v>4756</v>
      </c>
      <c r="G1082" s="611" t="s">
        <v>3655</v>
      </c>
      <c r="H1082" s="442" t="s">
        <v>4757</v>
      </c>
      <c r="I1082" s="362">
        <f t="shared" ref="I1082:I1122" si="82">368472.01/40</f>
        <v>9211.8002500000002</v>
      </c>
      <c r="J1082" s="362">
        <f t="shared" ref="J1082:J1122" si="83">48581.6/40</f>
        <v>1214.54</v>
      </c>
      <c r="K1082" s="362">
        <v>1214.54</v>
      </c>
      <c r="L1082" s="362">
        <f>+K1082*Q1082</f>
        <v>242.90800000000002</v>
      </c>
      <c r="M1082" s="362" t="s">
        <v>6171</v>
      </c>
      <c r="N1082" s="432" t="s">
        <v>3785</v>
      </c>
      <c r="O1082" s="433" t="s">
        <v>4120</v>
      </c>
      <c r="P1082" s="430" t="s">
        <v>3659</v>
      </c>
      <c r="Q1082" s="431">
        <v>0.2</v>
      </c>
      <c r="R1082" s="433">
        <v>1900001140</v>
      </c>
      <c r="S1082" s="612" t="s">
        <v>3475</v>
      </c>
      <c r="T1082" s="588" t="s">
        <v>5915</v>
      </c>
    </row>
    <row r="1083" spans="1:20" s="619" customFormat="1" hidden="1" x14ac:dyDescent="0.35">
      <c r="A1083" s="613" t="s">
        <v>4758</v>
      </c>
      <c r="B1083" s="614" t="s">
        <v>91</v>
      </c>
      <c r="C1083" s="615">
        <v>44636</v>
      </c>
      <c r="D1083" s="443">
        <v>44636</v>
      </c>
      <c r="E1083" s="615" t="s">
        <v>297</v>
      </c>
      <c r="F1083" s="430" t="s">
        <v>4756</v>
      </c>
      <c r="G1083" s="671" t="s">
        <v>3655</v>
      </c>
      <c r="H1083" s="442" t="s">
        <v>4757</v>
      </c>
      <c r="I1083" s="362">
        <f t="shared" si="82"/>
        <v>9211.8002500000002</v>
      </c>
      <c r="J1083" s="362">
        <f t="shared" si="83"/>
        <v>1214.54</v>
      </c>
      <c r="K1083" s="362">
        <v>1214.54</v>
      </c>
      <c r="L1083" s="362">
        <f t="shared" ref="L1083:L1147" si="84">+K1083*Q1083</f>
        <v>242.90800000000002</v>
      </c>
      <c r="M1083" s="362" t="s">
        <v>6171</v>
      </c>
      <c r="N1083" s="613" t="s">
        <v>3785</v>
      </c>
      <c r="O1083" s="433" t="s">
        <v>4120</v>
      </c>
      <c r="P1083" s="430" t="s">
        <v>3659</v>
      </c>
      <c r="Q1083" s="431">
        <v>0.2</v>
      </c>
      <c r="R1083" s="433">
        <v>1900001140</v>
      </c>
      <c r="S1083" s="617" t="s">
        <v>298</v>
      </c>
      <c r="T1083" s="618" t="s">
        <v>5915</v>
      </c>
    </row>
    <row r="1084" spans="1:20" s="594" customFormat="1" hidden="1" x14ac:dyDescent="0.35">
      <c r="A1084" s="608" t="s">
        <v>4759</v>
      </c>
      <c r="B1084" s="609" t="s">
        <v>91</v>
      </c>
      <c r="C1084" s="610">
        <v>44636</v>
      </c>
      <c r="D1084" s="443">
        <v>44636</v>
      </c>
      <c r="E1084" s="610" t="s">
        <v>299</v>
      </c>
      <c r="F1084" s="430" t="s">
        <v>4756</v>
      </c>
      <c r="G1084" s="611" t="s">
        <v>3655</v>
      </c>
      <c r="H1084" s="442" t="s">
        <v>4757</v>
      </c>
      <c r="I1084" s="362">
        <f t="shared" si="82"/>
        <v>9211.8002500000002</v>
      </c>
      <c r="J1084" s="362">
        <f t="shared" si="83"/>
        <v>1214.54</v>
      </c>
      <c r="K1084" s="362">
        <v>1214.54</v>
      </c>
      <c r="L1084" s="362">
        <f t="shared" si="84"/>
        <v>242.90800000000002</v>
      </c>
      <c r="M1084" s="362" t="s">
        <v>6171</v>
      </c>
      <c r="N1084" s="432" t="s">
        <v>3785</v>
      </c>
      <c r="O1084" s="433" t="s">
        <v>4120</v>
      </c>
      <c r="P1084" s="430" t="s">
        <v>3659</v>
      </c>
      <c r="Q1084" s="431">
        <v>0.2</v>
      </c>
      <c r="R1084" s="433">
        <v>1900001140</v>
      </c>
      <c r="S1084" s="612" t="s">
        <v>3475</v>
      </c>
      <c r="T1084" s="588" t="s">
        <v>5915</v>
      </c>
    </row>
    <row r="1085" spans="1:20" s="561" customFormat="1" hidden="1" x14ac:dyDescent="0.35">
      <c r="A1085" s="564" t="s">
        <v>4760</v>
      </c>
      <c r="B1085" s="565" t="s">
        <v>91</v>
      </c>
      <c r="C1085" s="566">
        <v>44636</v>
      </c>
      <c r="D1085" s="443">
        <v>44636</v>
      </c>
      <c r="E1085" s="566" t="s">
        <v>301</v>
      </c>
      <c r="F1085" s="430" t="s">
        <v>4756</v>
      </c>
      <c r="G1085" s="572" t="s">
        <v>3655</v>
      </c>
      <c r="H1085" s="442" t="s">
        <v>4757</v>
      </c>
      <c r="I1085" s="362">
        <f t="shared" si="82"/>
        <v>9211.8002500000002</v>
      </c>
      <c r="J1085" s="362">
        <f t="shared" si="83"/>
        <v>1214.54</v>
      </c>
      <c r="K1085" s="362">
        <v>1214.54</v>
      </c>
      <c r="L1085" s="362">
        <f t="shared" si="84"/>
        <v>242.90800000000002</v>
      </c>
      <c r="M1085" s="362" t="s">
        <v>6171</v>
      </c>
      <c r="N1085" s="564" t="s">
        <v>3785</v>
      </c>
      <c r="O1085" s="433" t="s">
        <v>4120</v>
      </c>
      <c r="P1085" s="430" t="s">
        <v>3659</v>
      </c>
      <c r="Q1085" s="431">
        <v>0.2</v>
      </c>
      <c r="R1085" s="433">
        <v>1900001140</v>
      </c>
      <c r="S1085" s="568" t="s">
        <v>2617</v>
      </c>
      <c r="T1085" s="560" t="s">
        <v>5915</v>
      </c>
    </row>
    <row r="1086" spans="1:20" s="619" customFormat="1" hidden="1" x14ac:dyDescent="0.35">
      <c r="A1086" s="613" t="s">
        <v>4761</v>
      </c>
      <c r="B1086" s="614" t="s">
        <v>91</v>
      </c>
      <c r="C1086" s="615">
        <v>44636</v>
      </c>
      <c r="D1086" s="443">
        <v>44636</v>
      </c>
      <c r="E1086" s="615" t="s">
        <v>302</v>
      </c>
      <c r="F1086" s="430" t="s">
        <v>4756</v>
      </c>
      <c r="G1086" s="671" t="s">
        <v>3655</v>
      </c>
      <c r="H1086" s="442" t="s">
        <v>4757</v>
      </c>
      <c r="I1086" s="362">
        <f t="shared" si="82"/>
        <v>9211.8002500000002</v>
      </c>
      <c r="J1086" s="362">
        <f t="shared" si="83"/>
        <v>1214.54</v>
      </c>
      <c r="K1086" s="362">
        <v>1214.54</v>
      </c>
      <c r="L1086" s="362">
        <f t="shared" si="84"/>
        <v>242.90800000000002</v>
      </c>
      <c r="M1086" s="362" t="s">
        <v>6171</v>
      </c>
      <c r="N1086" s="613" t="s">
        <v>3785</v>
      </c>
      <c r="O1086" s="433" t="s">
        <v>4120</v>
      </c>
      <c r="P1086" s="430" t="s">
        <v>3659</v>
      </c>
      <c r="Q1086" s="431">
        <v>0.2</v>
      </c>
      <c r="R1086" s="433">
        <v>1900001140</v>
      </c>
      <c r="S1086" s="617" t="s">
        <v>303</v>
      </c>
      <c r="T1086" s="618" t="s">
        <v>5915</v>
      </c>
    </row>
    <row r="1087" spans="1:20" s="619" customFormat="1" hidden="1" x14ac:dyDescent="0.35">
      <c r="A1087" s="613" t="s">
        <v>4762</v>
      </c>
      <c r="B1087" s="614" t="s">
        <v>91</v>
      </c>
      <c r="C1087" s="615">
        <v>44636</v>
      </c>
      <c r="D1087" s="443">
        <v>44636</v>
      </c>
      <c r="E1087" s="615" t="s">
        <v>304</v>
      </c>
      <c r="F1087" s="430" t="s">
        <v>4756</v>
      </c>
      <c r="G1087" s="671" t="s">
        <v>3655</v>
      </c>
      <c r="H1087" s="442" t="s">
        <v>4757</v>
      </c>
      <c r="I1087" s="362">
        <f t="shared" si="82"/>
        <v>9211.8002500000002</v>
      </c>
      <c r="J1087" s="362">
        <f t="shared" si="83"/>
        <v>1214.54</v>
      </c>
      <c r="K1087" s="362">
        <v>1214.54</v>
      </c>
      <c r="L1087" s="362">
        <f t="shared" si="84"/>
        <v>242.90800000000002</v>
      </c>
      <c r="M1087" s="362" t="s">
        <v>6171</v>
      </c>
      <c r="N1087" s="613" t="s">
        <v>3785</v>
      </c>
      <c r="O1087" s="433" t="s">
        <v>4120</v>
      </c>
      <c r="P1087" s="430" t="s">
        <v>3659</v>
      </c>
      <c r="Q1087" s="431">
        <v>0.2</v>
      </c>
      <c r="R1087" s="433">
        <v>1900001140</v>
      </c>
      <c r="S1087" s="617" t="s">
        <v>305</v>
      </c>
      <c r="T1087" s="618" t="s">
        <v>5915</v>
      </c>
    </row>
    <row r="1088" spans="1:20" s="594" customFormat="1" hidden="1" x14ac:dyDescent="0.35">
      <c r="A1088" s="608" t="s">
        <v>4763</v>
      </c>
      <c r="B1088" s="609" t="s">
        <v>91</v>
      </c>
      <c r="C1088" s="610">
        <v>44636</v>
      </c>
      <c r="D1088" s="443">
        <v>44636</v>
      </c>
      <c r="E1088" s="610" t="s">
        <v>306</v>
      </c>
      <c r="F1088" s="430" t="s">
        <v>4756</v>
      </c>
      <c r="G1088" s="611" t="s">
        <v>3655</v>
      </c>
      <c r="H1088" s="442" t="s">
        <v>4757</v>
      </c>
      <c r="I1088" s="362">
        <f t="shared" si="82"/>
        <v>9211.8002500000002</v>
      </c>
      <c r="J1088" s="362">
        <f t="shared" si="83"/>
        <v>1214.54</v>
      </c>
      <c r="K1088" s="362">
        <v>1214.54</v>
      </c>
      <c r="L1088" s="362">
        <f t="shared" si="84"/>
        <v>242.90800000000002</v>
      </c>
      <c r="M1088" s="362" t="s">
        <v>6171</v>
      </c>
      <c r="N1088" s="432" t="s">
        <v>3785</v>
      </c>
      <c r="O1088" s="433" t="s">
        <v>4120</v>
      </c>
      <c r="P1088" s="430" t="s">
        <v>3659</v>
      </c>
      <c r="Q1088" s="431">
        <v>0.2</v>
      </c>
      <c r="R1088" s="433">
        <v>1900001140</v>
      </c>
      <c r="S1088" s="612" t="s">
        <v>3475</v>
      </c>
      <c r="T1088" s="588" t="s">
        <v>5915</v>
      </c>
    </row>
    <row r="1089" spans="1:20" s="619" customFormat="1" ht="13" hidden="1" customHeight="1" x14ac:dyDescent="0.35">
      <c r="A1089" s="613" t="s">
        <v>4764</v>
      </c>
      <c r="B1089" s="614" t="s">
        <v>91</v>
      </c>
      <c r="C1089" s="615">
        <v>44636</v>
      </c>
      <c r="D1089" s="443">
        <v>44636</v>
      </c>
      <c r="E1089" s="615" t="s">
        <v>307</v>
      </c>
      <c r="F1089" s="430" t="s">
        <v>4756</v>
      </c>
      <c r="G1089" s="671" t="s">
        <v>3655</v>
      </c>
      <c r="H1089" s="442" t="s">
        <v>4757</v>
      </c>
      <c r="I1089" s="362">
        <f t="shared" si="82"/>
        <v>9211.8002500000002</v>
      </c>
      <c r="J1089" s="362">
        <f t="shared" si="83"/>
        <v>1214.54</v>
      </c>
      <c r="K1089" s="362">
        <v>1214.54</v>
      </c>
      <c r="L1089" s="362">
        <f t="shared" si="84"/>
        <v>242.90800000000002</v>
      </c>
      <c r="M1089" s="362" t="s">
        <v>6171</v>
      </c>
      <c r="N1089" s="613" t="s">
        <v>3785</v>
      </c>
      <c r="O1089" s="433" t="s">
        <v>4120</v>
      </c>
      <c r="P1089" s="430" t="s">
        <v>3659</v>
      </c>
      <c r="Q1089" s="431">
        <v>0.2</v>
      </c>
      <c r="R1089" s="433">
        <v>1900001140</v>
      </c>
      <c r="S1089" s="617" t="s">
        <v>308</v>
      </c>
      <c r="T1089" s="618" t="s">
        <v>5915</v>
      </c>
    </row>
    <row r="1090" spans="1:20" s="594" customFormat="1" hidden="1" x14ac:dyDescent="0.35">
      <c r="A1090" s="608" t="s">
        <v>4765</v>
      </c>
      <c r="B1090" s="609" t="s">
        <v>91</v>
      </c>
      <c r="C1090" s="610">
        <v>44636</v>
      </c>
      <c r="D1090" s="443">
        <v>44636</v>
      </c>
      <c r="E1090" s="610" t="s">
        <v>309</v>
      </c>
      <c r="F1090" s="430" t="s">
        <v>4756</v>
      </c>
      <c r="G1090" s="611" t="s">
        <v>3655</v>
      </c>
      <c r="H1090" s="442" t="s">
        <v>4757</v>
      </c>
      <c r="I1090" s="362">
        <f t="shared" si="82"/>
        <v>9211.8002500000002</v>
      </c>
      <c r="J1090" s="362">
        <f t="shared" si="83"/>
        <v>1214.54</v>
      </c>
      <c r="K1090" s="362">
        <v>1214.54</v>
      </c>
      <c r="L1090" s="362">
        <f t="shared" si="84"/>
        <v>242.90800000000002</v>
      </c>
      <c r="M1090" s="362" t="s">
        <v>6171</v>
      </c>
      <c r="N1090" s="432" t="s">
        <v>3785</v>
      </c>
      <c r="O1090" s="433" t="s">
        <v>4120</v>
      </c>
      <c r="P1090" s="430" t="s">
        <v>3659</v>
      </c>
      <c r="Q1090" s="431">
        <v>0.2</v>
      </c>
      <c r="R1090" s="433">
        <v>1900001140</v>
      </c>
      <c r="S1090" s="612" t="s">
        <v>3475</v>
      </c>
      <c r="T1090" s="588" t="s">
        <v>5915</v>
      </c>
    </row>
    <row r="1091" spans="1:20" s="619" customFormat="1" hidden="1" x14ac:dyDescent="0.35">
      <c r="A1091" s="613" t="s">
        <v>4766</v>
      </c>
      <c r="B1091" s="614" t="s">
        <v>91</v>
      </c>
      <c r="C1091" s="615">
        <v>44636</v>
      </c>
      <c r="D1091" s="443">
        <v>44636</v>
      </c>
      <c r="E1091" s="615" t="s">
        <v>310</v>
      </c>
      <c r="F1091" s="430" t="s">
        <v>4756</v>
      </c>
      <c r="G1091" s="671" t="s">
        <v>3655</v>
      </c>
      <c r="H1091" s="442" t="s">
        <v>4757</v>
      </c>
      <c r="I1091" s="362">
        <f t="shared" si="82"/>
        <v>9211.8002500000002</v>
      </c>
      <c r="J1091" s="362">
        <f t="shared" si="83"/>
        <v>1214.54</v>
      </c>
      <c r="K1091" s="362">
        <v>1214.54</v>
      </c>
      <c r="L1091" s="362">
        <f t="shared" si="84"/>
        <v>242.90800000000002</v>
      </c>
      <c r="M1091" s="362" t="s">
        <v>6171</v>
      </c>
      <c r="N1091" s="613" t="s">
        <v>3785</v>
      </c>
      <c r="O1091" s="433" t="s">
        <v>4120</v>
      </c>
      <c r="P1091" s="430" t="s">
        <v>3659</v>
      </c>
      <c r="Q1091" s="431">
        <v>0.2</v>
      </c>
      <c r="R1091" s="433">
        <v>1900001140</v>
      </c>
      <c r="S1091" s="617" t="s">
        <v>311</v>
      </c>
      <c r="T1091" s="618" t="s">
        <v>5915</v>
      </c>
    </row>
    <row r="1092" spans="1:20" s="594" customFormat="1" hidden="1" x14ac:dyDescent="0.35">
      <c r="A1092" s="608" t="s">
        <v>4767</v>
      </c>
      <c r="B1092" s="609" t="s">
        <v>91</v>
      </c>
      <c r="C1092" s="610">
        <v>44636</v>
      </c>
      <c r="D1092" s="443">
        <v>44636</v>
      </c>
      <c r="E1092" s="610" t="s">
        <v>312</v>
      </c>
      <c r="F1092" s="430" t="s">
        <v>4756</v>
      </c>
      <c r="G1092" s="611" t="s">
        <v>3655</v>
      </c>
      <c r="H1092" s="442" t="s">
        <v>4757</v>
      </c>
      <c r="I1092" s="362">
        <f t="shared" si="82"/>
        <v>9211.8002500000002</v>
      </c>
      <c r="J1092" s="362">
        <f t="shared" si="83"/>
        <v>1214.54</v>
      </c>
      <c r="K1092" s="362">
        <v>1214.54</v>
      </c>
      <c r="L1092" s="362">
        <f t="shared" si="84"/>
        <v>242.90800000000002</v>
      </c>
      <c r="M1092" s="362" t="s">
        <v>6171</v>
      </c>
      <c r="N1092" s="432" t="s">
        <v>3785</v>
      </c>
      <c r="O1092" s="433" t="s">
        <v>4120</v>
      </c>
      <c r="P1092" s="430" t="s">
        <v>3659</v>
      </c>
      <c r="Q1092" s="431">
        <v>0.2</v>
      </c>
      <c r="R1092" s="433">
        <v>1900001140</v>
      </c>
      <c r="S1092" s="612" t="s">
        <v>3475</v>
      </c>
      <c r="T1092" s="588" t="s">
        <v>5915</v>
      </c>
    </row>
    <row r="1093" spans="1:20" s="594" customFormat="1" hidden="1" x14ac:dyDescent="0.35">
      <c r="A1093" s="608" t="s">
        <v>4768</v>
      </c>
      <c r="B1093" s="609" t="s">
        <v>91</v>
      </c>
      <c r="C1093" s="610">
        <v>44636</v>
      </c>
      <c r="D1093" s="443">
        <v>44636</v>
      </c>
      <c r="E1093" s="610" t="s">
        <v>313</v>
      </c>
      <c r="F1093" s="430" t="s">
        <v>4756</v>
      </c>
      <c r="G1093" s="611" t="s">
        <v>3655</v>
      </c>
      <c r="H1093" s="442" t="s">
        <v>4757</v>
      </c>
      <c r="I1093" s="362">
        <f t="shared" si="82"/>
        <v>9211.8002500000002</v>
      </c>
      <c r="J1093" s="362">
        <f t="shared" si="83"/>
        <v>1214.54</v>
      </c>
      <c r="K1093" s="362">
        <v>1214.54</v>
      </c>
      <c r="L1093" s="362">
        <f t="shared" si="84"/>
        <v>242.90800000000002</v>
      </c>
      <c r="M1093" s="362" t="s">
        <v>6171</v>
      </c>
      <c r="N1093" s="432" t="s">
        <v>3785</v>
      </c>
      <c r="O1093" s="433" t="s">
        <v>4120</v>
      </c>
      <c r="P1093" s="430" t="s">
        <v>3659</v>
      </c>
      <c r="Q1093" s="431">
        <v>0.2</v>
      </c>
      <c r="R1093" s="433">
        <v>1900001140</v>
      </c>
      <c r="S1093" s="612" t="s">
        <v>3475</v>
      </c>
      <c r="T1093" s="588" t="s">
        <v>5915</v>
      </c>
    </row>
    <row r="1094" spans="1:20" s="594" customFormat="1" hidden="1" x14ac:dyDescent="0.35">
      <c r="A1094" s="608" t="s">
        <v>4769</v>
      </c>
      <c r="B1094" s="609" t="s">
        <v>91</v>
      </c>
      <c r="C1094" s="610">
        <v>44636</v>
      </c>
      <c r="D1094" s="443">
        <v>44636</v>
      </c>
      <c r="E1094" s="610" t="s">
        <v>314</v>
      </c>
      <c r="F1094" s="430" t="s">
        <v>4756</v>
      </c>
      <c r="G1094" s="611" t="s">
        <v>3655</v>
      </c>
      <c r="H1094" s="442" t="s">
        <v>4757</v>
      </c>
      <c r="I1094" s="362">
        <f t="shared" si="82"/>
        <v>9211.8002500000002</v>
      </c>
      <c r="J1094" s="362">
        <f t="shared" si="83"/>
        <v>1214.54</v>
      </c>
      <c r="K1094" s="362">
        <v>1214.54</v>
      </c>
      <c r="L1094" s="362">
        <f t="shared" si="84"/>
        <v>242.90800000000002</v>
      </c>
      <c r="M1094" s="362" t="s">
        <v>6171</v>
      </c>
      <c r="N1094" s="432" t="s">
        <v>3785</v>
      </c>
      <c r="O1094" s="433" t="s">
        <v>4120</v>
      </c>
      <c r="P1094" s="430" t="s">
        <v>3659</v>
      </c>
      <c r="Q1094" s="431">
        <v>0.2</v>
      </c>
      <c r="R1094" s="433">
        <v>1900001140</v>
      </c>
      <c r="S1094" s="612" t="s">
        <v>3475</v>
      </c>
      <c r="T1094" s="588" t="s">
        <v>5915</v>
      </c>
    </row>
    <row r="1095" spans="1:20" s="561" customFormat="1" hidden="1" x14ac:dyDescent="0.35">
      <c r="A1095" s="564" t="s">
        <v>4770</v>
      </c>
      <c r="B1095" s="565" t="s">
        <v>91</v>
      </c>
      <c r="C1095" s="566">
        <v>44636</v>
      </c>
      <c r="D1095" s="443"/>
      <c r="E1095" s="566" t="s">
        <v>315</v>
      </c>
      <c r="F1095" s="430"/>
      <c r="G1095" s="646" t="s">
        <v>3655</v>
      </c>
      <c r="H1095" s="442"/>
      <c r="I1095" s="362"/>
      <c r="J1095" s="362"/>
      <c r="K1095" s="362"/>
      <c r="L1095" s="362"/>
      <c r="M1095" s="362"/>
      <c r="N1095" s="1" t="s">
        <v>3785</v>
      </c>
      <c r="O1095" s="433"/>
      <c r="P1095" s="430"/>
      <c r="Q1095" s="431"/>
      <c r="R1095" s="433"/>
      <c r="S1095" s="560" t="s">
        <v>2617</v>
      </c>
      <c r="T1095" s="560" t="s">
        <v>5915</v>
      </c>
    </row>
    <row r="1096" spans="1:20" s="561" customFormat="1" hidden="1" x14ac:dyDescent="0.35">
      <c r="A1096" s="432" t="s">
        <v>4772</v>
      </c>
      <c r="B1096" s="565" t="s">
        <v>91</v>
      </c>
      <c r="C1096" s="566">
        <v>44636</v>
      </c>
      <c r="D1096" s="443"/>
      <c r="E1096" s="563" t="s">
        <v>92</v>
      </c>
      <c r="F1096" s="430"/>
      <c r="G1096" s="572" t="s">
        <v>3655</v>
      </c>
      <c r="H1096" s="442"/>
      <c r="I1096" s="362"/>
      <c r="J1096" s="362"/>
      <c r="K1096" s="362"/>
      <c r="L1096" s="362"/>
      <c r="M1096" s="362"/>
      <c r="N1096" s="564" t="s">
        <v>3785</v>
      </c>
      <c r="O1096" s="433"/>
      <c r="P1096" s="430"/>
      <c r="Q1096" s="431"/>
      <c r="R1096" s="433"/>
      <c r="S1096" s="560" t="s">
        <v>2617</v>
      </c>
      <c r="T1096" s="560" t="s">
        <v>5915</v>
      </c>
    </row>
    <row r="1097" spans="1:20" s="619" customFormat="1" hidden="1" x14ac:dyDescent="0.35">
      <c r="A1097" s="613" t="s">
        <v>4771</v>
      </c>
      <c r="B1097" s="614" t="s">
        <v>91</v>
      </c>
      <c r="C1097" s="615">
        <v>44636</v>
      </c>
      <c r="D1097" s="443">
        <v>44636</v>
      </c>
      <c r="E1097" s="615" t="s">
        <v>316</v>
      </c>
      <c r="F1097" s="430" t="s">
        <v>4756</v>
      </c>
      <c r="G1097" s="671" t="s">
        <v>3655</v>
      </c>
      <c r="H1097" s="442" t="s">
        <v>4757</v>
      </c>
      <c r="I1097" s="362">
        <f t="shared" si="82"/>
        <v>9211.8002500000002</v>
      </c>
      <c r="J1097" s="362">
        <f t="shared" si="83"/>
        <v>1214.54</v>
      </c>
      <c r="K1097" s="362">
        <v>1214.54</v>
      </c>
      <c r="L1097" s="362">
        <f t="shared" si="84"/>
        <v>242.90800000000002</v>
      </c>
      <c r="M1097" s="362" t="s">
        <v>6171</v>
      </c>
      <c r="N1097" s="613" t="s">
        <v>3785</v>
      </c>
      <c r="O1097" s="433" t="s">
        <v>4120</v>
      </c>
      <c r="P1097" s="430" t="s">
        <v>3659</v>
      </c>
      <c r="Q1097" s="431">
        <v>0.2</v>
      </c>
      <c r="R1097" s="433">
        <v>1900001140</v>
      </c>
      <c r="S1097" s="617" t="s">
        <v>317</v>
      </c>
      <c r="T1097" s="618" t="s">
        <v>5915</v>
      </c>
    </row>
    <row r="1098" spans="1:20" s="561" customFormat="1" hidden="1" x14ac:dyDescent="0.35">
      <c r="A1098" s="564" t="s">
        <v>4772</v>
      </c>
      <c r="B1098" s="565" t="s">
        <v>91</v>
      </c>
      <c r="C1098" s="566">
        <v>44636</v>
      </c>
      <c r="D1098" s="443">
        <v>44636</v>
      </c>
      <c r="E1098" s="566" t="s">
        <v>318</v>
      </c>
      <c r="F1098" s="430" t="s">
        <v>4756</v>
      </c>
      <c r="G1098" s="572" t="s">
        <v>3655</v>
      </c>
      <c r="H1098" s="442" t="s">
        <v>4757</v>
      </c>
      <c r="I1098" s="362">
        <f t="shared" si="82"/>
        <v>9211.8002500000002</v>
      </c>
      <c r="J1098" s="362">
        <f t="shared" si="83"/>
        <v>1214.54</v>
      </c>
      <c r="K1098" s="362">
        <v>1214.54</v>
      </c>
      <c r="L1098" s="362">
        <f t="shared" si="84"/>
        <v>242.90800000000002</v>
      </c>
      <c r="M1098" s="362" t="s">
        <v>6171</v>
      </c>
      <c r="N1098" s="564" t="s">
        <v>3785</v>
      </c>
      <c r="O1098" s="433" t="s">
        <v>4120</v>
      </c>
      <c r="P1098" s="430" t="s">
        <v>3659</v>
      </c>
      <c r="Q1098" s="431">
        <v>0.2</v>
      </c>
      <c r="R1098" s="433">
        <v>1900001140</v>
      </c>
      <c r="S1098" s="568" t="s">
        <v>1664</v>
      </c>
      <c r="T1098" s="560" t="s">
        <v>5915</v>
      </c>
    </row>
    <row r="1099" spans="1:20" s="561" customFormat="1" hidden="1" x14ac:dyDescent="0.35">
      <c r="A1099" s="564" t="s">
        <v>4773</v>
      </c>
      <c r="B1099" s="565" t="s">
        <v>91</v>
      </c>
      <c r="C1099" s="566">
        <v>44636</v>
      </c>
      <c r="D1099" s="443">
        <v>44636</v>
      </c>
      <c r="E1099" s="566" t="s">
        <v>320</v>
      </c>
      <c r="F1099" s="430" t="s">
        <v>4756</v>
      </c>
      <c r="G1099" s="572" t="s">
        <v>3655</v>
      </c>
      <c r="H1099" s="442" t="s">
        <v>4757</v>
      </c>
      <c r="I1099" s="362">
        <f t="shared" si="82"/>
        <v>9211.8002500000002</v>
      </c>
      <c r="J1099" s="362">
        <f t="shared" si="83"/>
        <v>1214.54</v>
      </c>
      <c r="K1099" s="362">
        <v>1214.54</v>
      </c>
      <c r="L1099" s="362">
        <f t="shared" si="84"/>
        <v>242.90800000000002</v>
      </c>
      <c r="M1099" s="362" t="s">
        <v>6171</v>
      </c>
      <c r="N1099" s="564" t="s">
        <v>3785</v>
      </c>
      <c r="O1099" s="433" t="s">
        <v>4120</v>
      </c>
      <c r="P1099" s="430" t="s">
        <v>3659</v>
      </c>
      <c r="Q1099" s="431">
        <v>0.2</v>
      </c>
      <c r="R1099" s="433">
        <v>1900001140</v>
      </c>
      <c r="S1099" s="568" t="s">
        <v>2617</v>
      </c>
      <c r="T1099" s="560" t="s">
        <v>5915</v>
      </c>
    </row>
    <row r="1100" spans="1:20" s="594" customFormat="1" hidden="1" x14ac:dyDescent="0.35">
      <c r="A1100" s="608" t="s">
        <v>4774</v>
      </c>
      <c r="B1100" s="609" t="s">
        <v>91</v>
      </c>
      <c r="C1100" s="610">
        <v>44636</v>
      </c>
      <c r="D1100" s="443">
        <v>44636</v>
      </c>
      <c r="E1100" s="610" t="s">
        <v>321</v>
      </c>
      <c r="F1100" s="430" t="s">
        <v>4756</v>
      </c>
      <c r="G1100" s="611" t="s">
        <v>3655</v>
      </c>
      <c r="H1100" s="442" t="s">
        <v>4757</v>
      </c>
      <c r="I1100" s="362">
        <f t="shared" si="82"/>
        <v>9211.8002500000002</v>
      </c>
      <c r="J1100" s="362">
        <f t="shared" si="83"/>
        <v>1214.54</v>
      </c>
      <c r="K1100" s="362">
        <v>1214.54</v>
      </c>
      <c r="L1100" s="362">
        <f t="shared" si="84"/>
        <v>242.90800000000002</v>
      </c>
      <c r="M1100" s="362" t="s">
        <v>6171</v>
      </c>
      <c r="N1100" s="432" t="s">
        <v>3785</v>
      </c>
      <c r="O1100" s="433" t="s">
        <v>4120</v>
      </c>
      <c r="P1100" s="430" t="s">
        <v>3659</v>
      </c>
      <c r="Q1100" s="431">
        <v>0.2</v>
      </c>
      <c r="R1100" s="433">
        <v>1900001140</v>
      </c>
      <c r="S1100" s="612" t="s">
        <v>3475</v>
      </c>
      <c r="T1100" s="588" t="s">
        <v>5915</v>
      </c>
    </row>
    <row r="1101" spans="1:20" s="619" customFormat="1" hidden="1" x14ac:dyDescent="0.35">
      <c r="A1101" s="613" t="s">
        <v>4775</v>
      </c>
      <c r="B1101" s="614" t="s">
        <v>91</v>
      </c>
      <c r="C1101" s="615">
        <v>44636</v>
      </c>
      <c r="D1101" s="443">
        <v>44636</v>
      </c>
      <c r="E1101" s="615" t="s">
        <v>322</v>
      </c>
      <c r="F1101" s="430" t="s">
        <v>4756</v>
      </c>
      <c r="G1101" s="671" t="s">
        <v>3655</v>
      </c>
      <c r="H1101" s="442" t="s">
        <v>4757</v>
      </c>
      <c r="I1101" s="362">
        <f t="shared" si="82"/>
        <v>9211.8002500000002</v>
      </c>
      <c r="J1101" s="362">
        <f t="shared" si="83"/>
        <v>1214.54</v>
      </c>
      <c r="K1101" s="362">
        <v>1214.54</v>
      </c>
      <c r="L1101" s="362">
        <f t="shared" si="84"/>
        <v>242.90800000000002</v>
      </c>
      <c r="M1101" s="362" t="s">
        <v>6171</v>
      </c>
      <c r="N1101" s="613" t="s">
        <v>3785</v>
      </c>
      <c r="O1101" s="433" t="s">
        <v>4120</v>
      </c>
      <c r="P1101" s="430" t="s">
        <v>3659</v>
      </c>
      <c r="Q1101" s="431">
        <v>0.2</v>
      </c>
      <c r="R1101" s="433">
        <v>1900001140</v>
      </c>
      <c r="S1101" s="617" t="s">
        <v>6182</v>
      </c>
      <c r="T1101" s="618" t="s">
        <v>5915</v>
      </c>
    </row>
    <row r="1102" spans="1:20" s="657" customFormat="1" hidden="1" x14ac:dyDescent="0.35">
      <c r="A1102" s="652" t="s">
        <v>4776</v>
      </c>
      <c r="B1102" s="653" t="s">
        <v>91</v>
      </c>
      <c r="C1102" s="654">
        <v>44636</v>
      </c>
      <c r="D1102" s="443">
        <v>44636</v>
      </c>
      <c r="E1102" s="654" t="s">
        <v>479</v>
      </c>
      <c r="F1102" s="430" t="s">
        <v>4756</v>
      </c>
      <c r="G1102" s="679" t="s">
        <v>3655</v>
      </c>
      <c r="H1102" s="442" t="s">
        <v>4757</v>
      </c>
      <c r="I1102" s="362">
        <f t="shared" si="82"/>
        <v>9211.8002500000002</v>
      </c>
      <c r="J1102" s="362">
        <f t="shared" si="83"/>
        <v>1214.54</v>
      </c>
      <c r="K1102" s="362">
        <v>1214.54</v>
      </c>
      <c r="L1102" s="362">
        <f t="shared" si="84"/>
        <v>242.90800000000002</v>
      </c>
      <c r="M1102" s="362" t="s">
        <v>6171</v>
      </c>
      <c r="N1102" s="652" t="s">
        <v>3785</v>
      </c>
      <c r="O1102" s="433" t="s">
        <v>4120</v>
      </c>
      <c r="P1102" s="430" t="s">
        <v>3659</v>
      </c>
      <c r="Q1102" s="431">
        <v>0.2</v>
      </c>
      <c r="R1102" s="433">
        <v>1900001140</v>
      </c>
      <c r="S1102" s="656" t="s">
        <v>6199</v>
      </c>
      <c r="T1102" s="251" t="s">
        <v>5915</v>
      </c>
    </row>
    <row r="1103" spans="1:20" s="619" customFormat="1" hidden="1" x14ac:dyDescent="0.35">
      <c r="A1103" s="613" t="s">
        <v>4777</v>
      </c>
      <c r="B1103" s="614" t="s">
        <v>91</v>
      </c>
      <c r="C1103" s="615">
        <v>44636</v>
      </c>
      <c r="D1103" s="443">
        <v>44636</v>
      </c>
      <c r="E1103" s="615" t="s">
        <v>323</v>
      </c>
      <c r="F1103" s="430" t="s">
        <v>4756</v>
      </c>
      <c r="G1103" s="671" t="s">
        <v>3655</v>
      </c>
      <c r="H1103" s="442" t="s">
        <v>4757</v>
      </c>
      <c r="I1103" s="362">
        <f t="shared" si="82"/>
        <v>9211.8002500000002</v>
      </c>
      <c r="J1103" s="362">
        <f t="shared" si="83"/>
        <v>1214.54</v>
      </c>
      <c r="K1103" s="362">
        <v>1214.54</v>
      </c>
      <c r="L1103" s="362">
        <f t="shared" si="84"/>
        <v>242.90800000000002</v>
      </c>
      <c r="M1103" s="362" t="s">
        <v>6171</v>
      </c>
      <c r="N1103" s="432" t="s">
        <v>3785</v>
      </c>
      <c r="O1103" s="433" t="s">
        <v>4120</v>
      </c>
      <c r="P1103" s="430" t="s">
        <v>3659</v>
      </c>
      <c r="Q1103" s="431">
        <v>0.2</v>
      </c>
      <c r="R1103" s="433">
        <v>1900001140</v>
      </c>
      <c r="S1103" s="617" t="s">
        <v>6230</v>
      </c>
      <c r="T1103" s="618" t="s">
        <v>5915</v>
      </c>
    </row>
    <row r="1104" spans="1:20" s="594" customFormat="1" hidden="1" x14ac:dyDescent="0.35">
      <c r="A1104" s="608" t="s">
        <v>4778</v>
      </c>
      <c r="B1104" s="609" t="s">
        <v>91</v>
      </c>
      <c r="C1104" s="610">
        <v>44636</v>
      </c>
      <c r="D1104" s="443">
        <v>44636</v>
      </c>
      <c r="E1104" s="610" t="s">
        <v>325</v>
      </c>
      <c r="F1104" s="430" t="s">
        <v>4756</v>
      </c>
      <c r="G1104" s="611" t="s">
        <v>3655</v>
      </c>
      <c r="H1104" s="442" t="s">
        <v>4757</v>
      </c>
      <c r="I1104" s="362">
        <f t="shared" si="82"/>
        <v>9211.8002500000002</v>
      </c>
      <c r="J1104" s="362">
        <f t="shared" si="83"/>
        <v>1214.54</v>
      </c>
      <c r="K1104" s="362">
        <v>1214.54</v>
      </c>
      <c r="L1104" s="362">
        <f t="shared" si="84"/>
        <v>242.90800000000002</v>
      </c>
      <c r="M1104" s="362" t="s">
        <v>6171</v>
      </c>
      <c r="N1104" s="432" t="s">
        <v>3785</v>
      </c>
      <c r="O1104" s="433" t="s">
        <v>4120</v>
      </c>
      <c r="P1104" s="430" t="s">
        <v>3659</v>
      </c>
      <c r="Q1104" s="431">
        <v>0.2</v>
      </c>
      <c r="R1104" s="433">
        <v>1900001140</v>
      </c>
      <c r="S1104" s="612" t="s">
        <v>3475</v>
      </c>
      <c r="T1104" s="588" t="s">
        <v>5915</v>
      </c>
    </row>
    <row r="1105" spans="1:20" s="594" customFormat="1" hidden="1" x14ac:dyDescent="0.35">
      <c r="A1105" s="608" t="s">
        <v>4779</v>
      </c>
      <c r="B1105" s="609" t="s">
        <v>91</v>
      </c>
      <c r="C1105" s="610">
        <v>44636</v>
      </c>
      <c r="D1105" s="443">
        <v>44636</v>
      </c>
      <c r="E1105" s="610" t="s">
        <v>326</v>
      </c>
      <c r="F1105" s="430" t="s">
        <v>4756</v>
      </c>
      <c r="G1105" s="611" t="s">
        <v>3655</v>
      </c>
      <c r="H1105" s="442" t="s">
        <v>4757</v>
      </c>
      <c r="I1105" s="362">
        <f t="shared" si="82"/>
        <v>9211.8002500000002</v>
      </c>
      <c r="J1105" s="362">
        <f t="shared" si="83"/>
        <v>1214.54</v>
      </c>
      <c r="K1105" s="362">
        <v>1214.54</v>
      </c>
      <c r="L1105" s="362">
        <f t="shared" si="84"/>
        <v>242.90800000000002</v>
      </c>
      <c r="M1105" s="362" t="s">
        <v>6171</v>
      </c>
      <c r="N1105" s="432" t="s">
        <v>3785</v>
      </c>
      <c r="O1105" s="433" t="s">
        <v>4120</v>
      </c>
      <c r="P1105" s="430" t="s">
        <v>3659</v>
      </c>
      <c r="Q1105" s="431">
        <v>0.2</v>
      </c>
      <c r="R1105" s="433">
        <v>1900001140</v>
      </c>
      <c r="S1105" s="612" t="s">
        <v>3475</v>
      </c>
      <c r="T1105" s="588" t="s">
        <v>5915</v>
      </c>
    </row>
    <row r="1106" spans="1:20" s="594" customFormat="1" hidden="1" x14ac:dyDescent="0.35">
      <c r="A1106" s="608" t="s">
        <v>4780</v>
      </c>
      <c r="B1106" s="609" t="s">
        <v>91</v>
      </c>
      <c r="C1106" s="610">
        <v>44636</v>
      </c>
      <c r="D1106" s="443">
        <v>44636</v>
      </c>
      <c r="E1106" s="812" t="s">
        <v>327</v>
      </c>
      <c r="F1106" s="430" t="s">
        <v>4756</v>
      </c>
      <c r="G1106" s="611" t="s">
        <v>3655</v>
      </c>
      <c r="H1106" s="442" t="s">
        <v>4757</v>
      </c>
      <c r="I1106" s="362">
        <f t="shared" si="82"/>
        <v>9211.8002500000002</v>
      </c>
      <c r="J1106" s="362">
        <f t="shared" si="83"/>
        <v>1214.54</v>
      </c>
      <c r="K1106" s="362">
        <v>1214.54</v>
      </c>
      <c r="L1106" s="362">
        <f t="shared" si="84"/>
        <v>242.90800000000002</v>
      </c>
      <c r="M1106" s="362" t="s">
        <v>6171</v>
      </c>
      <c r="N1106" s="432" t="s">
        <v>3785</v>
      </c>
      <c r="O1106" s="433" t="s">
        <v>4120</v>
      </c>
      <c r="P1106" s="430" t="s">
        <v>3659</v>
      </c>
      <c r="Q1106" s="431">
        <v>0.2</v>
      </c>
      <c r="R1106" s="433">
        <v>1900001140</v>
      </c>
      <c r="S1106" s="612" t="s">
        <v>3475</v>
      </c>
      <c r="T1106" s="588" t="s">
        <v>5915</v>
      </c>
    </row>
    <row r="1107" spans="1:20" s="619" customFormat="1" hidden="1" x14ac:dyDescent="0.35">
      <c r="A1107" s="613" t="s">
        <v>4781</v>
      </c>
      <c r="B1107" s="614" t="s">
        <v>328</v>
      </c>
      <c r="C1107" s="615">
        <v>44636</v>
      </c>
      <c r="D1107" s="443">
        <v>44636</v>
      </c>
      <c r="E1107" s="615" t="s">
        <v>329</v>
      </c>
      <c r="F1107" s="430" t="s">
        <v>4756</v>
      </c>
      <c r="G1107" s="671" t="s">
        <v>3655</v>
      </c>
      <c r="H1107" s="442" t="s">
        <v>4757</v>
      </c>
      <c r="I1107" s="362">
        <f t="shared" si="82"/>
        <v>9211.8002500000002</v>
      </c>
      <c r="J1107" s="362">
        <f t="shared" si="83"/>
        <v>1214.54</v>
      </c>
      <c r="K1107" s="362">
        <v>1214.54</v>
      </c>
      <c r="L1107" s="362">
        <f t="shared" si="84"/>
        <v>242.90800000000002</v>
      </c>
      <c r="M1107" s="362" t="s">
        <v>6171</v>
      </c>
      <c r="N1107" s="613" t="s">
        <v>3785</v>
      </c>
      <c r="O1107" s="433" t="s">
        <v>4120</v>
      </c>
      <c r="P1107" s="430" t="s">
        <v>3659</v>
      </c>
      <c r="Q1107" s="431">
        <v>0.2</v>
      </c>
      <c r="R1107" s="433">
        <v>1900001140</v>
      </c>
      <c r="S1107" s="617" t="s">
        <v>330</v>
      </c>
      <c r="T1107" s="618" t="s">
        <v>5915</v>
      </c>
    </row>
    <row r="1108" spans="1:20" s="619" customFormat="1" hidden="1" x14ac:dyDescent="0.35">
      <c r="A1108" s="613" t="s">
        <v>4782</v>
      </c>
      <c r="B1108" s="614" t="s">
        <v>328</v>
      </c>
      <c r="C1108" s="615">
        <v>44636</v>
      </c>
      <c r="D1108" s="443">
        <v>44636</v>
      </c>
      <c r="E1108" s="615" t="s">
        <v>6183</v>
      </c>
      <c r="F1108" s="430" t="s">
        <v>4756</v>
      </c>
      <c r="G1108" s="671" t="s">
        <v>3655</v>
      </c>
      <c r="H1108" s="442" t="s">
        <v>4757</v>
      </c>
      <c r="I1108" s="362">
        <f t="shared" si="82"/>
        <v>9211.8002500000002</v>
      </c>
      <c r="J1108" s="362">
        <f t="shared" si="83"/>
        <v>1214.54</v>
      </c>
      <c r="K1108" s="362">
        <v>1214.54</v>
      </c>
      <c r="L1108" s="362">
        <f t="shared" si="84"/>
        <v>242.90800000000002</v>
      </c>
      <c r="M1108" s="362" t="s">
        <v>6171</v>
      </c>
      <c r="N1108" s="613" t="s">
        <v>3785</v>
      </c>
      <c r="O1108" s="433" t="s">
        <v>4120</v>
      </c>
      <c r="P1108" s="430" t="s">
        <v>3659</v>
      </c>
      <c r="Q1108" s="431">
        <v>0.2</v>
      </c>
      <c r="R1108" s="433">
        <v>1900001140</v>
      </c>
      <c r="S1108" s="617" t="s">
        <v>1313</v>
      </c>
      <c r="T1108" s="618" t="s">
        <v>5915</v>
      </c>
    </row>
    <row r="1109" spans="1:20" s="619" customFormat="1" hidden="1" x14ac:dyDescent="0.35">
      <c r="A1109" s="613" t="s">
        <v>4783</v>
      </c>
      <c r="B1109" s="614" t="s">
        <v>328</v>
      </c>
      <c r="C1109" s="615">
        <v>44636</v>
      </c>
      <c r="D1109" s="443">
        <v>44636</v>
      </c>
      <c r="E1109" s="615" t="s">
        <v>332</v>
      </c>
      <c r="F1109" s="430" t="s">
        <v>4756</v>
      </c>
      <c r="G1109" s="671" t="s">
        <v>3655</v>
      </c>
      <c r="H1109" s="442" t="s">
        <v>4757</v>
      </c>
      <c r="I1109" s="362">
        <f t="shared" si="82"/>
        <v>9211.8002500000002</v>
      </c>
      <c r="J1109" s="362">
        <f t="shared" si="83"/>
        <v>1214.54</v>
      </c>
      <c r="K1109" s="362">
        <v>1214.54</v>
      </c>
      <c r="L1109" s="362">
        <f t="shared" si="84"/>
        <v>242.90800000000002</v>
      </c>
      <c r="M1109" s="362" t="s">
        <v>6171</v>
      </c>
      <c r="N1109" s="613" t="s">
        <v>3785</v>
      </c>
      <c r="O1109" s="433" t="s">
        <v>4120</v>
      </c>
      <c r="P1109" s="430" t="s">
        <v>3659</v>
      </c>
      <c r="Q1109" s="431">
        <v>0.2</v>
      </c>
      <c r="R1109" s="433">
        <v>1900001140</v>
      </c>
      <c r="S1109" s="617" t="s">
        <v>333</v>
      </c>
      <c r="T1109" s="618" t="s">
        <v>5915</v>
      </c>
    </row>
    <row r="1110" spans="1:20" s="619" customFormat="1" hidden="1" x14ac:dyDescent="0.35">
      <c r="A1110" s="613" t="s">
        <v>4784</v>
      </c>
      <c r="B1110" s="614" t="s">
        <v>328</v>
      </c>
      <c r="C1110" s="615">
        <v>44636</v>
      </c>
      <c r="D1110" s="443">
        <v>44636</v>
      </c>
      <c r="E1110" s="615" t="s">
        <v>334</v>
      </c>
      <c r="F1110" s="430" t="s">
        <v>4756</v>
      </c>
      <c r="G1110" s="671" t="s">
        <v>3655</v>
      </c>
      <c r="H1110" s="442" t="s">
        <v>4757</v>
      </c>
      <c r="I1110" s="362">
        <f t="shared" si="82"/>
        <v>9211.8002500000002</v>
      </c>
      <c r="J1110" s="362">
        <f t="shared" si="83"/>
        <v>1214.54</v>
      </c>
      <c r="K1110" s="362">
        <v>1214.54</v>
      </c>
      <c r="L1110" s="362">
        <f t="shared" si="84"/>
        <v>242.90800000000002</v>
      </c>
      <c r="M1110" s="362" t="s">
        <v>6171</v>
      </c>
      <c r="N1110" s="613" t="s">
        <v>3785</v>
      </c>
      <c r="O1110" s="433" t="s">
        <v>4120</v>
      </c>
      <c r="P1110" s="430" t="s">
        <v>3659</v>
      </c>
      <c r="Q1110" s="431">
        <v>0.2</v>
      </c>
      <c r="R1110" s="433">
        <v>1900001140</v>
      </c>
      <c r="S1110" s="617" t="s">
        <v>6184</v>
      </c>
      <c r="T1110" s="618" t="s">
        <v>5915</v>
      </c>
    </row>
    <row r="1111" spans="1:20" s="619" customFormat="1" hidden="1" x14ac:dyDescent="0.35">
      <c r="A1111" s="613" t="s">
        <v>4785</v>
      </c>
      <c r="B1111" s="614" t="s">
        <v>328</v>
      </c>
      <c r="C1111" s="615">
        <v>44636</v>
      </c>
      <c r="D1111" s="443">
        <v>44636</v>
      </c>
      <c r="E1111" s="615" t="s">
        <v>335</v>
      </c>
      <c r="F1111" s="430" t="s">
        <v>4756</v>
      </c>
      <c r="G1111" s="671" t="s">
        <v>3655</v>
      </c>
      <c r="H1111" s="442" t="s">
        <v>4757</v>
      </c>
      <c r="I1111" s="362">
        <f t="shared" si="82"/>
        <v>9211.8002500000002</v>
      </c>
      <c r="J1111" s="362">
        <f t="shared" si="83"/>
        <v>1214.54</v>
      </c>
      <c r="K1111" s="362">
        <v>1214.54</v>
      </c>
      <c r="L1111" s="362">
        <f t="shared" si="84"/>
        <v>242.90800000000002</v>
      </c>
      <c r="M1111" s="362" t="s">
        <v>6171</v>
      </c>
      <c r="N1111" s="613" t="s">
        <v>3785</v>
      </c>
      <c r="O1111" s="433" t="s">
        <v>4120</v>
      </c>
      <c r="P1111" s="430" t="s">
        <v>3659</v>
      </c>
      <c r="Q1111" s="431">
        <v>0.2</v>
      </c>
      <c r="R1111" s="433">
        <v>1900001140</v>
      </c>
      <c r="S1111" s="617" t="s">
        <v>6185</v>
      </c>
      <c r="T1111" s="618" t="s">
        <v>5915</v>
      </c>
    </row>
    <row r="1112" spans="1:20" s="619" customFormat="1" hidden="1" x14ac:dyDescent="0.35">
      <c r="A1112" s="613" t="s">
        <v>4786</v>
      </c>
      <c r="B1112" s="614" t="s">
        <v>328</v>
      </c>
      <c r="C1112" s="615">
        <v>44636</v>
      </c>
      <c r="D1112" s="443">
        <v>44636</v>
      </c>
      <c r="E1112" s="615" t="s">
        <v>337</v>
      </c>
      <c r="F1112" s="430" t="s">
        <v>4756</v>
      </c>
      <c r="G1112" s="671" t="s">
        <v>3655</v>
      </c>
      <c r="H1112" s="442" t="s">
        <v>4757</v>
      </c>
      <c r="I1112" s="362">
        <f t="shared" si="82"/>
        <v>9211.8002500000002</v>
      </c>
      <c r="J1112" s="362">
        <f t="shared" si="83"/>
        <v>1214.54</v>
      </c>
      <c r="K1112" s="362">
        <v>1214.54</v>
      </c>
      <c r="L1112" s="362">
        <f t="shared" si="84"/>
        <v>242.90800000000002</v>
      </c>
      <c r="M1112" s="362" t="s">
        <v>6171</v>
      </c>
      <c r="N1112" s="613" t="s">
        <v>3785</v>
      </c>
      <c r="O1112" s="433" t="s">
        <v>4120</v>
      </c>
      <c r="P1112" s="430" t="s">
        <v>3659</v>
      </c>
      <c r="Q1112" s="431">
        <v>0.2</v>
      </c>
      <c r="R1112" s="433">
        <v>1900001140</v>
      </c>
      <c r="S1112" s="617" t="s">
        <v>338</v>
      </c>
      <c r="T1112" s="618" t="s">
        <v>5915</v>
      </c>
    </row>
    <row r="1113" spans="1:20" s="619" customFormat="1" hidden="1" x14ac:dyDescent="0.35">
      <c r="A1113" s="613" t="s">
        <v>4787</v>
      </c>
      <c r="B1113" s="614" t="s">
        <v>328</v>
      </c>
      <c r="C1113" s="615">
        <v>44636</v>
      </c>
      <c r="D1113" s="443">
        <v>44636</v>
      </c>
      <c r="E1113" s="615" t="s">
        <v>339</v>
      </c>
      <c r="F1113" s="430" t="s">
        <v>4756</v>
      </c>
      <c r="G1113" s="671" t="s">
        <v>3655</v>
      </c>
      <c r="H1113" s="442" t="s">
        <v>4757</v>
      </c>
      <c r="I1113" s="362">
        <f t="shared" si="82"/>
        <v>9211.8002500000002</v>
      </c>
      <c r="J1113" s="362">
        <f t="shared" si="83"/>
        <v>1214.54</v>
      </c>
      <c r="K1113" s="362">
        <v>1214.54</v>
      </c>
      <c r="L1113" s="362">
        <f t="shared" si="84"/>
        <v>242.90800000000002</v>
      </c>
      <c r="M1113" s="362" t="s">
        <v>6171</v>
      </c>
      <c r="N1113" s="613" t="s">
        <v>3785</v>
      </c>
      <c r="O1113" s="433" t="s">
        <v>4120</v>
      </c>
      <c r="P1113" s="430" t="s">
        <v>3659</v>
      </c>
      <c r="Q1113" s="431">
        <v>0.2</v>
      </c>
      <c r="R1113" s="433">
        <v>1900001140</v>
      </c>
      <c r="S1113" s="617" t="s">
        <v>340</v>
      </c>
      <c r="T1113" s="618" t="s">
        <v>5915</v>
      </c>
    </row>
    <row r="1114" spans="1:20" s="619" customFormat="1" hidden="1" x14ac:dyDescent="0.35">
      <c r="A1114" s="613" t="s">
        <v>4788</v>
      </c>
      <c r="B1114" s="614" t="s">
        <v>328</v>
      </c>
      <c r="C1114" s="615">
        <v>44636</v>
      </c>
      <c r="D1114" s="443">
        <v>44636</v>
      </c>
      <c r="E1114" s="615" t="s">
        <v>341</v>
      </c>
      <c r="F1114" s="430" t="s">
        <v>4756</v>
      </c>
      <c r="G1114" s="671" t="s">
        <v>3655</v>
      </c>
      <c r="H1114" s="442" t="s">
        <v>4757</v>
      </c>
      <c r="I1114" s="362">
        <f t="shared" si="82"/>
        <v>9211.8002500000002</v>
      </c>
      <c r="J1114" s="362">
        <f t="shared" si="83"/>
        <v>1214.54</v>
      </c>
      <c r="K1114" s="362">
        <v>1214.54</v>
      </c>
      <c r="L1114" s="362">
        <f t="shared" si="84"/>
        <v>242.90800000000002</v>
      </c>
      <c r="M1114" s="362" t="s">
        <v>6171</v>
      </c>
      <c r="N1114" s="613" t="s">
        <v>3785</v>
      </c>
      <c r="O1114" s="433" t="s">
        <v>4120</v>
      </c>
      <c r="P1114" s="430" t="s">
        <v>3659</v>
      </c>
      <c r="Q1114" s="431">
        <v>0.2</v>
      </c>
      <c r="R1114" s="433">
        <v>1900001140</v>
      </c>
      <c r="S1114" s="617" t="s">
        <v>342</v>
      </c>
      <c r="T1114" s="618" t="s">
        <v>5915</v>
      </c>
    </row>
    <row r="1115" spans="1:20" s="619" customFormat="1" hidden="1" x14ac:dyDescent="0.35">
      <c r="A1115" s="613" t="s">
        <v>4789</v>
      </c>
      <c r="B1115" s="614" t="s">
        <v>328</v>
      </c>
      <c r="C1115" s="615">
        <v>44636</v>
      </c>
      <c r="D1115" s="443">
        <v>44636</v>
      </c>
      <c r="E1115" s="615" t="s">
        <v>343</v>
      </c>
      <c r="F1115" s="430" t="s">
        <v>4756</v>
      </c>
      <c r="G1115" s="671" t="s">
        <v>3655</v>
      </c>
      <c r="H1115" s="442" t="s">
        <v>4757</v>
      </c>
      <c r="I1115" s="362">
        <f t="shared" si="82"/>
        <v>9211.8002500000002</v>
      </c>
      <c r="J1115" s="362">
        <f t="shared" si="83"/>
        <v>1214.54</v>
      </c>
      <c r="K1115" s="362">
        <v>1214.54</v>
      </c>
      <c r="L1115" s="362">
        <f t="shared" si="84"/>
        <v>242.90800000000002</v>
      </c>
      <c r="M1115" s="362" t="s">
        <v>6171</v>
      </c>
      <c r="N1115" s="613" t="s">
        <v>3785</v>
      </c>
      <c r="O1115" s="433" t="s">
        <v>4120</v>
      </c>
      <c r="P1115" s="430" t="s">
        <v>3659</v>
      </c>
      <c r="Q1115" s="431">
        <v>0.2</v>
      </c>
      <c r="R1115" s="433">
        <v>1900001140</v>
      </c>
      <c r="S1115" s="617" t="s">
        <v>344</v>
      </c>
      <c r="T1115" s="618" t="s">
        <v>5915</v>
      </c>
    </row>
    <row r="1116" spans="1:20" s="619" customFormat="1" hidden="1" x14ac:dyDescent="0.35">
      <c r="A1116" s="613" t="s">
        <v>4790</v>
      </c>
      <c r="B1116" s="614" t="s">
        <v>328</v>
      </c>
      <c r="C1116" s="615">
        <v>44636</v>
      </c>
      <c r="D1116" s="443">
        <v>44636</v>
      </c>
      <c r="E1116" s="615" t="s">
        <v>345</v>
      </c>
      <c r="F1116" s="430" t="s">
        <v>4756</v>
      </c>
      <c r="G1116" s="671" t="s">
        <v>3655</v>
      </c>
      <c r="H1116" s="442" t="s">
        <v>4757</v>
      </c>
      <c r="I1116" s="362">
        <f t="shared" si="82"/>
        <v>9211.8002500000002</v>
      </c>
      <c r="J1116" s="362">
        <f t="shared" si="83"/>
        <v>1214.54</v>
      </c>
      <c r="K1116" s="362">
        <v>1214.54</v>
      </c>
      <c r="L1116" s="362">
        <f t="shared" si="84"/>
        <v>242.90800000000002</v>
      </c>
      <c r="M1116" s="362" t="s">
        <v>6171</v>
      </c>
      <c r="N1116" s="613" t="s">
        <v>3785</v>
      </c>
      <c r="O1116" s="433" t="s">
        <v>4120</v>
      </c>
      <c r="P1116" s="430" t="s">
        <v>3659</v>
      </c>
      <c r="Q1116" s="431">
        <v>0.2</v>
      </c>
      <c r="R1116" s="433">
        <v>1900001140</v>
      </c>
      <c r="S1116" s="617" t="s">
        <v>346</v>
      </c>
      <c r="T1116" s="618" t="s">
        <v>5915</v>
      </c>
    </row>
    <row r="1117" spans="1:20" s="594" customFormat="1" hidden="1" x14ac:dyDescent="0.35">
      <c r="A1117" s="608" t="s">
        <v>4791</v>
      </c>
      <c r="B1117" s="609" t="s">
        <v>328</v>
      </c>
      <c r="C1117" s="610">
        <v>44636</v>
      </c>
      <c r="D1117" s="443">
        <v>44636</v>
      </c>
      <c r="E1117" s="610" t="s">
        <v>347</v>
      </c>
      <c r="F1117" s="430" t="s">
        <v>4756</v>
      </c>
      <c r="G1117" s="611" t="s">
        <v>3655</v>
      </c>
      <c r="H1117" s="442" t="s">
        <v>4757</v>
      </c>
      <c r="I1117" s="362">
        <f t="shared" si="82"/>
        <v>9211.8002500000002</v>
      </c>
      <c r="J1117" s="362">
        <f t="shared" si="83"/>
        <v>1214.54</v>
      </c>
      <c r="K1117" s="362">
        <v>1214.54</v>
      </c>
      <c r="L1117" s="362">
        <f t="shared" si="84"/>
        <v>242.90800000000002</v>
      </c>
      <c r="M1117" s="362" t="s">
        <v>6171</v>
      </c>
      <c r="N1117" s="432" t="s">
        <v>3785</v>
      </c>
      <c r="O1117" s="433" t="s">
        <v>4120</v>
      </c>
      <c r="P1117" s="430" t="s">
        <v>3659</v>
      </c>
      <c r="Q1117" s="431">
        <v>0.2</v>
      </c>
      <c r="R1117" s="433">
        <v>1900001140</v>
      </c>
      <c r="S1117" s="612" t="s">
        <v>3475</v>
      </c>
      <c r="T1117" s="588" t="s">
        <v>5915</v>
      </c>
    </row>
    <row r="1118" spans="1:20" s="619" customFormat="1" hidden="1" x14ac:dyDescent="0.35">
      <c r="A1118" s="613" t="s">
        <v>4792</v>
      </c>
      <c r="B1118" s="614" t="s">
        <v>328</v>
      </c>
      <c r="C1118" s="615">
        <v>44636</v>
      </c>
      <c r="D1118" s="443">
        <v>44636</v>
      </c>
      <c r="E1118" s="615" t="s">
        <v>348</v>
      </c>
      <c r="F1118" s="430" t="s">
        <v>4756</v>
      </c>
      <c r="G1118" s="671" t="s">
        <v>3655</v>
      </c>
      <c r="H1118" s="442" t="s">
        <v>4757</v>
      </c>
      <c r="I1118" s="362">
        <f t="shared" si="82"/>
        <v>9211.8002500000002</v>
      </c>
      <c r="J1118" s="362">
        <f t="shared" si="83"/>
        <v>1214.54</v>
      </c>
      <c r="K1118" s="362">
        <v>1214.54</v>
      </c>
      <c r="L1118" s="362">
        <f t="shared" si="84"/>
        <v>242.90800000000002</v>
      </c>
      <c r="M1118" s="362" t="s">
        <v>6171</v>
      </c>
      <c r="N1118" s="613" t="s">
        <v>3785</v>
      </c>
      <c r="O1118" s="433" t="s">
        <v>4120</v>
      </c>
      <c r="P1118" s="430" t="s">
        <v>3659</v>
      </c>
      <c r="Q1118" s="431">
        <v>0.2</v>
      </c>
      <c r="R1118" s="433">
        <v>1900001140</v>
      </c>
      <c r="S1118" s="617" t="s">
        <v>319</v>
      </c>
      <c r="T1118" s="618" t="s">
        <v>5915</v>
      </c>
    </row>
    <row r="1119" spans="1:20" s="594" customFormat="1" hidden="1" x14ac:dyDescent="0.35">
      <c r="A1119" s="608" t="s">
        <v>4793</v>
      </c>
      <c r="B1119" s="609" t="s">
        <v>328</v>
      </c>
      <c r="C1119" s="610">
        <v>44636</v>
      </c>
      <c r="D1119" s="443">
        <v>44636</v>
      </c>
      <c r="E1119" s="610" t="s">
        <v>349</v>
      </c>
      <c r="F1119" s="430" t="s">
        <v>4756</v>
      </c>
      <c r="G1119" s="611" t="s">
        <v>3655</v>
      </c>
      <c r="H1119" s="442" t="s">
        <v>4757</v>
      </c>
      <c r="I1119" s="362">
        <f t="shared" si="82"/>
        <v>9211.8002500000002</v>
      </c>
      <c r="J1119" s="362">
        <f t="shared" si="83"/>
        <v>1214.54</v>
      </c>
      <c r="K1119" s="362">
        <v>1214.54</v>
      </c>
      <c r="L1119" s="362">
        <f t="shared" si="84"/>
        <v>242.90800000000002</v>
      </c>
      <c r="M1119" s="362" t="s">
        <v>6171</v>
      </c>
      <c r="N1119" s="432" t="s">
        <v>3785</v>
      </c>
      <c r="O1119" s="433" t="s">
        <v>4120</v>
      </c>
      <c r="P1119" s="430" t="s">
        <v>3659</v>
      </c>
      <c r="Q1119" s="431">
        <v>0.2</v>
      </c>
      <c r="R1119" s="433">
        <v>1900001140</v>
      </c>
      <c r="S1119" s="612" t="s">
        <v>3475</v>
      </c>
      <c r="T1119" s="588" t="s">
        <v>5915</v>
      </c>
    </row>
    <row r="1120" spans="1:20" s="561" customFormat="1" hidden="1" x14ac:dyDescent="0.35">
      <c r="A1120" s="564" t="s">
        <v>4794</v>
      </c>
      <c r="B1120" s="565" t="s">
        <v>328</v>
      </c>
      <c r="C1120" s="566">
        <v>44636</v>
      </c>
      <c r="D1120" s="443">
        <v>44636</v>
      </c>
      <c r="E1120" s="566" t="s">
        <v>350</v>
      </c>
      <c r="F1120" s="430" t="s">
        <v>4756</v>
      </c>
      <c r="G1120" s="572" t="s">
        <v>3655</v>
      </c>
      <c r="H1120" s="442" t="s">
        <v>4757</v>
      </c>
      <c r="I1120" s="362">
        <f t="shared" si="82"/>
        <v>9211.8002500000002</v>
      </c>
      <c r="J1120" s="362">
        <f t="shared" si="83"/>
        <v>1214.54</v>
      </c>
      <c r="K1120" s="362">
        <v>1214.54</v>
      </c>
      <c r="L1120" s="362">
        <f t="shared" si="84"/>
        <v>242.90800000000002</v>
      </c>
      <c r="M1120" s="362" t="s">
        <v>6171</v>
      </c>
      <c r="N1120" s="564" t="s">
        <v>3785</v>
      </c>
      <c r="O1120" s="433" t="s">
        <v>4120</v>
      </c>
      <c r="P1120" s="430" t="s">
        <v>3659</v>
      </c>
      <c r="Q1120" s="431">
        <v>0.2</v>
      </c>
      <c r="R1120" s="433">
        <v>1900001140</v>
      </c>
      <c r="S1120" s="568" t="s">
        <v>351</v>
      </c>
      <c r="T1120" s="560" t="s">
        <v>5915</v>
      </c>
    </row>
    <row r="1121" spans="1:20" s="619" customFormat="1" hidden="1" x14ac:dyDescent="0.35">
      <c r="A1121" s="613" t="s">
        <v>4795</v>
      </c>
      <c r="B1121" s="614" t="s">
        <v>328</v>
      </c>
      <c r="C1121" s="615">
        <v>44636</v>
      </c>
      <c r="D1121" s="443">
        <v>44636</v>
      </c>
      <c r="E1121" s="615" t="s">
        <v>352</v>
      </c>
      <c r="F1121" s="430" t="s">
        <v>4756</v>
      </c>
      <c r="G1121" s="671" t="s">
        <v>3655</v>
      </c>
      <c r="H1121" s="442" t="s">
        <v>4757</v>
      </c>
      <c r="I1121" s="362">
        <f t="shared" si="82"/>
        <v>9211.8002500000002</v>
      </c>
      <c r="J1121" s="362">
        <f t="shared" si="83"/>
        <v>1214.54</v>
      </c>
      <c r="K1121" s="362">
        <v>1214.54</v>
      </c>
      <c r="L1121" s="362">
        <f t="shared" si="84"/>
        <v>242.90800000000002</v>
      </c>
      <c r="M1121" s="362" t="s">
        <v>6171</v>
      </c>
      <c r="N1121" s="613" t="s">
        <v>3785</v>
      </c>
      <c r="O1121" s="433" t="s">
        <v>4120</v>
      </c>
      <c r="P1121" s="430" t="s">
        <v>3659</v>
      </c>
      <c r="Q1121" s="431">
        <v>0.2</v>
      </c>
      <c r="R1121" s="433">
        <v>1900001140</v>
      </c>
      <c r="S1121" s="617" t="s">
        <v>353</v>
      </c>
      <c r="T1121" s="618" t="s">
        <v>5915</v>
      </c>
    </row>
    <row r="1122" spans="1:20" s="619" customFormat="1" hidden="1" x14ac:dyDescent="0.35">
      <c r="A1122" s="613" t="s">
        <v>4796</v>
      </c>
      <c r="B1122" s="614" t="s">
        <v>328</v>
      </c>
      <c r="C1122" s="615">
        <v>44636</v>
      </c>
      <c r="D1122" s="443">
        <v>44636</v>
      </c>
      <c r="E1122" s="615" t="s">
        <v>354</v>
      </c>
      <c r="F1122" s="430" t="s">
        <v>4756</v>
      </c>
      <c r="G1122" s="671" t="s">
        <v>3655</v>
      </c>
      <c r="H1122" s="442" t="s">
        <v>4757</v>
      </c>
      <c r="I1122" s="362">
        <f t="shared" si="82"/>
        <v>9211.8002500000002</v>
      </c>
      <c r="J1122" s="362">
        <f t="shared" si="83"/>
        <v>1214.54</v>
      </c>
      <c r="K1122" s="362">
        <v>1214.54</v>
      </c>
      <c r="L1122" s="362">
        <f>+K1122*Q1122</f>
        <v>242.90800000000002</v>
      </c>
      <c r="M1122" s="362" t="s">
        <v>6171</v>
      </c>
      <c r="N1122" s="613" t="s">
        <v>3785</v>
      </c>
      <c r="O1122" s="433" t="s">
        <v>4120</v>
      </c>
      <c r="P1122" s="430" t="s">
        <v>3659</v>
      </c>
      <c r="Q1122" s="431">
        <v>0.2</v>
      </c>
      <c r="R1122" s="433">
        <v>1900001140</v>
      </c>
      <c r="S1122" s="617" t="s">
        <v>355</v>
      </c>
      <c r="T1122" s="618" t="s">
        <v>5915</v>
      </c>
    </row>
    <row r="1123" spans="1:20" s="619" customFormat="1" hidden="1" x14ac:dyDescent="0.35">
      <c r="A1123" s="613" t="s">
        <v>4797</v>
      </c>
      <c r="B1123" s="614" t="s">
        <v>328</v>
      </c>
      <c r="C1123" s="615">
        <v>44615</v>
      </c>
      <c r="D1123" s="443">
        <v>44615</v>
      </c>
      <c r="E1123" s="615" t="s">
        <v>356</v>
      </c>
      <c r="F1123" s="430" t="s">
        <v>4798</v>
      </c>
      <c r="G1123" s="671" t="s">
        <v>3655</v>
      </c>
      <c r="H1123" s="442" t="s">
        <v>4757</v>
      </c>
      <c r="I1123" s="362">
        <f>232131.58/20</f>
        <v>11606.579</v>
      </c>
      <c r="J1123" s="362">
        <f>28804.59/20</f>
        <v>1440.2294999999999</v>
      </c>
      <c r="K1123" s="362">
        <v>1440.2294999999999</v>
      </c>
      <c r="L1123" s="362">
        <f t="shared" si="84"/>
        <v>288.04590000000002</v>
      </c>
      <c r="M1123" s="362" t="s">
        <v>6171</v>
      </c>
      <c r="N1123" s="613" t="s">
        <v>3785</v>
      </c>
      <c r="O1123" s="433" t="s">
        <v>4120</v>
      </c>
      <c r="P1123" s="430" t="s">
        <v>3659</v>
      </c>
      <c r="Q1123" s="431">
        <v>0.2</v>
      </c>
      <c r="R1123" s="433">
        <v>1900000843</v>
      </c>
      <c r="S1123" s="617" t="s">
        <v>357</v>
      </c>
      <c r="T1123" s="618" t="s">
        <v>5915</v>
      </c>
    </row>
    <row r="1124" spans="1:20" s="619" customFormat="1" hidden="1" x14ac:dyDescent="0.35">
      <c r="A1124" s="613" t="s">
        <v>4799</v>
      </c>
      <c r="B1124" s="614" t="s">
        <v>328</v>
      </c>
      <c r="C1124" s="615">
        <v>44615</v>
      </c>
      <c r="D1124" s="443">
        <v>44615</v>
      </c>
      <c r="E1124" s="615" t="s">
        <v>358</v>
      </c>
      <c r="F1124" s="430" t="s">
        <v>4798</v>
      </c>
      <c r="G1124" s="671" t="s">
        <v>3655</v>
      </c>
      <c r="H1124" s="442" t="s">
        <v>4757</v>
      </c>
      <c r="I1124" s="362">
        <f t="shared" ref="I1124:I1142" si="85">232131.58/20</f>
        <v>11606.579</v>
      </c>
      <c r="J1124" s="362">
        <f t="shared" ref="J1124:J1142" si="86">28804.59/20</f>
        <v>1440.2294999999999</v>
      </c>
      <c r="K1124" s="362">
        <v>1440.2294999999999</v>
      </c>
      <c r="L1124" s="362">
        <f t="shared" si="84"/>
        <v>288.04590000000002</v>
      </c>
      <c r="M1124" s="362" t="s">
        <v>6171</v>
      </c>
      <c r="N1124" s="613" t="s">
        <v>3785</v>
      </c>
      <c r="O1124" s="433" t="s">
        <v>4120</v>
      </c>
      <c r="P1124" s="430" t="s">
        <v>3659</v>
      </c>
      <c r="Q1124" s="431">
        <v>0.2</v>
      </c>
      <c r="R1124" s="433">
        <v>1900000843</v>
      </c>
      <c r="S1124" s="617" t="s">
        <v>359</v>
      </c>
      <c r="T1124" s="618" t="s">
        <v>5915</v>
      </c>
    </row>
    <row r="1125" spans="1:20" s="619" customFormat="1" hidden="1" x14ac:dyDescent="0.35">
      <c r="A1125" s="613" t="s">
        <v>4800</v>
      </c>
      <c r="B1125" s="614" t="s">
        <v>328</v>
      </c>
      <c r="C1125" s="615">
        <v>44615</v>
      </c>
      <c r="D1125" s="443">
        <v>44615</v>
      </c>
      <c r="E1125" s="615" t="s">
        <v>360</v>
      </c>
      <c r="F1125" s="430" t="s">
        <v>4798</v>
      </c>
      <c r="G1125" s="671" t="s">
        <v>3655</v>
      </c>
      <c r="H1125" s="442" t="s">
        <v>4757</v>
      </c>
      <c r="I1125" s="362">
        <f t="shared" si="85"/>
        <v>11606.579</v>
      </c>
      <c r="J1125" s="362">
        <f t="shared" si="86"/>
        <v>1440.2294999999999</v>
      </c>
      <c r="K1125" s="362">
        <v>1440.2294999999999</v>
      </c>
      <c r="L1125" s="362">
        <f t="shared" si="84"/>
        <v>288.04590000000002</v>
      </c>
      <c r="M1125" s="362" t="s">
        <v>6171</v>
      </c>
      <c r="N1125" s="613" t="s">
        <v>3785</v>
      </c>
      <c r="O1125" s="433" t="s">
        <v>4120</v>
      </c>
      <c r="P1125" s="430" t="s">
        <v>3659</v>
      </c>
      <c r="Q1125" s="431">
        <v>0.2</v>
      </c>
      <c r="R1125" s="433">
        <v>1900000843</v>
      </c>
      <c r="S1125" s="617" t="s">
        <v>361</v>
      </c>
      <c r="T1125" s="618" t="s">
        <v>5915</v>
      </c>
    </row>
    <row r="1126" spans="1:20" s="561" customFormat="1" hidden="1" x14ac:dyDescent="0.35">
      <c r="A1126" s="564" t="s">
        <v>4801</v>
      </c>
      <c r="B1126" s="565" t="s">
        <v>328</v>
      </c>
      <c r="C1126" s="566">
        <v>44615</v>
      </c>
      <c r="D1126" s="443">
        <v>44615</v>
      </c>
      <c r="E1126" s="566" t="s">
        <v>362</v>
      </c>
      <c r="F1126" s="430" t="s">
        <v>4798</v>
      </c>
      <c r="G1126" s="572" t="s">
        <v>3655</v>
      </c>
      <c r="H1126" s="442" t="s">
        <v>4757</v>
      </c>
      <c r="I1126" s="362">
        <f t="shared" si="85"/>
        <v>11606.579</v>
      </c>
      <c r="J1126" s="362">
        <f t="shared" si="86"/>
        <v>1440.2294999999999</v>
      </c>
      <c r="K1126" s="362">
        <v>1440.2294999999999</v>
      </c>
      <c r="L1126" s="362">
        <f t="shared" si="84"/>
        <v>288.04590000000002</v>
      </c>
      <c r="M1126" s="362" t="s">
        <v>6171</v>
      </c>
      <c r="N1126" s="564" t="s">
        <v>3785</v>
      </c>
      <c r="O1126" s="433" t="s">
        <v>4120</v>
      </c>
      <c r="P1126" s="430" t="s">
        <v>3659</v>
      </c>
      <c r="Q1126" s="431">
        <v>0.2</v>
      </c>
      <c r="R1126" s="433">
        <v>1900000843</v>
      </c>
      <c r="S1126" s="568" t="s">
        <v>57</v>
      </c>
      <c r="T1126" s="560" t="s">
        <v>5915</v>
      </c>
    </row>
    <row r="1127" spans="1:20" s="657" customFormat="1" hidden="1" x14ac:dyDescent="0.35">
      <c r="A1127" s="652" t="s">
        <v>4802</v>
      </c>
      <c r="B1127" s="653" t="s">
        <v>328</v>
      </c>
      <c r="C1127" s="654">
        <v>44615</v>
      </c>
      <c r="D1127" s="443">
        <v>44615</v>
      </c>
      <c r="E1127" s="654" t="s">
        <v>363</v>
      </c>
      <c r="F1127" s="430" t="s">
        <v>4798</v>
      </c>
      <c r="G1127" s="679" t="s">
        <v>3655</v>
      </c>
      <c r="H1127" s="442" t="s">
        <v>4757</v>
      </c>
      <c r="I1127" s="362">
        <f t="shared" si="85"/>
        <v>11606.579</v>
      </c>
      <c r="J1127" s="362">
        <f t="shared" si="86"/>
        <v>1440.2294999999999</v>
      </c>
      <c r="K1127" s="362">
        <v>1440.2294999999999</v>
      </c>
      <c r="L1127" s="362">
        <f t="shared" si="84"/>
        <v>288.04590000000002</v>
      </c>
      <c r="M1127" s="362" t="s">
        <v>6171</v>
      </c>
      <c r="N1127" s="652" t="s">
        <v>3785</v>
      </c>
      <c r="O1127" s="433" t="s">
        <v>4120</v>
      </c>
      <c r="P1127" s="430" t="s">
        <v>3659</v>
      </c>
      <c r="Q1127" s="431">
        <v>0.2</v>
      </c>
      <c r="R1127" s="433">
        <v>1900000843</v>
      </c>
      <c r="S1127" s="656" t="s">
        <v>6187</v>
      </c>
      <c r="T1127" s="251" t="s">
        <v>5915</v>
      </c>
    </row>
    <row r="1128" spans="1:20" s="619" customFormat="1" hidden="1" x14ac:dyDescent="0.35">
      <c r="A1128" s="613" t="s">
        <v>4803</v>
      </c>
      <c r="B1128" s="614" t="s">
        <v>328</v>
      </c>
      <c r="C1128" s="615">
        <v>44615</v>
      </c>
      <c r="D1128" s="443">
        <v>44615</v>
      </c>
      <c r="E1128" s="615" t="s">
        <v>364</v>
      </c>
      <c r="F1128" s="430" t="s">
        <v>4798</v>
      </c>
      <c r="G1128" s="671" t="s">
        <v>3655</v>
      </c>
      <c r="H1128" s="442" t="s">
        <v>4757</v>
      </c>
      <c r="I1128" s="362">
        <f t="shared" si="85"/>
        <v>11606.579</v>
      </c>
      <c r="J1128" s="362">
        <f t="shared" si="86"/>
        <v>1440.2294999999999</v>
      </c>
      <c r="K1128" s="362">
        <v>1440.2294999999999</v>
      </c>
      <c r="L1128" s="362">
        <f t="shared" si="84"/>
        <v>288.04590000000002</v>
      </c>
      <c r="M1128" s="362" t="s">
        <v>6171</v>
      </c>
      <c r="N1128" s="613" t="s">
        <v>3785</v>
      </c>
      <c r="O1128" s="433" t="s">
        <v>4120</v>
      </c>
      <c r="P1128" s="430" t="s">
        <v>3659</v>
      </c>
      <c r="Q1128" s="431">
        <v>0.2</v>
      </c>
      <c r="R1128" s="433">
        <v>1900000843</v>
      </c>
      <c r="S1128" s="617" t="s">
        <v>365</v>
      </c>
      <c r="T1128" s="618" t="s">
        <v>5915</v>
      </c>
    </row>
    <row r="1129" spans="1:20" s="619" customFormat="1" hidden="1" x14ac:dyDescent="0.35">
      <c r="A1129" s="613" t="s">
        <v>4804</v>
      </c>
      <c r="B1129" s="614" t="s">
        <v>328</v>
      </c>
      <c r="C1129" s="615">
        <v>44615</v>
      </c>
      <c r="D1129" s="443">
        <v>44615</v>
      </c>
      <c r="E1129" s="615" t="s">
        <v>366</v>
      </c>
      <c r="F1129" s="430" t="s">
        <v>4798</v>
      </c>
      <c r="G1129" s="671" t="s">
        <v>3655</v>
      </c>
      <c r="H1129" s="442" t="s">
        <v>4757</v>
      </c>
      <c r="I1129" s="362">
        <f t="shared" si="85"/>
        <v>11606.579</v>
      </c>
      <c r="J1129" s="362">
        <f t="shared" si="86"/>
        <v>1440.2294999999999</v>
      </c>
      <c r="K1129" s="362">
        <v>1440.2294999999999</v>
      </c>
      <c r="L1129" s="362">
        <f t="shared" si="84"/>
        <v>288.04590000000002</v>
      </c>
      <c r="M1129" s="362" t="s">
        <v>6171</v>
      </c>
      <c r="N1129" s="613" t="s">
        <v>3785</v>
      </c>
      <c r="O1129" s="433" t="s">
        <v>4120</v>
      </c>
      <c r="P1129" s="430" t="s">
        <v>3659</v>
      </c>
      <c r="Q1129" s="431">
        <v>0.2</v>
      </c>
      <c r="R1129" s="433">
        <v>1900000843</v>
      </c>
      <c r="S1129" s="617" t="s">
        <v>367</v>
      </c>
      <c r="T1129" s="618" t="s">
        <v>5915</v>
      </c>
    </row>
    <row r="1130" spans="1:20" s="619" customFormat="1" hidden="1" x14ac:dyDescent="0.35">
      <c r="A1130" s="613" t="s">
        <v>4805</v>
      </c>
      <c r="B1130" s="614" t="s">
        <v>328</v>
      </c>
      <c r="C1130" s="615">
        <v>44615</v>
      </c>
      <c r="D1130" s="443">
        <v>44615</v>
      </c>
      <c r="E1130" s="615" t="s">
        <v>368</v>
      </c>
      <c r="F1130" s="430" t="s">
        <v>4798</v>
      </c>
      <c r="G1130" s="671" t="s">
        <v>3655</v>
      </c>
      <c r="H1130" s="442" t="s">
        <v>4757</v>
      </c>
      <c r="I1130" s="362">
        <f t="shared" si="85"/>
        <v>11606.579</v>
      </c>
      <c r="J1130" s="362">
        <f t="shared" si="86"/>
        <v>1440.2294999999999</v>
      </c>
      <c r="K1130" s="362">
        <v>1440.2294999999999</v>
      </c>
      <c r="L1130" s="362">
        <f t="shared" si="84"/>
        <v>288.04590000000002</v>
      </c>
      <c r="M1130" s="362" t="s">
        <v>6171</v>
      </c>
      <c r="N1130" s="613" t="s">
        <v>3785</v>
      </c>
      <c r="O1130" s="433" t="s">
        <v>4120</v>
      </c>
      <c r="P1130" s="430" t="s">
        <v>3659</v>
      </c>
      <c r="Q1130" s="431">
        <v>0.2</v>
      </c>
      <c r="R1130" s="433">
        <v>1900000843</v>
      </c>
      <c r="S1130" s="617" t="s">
        <v>369</v>
      </c>
      <c r="T1130" s="618" t="s">
        <v>5915</v>
      </c>
    </row>
    <row r="1131" spans="1:20" s="657" customFormat="1" hidden="1" x14ac:dyDescent="0.35">
      <c r="A1131" s="652" t="s">
        <v>4806</v>
      </c>
      <c r="B1131" s="653" t="s">
        <v>328</v>
      </c>
      <c r="C1131" s="654">
        <v>44615</v>
      </c>
      <c r="D1131" s="443">
        <v>44615</v>
      </c>
      <c r="E1131" s="654" t="s">
        <v>370</v>
      </c>
      <c r="F1131" s="430" t="s">
        <v>4798</v>
      </c>
      <c r="G1131" s="679" t="s">
        <v>3655</v>
      </c>
      <c r="H1131" s="442" t="s">
        <v>4757</v>
      </c>
      <c r="I1131" s="362">
        <f t="shared" si="85"/>
        <v>11606.579</v>
      </c>
      <c r="J1131" s="362">
        <f t="shared" si="86"/>
        <v>1440.2294999999999</v>
      </c>
      <c r="K1131" s="362">
        <v>1440.2294999999999</v>
      </c>
      <c r="L1131" s="362">
        <f t="shared" si="84"/>
        <v>288.04590000000002</v>
      </c>
      <c r="M1131" s="362" t="s">
        <v>6171</v>
      </c>
      <c r="N1131" s="652" t="s">
        <v>3785</v>
      </c>
      <c r="O1131" s="433" t="s">
        <v>4120</v>
      </c>
      <c r="P1131" s="430" t="s">
        <v>3659</v>
      </c>
      <c r="Q1131" s="431">
        <v>0.2</v>
      </c>
      <c r="R1131" s="433">
        <v>1900000843</v>
      </c>
      <c r="S1131" s="656" t="s">
        <v>6188</v>
      </c>
      <c r="T1131" s="251" t="s">
        <v>5915</v>
      </c>
    </row>
    <row r="1132" spans="1:20" s="619" customFormat="1" hidden="1" x14ac:dyDescent="0.35">
      <c r="A1132" s="613" t="s">
        <v>4807</v>
      </c>
      <c r="B1132" s="614" t="s">
        <v>328</v>
      </c>
      <c r="C1132" s="615">
        <v>44615</v>
      </c>
      <c r="D1132" s="443">
        <v>44615</v>
      </c>
      <c r="E1132" s="615" t="s">
        <v>371</v>
      </c>
      <c r="F1132" s="430" t="s">
        <v>4798</v>
      </c>
      <c r="G1132" s="671" t="s">
        <v>3655</v>
      </c>
      <c r="H1132" s="442" t="s">
        <v>4757</v>
      </c>
      <c r="I1132" s="362">
        <f t="shared" si="85"/>
        <v>11606.579</v>
      </c>
      <c r="J1132" s="362">
        <f t="shared" si="86"/>
        <v>1440.2294999999999</v>
      </c>
      <c r="K1132" s="362">
        <v>1440.2294999999999</v>
      </c>
      <c r="L1132" s="362">
        <f t="shared" si="84"/>
        <v>288.04590000000002</v>
      </c>
      <c r="M1132" s="362" t="s">
        <v>6171</v>
      </c>
      <c r="N1132" s="613" t="s">
        <v>3785</v>
      </c>
      <c r="O1132" s="433" t="s">
        <v>4120</v>
      </c>
      <c r="P1132" s="430" t="s">
        <v>3659</v>
      </c>
      <c r="Q1132" s="431">
        <v>0.2</v>
      </c>
      <c r="R1132" s="433">
        <v>1900000843</v>
      </c>
      <c r="S1132" s="617" t="s">
        <v>372</v>
      </c>
      <c r="T1132" s="618" t="s">
        <v>5915</v>
      </c>
    </row>
    <row r="1133" spans="1:20" s="619" customFormat="1" hidden="1" x14ac:dyDescent="0.35">
      <c r="A1133" s="613" t="s">
        <v>4808</v>
      </c>
      <c r="B1133" s="614" t="s">
        <v>328</v>
      </c>
      <c r="C1133" s="615">
        <v>44615</v>
      </c>
      <c r="D1133" s="443">
        <v>44615</v>
      </c>
      <c r="E1133" s="615" t="s">
        <v>373</v>
      </c>
      <c r="F1133" s="430" t="s">
        <v>4798</v>
      </c>
      <c r="G1133" s="671" t="s">
        <v>3655</v>
      </c>
      <c r="H1133" s="442" t="s">
        <v>4757</v>
      </c>
      <c r="I1133" s="362">
        <f t="shared" si="85"/>
        <v>11606.579</v>
      </c>
      <c r="J1133" s="362">
        <f t="shared" si="86"/>
        <v>1440.2294999999999</v>
      </c>
      <c r="K1133" s="362">
        <v>1440.2294999999999</v>
      </c>
      <c r="L1133" s="362">
        <f t="shared" si="84"/>
        <v>288.04590000000002</v>
      </c>
      <c r="M1133" s="362" t="s">
        <v>6171</v>
      </c>
      <c r="N1133" s="613" t="s">
        <v>3785</v>
      </c>
      <c r="O1133" s="433" t="s">
        <v>4120</v>
      </c>
      <c r="P1133" s="430" t="s">
        <v>3659</v>
      </c>
      <c r="Q1133" s="431">
        <v>0.2</v>
      </c>
      <c r="R1133" s="433">
        <v>1900000843</v>
      </c>
      <c r="S1133" s="617" t="s">
        <v>374</v>
      </c>
      <c r="T1133" s="618" t="s">
        <v>5915</v>
      </c>
    </row>
    <row r="1134" spans="1:20" s="561" customFormat="1" hidden="1" x14ac:dyDescent="0.35">
      <c r="A1134" s="564" t="s">
        <v>4809</v>
      </c>
      <c r="B1134" s="565" t="s">
        <v>328</v>
      </c>
      <c r="C1134" s="566">
        <v>44615</v>
      </c>
      <c r="D1134" s="443">
        <v>44615</v>
      </c>
      <c r="E1134" s="566" t="s">
        <v>375</v>
      </c>
      <c r="F1134" s="430" t="s">
        <v>4798</v>
      </c>
      <c r="G1134" s="572" t="s">
        <v>3655</v>
      </c>
      <c r="H1134" s="442" t="s">
        <v>4757</v>
      </c>
      <c r="I1134" s="362">
        <f t="shared" si="85"/>
        <v>11606.579</v>
      </c>
      <c r="J1134" s="362">
        <f t="shared" si="86"/>
        <v>1440.2294999999999</v>
      </c>
      <c r="K1134" s="362">
        <v>1440.2294999999999</v>
      </c>
      <c r="L1134" s="362">
        <f t="shared" si="84"/>
        <v>288.04590000000002</v>
      </c>
      <c r="M1134" s="362" t="s">
        <v>6171</v>
      </c>
      <c r="N1134" s="564" t="s">
        <v>3785</v>
      </c>
      <c r="O1134" s="433" t="s">
        <v>4120</v>
      </c>
      <c r="P1134" s="430" t="s">
        <v>3659</v>
      </c>
      <c r="Q1134" s="431">
        <v>0.2</v>
      </c>
      <c r="R1134" s="433">
        <v>1900000843</v>
      </c>
      <c r="S1134" s="568" t="s">
        <v>57</v>
      </c>
      <c r="T1134" s="560" t="s">
        <v>5915</v>
      </c>
    </row>
    <row r="1135" spans="1:20" s="619" customFormat="1" hidden="1" x14ac:dyDescent="0.35">
      <c r="A1135" s="613" t="s">
        <v>4810</v>
      </c>
      <c r="B1135" s="614" t="s">
        <v>328</v>
      </c>
      <c r="C1135" s="615">
        <v>44615</v>
      </c>
      <c r="D1135" s="443">
        <v>44615</v>
      </c>
      <c r="E1135" s="615" t="s">
        <v>376</v>
      </c>
      <c r="F1135" s="430" t="s">
        <v>4798</v>
      </c>
      <c r="G1135" s="671" t="s">
        <v>3655</v>
      </c>
      <c r="H1135" s="442" t="s">
        <v>4757</v>
      </c>
      <c r="I1135" s="362">
        <f t="shared" si="85"/>
        <v>11606.579</v>
      </c>
      <c r="J1135" s="362">
        <f t="shared" si="86"/>
        <v>1440.2294999999999</v>
      </c>
      <c r="K1135" s="362">
        <v>1440.2294999999999</v>
      </c>
      <c r="L1135" s="362">
        <f t="shared" si="84"/>
        <v>288.04590000000002</v>
      </c>
      <c r="M1135" s="362" t="s">
        <v>6171</v>
      </c>
      <c r="N1135" s="613" t="s">
        <v>3785</v>
      </c>
      <c r="O1135" s="433" t="s">
        <v>4120</v>
      </c>
      <c r="P1135" s="430" t="s">
        <v>3659</v>
      </c>
      <c r="Q1135" s="431">
        <v>0.2</v>
      </c>
      <c r="R1135" s="433">
        <v>1900000843</v>
      </c>
      <c r="S1135" s="617" t="s">
        <v>377</v>
      </c>
      <c r="T1135" s="618" t="s">
        <v>5915</v>
      </c>
    </row>
    <row r="1136" spans="1:20" s="619" customFormat="1" hidden="1" x14ac:dyDescent="0.35">
      <c r="A1136" s="613" t="s">
        <v>4811</v>
      </c>
      <c r="B1136" s="614" t="s">
        <v>328</v>
      </c>
      <c r="C1136" s="615">
        <v>44615</v>
      </c>
      <c r="D1136" s="443">
        <v>44615</v>
      </c>
      <c r="E1136" s="615" t="s">
        <v>378</v>
      </c>
      <c r="F1136" s="430" t="s">
        <v>4798</v>
      </c>
      <c r="G1136" s="671" t="s">
        <v>3655</v>
      </c>
      <c r="H1136" s="442" t="s">
        <v>4757</v>
      </c>
      <c r="I1136" s="362">
        <f t="shared" si="85"/>
        <v>11606.579</v>
      </c>
      <c r="J1136" s="362">
        <f t="shared" si="86"/>
        <v>1440.2294999999999</v>
      </c>
      <c r="K1136" s="362">
        <v>1440.2294999999999</v>
      </c>
      <c r="L1136" s="362">
        <f t="shared" si="84"/>
        <v>288.04590000000002</v>
      </c>
      <c r="M1136" s="362" t="s">
        <v>6171</v>
      </c>
      <c r="N1136" s="613" t="s">
        <v>3785</v>
      </c>
      <c r="O1136" s="433" t="s">
        <v>4120</v>
      </c>
      <c r="P1136" s="430" t="s">
        <v>3659</v>
      </c>
      <c r="Q1136" s="431">
        <v>0.2</v>
      </c>
      <c r="R1136" s="433">
        <v>1900000843</v>
      </c>
      <c r="S1136" s="617" t="s">
        <v>379</v>
      </c>
      <c r="T1136" s="618" t="s">
        <v>5915</v>
      </c>
    </row>
    <row r="1137" spans="1:20" s="619" customFormat="1" hidden="1" x14ac:dyDescent="0.35">
      <c r="A1137" s="613" t="s">
        <v>4812</v>
      </c>
      <c r="B1137" s="614" t="s">
        <v>328</v>
      </c>
      <c r="C1137" s="615">
        <v>44615</v>
      </c>
      <c r="D1137" s="443">
        <v>44615</v>
      </c>
      <c r="E1137" s="615" t="s">
        <v>380</v>
      </c>
      <c r="F1137" s="430" t="s">
        <v>4798</v>
      </c>
      <c r="G1137" s="671" t="s">
        <v>3655</v>
      </c>
      <c r="H1137" s="442" t="s">
        <v>4757</v>
      </c>
      <c r="I1137" s="362">
        <f t="shared" si="85"/>
        <v>11606.579</v>
      </c>
      <c r="J1137" s="362">
        <f t="shared" si="86"/>
        <v>1440.2294999999999</v>
      </c>
      <c r="K1137" s="362">
        <v>1440.2294999999999</v>
      </c>
      <c r="L1137" s="362">
        <f t="shared" si="84"/>
        <v>288.04590000000002</v>
      </c>
      <c r="M1137" s="362" t="s">
        <v>6171</v>
      </c>
      <c r="N1137" s="613" t="s">
        <v>3785</v>
      </c>
      <c r="O1137" s="433" t="s">
        <v>4120</v>
      </c>
      <c r="P1137" s="430" t="s">
        <v>3659</v>
      </c>
      <c r="Q1137" s="431">
        <v>0.2</v>
      </c>
      <c r="R1137" s="433">
        <v>1900000843</v>
      </c>
      <c r="S1137" s="617" t="s">
        <v>381</v>
      </c>
      <c r="T1137" s="618" t="s">
        <v>5915</v>
      </c>
    </row>
    <row r="1138" spans="1:20" s="619" customFormat="1" hidden="1" x14ac:dyDescent="0.35">
      <c r="A1138" s="613" t="s">
        <v>4813</v>
      </c>
      <c r="B1138" s="614" t="s">
        <v>328</v>
      </c>
      <c r="C1138" s="615">
        <v>44615</v>
      </c>
      <c r="D1138" s="443">
        <v>44615</v>
      </c>
      <c r="E1138" s="615" t="s">
        <v>382</v>
      </c>
      <c r="F1138" s="430" t="s">
        <v>4798</v>
      </c>
      <c r="G1138" s="671" t="s">
        <v>3655</v>
      </c>
      <c r="H1138" s="442" t="s">
        <v>4757</v>
      </c>
      <c r="I1138" s="362">
        <f t="shared" si="85"/>
        <v>11606.579</v>
      </c>
      <c r="J1138" s="362">
        <f t="shared" si="86"/>
        <v>1440.2294999999999</v>
      </c>
      <c r="K1138" s="362">
        <v>1440.2294999999999</v>
      </c>
      <c r="L1138" s="362">
        <f t="shared" si="84"/>
        <v>288.04590000000002</v>
      </c>
      <c r="M1138" s="362" t="s">
        <v>6171</v>
      </c>
      <c r="N1138" s="613" t="s">
        <v>3785</v>
      </c>
      <c r="O1138" s="433" t="s">
        <v>4120</v>
      </c>
      <c r="P1138" s="430" t="s">
        <v>3659</v>
      </c>
      <c r="Q1138" s="431">
        <v>0.2</v>
      </c>
      <c r="R1138" s="433">
        <v>1900000843</v>
      </c>
      <c r="S1138" s="617" t="s">
        <v>383</v>
      </c>
      <c r="T1138" s="618" t="s">
        <v>5915</v>
      </c>
    </row>
    <row r="1139" spans="1:20" s="619" customFormat="1" hidden="1" x14ac:dyDescent="0.35">
      <c r="A1139" s="613" t="s">
        <v>4814</v>
      </c>
      <c r="B1139" s="614" t="s">
        <v>328</v>
      </c>
      <c r="C1139" s="615">
        <v>44615</v>
      </c>
      <c r="D1139" s="443">
        <v>44615</v>
      </c>
      <c r="E1139" s="615" t="s">
        <v>384</v>
      </c>
      <c r="F1139" s="430" t="s">
        <v>4798</v>
      </c>
      <c r="G1139" s="671" t="s">
        <v>3655</v>
      </c>
      <c r="H1139" s="442" t="s">
        <v>4757</v>
      </c>
      <c r="I1139" s="362">
        <f t="shared" si="85"/>
        <v>11606.579</v>
      </c>
      <c r="J1139" s="362">
        <f t="shared" si="86"/>
        <v>1440.2294999999999</v>
      </c>
      <c r="K1139" s="362">
        <v>1440.2294999999999</v>
      </c>
      <c r="L1139" s="362">
        <f t="shared" si="84"/>
        <v>288.04590000000002</v>
      </c>
      <c r="M1139" s="362" t="s">
        <v>6171</v>
      </c>
      <c r="N1139" s="613" t="s">
        <v>3785</v>
      </c>
      <c r="O1139" s="433" t="s">
        <v>4120</v>
      </c>
      <c r="P1139" s="430" t="s">
        <v>3659</v>
      </c>
      <c r="Q1139" s="431">
        <v>0.2</v>
      </c>
      <c r="R1139" s="433">
        <v>1900000843</v>
      </c>
      <c r="S1139" s="617" t="s">
        <v>385</v>
      </c>
      <c r="T1139" s="618" t="s">
        <v>5915</v>
      </c>
    </row>
    <row r="1140" spans="1:20" s="619" customFormat="1" hidden="1" x14ac:dyDescent="0.35">
      <c r="A1140" s="613" t="s">
        <v>4815</v>
      </c>
      <c r="B1140" s="614" t="s">
        <v>328</v>
      </c>
      <c r="C1140" s="615">
        <v>44615</v>
      </c>
      <c r="D1140" s="443">
        <v>44615</v>
      </c>
      <c r="E1140" s="615" t="s">
        <v>386</v>
      </c>
      <c r="F1140" s="430" t="s">
        <v>4798</v>
      </c>
      <c r="G1140" s="671" t="s">
        <v>3655</v>
      </c>
      <c r="H1140" s="442" t="s">
        <v>4757</v>
      </c>
      <c r="I1140" s="362">
        <f t="shared" si="85"/>
        <v>11606.579</v>
      </c>
      <c r="J1140" s="362">
        <f t="shared" si="86"/>
        <v>1440.2294999999999</v>
      </c>
      <c r="K1140" s="362">
        <v>1440.2294999999999</v>
      </c>
      <c r="L1140" s="362">
        <f t="shared" si="84"/>
        <v>288.04590000000002</v>
      </c>
      <c r="M1140" s="362" t="s">
        <v>6171</v>
      </c>
      <c r="N1140" s="613" t="s">
        <v>3785</v>
      </c>
      <c r="O1140" s="433" t="s">
        <v>4120</v>
      </c>
      <c r="P1140" s="430" t="s">
        <v>3659</v>
      </c>
      <c r="Q1140" s="431">
        <v>0.2</v>
      </c>
      <c r="R1140" s="433">
        <v>1900000843</v>
      </c>
      <c r="S1140" s="617" t="s">
        <v>387</v>
      </c>
      <c r="T1140" s="618" t="s">
        <v>5915</v>
      </c>
    </row>
    <row r="1141" spans="1:20" s="619" customFormat="1" hidden="1" x14ac:dyDescent="0.35">
      <c r="A1141" s="613" t="s">
        <v>4816</v>
      </c>
      <c r="B1141" s="614" t="s">
        <v>328</v>
      </c>
      <c r="C1141" s="615">
        <v>44615</v>
      </c>
      <c r="D1141" s="443">
        <v>44615</v>
      </c>
      <c r="E1141" s="615" t="s">
        <v>388</v>
      </c>
      <c r="F1141" s="430" t="s">
        <v>4798</v>
      </c>
      <c r="G1141" s="671" t="s">
        <v>3655</v>
      </c>
      <c r="H1141" s="442" t="s">
        <v>4757</v>
      </c>
      <c r="I1141" s="362">
        <f t="shared" si="85"/>
        <v>11606.579</v>
      </c>
      <c r="J1141" s="362">
        <f t="shared" si="86"/>
        <v>1440.2294999999999</v>
      </c>
      <c r="K1141" s="362">
        <v>1440.2294999999999</v>
      </c>
      <c r="L1141" s="362">
        <f t="shared" si="84"/>
        <v>288.04590000000002</v>
      </c>
      <c r="M1141" s="362" t="s">
        <v>6171</v>
      </c>
      <c r="N1141" s="613" t="s">
        <v>3785</v>
      </c>
      <c r="O1141" s="433" t="s">
        <v>4120</v>
      </c>
      <c r="P1141" s="430" t="s">
        <v>3659</v>
      </c>
      <c r="Q1141" s="431">
        <v>0.2</v>
      </c>
      <c r="R1141" s="433">
        <v>1900000843</v>
      </c>
      <c r="S1141" s="617" t="s">
        <v>389</v>
      </c>
      <c r="T1141" s="618" t="s">
        <v>5915</v>
      </c>
    </row>
    <row r="1142" spans="1:20" s="619" customFormat="1" hidden="1" x14ac:dyDescent="0.35">
      <c r="A1142" s="613" t="s">
        <v>4817</v>
      </c>
      <c r="B1142" s="614" t="s">
        <v>328</v>
      </c>
      <c r="C1142" s="615">
        <v>44615</v>
      </c>
      <c r="D1142" s="443">
        <v>44615</v>
      </c>
      <c r="E1142" s="615" t="s">
        <v>390</v>
      </c>
      <c r="F1142" s="430" t="s">
        <v>4798</v>
      </c>
      <c r="G1142" s="671" t="s">
        <v>3655</v>
      </c>
      <c r="H1142" s="442" t="s">
        <v>4757</v>
      </c>
      <c r="I1142" s="362">
        <f t="shared" si="85"/>
        <v>11606.579</v>
      </c>
      <c r="J1142" s="362">
        <f t="shared" si="86"/>
        <v>1440.2294999999999</v>
      </c>
      <c r="K1142" s="362">
        <v>1440.2294999999999</v>
      </c>
      <c r="L1142" s="362">
        <f t="shared" si="84"/>
        <v>288.04590000000002</v>
      </c>
      <c r="M1142" s="362" t="s">
        <v>6171</v>
      </c>
      <c r="N1142" s="613" t="s">
        <v>3785</v>
      </c>
      <c r="O1142" s="433" t="s">
        <v>4120</v>
      </c>
      <c r="P1142" s="430" t="s">
        <v>3659</v>
      </c>
      <c r="Q1142" s="431">
        <v>0.2</v>
      </c>
      <c r="R1142" s="433">
        <v>1900000843</v>
      </c>
      <c r="S1142" s="617" t="s">
        <v>6190</v>
      </c>
      <c r="T1142" s="618" t="s">
        <v>5915</v>
      </c>
    </row>
    <row r="1143" spans="1:20" s="619" customFormat="1" hidden="1" x14ac:dyDescent="0.35">
      <c r="A1143" s="613" t="s">
        <v>4818</v>
      </c>
      <c r="B1143" s="614" t="s">
        <v>328</v>
      </c>
      <c r="C1143" s="615">
        <v>44615</v>
      </c>
      <c r="D1143" s="443">
        <v>44615</v>
      </c>
      <c r="E1143" s="615" t="s">
        <v>391</v>
      </c>
      <c r="F1143" s="430" t="s">
        <v>4798</v>
      </c>
      <c r="G1143" s="671" t="s">
        <v>3655</v>
      </c>
      <c r="H1143" s="442" t="s">
        <v>4757</v>
      </c>
      <c r="I1143" s="362">
        <f>195755.43/20</f>
        <v>9787.7714999999989</v>
      </c>
      <c r="J1143" s="362">
        <f>24290.77/20</f>
        <v>1214.5385000000001</v>
      </c>
      <c r="K1143" s="362">
        <v>1214.5385000000001</v>
      </c>
      <c r="L1143" s="362">
        <f t="shared" si="84"/>
        <v>242.90770000000003</v>
      </c>
      <c r="M1143" s="362" t="s">
        <v>6171</v>
      </c>
      <c r="N1143" s="613" t="s">
        <v>3785</v>
      </c>
      <c r="O1143" s="433" t="s">
        <v>4120</v>
      </c>
      <c r="P1143" s="430" t="s">
        <v>3659</v>
      </c>
      <c r="Q1143" s="431">
        <v>0.2</v>
      </c>
      <c r="R1143" s="433">
        <v>1900000843</v>
      </c>
      <c r="S1143" s="617" t="s">
        <v>392</v>
      </c>
      <c r="T1143" s="618" t="s">
        <v>5915</v>
      </c>
    </row>
    <row r="1144" spans="1:20" s="619" customFormat="1" hidden="1" x14ac:dyDescent="0.35">
      <c r="A1144" s="613" t="s">
        <v>4819</v>
      </c>
      <c r="B1144" s="614" t="s">
        <v>328</v>
      </c>
      <c r="C1144" s="615">
        <v>44615</v>
      </c>
      <c r="D1144" s="443">
        <v>44615</v>
      </c>
      <c r="E1144" s="615" t="s">
        <v>393</v>
      </c>
      <c r="F1144" s="430" t="s">
        <v>4798</v>
      </c>
      <c r="G1144" s="671" t="s">
        <v>3655</v>
      </c>
      <c r="H1144" s="442" t="s">
        <v>4757</v>
      </c>
      <c r="I1144" s="362">
        <f t="shared" ref="I1144:I1167" si="87">195755.43/20</f>
        <v>9787.7714999999989</v>
      </c>
      <c r="J1144" s="362">
        <f t="shared" ref="J1144:J1167" si="88">24290.77/20</f>
        <v>1214.5385000000001</v>
      </c>
      <c r="K1144" s="362">
        <v>1214.5385000000001</v>
      </c>
      <c r="L1144" s="362">
        <f t="shared" si="84"/>
        <v>242.90770000000003</v>
      </c>
      <c r="M1144" s="362" t="s">
        <v>6171</v>
      </c>
      <c r="N1144" s="613" t="s">
        <v>3785</v>
      </c>
      <c r="O1144" s="433" t="s">
        <v>4120</v>
      </c>
      <c r="P1144" s="430" t="s">
        <v>3659</v>
      </c>
      <c r="Q1144" s="431">
        <v>0.2</v>
      </c>
      <c r="R1144" s="433">
        <v>1900000843</v>
      </c>
      <c r="S1144" s="617" t="s">
        <v>394</v>
      </c>
      <c r="T1144" s="618" t="s">
        <v>5915</v>
      </c>
    </row>
    <row r="1145" spans="1:20" s="619" customFormat="1" hidden="1" x14ac:dyDescent="0.35">
      <c r="A1145" s="613" t="s">
        <v>4820</v>
      </c>
      <c r="B1145" s="614" t="s">
        <v>328</v>
      </c>
      <c r="C1145" s="615">
        <v>44615</v>
      </c>
      <c r="D1145" s="443">
        <v>44615</v>
      </c>
      <c r="E1145" s="615" t="s">
        <v>395</v>
      </c>
      <c r="F1145" s="430" t="s">
        <v>4798</v>
      </c>
      <c r="G1145" s="671" t="s">
        <v>3655</v>
      </c>
      <c r="H1145" s="442" t="s">
        <v>4757</v>
      </c>
      <c r="I1145" s="362">
        <f t="shared" si="87"/>
        <v>9787.7714999999989</v>
      </c>
      <c r="J1145" s="362">
        <f t="shared" si="88"/>
        <v>1214.5385000000001</v>
      </c>
      <c r="K1145" s="362">
        <v>1214.5385000000001</v>
      </c>
      <c r="L1145" s="362">
        <f t="shared" si="84"/>
        <v>242.90770000000003</v>
      </c>
      <c r="M1145" s="362" t="s">
        <v>6171</v>
      </c>
      <c r="N1145" s="613" t="s">
        <v>3785</v>
      </c>
      <c r="O1145" s="433" t="s">
        <v>4120</v>
      </c>
      <c r="P1145" s="430" t="s">
        <v>3659</v>
      </c>
      <c r="Q1145" s="431">
        <v>0.2</v>
      </c>
      <c r="R1145" s="433">
        <v>1900000843</v>
      </c>
      <c r="S1145" s="617" t="s">
        <v>396</v>
      </c>
      <c r="T1145" s="618" t="s">
        <v>5915</v>
      </c>
    </row>
    <row r="1146" spans="1:20" s="619" customFormat="1" hidden="1" x14ac:dyDescent="0.35">
      <c r="A1146" s="613" t="s">
        <v>4821</v>
      </c>
      <c r="B1146" s="614" t="s">
        <v>328</v>
      </c>
      <c r="C1146" s="615">
        <v>44615</v>
      </c>
      <c r="D1146" s="443">
        <v>44615</v>
      </c>
      <c r="E1146" s="615" t="s">
        <v>397</v>
      </c>
      <c r="F1146" s="430" t="s">
        <v>4798</v>
      </c>
      <c r="G1146" s="671" t="s">
        <v>3655</v>
      </c>
      <c r="H1146" s="442" t="s">
        <v>4757</v>
      </c>
      <c r="I1146" s="362">
        <f t="shared" si="87"/>
        <v>9787.7714999999989</v>
      </c>
      <c r="J1146" s="362">
        <f t="shared" si="88"/>
        <v>1214.5385000000001</v>
      </c>
      <c r="K1146" s="362">
        <v>1214.5385000000001</v>
      </c>
      <c r="L1146" s="362">
        <f t="shared" si="84"/>
        <v>242.90770000000003</v>
      </c>
      <c r="M1146" s="362" t="s">
        <v>6171</v>
      </c>
      <c r="N1146" s="613" t="s">
        <v>3785</v>
      </c>
      <c r="O1146" s="433" t="s">
        <v>4120</v>
      </c>
      <c r="P1146" s="430" t="s">
        <v>3659</v>
      </c>
      <c r="Q1146" s="431">
        <v>0.2</v>
      </c>
      <c r="R1146" s="433">
        <v>1900000843</v>
      </c>
      <c r="S1146" s="617" t="s">
        <v>398</v>
      </c>
      <c r="T1146" s="618" t="s">
        <v>5915</v>
      </c>
    </row>
    <row r="1147" spans="1:20" s="619" customFormat="1" hidden="1" x14ac:dyDescent="0.35">
      <c r="A1147" s="613" t="s">
        <v>4822</v>
      </c>
      <c r="B1147" s="614" t="s">
        <v>328</v>
      </c>
      <c r="C1147" s="615">
        <v>44615</v>
      </c>
      <c r="D1147" s="443">
        <v>44615</v>
      </c>
      <c r="E1147" s="615" t="s">
        <v>399</v>
      </c>
      <c r="F1147" s="430" t="s">
        <v>4798</v>
      </c>
      <c r="G1147" s="671" t="s">
        <v>3655</v>
      </c>
      <c r="H1147" s="442" t="s">
        <v>4757</v>
      </c>
      <c r="I1147" s="362">
        <f t="shared" si="87"/>
        <v>9787.7714999999989</v>
      </c>
      <c r="J1147" s="362">
        <f t="shared" si="88"/>
        <v>1214.5385000000001</v>
      </c>
      <c r="K1147" s="362">
        <v>1214.5385000000001</v>
      </c>
      <c r="L1147" s="362">
        <f t="shared" si="84"/>
        <v>242.90770000000003</v>
      </c>
      <c r="M1147" s="362" t="s">
        <v>6171</v>
      </c>
      <c r="N1147" s="613" t="s">
        <v>3785</v>
      </c>
      <c r="O1147" s="433" t="s">
        <v>4120</v>
      </c>
      <c r="P1147" s="430" t="s">
        <v>3659</v>
      </c>
      <c r="Q1147" s="431">
        <v>0.2</v>
      </c>
      <c r="R1147" s="433">
        <v>1900000843</v>
      </c>
      <c r="S1147" s="617" t="s">
        <v>400</v>
      </c>
      <c r="T1147" s="618" t="s">
        <v>5915</v>
      </c>
    </row>
    <row r="1148" spans="1:20" s="619" customFormat="1" hidden="1" x14ac:dyDescent="0.35">
      <c r="A1148" s="613" t="s">
        <v>4823</v>
      </c>
      <c r="B1148" s="614" t="s">
        <v>328</v>
      </c>
      <c r="C1148" s="615">
        <v>44615</v>
      </c>
      <c r="D1148" s="443">
        <v>44615</v>
      </c>
      <c r="E1148" s="615" t="s">
        <v>401</v>
      </c>
      <c r="F1148" s="430" t="s">
        <v>4798</v>
      </c>
      <c r="G1148" s="671" t="s">
        <v>3655</v>
      </c>
      <c r="H1148" s="442" t="s">
        <v>4757</v>
      </c>
      <c r="I1148" s="362">
        <f t="shared" si="87"/>
        <v>9787.7714999999989</v>
      </c>
      <c r="J1148" s="362">
        <f t="shared" si="88"/>
        <v>1214.5385000000001</v>
      </c>
      <c r="K1148" s="362">
        <v>1214.5385000000001</v>
      </c>
      <c r="L1148" s="362">
        <f t="shared" ref="L1148:L1213" si="89">+K1148*Q1148</f>
        <v>242.90770000000003</v>
      </c>
      <c r="M1148" s="362" t="s">
        <v>6171</v>
      </c>
      <c r="N1148" s="613" t="s">
        <v>3785</v>
      </c>
      <c r="O1148" s="433" t="s">
        <v>4120</v>
      </c>
      <c r="P1148" s="430" t="s">
        <v>3659</v>
      </c>
      <c r="Q1148" s="431">
        <v>0.2</v>
      </c>
      <c r="R1148" s="433">
        <v>1900000843</v>
      </c>
      <c r="S1148" s="617" t="s">
        <v>402</v>
      </c>
      <c r="T1148" s="618" t="s">
        <v>5915</v>
      </c>
    </row>
    <row r="1149" spans="1:20" s="561" customFormat="1" hidden="1" x14ac:dyDescent="0.35">
      <c r="A1149" s="564" t="s">
        <v>4824</v>
      </c>
      <c r="B1149" s="565" t="s">
        <v>328</v>
      </c>
      <c r="C1149" s="566">
        <v>44615</v>
      </c>
      <c r="D1149" s="566">
        <v>44615</v>
      </c>
      <c r="E1149" s="566" t="s">
        <v>403</v>
      </c>
      <c r="F1149" s="572" t="s">
        <v>4798</v>
      </c>
      <c r="G1149" s="572" t="s">
        <v>3655</v>
      </c>
      <c r="H1149" s="565" t="s">
        <v>4757</v>
      </c>
      <c r="I1149" s="892">
        <f t="shared" si="87"/>
        <v>9787.7714999999989</v>
      </c>
      <c r="J1149" s="892">
        <f t="shared" si="88"/>
        <v>1214.5385000000001</v>
      </c>
      <c r="K1149" s="892">
        <v>1214.5385000000001</v>
      </c>
      <c r="L1149" s="892">
        <f t="shared" si="89"/>
        <v>242.90770000000003</v>
      </c>
      <c r="M1149" s="892" t="s">
        <v>6171</v>
      </c>
      <c r="N1149" s="564" t="s">
        <v>3785</v>
      </c>
      <c r="O1149" s="893" t="s">
        <v>4120</v>
      </c>
      <c r="P1149" s="572" t="s">
        <v>3659</v>
      </c>
      <c r="Q1149" s="894">
        <v>0.2</v>
      </c>
      <c r="R1149" s="893">
        <v>1900000843</v>
      </c>
      <c r="S1149" s="568" t="s">
        <v>6452</v>
      </c>
      <c r="T1149" s="560" t="s">
        <v>5915</v>
      </c>
    </row>
    <row r="1150" spans="1:20" s="619" customFormat="1" hidden="1" x14ac:dyDescent="0.35">
      <c r="A1150" s="613" t="s">
        <v>4825</v>
      </c>
      <c r="B1150" s="614" t="s">
        <v>328</v>
      </c>
      <c r="C1150" s="615">
        <v>44615</v>
      </c>
      <c r="D1150" s="443">
        <v>44615</v>
      </c>
      <c r="E1150" s="615" t="s">
        <v>405</v>
      </c>
      <c r="F1150" s="430" t="s">
        <v>4798</v>
      </c>
      <c r="G1150" s="671" t="s">
        <v>3655</v>
      </c>
      <c r="H1150" s="442" t="s">
        <v>4757</v>
      </c>
      <c r="I1150" s="362">
        <f t="shared" si="87"/>
        <v>9787.7714999999989</v>
      </c>
      <c r="J1150" s="362">
        <f t="shared" si="88"/>
        <v>1214.5385000000001</v>
      </c>
      <c r="K1150" s="362">
        <v>1214.5385000000001</v>
      </c>
      <c r="L1150" s="362">
        <f t="shared" si="89"/>
        <v>242.90770000000003</v>
      </c>
      <c r="M1150" s="362" t="s">
        <v>6171</v>
      </c>
      <c r="N1150" s="613" t="s">
        <v>3785</v>
      </c>
      <c r="O1150" s="433" t="s">
        <v>4120</v>
      </c>
      <c r="P1150" s="430" t="s">
        <v>3659</v>
      </c>
      <c r="Q1150" s="431">
        <v>0.2</v>
      </c>
      <c r="R1150" s="433">
        <v>1900000843</v>
      </c>
      <c r="S1150" s="617" t="s">
        <v>406</v>
      </c>
      <c r="T1150" s="618" t="s">
        <v>5915</v>
      </c>
    </row>
    <row r="1151" spans="1:20" s="594" customFormat="1" hidden="1" x14ac:dyDescent="0.35">
      <c r="A1151" s="608" t="s">
        <v>4826</v>
      </c>
      <c r="B1151" s="609" t="s">
        <v>328</v>
      </c>
      <c r="C1151" s="610">
        <v>44615</v>
      </c>
      <c r="D1151" s="443">
        <v>44615</v>
      </c>
      <c r="E1151" s="610" t="s">
        <v>407</v>
      </c>
      <c r="F1151" s="430" t="s">
        <v>4798</v>
      </c>
      <c r="G1151" s="611" t="s">
        <v>3655</v>
      </c>
      <c r="H1151" s="442" t="s">
        <v>4757</v>
      </c>
      <c r="I1151" s="362">
        <f t="shared" si="87"/>
        <v>9787.7714999999989</v>
      </c>
      <c r="J1151" s="362">
        <f t="shared" si="88"/>
        <v>1214.5385000000001</v>
      </c>
      <c r="K1151" s="362">
        <v>1214.5385000000001</v>
      </c>
      <c r="L1151" s="362">
        <f t="shared" si="89"/>
        <v>242.90770000000003</v>
      </c>
      <c r="M1151" s="362" t="s">
        <v>6171</v>
      </c>
      <c r="N1151" s="608" t="s">
        <v>3785</v>
      </c>
      <c r="O1151" s="433" t="s">
        <v>4120</v>
      </c>
      <c r="P1151" s="430" t="s">
        <v>3659</v>
      </c>
      <c r="Q1151" s="431">
        <v>0.2</v>
      </c>
      <c r="R1151" s="433">
        <v>1900000843</v>
      </c>
      <c r="S1151" s="612" t="s">
        <v>4001</v>
      </c>
      <c r="T1151" s="588" t="s">
        <v>5915</v>
      </c>
    </row>
    <row r="1152" spans="1:20" s="619" customFormat="1" hidden="1" x14ac:dyDescent="0.35">
      <c r="A1152" s="613" t="s">
        <v>4827</v>
      </c>
      <c r="B1152" s="614" t="s">
        <v>328</v>
      </c>
      <c r="C1152" s="615">
        <v>44615</v>
      </c>
      <c r="D1152" s="443">
        <v>44615</v>
      </c>
      <c r="E1152" s="615" t="s">
        <v>408</v>
      </c>
      <c r="F1152" s="430" t="s">
        <v>4798</v>
      </c>
      <c r="G1152" s="671" t="s">
        <v>3655</v>
      </c>
      <c r="H1152" s="442" t="s">
        <v>4757</v>
      </c>
      <c r="I1152" s="362">
        <f t="shared" si="87"/>
        <v>9787.7714999999989</v>
      </c>
      <c r="J1152" s="362">
        <f t="shared" si="88"/>
        <v>1214.5385000000001</v>
      </c>
      <c r="K1152" s="362">
        <v>1214.5385000000001</v>
      </c>
      <c r="L1152" s="362">
        <f t="shared" si="89"/>
        <v>242.90770000000003</v>
      </c>
      <c r="M1152" s="362" t="s">
        <v>6171</v>
      </c>
      <c r="N1152" s="613" t="s">
        <v>3785</v>
      </c>
      <c r="O1152" s="433" t="s">
        <v>4120</v>
      </c>
      <c r="P1152" s="430" t="s">
        <v>3659</v>
      </c>
      <c r="Q1152" s="431">
        <v>0.2</v>
      </c>
      <c r="R1152" s="433">
        <v>1900000843</v>
      </c>
      <c r="S1152" s="617" t="s">
        <v>409</v>
      </c>
      <c r="T1152" s="618" t="s">
        <v>5915</v>
      </c>
    </row>
    <row r="1153" spans="1:21" s="561" customFormat="1" hidden="1" x14ac:dyDescent="0.35">
      <c r="A1153" s="564" t="s">
        <v>4828</v>
      </c>
      <c r="B1153" s="565" t="s">
        <v>328</v>
      </c>
      <c r="C1153" s="566">
        <v>44615</v>
      </c>
      <c r="D1153" s="443">
        <v>44615</v>
      </c>
      <c r="E1153" s="566" t="s">
        <v>410</v>
      </c>
      <c r="F1153" s="430" t="s">
        <v>4798</v>
      </c>
      <c r="G1153" s="572" t="s">
        <v>3655</v>
      </c>
      <c r="H1153" s="442" t="s">
        <v>4757</v>
      </c>
      <c r="I1153" s="362">
        <f t="shared" si="87"/>
        <v>9787.7714999999989</v>
      </c>
      <c r="J1153" s="362">
        <f t="shared" si="88"/>
        <v>1214.5385000000001</v>
      </c>
      <c r="K1153" s="362">
        <v>1214.5385000000001</v>
      </c>
      <c r="L1153" s="362">
        <f t="shared" si="89"/>
        <v>242.90770000000003</v>
      </c>
      <c r="M1153" s="362" t="s">
        <v>6171</v>
      </c>
      <c r="N1153" s="564" t="s">
        <v>3785</v>
      </c>
      <c r="O1153" s="433" t="s">
        <v>4120</v>
      </c>
      <c r="P1153" s="430" t="s">
        <v>3659</v>
      </c>
      <c r="Q1153" s="431">
        <v>0.2</v>
      </c>
      <c r="R1153" s="433">
        <v>1900000843</v>
      </c>
      <c r="S1153" s="568" t="s">
        <v>57</v>
      </c>
      <c r="T1153" s="560" t="s">
        <v>5915</v>
      </c>
    </row>
    <row r="1154" spans="1:21" s="619" customFormat="1" hidden="1" x14ac:dyDescent="0.35">
      <c r="A1154" s="613" t="s">
        <v>4829</v>
      </c>
      <c r="B1154" s="614" t="s">
        <v>328</v>
      </c>
      <c r="C1154" s="615">
        <v>44615</v>
      </c>
      <c r="D1154" s="443">
        <v>44615</v>
      </c>
      <c r="E1154" s="615" t="s">
        <v>412</v>
      </c>
      <c r="F1154" s="430" t="s">
        <v>4798</v>
      </c>
      <c r="G1154" s="671" t="s">
        <v>3655</v>
      </c>
      <c r="H1154" s="442" t="s">
        <v>4757</v>
      </c>
      <c r="I1154" s="362">
        <f t="shared" si="87"/>
        <v>9787.7714999999989</v>
      </c>
      <c r="J1154" s="362">
        <f t="shared" si="88"/>
        <v>1214.5385000000001</v>
      </c>
      <c r="K1154" s="362">
        <v>1214.5385000000001</v>
      </c>
      <c r="L1154" s="362">
        <f t="shared" si="89"/>
        <v>242.90770000000003</v>
      </c>
      <c r="M1154" s="362" t="s">
        <v>6171</v>
      </c>
      <c r="N1154" s="613" t="s">
        <v>3785</v>
      </c>
      <c r="O1154" s="433" t="s">
        <v>4120</v>
      </c>
      <c r="P1154" s="430" t="s">
        <v>3659</v>
      </c>
      <c r="Q1154" s="431">
        <v>0.2</v>
      </c>
      <c r="R1154" s="433">
        <v>1900000843</v>
      </c>
      <c r="S1154" s="617" t="s">
        <v>1835</v>
      </c>
      <c r="T1154" s="618" t="s">
        <v>5915</v>
      </c>
    </row>
    <row r="1155" spans="1:21" s="619" customFormat="1" hidden="1" x14ac:dyDescent="0.35">
      <c r="A1155" s="613" t="s">
        <v>4830</v>
      </c>
      <c r="B1155" s="614" t="s">
        <v>328</v>
      </c>
      <c r="C1155" s="615">
        <v>44615</v>
      </c>
      <c r="D1155" s="443">
        <v>44615</v>
      </c>
      <c r="E1155" s="615" t="s">
        <v>414</v>
      </c>
      <c r="F1155" s="430" t="s">
        <v>4798</v>
      </c>
      <c r="G1155" s="671" t="s">
        <v>3655</v>
      </c>
      <c r="H1155" s="442" t="s">
        <v>4757</v>
      </c>
      <c r="I1155" s="362">
        <f t="shared" si="87"/>
        <v>9787.7714999999989</v>
      </c>
      <c r="J1155" s="362">
        <f t="shared" si="88"/>
        <v>1214.5385000000001</v>
      </c>
      <c r="K1155" s="362">
        <v>1214.5385000000001</v>
      </c>
      <c r="L1155" s="362">
        <f t="shared" si="89"/>
        <v>242.90770000000003</v>
      </c>
      <c r="M1155" s="362" t="s">
        <v>6171</v>
      </c>
      <c r="N1155" s="613" t="s">
        <v>3785</v>
      </c>
      <c r="O1155" s="433" t="s">
        <v>4120</v>
      </c>
      <c r="P1155" s="430" t="s">
        <v>3659</v>
      </c>
      <c r="Q1155" s="431">
        <v>0.2</v>
      </c>
      <c r="R1155" s="433">
        <v>1900000843</v>
      </c>
      <c r="S1155" s="617" t="s">
        <v>415</v>
      </c>
      <c r="T1155" s="618" t="s">
        <v>5915</v>
      </c>
    </row>
    <row r="1156" spans="1:21" s="619" customFormat="1" hidden="1" x14ac:dyDescent="0.35">
      <c r="A1156" s="613" t="s">
        <v>4831</v>
      </c>
      <c r="B1156" s="614" t="s">
        <v>328</v>
      </c>
      <c r="C1156" s="615">
        <v>44615</v>
      </c>
      <c r="D1156" s="443">
        <v>44615</v>
      </c>
      <c r="E1156" s="615" t="s">
        <v>416</v>
      </c>
      <c r="F1156" s="430" t="s">
        <v>4798</v>
      </c>
      <c r="G1156" s="671" t="s">
        <v>3655</v>
      </c>
      <c r="H1156" s="442" t="s">
        <v>4757</v>
      </c>
      <c r="I1156" s="362">
        <f t="shared" si="87"/>
        <v>9787.7714999999989</v>
      </c>
      <c r="J1156" s="362">
        <f t="shared" si="88"/>
        <v>1214.5385000000001</v>
      </c>
      <c r="K1156" s="362">
        <v>1214.5385000000001</v>
      </c>
      <c r="L1156" s="362">
        <f t="shared" si="89"/>
        <v>242.90770000000003</v>
      </c>
      <c r="M1156" s="362" t="s">
        <v>6171</v>
      </c>
      <c r="N1156" s="613" t="s">
        <v>3785</v>
      </c>
      <c r="O1156" s="433" t="s">
        <v>4120</v>
      </c>
      <c r="P1156" s="430" t="s">
        <v>3659</v>
      </c>
      <c r="Q1156" s="431">
        <v>0.2</v>
      </c>
      <c r="R1156" s="433">
        <v>1900000843</v>
      </c>
      <c r="S1156" s="617" t="s">
        <v>417</v>
      </c>
      <c r="T1156" s="618" t="s">
        <v>5915</v>
      </c>
    </row>
    <row r="1157" spans="1:21" s="619" customFormat="1" hidden="1" x14ac:dyDescent="0.35">
      <c r="A1157" s="613" t="s">
        <v>4832</v>
      </c>
      <c r="B1157" s="614" t="s">
        <v>328</v>
      </c>
      <c r="C1157" s="615">
        <v>44615</v>
      </c>
      <c r="D1157" s="443">
        <v>44615</v>
      </c>
      <c r="E1157" s="615" t="s">
        <v>418</v>
      </c>
      <c r="F1157" s="430" t="s">
        <v>4798</v>
      </c>
      <c r="G1157" s="671" t="s">
        <v>3655</v>
      </c>
      <c r="H1157" s="442" t="s">
        <v>4757</v>
      </c>
      <c r="I1157" s="362">
        <f t="shared" si="87"/>
        <v>9787.7714999999989</v>
      </c>
      <c r="J1157" s="362">
        <f t="shared" si="88"/>
        <v>1214.5385000000001</v>
      </c>
      <c r="K1157" s="362">
        <v>1214.5385000000001</v>
      </c>
      <c r="L1157" s="362">
        <f t="shared" si="89"/>
        <v>242.90770000000003</v>
      </c>
      <c r="M1157" s="362" t="s">
        <v>6171</v>
      </c>
      <c r="N1157" s="613" t="s">
        <v>3785</v>
      </c>
      <c r="O1157" s="433" t="s">
        <v>4120</v>
      </c>
      <c r="P1157" s="430" t="s">
        <v>3659</v>
      </c>
      <c r="Q1157" s="431">
        <v>0.2</v>
      </c>
      <c r="R1157" s="433">
        <v>1900000843</v>
      </c>
      <c r="S1157" s="617" t="s">
        <v>419</v>
      </c>
      <c r="T1157" s="618" t="s">
        <v>5915</v>
      </c>
    </row>
    <row r="1158" spans="1:21" s="619" customFormat="1" hidden="1" x14ac:dyDescent="0.35">
      <c r="A1158" s="613" t="s">
        <v>4833</v>
      </c>
      <c r="B1158" s="614" t="s">
        <v>328</v>
      </c>
      <c r="C1158" s="615">
        <v>44615</v>
      </c>
      <c r="D1158" s="443">
        <v>44615</v>
      </c>
      <c r="E1158" s="615" t="s">
        <v>420</v>
      </c>
      <c r="F1158" s="430" t="s">
        <v>4798</v>
      </c>
      <c r="G1158" s="671" t="s">
        <v>3655</v>
      </c>
      <c r="H1158" s="442" t="s">
        <v>4757</v>
      </c>
      <c r="I1158" s="362">
        <f t="shared" si="87"/>
        <v>9787.7714999999989</v>
      </c>
      <c r="J1158" s="362">
        <f t="shared" si="88"/>
        <v>1214.5385000000001</v>
      </c>
      <c r="K1158" s="362">
        <v>1214.5385000000001</v>
      </c>
      <c r="L1158" s="362">
        <f t="shared" si="89"/>
        <v>242.90770000000003</v>
      </c>
      <c r="M1158" s="362" t="s">
        <v>6171</v>
      </c>
      <c r="N1158" s="613" t="s">
        <v>3785</v>
      </c>
      <c r="O1158" s="433" t="s">
        <v>4120</v>
      </c>
      <c r="P1158" s="430" t="s">
        <v>3659</v>
      </c>
      <c r="Q1158" s="431">
        <v>0.2</v>
      </c>
      <c r="R1158" s="433">
        <v>1900000843</v>
      </c>
      <c r="S1158" s="617" t="s">
        <v>421</v>
      </c>
      <c r="T1158" s="618" t="s">
        <v>5915</v>
      </c>
    </row>
    <row r="1159" spans="1:21" s="561" customFormat="1" hidden="1" x14ac:dyDescent="0.35">
      <c r="A1159" s="564" t="s">
        <v>4834</v>
      </c>
      <c r="B1159" s="565" t="s">
        <v>328</v>
      </c>
      <c r="C1159" s="566">
        <v>44615</v>
      </c>
      <c r="D1159" s="443">
        <v>44615</v>
      </c>
      <c r="E1159" s="566" t="s">
        <v>422</v>
      </c>
      <c r="F1159" s="430" t="s">
        <v>4798</v>
      </c>
      <c r="G1159" s="572" t="s">
        <v>3655</v>
      </c>
      <c r="H1159" s="442" t="s">
        <v>4757</v>
      </c>
      <c r="I1159" s="362">
        <f t="shared" si="87"/>
        <v>9787.7714999999989</v>
      </c>
      <c r="J1159" s="362">
        <f t="shared" si="88"/>
        <v>1214.5385000000001</v>
      </c>
      <c r="K1159" s="362">
        <v>1214.5385000000001</v>
      </c>
      <c r="L1159" s="362">
        <f t="shared" si="89"/>
        <v>242.90770000000003</v>
      </c>
      <c r="M1159" s="362" t="s">
        <v>6171</v>
      </c>
      <c r="N1159" s="564" t="s">
        <v>3785</v>
      </c>
      <c r="O1159" s="433" t="s">
        <v>4120</v>
      </c>
      <c r="P1159" s="430" t="s">
        <v>3659</v>
      </c>
      <c r="Q1159" s="431">
        <v>0.2</v>
      </c>
      <c r="R1159" s="433">
        <v>1900000843</v>
      </c>
      <c r="S1159" s="568" t="s">
        <v>57</v>
      </c>
      <c r="T1159" s="560" t="s">
        <v>5915</v>
      </c>
    </row>
    <row r="1160" spans="1:21" s="594" customFormat="1" hidden="1" x14ac:dyDescent="0.35">
      <c r="A1160" s="608" t="s">
        <v>4835</v>
      </c>
      <c r="B1160" s="609" t="s">
        <v>328</v>
      </c>
      <c r="C1160" s="610">
        <v>44615</v>
      </c>
      <c r="D1160" s="443">
        <v>44615</v>
      </c>
      <c r="E1160" s="610" t="s">
        <v>423</v>
      </c>
      <c r="F1160" s="430" t="s">
        <v>4798</v>
      </c>
      <c r="G1160" s="611" t="s">
        <v>3655</v>
      </c>
      <c r="H1160" s="442" t="s">
        <v>4757</v>
      </c>
      <c r="I1160" s="362">
        <f t="shared" si="87"/>
        <v>9787.7714999999989</v>
      </c>
      <c r="J1160" s="362">
        <f t="shared" si="88"/>
        <v>1214.5385000000001</v>
      </c>
      <c r="K1160" s="362">
        <v>1214.5385000000001</v>
      </c>
      <c r="L1160" s="362">
        <f t="shared" si="89"/>
        <v>242.90770000000003</v>
      </c>
      <c r="M1160" s="362" t="s">
        <v>6171</v>
      </c>
      <c r="N1160" s="608" t="s">
        <v>3785</v>
      </c>
      <c r="O1160" s="433" t="s">
        <v>4120</v>
      </c>
      <c r="P1160" s="430" t="s">
        <v>3659</v>
      </c>
      <c r="Q1160" s="431">
        <v>0.2</v>
      </c>
      <c r="R1160" s="433">
        <v>1900000843</v>
      </c>
      <c r="S1160" s="612" t="s">
        <v>6193</v>
      </c>
      <c r="T1160" s="588" t="s">
        <v>5915</v>
      </c>
    </row>
    <row r="1161" spans="1:21" s="619" customFormat="1" hidden="1" x14ac:dyDescent="0.35">
      <c r="A1161" s="613"/>
      <c r="B1161" s="614" t="s">
        <v>328</v>
      </c>
      <c r="C1161" s="615">
        <v>44615</v>
      </c>
      <c r="D1161" s="443"/>
      <c r="E1161" s="624" t="s">
        <v>6192</v>
      </c>
      <c r="F1161" s="430"/>
      <c r="G1161" s="671" t="s">
        <v>3655</v>
      </c>
      <c r="H1161" s="442"/>
      <c r="I1161" s="362"/>
      <c r="J1161" s="362"/>
      <c r="K1161" s="362"/>
      <c r="L1161" s="362"/>
      <c r="M1161" s="362"/>
      <c r="N1161" s="613" t="s">
        <v>3785</v>
      </c>
      <c r="O1161" s="433"/>
      <c r="P1161" s="430"/>
      <c r="Q1161" s="431"/>
      <c r="R1161" s="433"/>
      <c r="S1161" s="617" t="s">
        <v>3120</v>
      </c>
      <c r="T1161" s="618" t="s">
        <v>5915</v>
      </c>
    </row>
    <row r="1162" spans="1:21" s="619" customFormat="1" hidden="1" x14ac:dyDescent="0.35">
      <c r="A1162" s="613" t="s">
        <v>4836</v>
      </c>
      <c r="B1162" s="614" t="s">
        <v>328</v>
      </c>
      <c r="C1162" s="615">
        <v>44615</v>
      </c>
      <c r="D1162" s="443">
        <v>44615</v>
      </c>
      <c r="E1162" s="615" t="s">
        <v>426</v>
      </c>
      <c r="F1162" s="430" t="s">
        <v>4798</v>
      </c>
      <c r="G1162" s="671" t="s">
        <v>3655</v>
      </c>
      <c r="H1162" s="442" t="s">
        <v>4757</v>
      </c>
      <c r="I1162" s="362">
        <f t="shared" si="87"/>
        <v>9787.7714999999989</v>
      </c>
      <c r="J1162" s="362">
        <f t="shared" si="88"/>
        <v>1214.5385000000001</v>
      </c>
      <c r="K1162" s="362">
        <v>1214.5385000000001</v>
      </c>
      <c r="L1162" s="362">
        <f t="shared" si="89"/>
        <v>242.90770000000003</v>
      </c>
      <c r="M1162" s="362" t="s">
        <v>6171</v>
      </c>
      <c r="N1162" s="613" t="s">
        <v>3785</v>
      </c>
      <c r="O1162" s="433" t="s">
        <v>4120</v>
      </c>
      <c r="P1162" s="430" t="s">
        <v>3659</v>
      </c>
      <c r="Q1162" s="431">
        <v>0.2</v>
      </c>
      <c r="R1162" s="433">
        <v>1900000843</v>
      </c>
      <c r="S1162" s="617" t="s">
        <v>427</v>
      </c>
      <c r="T1162" s="618" t="s">
        <v>5915</v>
      </c>
    </row>
    <row r="1163" spans="1:21" s="619" customFormat="1" hidden="1" x14ac:dyDescent="0.35">
      <c r="A1163" s="613" t="s">
        <v>4837</v>
      </c>
      <c r="B1163" s="614" t="s">
        <v>328</v>
      </c>
      <c r="C1163" s="615">
        <v>44615</v>
      </c>
      <c r="D1163" s="443">
        <v>44615</v>
      </c>
      <c r="E1163" s="615" t="s">
        <v>433</v>
      </c>
      <c r="F1163" s="430" t="s">
        <v>4798</v>
      </c>
      <c r="G1163" s="671" t="s">
        <v>3655</v>
      </c>
      <c r="H1163" s="442" t="s">
        <v>4757</v>
      </c>
      <c r="I1163" s="362">
        <f t="shared" si="87"/>
        <v>9787.7714999999989</v>
      </c>
      <c r="J1163" s="362">
        <f t="shared" si="88"/>
        <v>1214.5385000000001</v>
      </c>
      <c r="K1163" s="362">
        <v>1214.5385000000001</v>
      </c>
      <c r="L1163" s="362">
        <f t="shared" si="89"/>
        <v>242.90770000000003</v>
      </c>
      <c r="M1163" s="362" t="s">
        <v>6171</v>
      </c>
      <c r="N1163" s="613" t="s">
        <v>3785</v>
      </c>
      <c r="O1163" s="433" t="s">
        <v>4120</v>
      </c>
      <c r="P1163" s="430" t="s">
        <v>3659</v>
      </c>
      <c r="Q1163" s="431">
        <v>0.2</v>
      </c>
      <c r="R1163" s="433">
        <v>1900000843</v>
      </c>
      <c r="S1163" s="617" t="s">
        <v>434</v>
      </c>
      <c r="T1163" s="618" t="s">
        <v>5915</v>
      </c>
    </row>
    <row r="1164" spans="1:21" s="619" customFormat="1" hidden="1" x14ac:dyDescent="0.35">
      <c r="A1164" s="613"/>
      <c r="B1164" s="614" t="s">
        <v>328</v>
      </c>
      <c r="C1164" s="615">
        <v>44615</v>
      </c>
      <c r="D1164" s="443"/>
      <c r="E1164" s="615" t="s">
        <v>6195</v>
      </c>
      <c r="F1164" s="430"/>
      <c r="G1164" s="671" t="s">
        <v>3655</v>
      </c>
      <c r="H1164" s="442"/>
      <c r="I1164" s="362"/>
      <c r="J1164" s="362"/>
      <c r="K1164" s="362"/>
      <c r="L1164" s="362"/>
      <c r="M1164" s="362"/>
      <c r="N1164" s="613" t="s">
        <v>3785</v>
      </c>
      <c r="O1164" s="433"/>
      <c r="P1164" s="430"/>
      <c r="Q1164" s="431"/>
      <c r="R1164" s="433"/>
      <c r="S1164" s="617" t="s">
        <v>1935</v>
      </c>
      <c r="T1164" s="618" t="s">
        <v>5915</v>
      </c>
    </row>
    <row r="1165" spans="1:21" s="619" customFormat="1" hidden="1" x14ac:dyDescent="0.35">
      <c r="A1165" s="613"/>
      <c r="B1165" s="614" t="s">
        <v>328</v>
      </c>
      <c r="C1165" s="615">
        <v>44615</v>
      </c>
      <c r="D1165" s="443">
        <v>44615</v>
      </c>
      <c r="E1165" s="615" t="s">
        <v>428</v>
      </c>
      <c r="F1165" s="430" t="s">
        <v>4798</v>
      </c>
      <c r="G1165" s="671" t="s">
        <v>3655</v>
      </c>
      <c r="H1165" s="442" t="s">
        <v>4757</v>
      </c>
      <c r="I1165" s="362">
        <f t="shared" si="87"/>
        <v>9787.7714999999989</v>
      </c>
      <c r="J1165" s="362">
        <f t="shared" si="88"/>
        <v>1214.5385000000001</v>
      </c>
      <c r="K1165" s="362">
        <v>1214.5385000000001</v>
      </c>
      <c r="L1165" s="362">
        <f t="shared" si="89"/>
        <v>242.90770000000003</v>
      </c>
      <c r="M1165" s="362" t="s">
        <v>6171</v>
      </c>
      <c r="N1165" s="613" t="s">
        <v>3785</v>
      </c>
      <c r="O1165" s="433" t="s">
        <v>4120</v>
      </c>
      <c r="P1165" s="430" t="s">
        <v>3659</v>
      </c>
      <c r="Q1165" s="431">
        <v>0.2</v>
      </c>
      <c r="R1165" s="433">
        <v>1900000843</v>
      </c>
      <c r="S1165" s="617" t="s">
        <v>6194</v>
      </c>
      <c r="T1165" s="618" t="s">
        <v>5915</v>
      </c>
    </row>
    <row r="1166" spans="1:21" s="619" customFormat="1" hidden="1" x14ac:dyDescent="0.35">
      <c r="A1166" s="613"/>
      <c r="B1166" s="614" t="s">
        <v>328</v>
      </c>
      <c r="C1166" s="615">
        <v>44615</v>
      </c>
      <c r="D1166" s="443">
        <v>44615</v>
      </c>
      <c r="E1166" s="615" t="s">
        <v>429</v>
      </c>
      <c r="F1166" s="430" t="s">
        <v>4798</v>
      </c>
      <c r="G1166" s="671" t="s">
        <v>3655</v>
      </c>
      <c r="H1166" s="442" t="s">
        <v>4757</v>
      </c>
      <c r="I1166" s="362">
        <f t="shared" si="87"/>
        <v>9787.7714999999989</v>
      </c>
      <c r="J1166" s="362">
        <f t="shared" si="88"/>
        <v>1214.5385000000001</v>
      </c>
      <c r="K1166" s="362">
        <v>1214.5385000000001</v>
      </c>
      <c r="L1166" s="362">
        <f t="shared" si="89"/>
        <v>242.90770000000003</v>
      </c>
      <c r="M1166" s="362" t="s">
        <v>6171</v>
      </c>
      <c r="N1166" s="613" t="s">
        <v>3785</v>
      </c>
      <c r="O1166" s="433" t="s">
        <v>4120</v>
      </c>
      <c r="P1166" s="430" t="s">
        <v>3659</v>
      </c>
      <c r="Q1166" s="431">
        <v>0.2</v>
      </c>
      <c r="R1166" s="433">
        <v>1900000843</v>
      </c>
      <c r="S1166" s="617" t="s">
        <v>430</v>
      </c>
      <c r="T1166" s="618" t="s">
        <v>5915</v>
      </c>
    </row>
    <row r="1167" spans="1:21" s="619" customFormat="1" hidden="1" x14ac:dyDescent="0.35">
      <c r="A1167" s="613"/>
      <c r="B1167" s="614" t="s">
        <v>328</v>
      </c>
      <c r="C1167" s="615">
        <v>44615</v>
      </c>
      <c r="D1167" s="443">
        <v>44615</v>
      </c>
      <c r="E1167" s="615" t="s">
        <v>431</v>
      </c>
      <c r="F1167" s="430" t="s">
        <v>4798</v>
      </c>
      <c r="G1167" s="671" t="s">
        <v>3655</v>
      </c>
      <c r="H1167" s="442" t="s">
        <v>4757</v>
      </c>
      <c r="I1167" s="362">
        <f t="shared" si="87"/>
        <v>9787.7714999999989</v>
      </c>
      <c r="J1167" s="362">
        <f t="shared" si="88"/>
        <v>1214.5385000000001</v>
      </c>
      <c r="K1167" s="362">
        <v>1214.5385000000001</v>
      </c>
      <c r="L1167" s="362">
        <f t="shared" si="89"/>
        <v>242.90770000000003</v>
      </c>
      <c r="M1167" s="362" t="s">
        <v>6171</v>
      </c>
      <c r="N1167" s="613" t="s">
        <v>3785</v>
      </c>
      <c r="O1167" s="433" t="s">
        <v>4120</v>
      </c>
      <c r="P1167" s="430" t="s">
        <v>3659</v>
      </c>
      <c r="Q1167" s="431">
        <v>0.2</v>
      </c>
      <c r="R1167" s="433">
        <v>1900000843</v>
      </c>
      <c r="S1167" s="617" t="s">
        <v>432</v>
      </c>
      <c r="T1167" s="618" t="s">
        <v>5915</v>
      </c>
    </row>
    <row r="1168" spans="1:21" hidden="1" x14ac:dyDescent="0.35">
      <c r="A1168" s="432" t="s">
        <v>4838</v>
      </c>
      <c r="B1168" s="442" t="s">
        <v>1686</v>
      </c>
      <c r="C1168" s="443">
        <v>44662</v>
      </c>
      <c r="D1168" s="443">
        <v>44662</v>
      </c>
      <c r="E1168" s="546" t="s">
        <v>1711</v>
      </c>
      <c r="F1168" s="430" t="s">
        <v>4839</v>
      </c>
      <c r="G1168" s="444" t="s">
        <v>4840</v>
      </c>
      <c r="H1168" s="442" t="s">
        <v>4757</v>
      </c>
      <c r="I1168" s="362">
        <f>41162.14/20</f>
        <v>2058.107</v>
      </c>
      <c r="J1168" s="362">
        <f>5107.7/20</f>
        <v>255.38499999999999</v>
      </c>
      <c r="K1168" s="362">
        <v>255.38499999999999</v>
      </c>
      <c r="L1168" s="362">
        <f t="shared" si="89"/>
        <v>51.076999999999998</v>
      </c>
      <c r="M1168" s="362" t="s">
        <v>6171</v>
      </c>
      <c r="N1168" s="432" t="s">
        <v>3785</v>
      </c>
      <c r="O1168" s="433" t="s">
        <v>4120</v>
      </c>
      <c r="P1168" s="430" t="s">
        <v>3659</v>
      </c>
      <c r="Q1168" s="431">
        <v>0.2</v>
      </c>
      <c r="R1168" s="433">
        <v>1900002224</v>
      </c>
      <c r="S1168" s="444" t="s">
        <v>509</v>
      </c>
      <c r="T1168" s="2" t="s">
        <v>5915</v>
      </c>
      <c r="U1168" s="444" t="s">
        <v>509</v>
      </c>
    </row>
    <row r="1169" spans="1:21" hidden="1" x14ac:dyDescent="0.35">
      <c r="A1169" s="432" t="s">
        <v>4841</v>
      </c>
      <c r="B1169" s="442" t="s">
        <v>1686</v>
      </c>
      <c r="C1169" s="443">
        <v>44662</v>
      </c>
      <c r="D1169" s="443">
        <v>44662</v>
      </c>
      <c r="E1169" s="546" t="s">
        <v>1714</v>
      </c>
      <c r="F1169" s="430" t="s">
        <v>4839</v>
      </c>
      <c r="G1169" s="444" t="s">
        <v>4840</v>
      </c>
      <c r="H1169" s="442" t="s">
        <v>4757</v>
      </c>
      <c r="I1169" s="362">
        <f t="shared" ref="I1169:I1187" si="90">41162.14/20</f>
        <v>2058.107</v>
      </c>
      <c r="J1169" s="362">
        <f t="shared" ref="J1169:J1187" si="91">5107.7/20</f>
        <v>255.38499999999999</v>
      </c>
      <c r="K1169" s="362">
        <v>255.38499999999999</v>
      </c>
      <c r="L1169" s="362">
        <f t="shared" si="89"/>
        <v>51.076999999999998</v>
      </c>
      <c r="M1169" s="362" t="s">
        <v>6171</v>
      </c>
      <c r="N1169" s="432" t="s">
        <v>3785</v>
      </c>
      <c r="O1169" s="433" t="s">
        <v>4120</v>
      </c>
      <c r="P1169" s="430" t="s">
        <v>3659</v>
      </c>
      <c r="Q1169" s="431">
        <v>0.2</v>
      </c>
      <c r="R1169" s="433">
        <v>1900002224</v>
      </c>
      <c r="S1169" s="444" t="s">
        <v>509</v>
      </c>
      <c r="T1169" s="2" t="s">
        <v>5915</v>
      </c>
      <c r="U1169" s="444" t="s">
        <v>509</v>
      </c>
    </row>
    <row r="1170" spans="1:21" hidden="1" x14ac:dyDescent="0.35">
      <c r="A1170" s="432" t="s">
        <v>4842</v>
      </c>
      <c r="B1170" s="442" t="s">
        <v>1686</v>
      </c>
      <c r="C1170" s="443">
        <v>44662</v>
      </c>
      <c r="D1170" s="443">
        <v>44662</v>
      </c>
      <c r="E1170" s="546" t="s">
        <v>1712</v>
      </c>
      <c r="F1170" s="430" t="s">
        <v>4839</v>
      </c>
      <c r="G1170" s="444" t="s">
        <v>4840</v>
      </c>
      <c r="H1170" s="442" t="s">
        <v>4757</v>
      </c>
      <c r="I1170" s="362">
        <f t="shared" si="90"/>
        <v>2058.107</v>
      </c>
      <c r="J1170" s="362">
        <f t="shared" si="91"/>
        <v>255.38499999999999</v>
      </c>
      <c r="K1170" s="362">
        <v>255.38499999999999</v>
      </c>
      <c r="L1170" s="362">
        <f t="shared" si="89"/>
        <v>51.076999999999998</v>
      </c>
      <c r="M1170" s="362" t="s">
        <v>6171</v>
      </c>
      <c r="N1170" s="432" t="s">
        <v>3785</v>
      </c>
      <c r="O1170" s="433" t="s">
        <v>4120</v>
      </c>
      <c r="P1170" s="430" t="s">
        <v>3659</v>
      </c>
      <c r="Q1170" s="431">
        <v>0.2</v>
      </c>
      <c r="R1170" s="433">
        <v>1900002224</v>
      </c>
      <c r="S1170" s="444" t="s">
        <v>509</v>
      </c>
      <c r="T1170" s="2" t="s">
        <v>5915</v>
      </c>
      <c r="U1170" s="444" t="s">
        <v>509</v>
      </c>
    </row>
    <row r="1171" spans="1:21" hidden="1" x14ac:dyDescent="0.35">
      <c r="A1171" s="432" t="s">
        <v>4843</v>
      </c>
      <c r="B1171" s="442" t="s">
        <v>1686</v>
      </c>
      <c r="C1171" s="443">
        <v>44662</v>
      </c>
      <c r="D1171" s="443">
        <v>44662</v>
      </c>
      <c r="E1171" s="546" t="s">
        <v>1715</v>
      </c>
      <c r="F1171" s="430" t="s">
        <v>4839</v>
      </c>
      <c r="G1171" s="444" t="s">
        <v>4840</v>
      </c>
      <c r="H1171" s="442" t="s">
        <v>4757</v>
      </c>
      <c r="I1171" s="362">
        <f t="shared" si="90"/>
        <v>2058.107</v>
      </c>
      <c r="J1171" s="362">
        <f t="shared" si="91"/>
        <v>255.38499999999999</v>
      </c>
      <c r="K1171" s="362">
        <v>255.38499999999999</v>
      </c>
      <c r="L1171" s="362">
        <f t="shared" si="89"/>
        <v>51.076999999999998</v>
      </c>
      <c r="M1171" s="362" t="s">
        <v>6171</v>
      </c>
      <c r="N1171" s="432" t="s">
        <v>3785</v>
      </c>
      <c r="O1171" s="433" t="s">
        <v>4120</v>
      </c>
      <c r="P1171" s="430" t="s">
        <v>3659</v>
      </c>
      <c r="Q1171" s="431">
        <v>0.2</v>
      </c>
      <c r="R1171" s="433">
        <v>1900002224</v>
      </c>
      <c r="S1171" s="444" t="s">
        <v>509</v>
      </c>
      <c r="T1171" s="2" t="s">
        <v>5915</v>
      </c>
      <c r="U1171" s="444" t="s">
        <v>509</v>
      </c>
    </row>
    <row r="1172" spans="1:21" hidden="1" x14ac:dyDescent="0.35">
      <c r="A1172" s="432" t="s">
        <v>4844</v>
      </c>
      <c r="B1172" s="442" t="s">
        <v>1686</v>
      </c>
      <c r="C1172" s="443">
        <v>44662</v>
      </c>
      <c r="D1172" s="443">
        <v>44662</v>
      </c>
      <c r="E1172" s="546" t="s">
        <v>1713</v>
      </c>
      <c r="F1172" s="430" t="s">
        <v>4839</v>
      </c>
      <c r="G1172" s="444" t="s">
        <v>4840</v>
      </c>
      <c r="H1172" s="442" t="s">
        <v>4757</v>
      </c>
      <c r="I1172" s="362">
        <f t="shared" si="90"/>
        <v>2058.107</v>
      </c>
      <c r="J1172" s="362">
        <f t="shared" si="91"/>
        <v>255.38499999999999</v>
      </c>
      <c r="K1172" s="362">
        <v>255.38499999999999</v>
      </c>
      <c r="L1172" s="362">
        <f t="shared" si="89"/>
        <v>51.076999999999998</v>
      </c>
      <c r="M1172" s="362" t="s">
        <v>6171</v>
      </c>
      <c r="N1172" s="432" t="s">
        <v>3785</v>
      </c>
      <c r="O1172" s="433" t="s">
        <v>4120</v>
      </c>
      <c r="P1172" s="430" t="s">
        <v>3659</v>
      </c>
      <c r="Q1172" s="431">
        <v>0.2</v>
      </c>
      <c r="R1172" s="433">
        <v>1900002224</v>
      </c>
      <c r="S1172" s="444" t="s">
        <v>509</v>
      </c>
      <c r="T1172" s="2" t="s">
        <v>5915</v>
      </c>
      <c r="U1172" s="444" t="s">
        <v>509</v>
      </c>
    </row>
    <row r="1173" spans="1:21" hidden="1" x14ac:dyDescent="0.35">
      <c r="A1173" s="432" t="s">
        <v>4845</v>
      </c>
      <c r="B1173" s="442" t="s">
        <v>1686</v>
      </c>
      <c r="C1173" s="443">
        <v>44662</v>
      </c>
      <c r="D1173" s="443">
        <v>44662</v>
      </c>
      <c r="E1173" s="546" t="s">
        <v>5926</v>
      </c>
      <c r="F1173" s="430" t="s">
        <v>4839</v>
      </c>
      <c r="G1173" s="444" t="s">
        <v>4840</v>
      </c>
      <c r="H1173" s="442" t="s">
        <v>4757</v>
      </c>
      <c r="I1173" s="362">
        <f t="shared" si="90"/>
        <v>2058.107</v>
      </c>
      <c r="J1173" s="362">
        <f t="shared" si="91"/>
        <v>255.38499999999999</v>
      </c>
      <c r="K1173" s="362">
        <v>255.38499999999999</v>
      </c>
      <c r="L1173" s="362">
        <f t="shared" si="89"/>
        <v>51.076999999999998</v>
      </c>
      <c r="M1173" s="362" t="s">
        <v>6171</v>
      </c>
      <c r="N1173" s="432" t="s">
        <v>3785</v>
      </c>
      <c r="O1173" s="433" t="s">
        <v>4120</v>
      </c>
      <c r="P1173" s="430" t="s">
        <v>3659</v>
      </c>
      <c r="Q1173" s="431">
        <v>0.2</v>
      </c>
      <c r="R1173" s="433">
        <v>1900002224</v>
      </c>
      <c r="S1173" s="444" t="s">
        <v>509</v>
      </c>
      <c r="T1173" s="2" t="s">
        <v>5915</v>
      </c>
      <c r="U1173" s="444" t="s">
        <v>509</v>
      </c>
    </row>
    <row r="1174" spans="1:21" hidden="1" x14ac:dyDescent="0.35">
      <c r="A1174" s="432" t="s">
        <v>4846</v>
      </c>
      <c r="B1174" s="442" t="s">
        <v>1686</v>
      </c>
      <c r="C1174" s="443">
        <v>44662</v>
      </c>
      <c r="D1174" s="443">
        <v>44662</v>
      </c>
      <c r="E1174" s="546" t="s">
        <v>5927</v>
      </c>
      <c r="F1174" s="430" t="s">
        <v>4839</v>
      </c>
      <c r="G1174" s="444" t="s">
        <v>4840</v>
      </c>
      <c r="H1174" s="442" t="s">
        <v>4757</v>
      </c>
      <c r="I1174" s="362">
        <f t="shared" si="90"/>
        <v>2058.107</v>
      </c>
      <c r="J1174" s="362">
        <f t="shared" si="91"/>
        <v>255.38499999999999</v>
      </c>
      <c r="K1174" s="362">
        <v>255.38499999999999</v>
      </c>
      <c r="L1174" s="362">
        <f t="shared" si="89"/>
        <v>51.076999999999998</v>
      </c>
      <c r="M1174" s="362" t="s">
        <v>6171</v>
      </c>
      <c r="N1174" s="432" t="s">
        <v>3785</v>
      </c>
      <c r="O1174" s="433" t="s">
        <v>4120</v>
      </c>
      <c r="P1174" s="430" t="s">
        <v>3659</v>
      </c>
      <c r="Q1174" s="431">
        <v>0.2</v>
      </c>
      <c r="R1174" s="433">
        <v>1900002224</v>
      </c>
      <c r="S1174" s="444" t="s">
        <v>509</v>
      </c>
      <c r="T1174" s="2" t="s">
        <v>5915</v>
      </c>
      <c r="U1174" s="444" t="s">
        <v>509</v>
      </c>
    </row>
    <row r="1175" spans="1:21" hidden="1" x14ac:dyDescent="0.35">
      <c r="A1175" s="432" t="s">
        <v>4847</v>
      </c>
      <c r="B1175" s="442" t="s">
        <v>1686</v>
      </c>
      <c r="C1175" s="443">
        <v>44662</v>
      </c>
      <c r="D1175" s="443">
        <v>44662</v>
      </c>
      <c r="E1175" s="546" t="s">
        <v>1732</v>
      </c>
      <c r="F1175" s="430" t="s">
        <v>4839</v>
      </c>
      <c r="G1175" s="444" t="s">
        <v>4840</v>
      </c>
      <c r="H1175" s="442" t="s">
        <v>4757</v>
      </c>
      <c r="I1175" s="362">
        <f t="shared" si="90"/>
        <v>2058.107</v>
      </c>
      <c r="J1175" s="362">
        <f t="shared" si="91"/>
        <v>255.38499999999999</v>
      </c>
      <c r="K1175" s="362">
        <v>255.38499999999999</v>
      </c>
      <c r="L1175" s="362">
        <f t="shared" si="89"/>
        <v>51.076999999999998</v>
      </c>
      <c r="M1175" s="362" t="s">
        <v>6171</v>
      </c>
      <c r="N1175" s="432" t="s">
        <v>3785</v>
      </c>
      <c r="O1175" s="433" t="s">
        <v>4120</v>
      </c>
      <c r="P1175" s="430" t="s">
        <v>3659</v>
      </c>
      <c r="Q1175" s="431">
        <v>0.2</v>
      </c>
      <c r="R1175" s="433">
        <v>1900002224</v>
      </c>
      <c r="S1175" s="444" t="s">
        <v>509</v>
      </c>
      <c r="T1175" s="2" t="s">
        <v>5915</v>
      </c>
      <c r="U1175" s="444" t="s">
        <v>509</v>
      </c>
    </row>
    <row r="1176" spans="1:21" hidden="1" x14ac:dyDescent="0.35">
      <c r="A1176" s="432" t="s">
        <v>4848</v>
      </c>
      <c r="B1176" s="442" t="s">
        <v>1686</v>
      </c>
      <c r="C1176" s="443">
        <v>44662</v>
      </c>
      <c r="D1176" s="443">
        <v>44662</v>
      </c>
      <c r="E1176" s="546" t="s">
        <v>1733</v>
      </c>
      <c r="F1176" s="430" t="s">
        <v>4839</v>
      </c>
      <c r="G1176" s="444" t="s">
        <v>4840</v>
      </c>
      <c r="H1176" s="442" t="s">
        <v>4757</v>
      </c>
      <c r="I1176" s="362">
        <f t="shared" si="90"/>
        <v>2058.107</v>
      </c>
      <c r="J1176" s="362">
        <f t="shared" si="91"/>
        <v>255.38499999999999</v>
      </c>
      <c r="K1176" s="362">
        <v>255.38499999999999</v>
      </c>
      <c r="L1176" s="362">
        <f t="shared" si="89"/>
        <v>51.076999999999998</v>
      </c>
      <c r="M1176" s="362" t="s">
        <v>6171</v>
      </c>
      <c r="N1176" s="432" t="s">
        <v>3785</v>
      </c>
      <c r="O1176" s="433" t="s">
        <v>4120</v>
      </c>
      <c r="P1176" s="430" t="s">
        <v>3659</v>
      </c>
      <c r="Q1176" s="431">
        <v>0.2</v>
      </c>
      <c r="R1176" s="433">
        <v>1900002224</v>
      </c>
      <c r="S1176" s="444" t="s">
        <v>509</v>
      </c>
      <c r="T1176" s="2" t="s">
        <v>5915</v>
      </c>
      <c r="U1176" s="444" t="s">
        <v>509</v>
      </c>
    </row>
    <row r="1177" spans="1:21" hidden="1" x14ac:dyDescent="0.35">
      <c r="A1177" s="432" t="s">
        <v>4849</v>
      </c>
      <c r="B1177" s="442" t="s">
        <v>1686</v>
      </c>
      <c r="C1177" s="443">
        <v>44662</v>
      </c>
      <c r="D1177" s="443">
        <v>44662</v>
      </c>
      <c r="E1177" s="546" t="s">
        <v>1730</v>
      </c>
      <c r="F1177" s="430" t="s">
        <v>4839</v>
      </c>
      <c r="G1177" s="444" t="s">
        <v>4840</v>
      </c>
      <c r="H1177" s="442" t="s">
        <v>4757</v>
      </c>
      <c r="I1177" s="362">
        <f t="shared" si="90"/>
        <v>2058.107</v>
      </c>
      <c r="J1177" s="362">
        <f t="shared" si="91"/>
        <v>255.38499999999999</v>
      </c>
      <c r="K1177" s="362">
        <v>255.38499999999999</v>
      </c>
      <c r="L1177" s="362">
        <f t="shared" si="89"/>
        <v>51.076999999999998</v>
      </c>
      <c r="M1177" s="362" t="s">
        <v>6171</v>
      </c>
      <c r="N1177" s="432" t="s">
        <v>3785</v>
      </c>
      <c r="O1177" s="433" t="s">
        <v>4120</v>
      </c>
      <c r="P1177" s="430" t="s">
        <v>3659</v>
      </c>
      <c r="Q1177" s="431">
        <v>0.2</v>
      </c>
      <c r="R1177" s="433">
        <v>1900002224</v>
      </c>
      <c r="S1177" s="444" t="s">
        <v>509</v>
      </c>
      <c r="T1177" s="2" t="s">
        <v>5915</v>
      </c>
      <c r="U1177" s="444" t="s">
        <v>509</v>
      </c>
    </row>
    <row r="1178" spans="1:21" hidden="1" x14ac:dyDescent="0.35">
      <c r="A1178" s="432" t="s">
        <v>4850</v>
      </c>
      <c r="B1178" s="442" t="s">
        <v>1686</v>
      </c>
      <c r="C1178" s="443">
        <v>44662</v>
      </c>
      <c r="D1178" s="443">
        <v>44662</v>
      </c>
      <c r="E1178" s="443"/>
      <c r="F1178" s="430" t="s">
        <v>4839</v>
      </c>
      <c r="G1178" s="444" t="s">
        <v>4840</v>
      </c>
      <c r="H1178" s="442" t="s">
        <v>4757</v>
      </c>
      <c r="I1178" s="362">
        <f t="shared" si="90"/>
        <v>2058.107</v>
      </c>
      <c r="J1178" s="362">
        <f t="shared" si="91"/>
        <v>255.38499999999999</v>
      </c>
      <c r="K1178" s="362">
        <v>255.38499999999999</v>
      </c>
      <c r="L1178" s="362">
        <f t="shared" si="89"/>
        <v>51.076999999999998</v>
      </c>
      <c r="M1178" s="362" t="s">
        <v>6171</v>
      </c>
      <c r="N1178" s="432" t="s">
        <v>3785</v>
      </c>
      <c r="O1178" s="433" t="s">
        <v>4120</v>
      </c>
      <c r="P1178" s="430" t="s">
        <v>3659</v>
      </c>
      <c r="Q1178" s="431">
        <v>0.2</v>
      </c>
      <c r="R1178" s="433">
        <v>1900002224</v>
      </c>
      <c r="S1178" s="444" t="s">
        <v>3475</v>
      </c>
      <c r="T1178" s="2" t="s">
        <v>5914</v>
      </c>
      <c r="U1178" s="444" t="s">
        <v>3475</v>
      </c>
    </row>
    <row r="1179" spans="1:21" hidden="1" x14ac:dyDescent="0.35">
      <c r="A1179" s="432" t="s">
        <v>4851</v>
      </c>
      <c r="B1179" s="442" t="s">
        <v>1686</v>
      </c>
      <c r="C1179" s="443">
        <v>44662</v>
      </c>
      <c r="D1179" s="443">
        <v>44662</v>
      </c>
      <c r="E1179" s="443"/>
      <c r="F1179" s="430" t="s">
        <v>4839</v>
      </c>
      <c r="G1179" s="444" t="s">
        <v>4840</v>
      </c>
      <c r="H1179" s="442" t="s">
        <v>4757</v>
      </c>
      <c r="I1179" s="362">
        <f t="shared" si="90"/>
        <v>2058.107</v>
      </c>
      <c r="J1179" s="362">
        <f t="shared" si="91"/>
        <v>255.38499999999999</v>
      </c>
      <c r="K1179" s="362">
        <v>255.38499999999999</v>
      </c>
      <c r="L1179" s="362">
        <f t="shared" si="89"/>
        <v>51.076999999999998</v>
      </c>
      <c r="M1179" s="362" t="s">
        <v>6171</v>
      </c>
      <c r="N1179" s="432" t="s">
        <v>3785</v>
      </c>
      <c r="O1179" s="433" t="s">
        <v>4120</v>
      </c>
      <c r="P1179" s="430" t="s">
        <v>3659</v>
      </c>
      <c r="Q1179" s="431">
        <v>0.2</v>
      </c>
      <c r="R1179" s="433">
        <v>1900002224</v>
      </c>
      <c r="S1179" s="444" t="s">
        <v>3475</v>
      </c>
      <c r="T1179" s="2" t="s">
        <v>5914</v>
      </c>
      <c r="U1179" s="444" t="s">
        <v>3475</v>
      </c>
    </row>
    <row r="1180" spans="1:21" hidden="1" x14ac:dyDescent="0.35">
      <c r="A1180" s="432" t="s">
        <v>4852</v>
      </c>
      <c r="B1180" s="442" t="s">
        <v>1686</v>
      </c>
      <c r="C1180" s="443">
        <v>44662</v>
      </c>
      <c r="D1180" s="443">
        <v>44662</v>
      </c>
      <c r="E1180" s="443"/>
      <c r="F1180" s="430" t="s">
        <v>4839</v>
      </c>
      <c r="G1180" s="444" t="s">
        <v>4840</v>
      </c>
      <c r="H1180" s="442" t="s">
        <v>4757</v>
      </c>
      <c r="I1180" s="362">
        <f t="shared" si="90"/>
        <v>2058.107</v>
      </c>
      <c r="J1180" s="362">
        <f t="shared" si="91"/>
        <v>255.38499999999999</v>
      </c>
      <c r="K1180" s="362">
        <v>255.38499999999999</v>
      </c>
      <c r="L1180" s="362">
        <f t="shared" si="89"/>
        <v>51.076999999999998</v>
      </c>
      <c r="M1180" s="362" t="s">
        <v>6171</v>
      </c>
      <c r="N1180" s="432" t="s">
        <v>3785</v>
      </c>
      <c r="O1180" s="433" t="s">
        <v>4120</v>
      </c>
      <c r="P1180" s="430" t="s">
        <v>3659</v>
      </c>
      <c r="Q1180" s="431">
        <v>0.2</v>
      </c>
      <c r="R1180" s="433">
        <v>1900002224</v>
      </c>
      <c r="S1180" s="444" t="s">
        <v>3475</v>
      </c>
      <c r="T1180" s="2" t="s">
        <v>5914</v>
      </c>
      <c r="U1180" s="444" t="s">
        <v>3475</v>
      </c>
    </row>
    <row r="1181" spans="1:21" hidden="1" x14ac:dyDescent="0.35">
      <c r="A1181" s="432" t="s">
        <v>4853</v>
      </c>
      <c r="B1181" s="442" t="s">
        <v>1686</v>
      </c>
      <c r="C1181" s="443">
        <v>44662</v>
      </c>
      <c r="D1181" s="443">
        <v>44662</v>
      </c>
      <c r="E1181" s="443"/>
      <c r="F1181" s="430" t="s">
        <v>4839</v>
      </c>
      <c r="G1181" s="444" t="s">
        <v>4840</v>
      </c>
      <c r="H1181" s="442" t="s">
        <v>4757</v>
      </c>
      <c r="I1181" s="362">
        <f t="shared" si="90"/>
        <v>2058.107</v>
      </c>
      <c r="J1181" s="362">
        <f t="shared" si="91"/>
        <v>255.38499999999999</v>
      </c>
      <c r="K1181" s="362">
        <v>255.38499999999999</v>
      </c>
      <c r="L1181" s="362">
        <f t="shared" si="89"/>
        <v>51.076999999999998</v>
      </c>
      <c r="M1181" s="362" t="s">
        <v>6171</v>
      </c>
      <c r="N1181" s="432" t="s">
        <v>3785</v>
      </c>
      <c r="O1181" s="433" t="s">
        <v>4120</v>
      </c>
      <c r="P1181" s="430" t="s">
        <v>3659</v>
      </c>
      <c r="Q1181" s="431">
        <v>0.2</v>
      </c>
      <c r="R1181" s="433">
        <v>1900002224</v>
      </c>
      <c r="S1181" s="444" t="s">
        <v>3475</v>
      </c>
      <c r="T1181" s="2" t="s">
        <v>5914</v>
      </c>
      <c r="U1181" s="444" t="s">
        <v>3475</v>
      </c>
    </row>
    <row r="1182" spans="1:21" hidden="1" x14ac:dyDescent="0.35">
      <c r="A1182" s="432" t="s">
        <v>4854</v>
      </c>
      <c r="B1182" s="442" t="s">
        <v>1686</v>
      </c>
      <c r="C1182" s="443">
        <v>44662</v>
      </c>
      <c r="D1182" s="443">
        <v>44662</v>
      </c>
      <c r="E1182" s="443"/>
      <c r="F1182" s="430" t="s">
        <v>4839</v>
      </c>
      <c r="G1182" s="444" t="s">
        <v>4840</v>
      </c>
      <c r="H1182" s="442" t="s">
        <v>4757</v>
      </c>
      <c r="I1182" s="362">
        <f t="shared" si="90"/>
        <v>2058.107</v>
      </c>
      <c r="J1182" s="362">
        <f t="shared" si="91"/>
        <v>255.38499999999999</v>
      </c>
      <c r="K1182" s="362">
        <v>255.38499999999999</v>
      </c>
      <c r="L1182" s="362">
        <f t="shared" si="89"/>
        <v>51.076999999999998</v>
      </c>
      <c r="M1182" s="362" t="s">
        <v>6171</v>
      </c>
      <c r="N1182" s="432" t="s">
        <v>3785</v>
      </c>
      <c r="O1182" s="433" t="s">
        <v>4120</v>
      </c>
      <c r="P1182" s="430" t="s">
        <v>3659</v>
      </c>
      <c r="Q1182" s="431">
        <v>0.2</v>
      </c>
      <c r="R1182" s="433">
        <v>1900002224</v>
      </c>
      <c r="S1182" s="444" t="s">
        <v>3475</v>
      </c>
      <c r="T1182" s="2" t="s">
        <v>5914</v>
      </c>
      <c r="U1182" s="444" t="s">
        <v>3475</v>
      </c>
    </row>
    <row r="1183" spans="1:21" hidden="1" x14ac:dyDescent="0.35">
      <c r="A1183" s="432" t="s">
        <v>4855</v>
      </c>
      <c r="B1183" s="442" t="s">
        <v>1686</v>
      </c>
      <c r="C1183" s="443">
        <v>44662</v>
      </c>
      <c r="D1183" s="443">
        <v>44662</v>
      </c>
      <c r="E1183" s="443"/>
      <c r="F1183" s="430" t="s">
        <v>4839</v>
      </c>
      <c r="G1183" s="444" t="s">
        <v>4840</v>
      </c>
      <c r="H1183" s="442" t="s">
        <v>4757</v>
      </c>
      <c r="I1183" s="362">
        <f t="shared" si="90"/>
        <v>2058.107</v>
      </c>
      <c r="J1183" s="362">
        <f t="shared" si="91"/>
        <v>255.38499999999999</v>
      </c>
      <c r="K1183" s="362">
        <v>255.38499999999999</v>
      </c>
      <c r="L1183" s="362">
        <f t="shared" si="89"/>
        <v>51.076999999999998</v>
      </c>
      <c r="M1183" s="362" t="s">
        <v>6171</v>
      </c>
      <c r="N1183" s="432" t="s">
        <v>3785</v>
      </c>
      <c r="O1183" s="433" t="s">
        <v>4120</v>
      </c>
      <c r="P1183" s="430" t="s">
        <v>3659</v>
      </c>
      <c r="Q1183" s="431">
        <v>0.2</v>
      </c>
      <c r="R1183" s="433">
        <v>1900002224</v>
      </c>
      <c r="S1183" s="444" t="s">
        <v>3475</v>
      </c>
      <c r="T1183" s="2" t="s">
        <v>5914</v>
      </c>
      <c r="U1183" s="444" t="s">
        <v>3475</v>
      </c>
    </row>
    <row r="1184" spans="1:21" hidden="1" x14ac:dyDescent="0.35">
      <c r="A1184" s="432" t="s">
        <v>4856</v>
      </c>
      <c r="B1184" s="442" t="s">
        <v>1686</v>
      </c>
      <c r="C1184" s="443">
        <v>44662</v>
      </c>
      <c r="D1184" s="443">
        <v>44662</v>
      </c>
      <c r="E1184" s="443"/>
      <c r="F1184" s="430" t="s">
        <v>4839</v>
      </c>
      <c r="G1184" s="444" t="s">
        <v>4840</v>
      </c>
      <c r="H1184" s="442" t="s">
        <v>4757</v>
      </c>
      <c r="I1184" s="362">
        <f t="shared" si="90"/>
        <v>2058.107</v>
      </c>
      <c r="J1184" s="362">
        <f t="shared" si="91"/>
        <v>255.38499999999999</v>
      </c>
      <c r="K1184" s="362">
        <v>255.38499999999999</v>
      </c>
      <c r="L1184" s="362">
        <f t="shared" si="89"/>
        <v>51.076999999999998</v>
      </c>
      <c r="M1184" s="362" t="s">
        <v>6171</v>
      </c>
      <c r="N1184" s="432" t="s">
        <v>3785</v>
      </c>
      <c r="O1184" s="433" t="s">
        <v>4120</v>
      </c>
      <c r="P1184" s="430" t="s">
        <v>3659</v>
      </c>
      <c r="Q1184" s="431">
        <v>0.2</v>
      </c>
      <c r="R1184" s="433">
        <v>1900002224</v>
      </c>
      <c r="S1184" s="444" t="s">
        <v>3475</v>
      </c>
      <c r="T1184" s="2" t="s">
        <v>5914</v>
      </c>
      <c r="U1184" s="444" t="s">
        <v>3475</v>
      </c>
    </row>
    <row r="1185" spans="1:21" hidden="1" x14ac:dyDescent="0.35">
      <c r="A1185" s="432" t="s">
        <v>4857</v>
      </c>
      <c r="B1185" s="442" t="s">
        <v>1686</v>
      </c>
      <c r="C1185" s="443">
        <v>44662</v>
      </c>
      <c r="D1185" s="443">
        <v>44662</v>
      </c>
      <c r="E1185" s="443"/>
      <c r="F1185" s="430" t="s">
        <v>4839</v>
      </c>
      <c r="G1185" s="444" t="s">
        <v>4840</v>
      </c>
      <c r="H1185" s="442" t="s">
        <v>4757</v>
      </c>
      <c r="I1185" s="362">
        <f t="shared" si="90"/>
        <v>2058.107</v>
      </c>
      <c r="J1185" s="362">
        <f t="shared" si="91"/>
        <v>255.38499999999999</v>
      </c>
      <c r="K1185" s="362">
        <v>255.38499999999999</v>
      </c>
      <c r="L1185" s="362">
        <f t="shared" si="89"/>
        <v>51.076999999999998</v>
      </c>
      <c r="M1185" s="362" t="s">
        <v>6171</v>
      </c>
      <c r="N1185" s="432" t="s">
        <v>3785</v>
      </c>
      <c r="O1185" s="433" t="s">
        <v>4120</v>
      </c>
      <c r="P1185" s="430" t="s">
        <v>3659</v>
      </c>
      <c r="Q1185" s="431">
        <v>0.2</v>
      </c>
      <c r="R1185" s="433">
        <v>1900002224</v>
      </c>
      <c r="S1185" s="444" t="s">
        <v>3475</v>
      </c>
      <c r="T1185" s="2" t="s">
        <v>5914</v>
      </c>
      <c r="U1185" s="444" t="s">
        <v>3475</v>
      </c>
    </row>
    <row r="1186" spans="1:21" hidden="1" x14ac:dyDescent="0.35">
      <c r="A1186" s="432" t="s">
        <v>4858</v>
      </c>
      <c r="B1186" s="442" t="s">
        <v>1686</v>
      </c>
      <c r="C1186" s="443">
        <v>44662</v>
      </c>
      <c r="D1186" s="443">
        <v>44662</v>
      </c>
      <c r="E1186" s="443"/>
      <c r="F1186" s="430" t="s">
        <v>4839</v>
      </c>
      <c r="G1186" s="444" t="s">
        <v>4840</v>
      </c>
      <c r="H1186" s="442" t="s">
        <v>4757</v>
      </c>
      <c r="I1186" s="362">
        <f t="shared" si="90"/>
        <v>2058.107</v>
      </c>
      <c r="J1186" s="362">
        <f t="shared" si="91"/>
        <v>255.38499999999999</v>
      </c>
      <c r="K1186" s="362">
        <v>255.38499999999999</v>
      </c>
      <c r="L1186" s="362">
        <f t="shared" si="89"/>
        <v>51.076999999999998</v>
      </c>
      <c r="M1186" s="362" t="s">
        <v>6171</v>
      </c>
      <c r="N1186" s="432" t="s">
        <v>3785</v>
      </c>
      <c r="O1186" s="433" t="s">
        <v>4120</v>
      </c>
      <c r="P1186" s="430" t="s">
        <v>3659</v>
      </c>
      <c r="Q1186" s="431">
        <v>0.2</v>
      </c>
      <c r="R1186" s="433">
        <v>1900002224</v>
      </c>
      <c r="S1186" s="444" t="s">
        <v>3475</v>
      </c>
      <c r="T1186" s="2" t="s">
        <v>5914</v>
      </c>
      <c r="U1186" s="444" t="s">
        <v>3475</v>
      </c>
    </row>
    <row r="1187" spans="1:21" hidden="1" x14ac:dyDescent="0.35">
      <c r="A1187" s="446" t="s">
        <v>4859</v>
      </c>
      <c r="B1187" s="447" t="s">
        <v>1686</v>
      </c>
      <c r="C1187" s="448">
        <v>44662</v>
      </c>
      <c r="D1187" s="448">
        <v>44662</v>
      </c>
      <c r="E1187" s="448"/>
      <c r="F1187" s="449" t="s">
        <v>4839</v>
      </c>
      <c r="G1187" s="544" t="s">
        <v>4840</v>
      </c>
      <c r="H1187" s="447" t="s">
        <v>4757</v>
      </c>
      <c r="I1187" s="363">
        <f t="shared" si="90"/>
        <v>2058.107</v>
      </c>
      <c r="J1187" s="363">
        <f t="shared" si="91"/>
        <v>255.38499999999999</v>
      </c>
      <c r="K1187" s="363">
        <v>255.38499999999999</v>
      </c>
      <c r="L1187" s="363">
        <f t="shared" si="89"/>
        <v>51.076999999999998</v>
      </c>
      <c r="M1187" s="363" t="s">
        <v>6171</v>
      </c>
      <c r="N1187" s="446" t="s">
        <v>3785</v>
      </c>
      <c r="O1187" s="450" t="s">
        <v>4120</v>
      </c>
      <c r="P1187" s="449" t="s">
        <v>3659</v>
      </c>
      <c r="Q1187" s="451">
        <v>0.2</v>
      </c>
      <c r="R1187" s="450">
        <v>1900002224</v>
      </c>
      <c r="S1187" s="444" t="s">
        <v>3475</v>
      </c>
      <c r="T1187" s="2" t="s">
        <v>5914</v>
      </c>
      <c r="U1187" s="444" t="s">
        <v>3475</v>
      </c>
    </row>
    <row r="1188" spans="1:21" hidden="1" x14ac:dyDescent="0.35">
      <c r="A1188" s="432"/>
      <c r="B1188" s="442" t="s">
        <v>4860</v>
      </c>
      <c r="C1188" s="443">
        <v>44770</v>
      </c>
      <c r="D1188" s="443">
        <v>44770</v>
      </c>
      <c r="E1188" s="443" t="s">
        <v>743</v>
      </c>
      <c r="F1188" s="430" t="s">
        <v>4861</v>
      </c>
      <c r="G1188" s="430" t="s">
        <v>3784</v>
      </c>
      <c r="H1188" s="442" t="s">
        <v>3656</v>
      </c>
      <c r="I1188" s="362">
        <f>105296.64/10</f>
        <v>10529.664000000001</v>
      </c>
      <c r="J1188" s="362">
        <f>13065.98/10</f>
        <v>1306.598</v>
      </c>
      <c r="K1188" s="362">
        <f>13065.98/10</f>
        <v>1306.598</v>
      </c>
      <c r="L1188" s="362">
        <f t="shared" si="89"/>
        <v>261.31959999999998</v>
      </c>
      <c r="M1188" s="362" t="s">
        <v>6171</v>
      </c>
      <c r="N1188" s="432" t="s">
        <v>3785</v>
      </c>
      <c r="O1188" s="433" t="s">
        <v>4120</v>
      </c>
      <c r="P1188" s="430" t="s">
        <v>3659</v>
      </c>
      <c r="Q1188" s="431">
        <v>0.2</v>
      </c>
      <c r="R1188" s="433">
        <v>1900003229</v>
      </c>
      <c r="S1188" s="444" t="s">
        <v>744</v>
      </c>
      <c r="T1188" s="2" t="s">
        <v>5915</v>
      </c>
    </row>
    <row r="1189" spans="1:21" hidden="1" x14ac:dyDescent="0.35">
      <c r="A1189" s="432"/>
      <c r="B1189" s="442" t="s">
        <v>4860</v>
      </c>
      <c r="C1189" s="443">
        <v>44770</v>
      </c>
      <c r="D1189" s="443">
        <v>44770</v>
      </c>
      <c r="E1189" s="443" t="s">
        <v>799</v>
      </c>
      <c r="F1189" s="430" t="s">
        <v>4861</v>
      </c>
      <c r="G1189" s="438" t="s">
        <v>3784</v>
      </c>
      <c r="H1189" s="438" t="s">
        <v>3656</v>
      </c>
      <c r="I1189" s="362">
        <f t="shared" ref="I1189:I1197" si="92">105296.64/10</f>
        <v>10529.664000000001</v>
      </c>
      <c r="J1189" s="362">
        <f t="shared" ref="J1189:K1204" si="93">13065.98/10</f>
        <v>1306.598</v>
      </c>
      <c r="K1189" s="362">
        <f t="shared" si="93"/>
        <v>1306.598</v>
      </c>
      <c r="L1189" s="362">
        <f t="shared" si="89"/>
        <v>261.31959999999998</v>
      </c>
      <c r="M1189" s="362" t="s">
        <v>6171</v>
      </c>
      <c r="N1189" s="432" t="s">
        <v>3785</v>
      </c>
      <c r="O1189" s="433" t="s">
        <v>4120</v>
      </c>
      <c r="P1189" s="430" t="s">
        <v>3659</v>
      </c>
      <c r="Q1189" s="431">
        <v>0.2</v>
      </c>
      <c r="R1189" s="433">
        <v>1900003229</v>
      </c>
      <c r="S1189" s="444" t="s">
        <v>797</v>
      </c>
      <c r="T1189" s="2" t="s">
        <v>5915</v>
      </c>
    </row>
    <row r="1190" spans="1:21" hidden="1" x14ac:dyDescent="0.35">
      <c r="A1190" s="432"/>
      <c r="B1190" s="442" t="s">
        <v>4860</v>
      </c>
      <c r="C1190" s="443">
        <v>44770</v>
      </c>
      <c r="D1190" s="443">
        <v>44770</v>
      </c>
      <c r="E1190" s="443" t="s">
        <v>817</v>
      </c>
      <c r="F1190" s="430" t="s">
        <v>4861</v>
      </c>
      <c r="G1190" s="438" t="s">
        <v>3784</v>
      </c>
      <c r="H1190" s="438" t="s">
        <v>3656</v>
      </c>
      <c r="I1190" s="362">
        <f t="shared" si="92"/>
        <v>10529.664000000001</v>
      </c>
      <c r="J1190" s="362">
        <f t="shared" si="93"/>
        <v>1306.598</v>
      </c>
      <c r="K1190" s="362">
        <f t="shared" si="93"/>
        <v>1306.598</v>
      </c>
      <c r="L1190" s="362">
        <f t="shared" si="89"/>
        <v>261.31959999999998</v>
      </c>
      <c r="M1190" s="362" t="s">
        <v>6171</v>
      </c>
      <c r="N1190" s="432" t="s">
        <v>3785</v>
      </c>
      <c r="O1190" s="433" t="s">
        <v>4120</v>
      </c>
      <c r="P1190" s="430" t="s">
        <v>3659</v>
      </c>
      <c r="Q1190" s="431">
        <v>0.2</v>
      </c>
      <c r="R1190" s="433">
        <v>1900003229</v>
      </c>
      <c r="S1190" s="444" t="s">
        <v>815</v>
      </c>
      <c r="T1190" s="2" t="s">
        <v>5915</v>
      </c>
    </row>
    <row r="1191" spans="1:21" hidden="1" x14ac:dyDescent="0.35">
      <c r="A1191" s="432"/>
      <c r="B1191" s="442" t="s">
        <v>4860</v>
      </c>
      <c r="C1191" s="443">
        <v>44770</v>
      </c>
      <c r="D1191" s="443">
        <v>44770</v>
      </c>
      <c r="E1191" s="443" t="s">
        <v>834</v>
      </c>
      <c r="F1191" s="430" t="s">
        <v>4861</v>
      </c>
      <c r="G1191" s="438" t="s">
        <v>3784</v>
      </c>
      <c r="H1191" s="438" t="s">
        <v>3656</v>
      </c>
      <c r="I1191" s="362">
        <f t="shared" si="92"/>
        <v>10529.664000000001</v>
      </c>
      <c r="J1191" s="362">
        <f t="shared" si="93"/>
        <v>1306.598</v>
      </c>
      <c r="K1191" s="362">
        <f t="shared" si="93"/>
        <v>1306.598</v>
      </c>
      <c r="L1191" s="362">
        <f t="shared" si="89"/>
        <v>261.31959999999998</v>
      </c>
      <c r="M1191" s="362" t="s">
        <v>6171</v>
      </c>
      <c r="N1191" s="432" t="s">
        <v>3785</v>
      </c>
      <c r="O1191" s="433" t="s">
        <v>4120</v>
      </c>
      <c r="P1191" s="430" t="s">
        <v>3659</v>
      </c>
      <c r="Q1191" s="431">
        <v>0.2</v>
      </c>
      <c r="R1191" s="433">
        <v>1900003229</v>
      </c>
      <c r="S1191" s="444" t="s">
        <v>833</v>
      </c>
      <c r="T1191" s="2" t="s">
        <v>5915</v>
      </c>
    </row>
    <row r="1192" spans="1:21" hidden="1" x14ac:dyDescent="0.35">
      <c r="A1192" s="432"/>
      <c r="B1192" s="442" t="s">
        <v>4860</v>
      </c>
      <c r="C1192" s="443">
        <v>44770</v>
      </c>
      <c r="D1192" s="443">
        <v>44770</v>
      </c>
      <c r="E1192" s="443" t="s">
        <v>839</v>
      </c>
      <c r="F1192" s="430" t="s">
        <v>4861</v>
      </c>
      <c r="G1192" s="438" t="s">
        <v>3784</v>
      </c>
      <c r="H1192" s="438" t="s">
        <v>3656</v>
      </c>
      <c r="I1192" s="362">
        <f t="shared" si="92"/>
        <v>10529.664000000001</v>
      </c>
      <c r="J1192" s="362">
        <f t="shared" si="93"/>
        <v>1306.598</v>
      </c>
      <c r="K1192" s="362">
        <f t="shared" si="93"/>
        <v>1306.598</v>
      </c>
      <c r="L1192" s="362">
        <f t="shared" si="89"/>
        <v>261.31959999999998</v>
      </c>
      <c r="M1192" s="362" t="s">
        <v>6171</v>
      </c>
      <c r="N1192" s="432" t="s">
        <v>3785</v>
      </c>
      <c r="O1192" s="433" t="s">
        <v>4120</v>
      </c>
      <c r="P1192" s="430" t="s">
        <v>3659</v>
      </c>
      <c r="Q1192" s="431">
        <v>0.2</v>
      </c>
      <c r="R1192" s="433">
        <v>1900003229</v>
      </c>
      <c r="S1192" s="444" t="s">
        <v>837</v>
      </c>
      <c r="T1192" s="2" t="s">
        <v>5915</v>
      </c>
    </row>
    <row r="1193" spans="1:21" hidden="1" x14ac:dyDescent="0.35">
      <c r="A1193" s="432"/>
      <c r="B1193" s="442" t="s">
        <v>4860</v>
      </c>
      <c r="C1193" s="443">
        <v>44770</v>
      </c>
      <c r="D1193" s="443">
        <v>44770</v>
      </c>
      <c r="E1193" s="443" t="s">
        <v>985</v>
      </c>
      <c r="F1193" s="430" t="s">
        <v>4861</v>
      </c>
      <c r="G1193" s="438" t="s">
        <v>3784</v>
      </c>
      <c r="H1193" s="438" t="s">
        <v>3656</v>
      </c>
      <c r="I1193" s="362">
        <f t="shared" si="92"/>
        <v>10529.664000000001</v>
      </c>
      <c r="J1193" s="362">
        <f t="shared" si="93"/>
        <v>1306.598</v>
      </c>
      <c r="K1193" s="362">
        <f t="shared" si="93"/>
        <v>1306.598</v>
      </c>
      <c r="L1193" s="362">
        <f t="shared" si="89"/>
        <v>261.31959999999998</v>
      </c>
      <c r="M1193" s="362" t="s">
        <v>6171</v>
      </c>
      <c r="N1193" s="432" t="s">
        <v>3785</v>
      </c>
      <c r="O1193" s="433" t="s">
        <v>4120</v>
      </c>
      <c r="P1193" s="430" t="s">
        <v>3659</v>
      </c>
      <c r="Q1193" s="431">
        <v>0.2</v>
      </c>
      <c r="R1193" s="433">
        <v>1900003229</v>
      </c>
      <c r="S1193" s="444" t="s">
        <v>4862</v>
      </c>
      <c r="T1193" s="2" t="s">
        <v>5915</v>
      </c>
    </row>
    <row r="1194" spans="1:21" hidden="1" x14ac:dyDescent="0.35">
      <c r="A1194" s="432"/>
      <c r="B1194" s="442" t="s">
        <v>4860</v>
      </c>
      <c r="C1194" s="443">
        <v>44770</v>
      </c>
      <c r="D1194" s="443">
        <v>44770</v>
      </c>
      <c r="E1194" s="443" t="s">
        <v>1001</v>
      </c>
      <c r="F1194" s="430" t="s">
        <v>4861</v>
      </c>
      <c r="G1194" s="438" t="s">
        <v>3784</v>
      </c>
      <c r="H1194" s="438" t="s">
        <v>3656</v>
      </c>
      <c r="I1194" s="362">
        <f t="shared" si="92"/>
        <v>10529.664000000001</v>
      </c>
      <c r="J1194" s="362">
        <f t="shared" si="93"/>
        <v>1306.598</v>
      </c>
      <c r="K1194" s="362">
        <f t="shared" si="93"/>
        <v>1306.598</v>
      </c>
      <c r="L1194" s="362">
        <f t="shared" si="89"/>
        <v>261.31959999999998</v>
      </c>
      <c r="M1194" s="362" t="s">
        <v>6171</v>
      </c>
      <c r="N1194" s="432" t="s">
        <v>3785</v>
      </c>
      <c r="O1194" s="433" t="s">
        <v>4120</v>
      </c>
      <c r="P1194" s="430" t="s">
        <v>3659</v>
      </c>
      <c r="Q1194" s="431">
        <v>0.2</v>
      </c>
      <c r="R1194" s="433">
        <v>1900003229</v>
      </c>
      <c r="S1194" s="444" t="s">
        <v>1000</v>
      </c>
      <c r="T1194" s="2" t="s">
        <v>5915</v>
      </c>
    </row>
    <row r="1195" spans="1:21" hidden="1" x14ac:dyDescent="0.35">
      <c r="A1195" s="432"/>
      <c r="B1195" s="442" t="s">
        <v>4860</v>
      </c>
      <c r="C1195" s="443">
        <v>44770</v>
      </c>
      <c r="D1195" s="443">
        <v>44770</v>
      </c>
      <c r="E1195" s="443" t="s">
        <v>1046</v>
      </c>
      <c r="F1195" s="430" t="s">
        <v>4861</v>
      </c>
      <c r="G1195" s="438" t="s">
        <v>3784</v>
      </c>
      <c r="H1195" s="438" t="s">
        <v>3656</v>
      </c>
      <c r="I1195" s="362">
        <f t="shared" si="92"/>
        <v>10529.664000000001</v>
      </c>
      <c r="J1195" s="362">
        <f t="shared" si="93"/>
        <v>1306.598</v>
      </c>
      <c r="K1195" s="362">
        <f t="shared" si="93"/>
        <v>1306.598</v>
      </c>
      <c r="L1195" s="362">
        <f t="shared" si="89"/>
        <v>261.31959999999998</v>
      </c>
      <c r="M1195" s="362" t="s">
        <v>6171</v>
      </c>
      <c r="N1195" s="432" t="s">
        <v>3785</v>
      </c>
      <c r="O1195" s="433" t="s">
        <v>4120</v>
      </c>
      <c r="P1195" s="430" t="s">
        <v>3659</v>
      </c>
      <c r="Q1195" s="431">
        <v>0.2</v>
      </c>
      <c r="R1195" s="433">
        <v>1900003229</v>
      </c>
      <c r="S1195" s="444" t="s">
        <v>1045</v>
      </c>
      <c r="T1195" s="2" t="s">
        <v>5915</v>
      </c>
    </row>
    <row r="1196" spans="1:21" hidden="1" x14ac:dyDescent="0.35">
      <c r="A1196" s="432"/>
      <c r="B1196" s="442" t="s">
        <v>4860</v>
      </c>
      <c r="C1196" s="443">
        <v>44770</v>
      </c>
      <c r="D1196" s="443">
        <v>44770</v>
      </c>
      <c r="E1196" s="443" t="s">
        <v>1056</v>
      </c>
      <c r="F1196" s="430" t="s">
        <v>4861</v>
      </c>
      <c r="G1196" s="438" t="s">
        <v>3784</v>
      </c>
      <c r="H1196" s="438" t="s">
        <v>3656</v>
      </c>
      <c r="I1196" s="362">
        <f t="shared" si="92"/>
        <v>10529.664000000001</v>
      </c>
      <c r="J1196" s="362">
        <f t="shared" si="93"/>
        <v>1306.598</v>
      </c>
      <c r="K1196" s="362">
        <f t="shared" si="93"/>
        <v>1306.598</v>
      </c>
      <c r="L1196" s="362">
        <f t="shared" si="89"/>
        <v>261.31959999999998</v>
      </c>
      <c r="M1196" s="362" t="s">
        <v>6171</v>
      </c>
      <c r="N1196" s="432" t="s">
        <v>3785</v>
      </c>
      <c r="O1196" s="433" t="s">
        <v>4120</v>
      </c>
      <c r="P1196" s="430" t="s">
        <v>3659</v>
      </c>
      <c r="Q1196" s="431">
        <v>0.2</v>
      </c>
      <c r="R1196" s="433">
        <v>1900003229</v>
      </c>
      <c r="S1196" s="444" t="s">
        <v>1055</v>
      </c>
      <c r="T1196" s="2" t="s">
        <v>5915</v>
      </c>
    </row>
    <row r="1197" spans="1:21" hidden="1" x14ac:dyDescent="0.35">
      <c r="A1197" s="432"/>
      <c r="B1197" s="442" t="s">
        <v>4860</v>
      </c>
      <c r="C1197" s="443">
        <v>44770</v>
      </c>
      <c r="D1197" s="443">
        <v>44770</v>
      </c>
      <c r="E1197" s="443" t="s">
        <v>1146</v>
      </c>
      <c r="F1197" s="430" t="s">
        <v>4861</v>
      </c>
      <c r="G1197" s="438" t="s">
        <v>3784</v>
      </c>
      <c r="H1197" s="438" t="s">
        <v>3656</v>
      </c>
      <c r="I1197" s="362">
        <f t="shared" si="92"/>
        <v>10529.664000000001</v>
      </c>
      <c r="J1197" s="362">
        <f t="shared" si="93"/>
        <v>1306.598</v>
      </c>
      <c r="K1197" s="362">
        <f t="shared" si="93"/>
        <v>1306.598</v>
      </c>
      <c r="L1197" s="362">
        <f t="shared" si="89"/>
        <v>261.31959999999998</v>
      </c>
      <c r="M1197" s="362" t="s">
        <v>6171</v>
      </c>
      <c r="N1197" s="432" t="s">
        <v>3785</v>
      </c>
      <c r="O1197" s="433" t="s">
        <v>4120</v>
      </c>
      <c r="P1197" s="430" t="s">
        <v>3659</v>
      </c>
      <c r="Q1197" s="431">
        <v>0.2</v>
      </c>
      <c r="R1197" s="433">
        <v>1900003229</v>
      </c>
      <c r="S1197" s="444" t="s">
        <v>1145</v>
      </c>
      <c r="T1197" s="2" t="s">
        <v>5915</v>
      </c>
    </row>
    <row r="1198" spans="1:21" hidden="1" x14ac:dyDescent="0.35">
      <c r="A1198" s="432"/>
      <c r="B1198" s="442" t="s">
        <v>4860</v>
      </c>
      <c r="C1198" s="443">
        <v>44770</v>
      </c>
      <c r="D1198" s="443">
        <v>44770</v>
      </c>
      <c r="E1198" s="443" t="s">
        <v>1175</v>
      </c>
      <c r="F1198" s="430"/>
      <c r="G1198" s="438" t="s">
        <v>3784</v>
      </c>
      <c r="H1198" s="438" t="s">
        <v>3656</v>
      </c>
      <c r="I1198" s="362">
        <f t="shared" ref="I1198:I1217" si="94">52263.92/10</f>
        <v>5226.3919999999998</v>
      </c>
      <c r="J1198" s="362">
        <f t="shared" si="93"/>
        <v>1306.598</v>
      </c>
      <c r="K1198" s="362">
        <f t="shared" si="93"/>
        <v>1306.598</v>
      </c>
      <c r="L1198" s="362">
        <f t="shared" si="89"/>
        <v>261.31959999999998</v>
      </c>
      <c r="M1198" s="362" t="s">
        <v>6171</v>
      </c>
      <c r="N1198" s="432" t="s">
        <v>3785</v>
      </c>
      <c r="O1198" s="433" t="s">
        <v>4120</v>
      </c>
      <c r="P1198" s="430" t="s">
        <v>3659</v>
      </c>
      <c r="Q1198" s="431">
        <v>0.2</v>
      </c>
      <c r="R1198" s="433">
        <v>1900003002</v>
      </c>
      <c r="S1198" s="444" t="s">
        <v>1166</v>
      </c>
      <c r="T1198" s="2" t="s">
        <v>5915</v>
      </c>
    </row>
    <row r="1199" spans="1:21" hidden="1" x14ac:dyDescent="0.35">
      <c r="A1199" s="432"/>
      <c r="B1199" s="442" t="s">
        <v>4860</v>
      </c>
      <c r="C1199" s="443">
        <v>44770</v>
      </c>
      <c r="D1199" s="443">
        <v>44770</v>
      </c>
      <c r="E1199" s="443" t="s">
        <v>1178</v>
      </c>
      <c r="F1199" s="430"/>
      <c r="G1199" s="438" t="s">
        <v>3784</v>
      </c>
      <c r="H1199" s="438" t="s">
        <v>3656</v>
      </c>
      <c r="I1199" s="362">
        <f t="shared" si="94"/>
        <v>5226.3919999999998</v>
      </c>
      <c r="J1199" s="362">
        <f t="shared" si="93"/>
        <v>1306.598</v>
      </c>
      <c r="K1199" s="362">
        <f t="shared" si="93"/>
        <v>1306.598</v>
      </c>
      <c r="L1199" s="362">
        <f t="shared" si="89"/>
        <v>261.31959999999998</v>
      </c>
      <c r="M1199" s="362" t="s">
        <v>6171</v>
      </c>
      <c r="N1199" s="432" t="s">
        <v>3785</v>
      </c>
      <c r="O1199" s="433" t="s">
        <v>4120</v>
      </c>
      <c r="P1199" s="430" t="s">
        <v>3659</v>
      </c>
      <c r="Q1199" s="431">
        <v>0.2</v>
      </c>
      <c r="R1199" s="433">
        <v>1900003002</v>
      </c>
      <c r="S1199" s="444" t="s">
        <v>1177</v>
      </c>
      <c r="T1199" s="2" t="s">
        <v>5915</v>
      </c>
    </row>
    <row r="1200" spans="1:21" hidden="1" x14ac:dyDescent="0.35">
      <c r="A1200" s="432"/>
      <c r="B1200" s="442" t="s">
        <v>4860</v>
      </c>
      <c r="C1200" s="443">
        <v>44770</v>
      </c>
      <c r="D1200" s="443">
        <v>44770</v>
      </c>
      <c r="E1200" s="443" t="s">
        <v>1180</v>
      </c>
      <c r="F1200" s="430"/>
      <c r="G1200" s="438" t="s">
        <v>3784</v>
      </c>
      <c r="H1200" s="438" t="s">
        <v>3656</v>
      </c>
      <c r="I1200" s="362">
        <f t="shared" si="94"/>
        <v>5226.3919999999998</v>
      </c>
      <c r="J1200" s="362">
        <f t="shared" si="93"/>
        <v>1306.598</v>
      </c>
      <c r="K1200" s="362">
        <f t="shared" si="93"/>
        <v>1306.598</v>
      </c>
      <c r="L1200" s="362">
        <f t="shared" si="89"/>
        <v>261.31959999999998</v>
      </c>
      <c r="M1200" s="362" t="s">
        <v>6171</v>
      </c>
      <c r="N1200" s="432" t="s">
        <v>3785</v>
      </c>
      <c r="O1200" s="433" t="s">
        <v>4120</v>
      </c>
      <c r="P1200" s="430" t="s">
        <v>3659</v>
      </c>
      <c r="Q1200" s="431">
        <v>0.2</v>
      </c>
      <c r="R1200" s="433">
        <v>1900003002</v>
      </c>
      <c r="S1200" s="444" t="s">
        <v>609</v>
      </c>
      <c r="T1200" s="2" t="s">
        <v>5915</v>
      </c>
    </row>
    <row r="1201" spans="1:20" hidden="1" x14ac:dyDescent="0.35">
      <c r="A1201" s="432"/>
      <c r="B1201" s="442" t="s">
        <v>4860</v>
      </c>
      <c r="C1201" s="443">
        <v>44770</v>
      </c>
      <c r="D1201" s="443">
        <v>44770</v>
      </c>
      <c r="E1201" s="443" t="s">
        <v>1200</v>
      </c>
      <c r="F1201" s="430"/>
      <c r="G1201" s="438" t="s">
        <v>3784</v>
      </c>
      <c r="H1201" s="438" t="s">
        <v>3656</v>
      </c>
      <c r="I1201" s="362">
        <f t="shared" si="94"/>
        <v>5226.3919999999998</v>
      </c>
      <c r="J1201" s="362">
        <f t="shared" si="93"/>
        <v>1306.598</v>
      </c>
      <c r="K1201" s="362">
        <f t="shared" si="93"/>
        <v>1306.598</v>
      </c>
      <c r="L1201" s="362">
        <f t="shared" si="89"/>
        <v>261.31959999999998</v>
      </c>
      <c r="M1201" s="362" t="s">
        <v>6171</v>
      </c>
      <c r="N1201" s="432" t="s">
        <v>3785</v>
      </c>
      <c r="O1201" s="433" t="s">
        <v>4120</v>
      </c>
      <c r="P1201" s="430" t="s">
        <v>3659</v>
      </c>
      <c r="Q1201" s="431">
        <v>0.2</v>
      </c>
      <c r="R1201" s="433">
        <v>1900003002</v>
      </c>
      <c r="S1201" s="444" t="s">
        <v>1201</v>
      </c>
      <c r="T1201" s="2" t="s">
        <v>5915</v>
      </c>
    </row>
    <row r="1202" spans="1:20" hidden="1" x14ac:dyDescent="0.35">
      <c r="A1202" s="432"/>
      <c r="B1202" s="442" t="s">
        <v>4860</v>
      </c>
      <c r="C1202" s="443">
        <v>44770</v>
      </c>
      <c r="D1202" s="443">
        <v>44770</v>
      </c>
      <c r="E1202" s="443" t="s">
        <v>1202</v>
      </c>
      <c r="F1202" s="430"/>
      <c r="G1202" s="438" t="s">
        <v>3784</v>
      </c>
      <c r="H1202" s="438" t="s">
        <v>3656</v>
      </c>
      <c r="I1202" s="362">
        <f t="shared" si="94"/>
        <v>5226.3919999999998</v>
      </c>
      <c r="J1202" s="362">
        <f t="shared" si="93"/>
        <v>1306.598</v>
      </c>
      <c r="K1202" s="362">
        <f t="shared" si="93"/>
        <v>1306.598</v>
      </c>
      <c r="L1202" s="362">
        <f t="shared" si="89"/>
        <v>261.31959999999998</v>
      </c>
      <c r="M1202" s="362" t="s">
        <v>6171</v>
      </c>
      <c r="N1202" s="432" t="s">
        <v>3785</v>
      </c>
      <c r="O1202" s="433" t="s">
        <v>4120</v>
      </c>
      <c r="P1202" s="430" t="s">
        <v>3659</v>
      </c>
      <c r="Q1202" s="431">
        <v>0.2</v>
      </c>
      <c r="R1202" s="433">
        <v>1900003002</v>
      </c>
      <c r="S1202" s="444" t="s">
        <v>1201</v>
      </c>
      <c r="T1202" s="2" t="s">
        <v>5915</v>
      </c>
    </row>
    <row r="1203" spans="1:20" hidden="1" x14ac:dyDescent="0.35">
      <c r="A1203" s="432"/>
      <c r="B1203" s="442" t="s">
        <v>4860</v>
      </c>
      <c r="C1203" s="443">
        <v>44770</v>
      </c>
      <c r="D1203" s="443">
        <v>44770</v>
      </c>
      <c r="E1203" s="443" t="s">
        <v>1232</v>
      </c>
      <c r="F1203" s="430"/>
      <c r="G1203" s="438" t="s">
        <v>3784</v>
      </c>
      <c r="H1203" s="438" t="s">
        <v>3656</v>
      </c>
      <c r="I1203" s="362">
        <f t="shared" si="94"/>
        <v>5226.3919999999998</v>
      </c>
      <c r="J1203" s="362">
        <f t="shared" si="93"/>
        <v>1306.598</v>
      </c>
      <c r="K1203" s="362">
        <f t="shared" si="93"/>
        <v>1306.598</v>
      </c>
      <c r="L1203" s="362">
        <f t="shared" si="89"/>
        <v>261.31959999999998</v>
      </c>
      <c r="M1203" s="362" t="s">
        <v>6171</v>
      </c>
      <c r="N1203" s="432" t="s">
        <v>3785</v>
      </c>
      <c r="O1203" s="433" t="s">
        <v>4120</v>
      </c>
      <c r="P1203" s="430" t="s">
        <v>3659</v>
      </c>
      <c r="Q1203" s="431">
        <v>0.2</v>
      </c>
      <c r="R1203" s="433">
        <v>1900003002</v>
      </c>
      <c r="S1203" s="444" t="s">
        <v>1231</v>
      </c>
      <c r="T1203" s="2" t="s">
        <v>5915</v>
      </c>
    </row>
    <row r="1204" spans="1:20" hidden="1" x14ac:dyDescent="0.35">
      <c r="A1204" s="432"/>
      <c r="B1204" s="442" t="s">
        <v>4860</v>
      </c>
      <c r="C1204" s="443">
        <v>44770</v>
      </c>
      <c r="D1204" s="443">
        <v>44770</v>
      </c>
      <c r="E1204" s="443" t="s">
        <v>1234</v>
      </c>
      <c r="F1204" s="430"/>
      <c r="G1204" s="438" t="s">
        <v>3784</v>
      </c>
      <c r="H1204" s="438" t="s">
        <v>3656</v>
      </c>
      <c r="I1204" s="362">
        <f t="shared" si="94"/>
        <v>5226.3919999999998</v>
      </c>
      <c r="J1204" s="362">
        <f t="shared" si="93"/>
        <v>1306.598</v>
      </c>
      <c r="K1204" s="362">
        <f t="shared" si="93"/>
        <v>1306.598</v>
      </c>
      <c r="L1204" s="362">
        <f t="shared" si="89"/>
        <v>261.31959999999998</v>
      </c>
      <c r="M1204" s="362" t="s">
        <v>6171</v>
      </c>
      <c r="N1204" s="432" t="s">
        <v>3785</v>
      </c>
      <c r="O1204" s="433" t="s">
        <v>4120</v>
      </c>
      <c r="P1204" s="430" t="s">
        <v>3659</v>
      </c>
      <c r="Q1204" s="431">
        <v>0.2</v>
      </c>
      <c r="R1204" s="433">
        <v>1900003002</v>
      </c>
      <c r="S1204" s="444" t="s">
        <v>6444</v>
      </c>
      <c r="T1204" s="2" t="s">
        <v>5915</v>
      </c>
    </row>
    <row r="1205" spans="1:20" hidden="1" x14ac:dyDescent="0.35">
      <c r="A1205" s="432"/>
      <c r="B1205" s="442" t="s">
        <v>4860</v>
      </c>
      <c r="C1205" s="443">
        <v>44770</v>
      </c>
      <c r="D1205" s="443">
        <v>44770</v>
      </c>
      <c r="E1205" s="443" t="s">
        <v>1235</v>
      </c>
      <c r="F1205" s="430"/>
      <c r="G1205" s="438" t="s">
        <v>3784</v>
      </c>
      <c r="H1205" s="438" t="s">
        <v>3656</v>
      </c>
      <c r="I1205" s="362">
        <f t="shared" si="94"/>
        <v>5226.3919999999998</v>
      </c>
      <c r="J1205" s="362">
        <f t="shared" ref="J1205:K1217" si="95">13065.98/10</f>
        <v>1306.598</v>
      </c>
      <c r="K1205" s="362">
        <f t="shared" si="95"/>
        <v>1306.598</v>
      </c>
      <c r="L1205" s="362">
        <f t="shared" si="89"/>
        <v>261.31959999999998</v>
      </c>
      <c r="M1205" s="362" t="s">
        <v>6171</v>
      </c>
      <c r="N1205" s="432" t="s">
        <v>3785</v>
      </c>
      <c r="O1205" s="433" t="s">
        <v>4120</v>
      </c>
      <c r="P1205" s="430" t="s">
        <v>3659</v>
      </c>
      <c r="Q1205" s="431">
        <v>0.2</v>
      </c>
      <c r="R1205" s="433">
        <v>1900003002</v>
      </c>
      <c r="S1205" s="444" t="s">
        <v>6444</v>
      </c>
      <c r="T1205" s="2" t="s">
        <v>5915</v>
      </c>
    </row>
    <row r="1206" spans="1:20" hidden="1" x14ac:dyDescent="0.35">
      <c r="A1206" s="432"/>
      <c r="B1206" s="442" t="s">
        <v>4860</v>
      </c>
      <c r="C1206" s="443">
        <v>44770</v>
      </c>
      <c r="D1206" s="443">
        <v>44770</v>
      </c>
      <c r="E1206" s="443" t="s">
        <v>1238</v>
      </c>
      <c r="F1206" s="430"/>
      <c r="G1206" s="438" t="s">
        <v>3784</v>
      </c>
      <c r="H1206" s="438" t="s">
        <v>3656</v>
      </c>
      <c r="I1206" s="362">
        <f t="shared" si="94"/>
        <v>5226.3919999999998</v>
      </c>
      <c r="J1206" s="362">
        <f t="shared" si="95"/>
        <v>1306.598</v>
      </c>
      <c r="K1206" s="362">
        <f t="shared" si="95"/>
        <v>1306.598</v>
      </c>
      <c r="L1206" s="362">
        <f t="shared" si="89"/>
        <v>261.31959999999998</v>
      </c>
      <c r="M1206" s="362" t="s">
        <v>6171</v>
      </c>
      <c r="N1206" s="432" t="s">
        <v>3785</v>
      </c>
      <c r="O1206" s="433" t="s">
        <v>4120</v>
      </c>
      <c r="P1206" s="430" t="s">
        <v>3659</v>
      </c>
      <c r="Q1206" s="431">
        <v>0.2</v>
      </c>
      <c r="R1206" s="433">
        <v>1900003002</v>
      </c>
      <c r="S1206" s="444" t="s">
        <v>1201</v>
      </c>
      <c r="T1206" s="2" t="s">
        <v>5915</v>
      </c>
    </row>
    <row r="1207" spans="1:20" hidden="1" x14ac:dyDescent="0.35">
      <c r="A1207" s="432"/>
      <c r="B1207" s="442" t="s">
        <v>4860</v>
      </c>
      <c r="C1207" s="443">
        <v>44770</v>
      </c>
      <c r="D1207" s="443">
        <v>44770</v>
      </c>
      <c r="E1207" s="443" t="s">
        <v>1246</v>
      </c>
      <c r="F1207" s="430"/>
      <c r="G1207" s="438" t="s">
        <v>3784</v>
      </c>
      <c r="H1207" s="438" t="s">
        <v>3656</v>
      </c>
      <c r="I1207" s="362">
        <f t="shared" si="94"/>
        <v>5226.3919999999998</v>
      </c>
      <c r="J1207" s="362">
        <f t="shared" si="95"/>
        <v>1306.598</v>
      </c>
      <c r="K1207" s="362">
        <f t="shared" si="95"/>
        <v>1306.598</v>
      </c>
      <c r="L1207" s="362">
        <f t="shared" si="89"/>
        <v>261.31959999999998</v>
      </c>
      <c r="M1207" s="362" t="s">
        <v>6171</v>
      </c>
      <c r="N1207" s="432" t="s">
        <v>3785</v>
      </c>
      <c r="O1207" s="433" t="s">
        <v>4120</v>
      </c>
      <c r="P1207" s="430" t="s">
        <v>3659</v>
      </c>
      <c r="Q1207" s="431">
        <v>0.2</v>
      </c>
      <c r="R1207" s="433">
        <v>1900003002</v>
      </c>
      <c r="S1207" s="444" t="s">
        <v>1244</v>
      </c>
      <c r="T1207" s="2" t="s">
        <v>5915</v>
      </c>
    </row>
    <row r="1208" spans="1:20" hidden="1" x14ac:dyDescent="0.35">
      <c r="A1208" s="432"/>
      <c r="B1208" s="442" t="s">
        <v>4860</v>
      </c>
      <c r="C1208" s="443">
        <v>44770</v>
      </c>
      <c r="D1208" s="443">
        <v>44770</v>
      </c>
      <c r="E1208" s="443" t="s">
        <v>1253</v>
      </c>
      <c r="F1208" s="430"/>
      <c r="G1208" s="438" t="s">
        <v>3784</v>
      </c>
      <c r="H1208" s="438" t="s">
        <v>3656</v>
      </c>
      <c r="I1208" s="362">
        <f t="shared" si="94"/>
        <v>5226.3919999999998</v>
      </c>
      <c r="J1208" s="362">
        <f t="shared" si="95"/>
        <v>1306.598</v>
      </c>
      <c r="K1208" s="362">
        <f t="shared" si="95"/>
        <v>1306.598</v>
      </c>
      <c r="L1208" s="362">
        <f t="shared" si="89"/>
        <v>261.31959999999998</v>
      </c>
      <c r="M1208" s="362" t="s">
        <v>6171</v>
      </c>
      <c r="N1208" s="432" t="s">
        <v>3785</v>
      </c>
      <c r="O1208" s="433" t="s">
        <v>4120</v>
      </c>
      <c r="P1208" s="430" t="s">
        <v>3659</v>
      </c>
      <c r="Q1208" s="431">
        <v>0.2</v>
      </c>
      <c r="R1208" s="433">
        <v>1900001148</v>
      </c>
      <c r="S1208" s="444" t="s">
        <v>1252</v>
      </c>
      <c r="T1208" s="2" t="s">
        <v>5915</v>
      </c>
    </row>
    <row r="1209" spans="1:20" hidden="1" x14ac:dyDescent="0.35">
      <c r="A1209" s="432"/>
      <c r="B1209" s="442" t="s">
        <v>4860</v>
      </c>
      <c r="C1209" s="443">
        <v>44770</v>
      </c>
      <c r="D1209" s="443">
        <v>44770</v>
      </c>
      <c r="E1209" s="443" t="s">
        <v>1281</v>
      </c>
      <c r="F1209" s="430"/>
      <c r="G1209" s="438" t="s">
        <v>3784</v>
      </c>
      <c r="H1209" s="438" t="s">
        <v>3656</v>
      </c>
      <c r="I1209" s="362">
        <f t="shared" si="94"/>
        <v>5226.3919999999998</v>
      </c>
      <c r="J1209" s="362">
        <f t="shared" si="95"/>
        <v>1306.598</v>
      </c>
      <c r="K1209" s="362">
        <f t="shared" si="95"/>
        <v>1306.598</v>
      </c>
      <c r="L1209" s="362">
        <f t="shared" si="89"/>
        <v>261.31959999999998</v>
      </c>
      <c r="M1209" s="362" t="s">
        <v>6171</v>
      </c>
      <c r="N1209" s="432" t="s">
        <v>3785</v>
      </c>
      <c r="O1209" s="433" t="s">
        <v>4120</v>
      </c>
      <c r="P1209" s="430" t="s">
        <v>3659</v>
      </c>
      <c r="Q1209" s="431">
        <v>0.2</v>
      </c>
      <c r="R1209" s="433">
        <v>1900001148</v>
      </c>
      <c r="S1209" s="444" t="s">
        <v>507</v>
      </c>
      <c r="T1209" s="2" t="s">
        <v>5915</v>
      </c>
    </row>
    <row r="1210" spans="1:20" hidden="1" x14ac:dyDescent="0.35">
      <c r="A1210" s="432"/>
      <c r="B1210" s="442" t="s">
        <v>4860</v>
      </c>
      <c r="C1210" s="443">
        <v>44770</v>
      </c>
      <c r="D1210" s="443">
        <v>44770</v>
      </c>
      <c r="E1210" s="443" t="s">
        <v>1361</v>
      </c>
      <c r="F1210" s="430"/>
      <c r="G1210" s="438" t="s">
        <v>3784</v>
      </c>
      <c r="H1210" s="438" t="s">
        <v>3656</v>
      </c>
      <c r="I1210" s="362">
        <f t="shared" si="94"/>
        <v>5226.3919999999998</v>
      </c>
      <c r="J1210" s="362">
        <f t="shared" si="95"/>
        <v>1306.598</v>
      </c>
      <c r="K1210" s="362">
        <f t="shared" si="95"/>
        <v>1306.598</v>
      </c>
      <c r="L1210" s="362">
        <f t="shared" si="89"/>
        <v>261.31959999999998</v>
      </c>
      <c r="M1210" s="362" t="s">
        <v>6171</v>
      </c>
      <c r="N1210" s="432" t="s">
        <v>3785</v>
      </c>
      <c r="O1210" s="433" t="s">
        <v>4120</v>
      </c>
      <c r="P1210" s="430" t="s">
        <v>3659</v>
      </c>
      <c r="Q1210" s="431">
        <v>0.2</v>
      </c>
      <c r="R1210" s="433">
        <v>1900001148</v>
      </c>
      <c r="S1210" s="444" t="s">
        <v>1360</v>
      </c>
      <c r="T1210" s="2" t="s">
        <v>5915</v>
      </c>
    </row>
    <row r="1211" spans="1:20" hidden="1" x14ac:dyDescent="0.35">
      <c r="A1211" s="432"/>
      <c r="B1211" s="442" t="s">
        <v>4860</v>
      </c>
      <c r="C1211" s="443">
        <v>44770</v>
      </c>
      <c r="D1211" s="443">
        <v>44770</v>
      </c>
      <c r="E1211" s="443" t="s">
        <v>1374</v>
      </c>
      <c r="F1211" s="430"/>
      <c r="G1211" s="438" t="s">
        <v>3784</v>
      </c>
      <c r="H1211" s="438" t="s">
        <v>3656</v>
      </c>
      <c r="I1211" s="362">
        <f t="shared" si="94"/>
        <v>5226.3919999999998</v>
      </c>
      <c r="J1211" s="362">
        <f t="shared" si="95"/>
        <v>1306.598</v>
      </c>
      <c r="K1211" s="362">
        <f t="shared" si="95"/>
        <v>1306.598</v>
      </c>
      <c r="L1211" s="362">
        <f t="shared" si="89"/>
        <v>261.31959999999998</v>
      </c>
      <c r="M1211" s="362" t="s">
        <v>6171</v>
      </c>
      <c r="N1211" s="432" t="s">
        <v>3785</v>
      </c>
      <c r="O1211" s="433" t="s">
        <v>4120</v>
      </c>
      <c r="P1211" s="430" t="s">
        <v>3659</v>
      </c>
      <c r="Q1211" s="431">
        <v>0.2</v>
      </c>
      <c r="R1211" s="433">
        <v>1900001148</v>
      </c>
      <c r="S1211" s="444" t="s">
        <v>1371</v>
      </c>
      <c r="T1211" s="2" t="s">
        <v>5915</v>
      </c>
    </row>
    <row r="1212" spans="1:20" hidden="1" x14ac:dyDescent="0.35">
      <c r="A1212" s="432"/>
      <c r="B1212" s="442" t="s">
        <v>4860</v>
      </c>
      <c r="C1212" s="443">
        <v>44770</v>
      </c>
      <c r="D1212" s="443">
        <v>44770</v>
      </c>
      <c r="E1212" s="443" t="s">
        <v>1425</v>
      </c>
      <c r="F1212" s="430"/>
      <c r="G1212" s="438" t="s">
        <v>3784</v>
      </c>
      <c r="H1212" s="438" t="s">
        <v>3656</v>
      </c>
      <c r="I1212" s="362">
        <f t="shared" si="94"/>
        <v>5226.3919999999998</v>
      </c>
      <c r="J1212" s="362">
        <f t="shared" si="95"/>
        <v>1306.598</v>
      </c>
      <c r="K1212" s="362">
        <f t="shared" si="95"/>
        <v>1306.598</v>
      </c>
      <c r="L1212" s="362">
        <f t="shared" si="89"/>
        <v>261.31959999999998</v>
      </c>
      <c r="M1212" s="362" t="s">
        <v>6171</v>
      </c>
      <c r="N1212" s="432" t="s">
        <v>4753</v>
      </c>
      <c r="O1212" s="433" t="s">
        <v>4120</v>
      </c>
      <c r="P1212" s="430" t="s">
        <v>3659</v>
      </c>
      <c r="Q1212" s="431">
        <v>0.2</v>
      </c>
      <c r="R1212" s="433">
        <v>1900001148</v>
      </c>
      <c r="S1212" s="444" t="s">
        <v>1377</v>
      </c>
      <c r="T1212" s="2" t="s">
        <v>5915</v>
      </c>
    </row>
    <row r="1213" spans="1:20" hidden="1" x14ac:dyDescent="0.35">
      <c r="A1213" s="432"/>
      <c r="B1213" s="442" t="s">
        <v>4860</v>
      </c>
      <c r="C1213" s="443">
        <v>44770</v>
      </c>
      <c r="D1213" s="443">
        <v>44770</v>
      </c>
      <c r="E1213" s="443" t="s">
        <v>1433</v>
      </c>
      <c r="F1213" s="430"/>
      <c r="G1213" s="438" t="s">
        <v>3784</v>
      </c>
      <c r="H1213" s="438" t="s">
        <v>3656</v>
      </c>
      <c r="I1213" s="362">
        <f t="shared" si="94"/>
        <v>5226.3919999999998</v>
      </c>
      <c r="J1213" s="362">
        <f t="shared" si="95"/>
        <v>1306.598</v>
      </c>
      <c r="K1213" s="362">
        <f t="shared" si="95"/>
        <v>1306.598</v>
      </c>
      <c r="L1213" s="362">
        <f t="shared" si="89"/>
        <v>261.31959999999998</v>
      </c>
      <c r="M1213" s="362" t="s">
        <v>6171</v>
      </c>
      <c r="N1213" s="432" t="s">
        <v>4753</v>
      </c>
      <c r="O1213" s="433" t="s">
        <v>4120</v>
      </c>
      <c r="P1213" s="430" t="s">
        <v>3659</v>
      </c>
      <c r="Q1213" s="431">
        <v>0.2</v>
      </c>
      <c r="R1213" s="433">
        <v>1900001148</v>
      </c>
      <c r="S1213" s="444" t="s">
        <v>1377</v>
      </c>
      <c r="T1213" s="2" t="s">
        <v>5915</v>
      </c>
    </row>
    <row r="1214" spans="1:20" hidden="1" x14ac:dyDescent="0.35">
      <c r="A1214" s="432"/>
      <c r="B1214" s="442" t="s">
        <v>4860</v>
      </c>
      <c r="C1214" s="443">
        <v>44770</v>
      </c>
      <c r="D1214" s="443">
        <v>44770</v>
      </c>
      <c r="E1214" s="443" t="s">
        <v>1437</v>
      </c>
      <c r="F1214" s="430"/>
      <c r="G1214" s="438" t="s">
        <v>3784</v>
      </c>
      <c r="H1214" s="438" t="s">
        <v>3656</v>
      </c>
      <c r="I1214" s="362">
        <f t="shared" si="94"/>
        <v>5226.3919999999998</v>
      </c>
      <c r="J1214" s="362">
        <f t="shared" si="95"/>
        <v>1306.598</v>
      </c>
      <c r="K1214" s="362">
        <f t="shared" si="95"/>
        <v>1306.598</v>
      </c>
      <c r="L1214" s="362">
        <f>+K1214*Q1214</f>
        <v>261.31959999999998</v>
      </c>
      <c r="M1214" s="362" t="s">
        <v>6171</v>
      </c>
      <c r="N1214" s="432" t="s">
        <v>3785</v>
      </c>
      <c r="O1214" s="433" t="s">
        <v>4120</v>
      </c>
      <c r="P1214" s="430" t="s">
        <v>3659</v>
      </c>
      <c r="Q1214" s="431">
        <v>0.2</v>
      </c>
      <c r="R1214" s="433">
        <v>1900001148</v>
      </c>
      <c r="S1214" s="444" t="s">
        <v>1436</v>
      </c>
      <c r="T1214" s="2" t="s">
        <v>5915</v>
      </c>
    </row>
    <row r="1215" spans="1:20" hidden="1" x14ac:dyDescent="0.35">
      <c r="A1215" s="432"/>
      <c r="B1215" s="442" t="s">
        <v>4860</v>
      </c>
      <c r="C1215" s="443">
        <v>44770</v>
      </c>
      <c r="D1215" s="443">
        <v>44770</v>
      </c>
      <c r="E1215" s="443" t="s">
        <v>1438</v>
      </c>
      <c r="F1215" s="430"/>
      <c r="G1215" s="438" t="s">
        <v>3784</v>
      </c>
      <c r="H1215" s="438" t="s">
        <v>3656</v>
      </c>
      <c r="I1215" s="362">
        <f t="shared" si="94"/>
        <v>5226.3919999999998</v>
      </c>
      <c r="J1215" s="362">
        <f t="shared" si="95"/>
        <v>1306.598</v>
      </c>
      <c r="K1215" s="362">
        <f t="shared" si="95"/>
        <v>1306.598</v>
      </c>
      <c r="L1215" s="362">
        <f>+K1215*Q1215</f>
        <v>261.31959999999998</v>
      </c>
      <c r="M1215" s="362" t="s">
        <v>6171</v>
      </c>
      <c r="N1215" s="432" t="s">
        <v>3785</v>
      </c>
      <c r="O1215" s="433" t="s">
        <v>4120</v>
      </c>
      <c r="P1215" s="430" t="s">
        <v>3659</v>
      </c>
      <c r="Q1215" s="431">
        <v>0.2</v>
      </c>
      <c r="R1215" s="433">
        <v>1900001148</v>
      </c>
      <c r="S1215" s="444" t="s">
        <v>590</v>
      </c>
      <c r="T1215" s="2" t="s">
        <v>5915</v>
      </c>
    </row>
    <row r="1216" spans="1:20" hidden="1" x14ac:dyDescent="0.35">
      <c r="A1216" s="432"/>
      <c r="B1216" s="442" t="s">
        <v>4860</v>
      </c>
      <c r="C1216" s="443">
        <v>44770</v>
      </c>
      <c r="D1216" s="443">
        <v>44770</v>
      </c>
      <c r="E1216" s="443" t="s">
        <v>1456</v>
      </c>
      <c r="F1216" s="430"/>
      <c r="G1216" s="438" t="s">
        <v>3784</v>
      </c>
      <c r="H1216" s="438" t="s">
        <v>3656</v>
      </c>
      <c r="I1216" s="362">
        <f t="shared" si="94"/>
        <v>5226.3919999999998</v>
      </c>
      <c r="J1216" s="362">
        <f t="shared" si="95"/>
        <v>1306.598</v>
      </c>
      <c r="K1216" s="362">
        <f t="shared" si="95"/>
        <v>1306.598</v>
      </c>
      <c r="L1216" s="362">
        <f>+K1216*Q1216</f>
        <v>261.31959999999998</v>
      </c>
      <c r="M1216" s="362" t="s">
        <v>6171</v>
      </c>
      <c r="N1216" s="432" t="s">
        <v>3785</v>
      </c>
      <c r="O1216" s="433" t="s">
        <v>4120</v>
      </c>
      <c r="P1216" s="430" t="s">
        <v>3659</v>
      </c>
      <c r="Q1216" s="431">
        <v>0.2</v>
      </c>
      <c r="R1216" s="433">
        <v>1900001148</v>
      </c>
      <c r="S1216" s="444" t="s">
        <v>1455</v>
      </c>
      <c r="T1216" s="2" t="s">
        <v>5915</v>
      </c>
    </row>
    <row r="1217" spans="1:20" hidden="1" x14ac:dyDescent="0.35">
      <c r="A1217" s="432"/>
      <c r="B1217" s="442" t="s">
        <v>4860</v>
      </c>
      <c r="C1217" s="443">
        <v>44770</v>
      </c>
      <c r="D1217" s="443">
        <v>44770</v>
      </c>
      <c r="E1217" s="443" t="s">
        <v>1458</v>
      </c>
      <c r="F1217" s="430"/>
      <c r="G1217" s="438" t="s">
        <v>3784</v>
      </c>
      <c r="H1217" s="438" t="s">
        <v>3656</v>
      </c>
      <c r="I1217" s="362">
        <f t="shared" si="94"/>
        <v>5226.3919999999998</v>
      </c>
      <c r="J1217" s="362">
        <f t="shared" si="95"/>
        <v>1306.598</v>
      </c>
      <c r="K1217" s="362">
        <f t="shared" si="95"/>
        <v>1306.598</v>
      </c>
      <c r="L1217" s="362">
        <f>+K1217*Q1217</f>
        <v>261.31959999999998</v>
      </c>
      <c r="M1217" s="362" t="s">
        <v>6171</v>
      </c>
      <c r="N1217" s="432" t="s">
        <v>3785</v>
      </c>
      <c r="O1217" s="433" t="s">
        <v>4120</v>
      </c>
      <c r="P1217" s="430" t="s">
        <v>3659</v>
      </c>
      <c r="Q1217" s="431">
        <v>0.2</v>
      </c>
      <c r="R1217" s="452">
        <v>1900001148</v>
      </c>
      <c r="S1217" s="444" t="s">
        <v>1457</v>
      </c>
      <c r="T1217" s="2" t="s">
        <v>5915</v>
      </c>
    </row>
    <row r="1218" spans="1:20" s="619" customFormat="1" hidden="1" x14ac:dyDescent="0.35">
      <c r="A1218" s="613" t="s">
        <v>4859</v>
      </c>
      <c r="B1218" s="614" t="s">
        <v>435</v>
      </c>
      <c r="C1218" s="615">
        <v>44977</v>
      </c>
      <c r="D1218" s="443">
        <v>44977</v>
      </c>
      <c r="E1218" s="615" t="s">
        <v>436</v>
      </c>
      <c r="F1218" s="453" t="s">
        <v>4863</v>
      </c>
      <c r="G1218" s="616" t="s">
        <v>3655</v>
      </c>
      <c r="H1218" s="442" t="s">
        <v>4757</v>
      </c>
      <c r="I1218" s="362">
        <f>+J1218*10.6064</f>
        <v>12809.773536000001</v>
      </c>
      <c r="J1218" s="362">
        <v>1207.74</v>
      </c>
      <c r="K1218" s="362">
        <v>1207.74</v>
      </c>
      <c r="L1218" s="362">
        <f t="shared" ref="L1218:L1285" si="96">+K1218*Q1218</f>
        <v>241.548</v>
      </c>
      <c r="M1218" s="362" t="s">
        <v>6171</v>
      </c>
      <c r="N1218" s="613" t="s">
        <v>3785</v>
      </c>
      <c r="O1218" s="433" t="s">
        <v>4120</v>
      </c>
      <c r="P1218" s="430" t="s">
        <v>3659</v>
      </c>
      <c r="Q1218" s="431">
        <v>0.2</v>
      </c>
      <c r="R1218" s="452">
        <v>1900000837</v>
      </c>
      <c r="S1218" s="617" t="s">
        <v>437</v>
      </c>
      <c r="T1218" s="618" t="s">
        <v>5915</v>
      </c>
    </row>
    <row r="1219" spans="1:20" s="619" customFormat="1" hidden="1" x14ac:dyDescent="0.35">
      <c r="A1219" s="613" t="s">
        <v>4864</v>
      </c>
      <c r="B1219" s="614" t="s">
        <v>435</v>
      </c>
      <c r="C1219" s="615">
        <v>44977</v>
      </c>
      <c r="D1219" s="443">
        <v>44977</v>
      </c>
      <c r="E1219" s="615" t="s">
        <v>438</v>
      </c>
      <c r="F1219" s="453" t="s">
        <v>4863</v>
      </c>
      <c r="G1219" s="616" t="s">
        <v>3655</v>
      </c>
      <c r="H1219" s="442" t="s">
        <v>4757</v>
      </c>
      <c r="I1219" s="362">
        <f t="shared" ref="I1219:I1243" si="97">+J1219*10.6064</f>
        <v>12809.773536000001</v>
      </c>
      <c r="J1219" s="362">
        <v>1207.74</v>
      </c>
      <c r="K1219" s="362">
        <v>1207.74</v>
      </c>
      <c r="L1219" s="362">
        <f t="shared" si="96"/>
        <v>241.548</v>
      </c>
      <c r="M1219" s="362" t="s">
        <v>6171</v>
      </c>
      <c r="N1219" s="613" t="s">
        <v>3785</v>
      </c>
      <c r="O1219" s="433" t="s">
        <v>4120</v>
      </c>
      <c r="P1219" s="430" t="s">
        <v>3659</v>
      </c>
      <c r="Q1219" s="431">
        <v>0.2</v>
      </c>
      <c r="R1219" s="452">
        <v>1900000837</v>
      </c>
      <c r="S1219" s="617" t="s">
        <v>439</v>
      </c>
      <c r="T1219" s="618" t="s">
        <v>5915</v>
      </c>
    </row>
    <row r="1220" spans="1:20" s="657" customFormat="1" hidden="1" x14ac:dyDescent="0.35">
      <c r="A1220" s="652" t="s">
        <v>4865</v>
      </c>
      <c r="B1220" s="653" t="s">
        <v>435</v>
      </c>
      <c r="C1220" s="654">
        <v>44977</v>
      </c>
      <c r="D1220" s="443">
        <v>44977</v>
      </c>
      <c r="E1220" s="654" t="s">
        <v>440</v>
      </c>
      <c r="F1220" s="453" t="s">
        <v>4863</v>
      </c>
      <c r="G1220" s="655" t="s">
        <v>3655</v>
      </c>
      <c r="H1220" s="442" t="s">
        <v>4757</v>
      </c>
      <c r="I1220" s="362">
        <f t="shared" si="97"/>
        <v>12809.773536000001</v>
      </c>
      <c r="J1220" s="362">
        <v>1207.74</v>
      </c>
      <c r="K1220" s="362">
        <v>1207.74</v>
      </c>
      <c r="L1220" s="362">
        <f t="shared" si="96"/>
        <v>241.548</v>
      </c>
      <c r="M1220" s="362" t="s">
        <v>6171</v>
      </c>
      <c r="N1220" s="652" t="s">
        <v>3785</v>
      </c>
      <c r="O1220" s="433" t="s">
        <v>4120</v>
      </c>
      <c r="P1220" s="430" t="s">
        <v>3659</v>
      </c>
      <c r="Q1220" s="431">
        <v>0.2</v>
      </c>
      <c r="R1220" s="452">
        <v>1900000837</v>
      </c>
      <c r="S1220" s="656" t="s">
        <v>122</v>
      </c>
      <c r="T1220" s="251" t="s">
        <v>5915</v>
      </c>
    </row>
    <row r="1221" spans="1:20" s="619" customFormat="1" hidden="1" x14ac:dyDescent="0.35">
      <c r="A1221" s="613" t="s">
        <v>4866</v>
      </c>
      <c r="B1221" s="614" t="s">
        <v>435</v>
      </c>
      <c r="C1221" s="615">
        <v>44977</v>
      </c>
      <c r="D1221" s="443">
        <v>44977</v>
      </c>
      <c r="E1221" s="615" t="s">
        <v>441</v>
      </c>
      <c r="F1221" s="453" t="s">
        <v>4863</v>
      </c>
      <c r="G1221" s="616" t="s">
        <v>3655</v>
      </c>
      <c r="H1221" s="442" t="s">
        <v>4757</v>
      </c>
      <c r="I1221" s="362">
        <f t="shared" si="97"/>
        <v>12809.773536000001</v>
      </c>
      <c r="J1221" s="362">
        <v>1207.74</v>
      </c>
      <c r="K1221" s="362">
        <v>1207.74</v>
      </c>
      <c r="L1221" s="362">
        <f t="shared" si="96"/>
        <v>241.548</v>
      </c>
      <c r="M1221" s="362" t="s">
        <v>6171</v>
      </c>
      <c r="N1221" s="613" t="s">
        <v>3785</v>
      </c>
      <c r="O1221" s="433" t="s">
        <v>4120</v>
      </c>
      <c r="P1221" s="430" t="s">
        <v>3659</v>
      </c>
      <c r="Q1221" s="431">
        <v>0.2</v>
      </c>
      <c r="R1221" s="452">
        <v>1900000837</v>
      </c>
      <c r="S1221" s="617" t="s">
        <v>442</v>
      </c>
      <c r="T1221" s="618" t="s">
        <v>5915</v>
      </c>
    </row>
    <row r="1222" spans="1:20" s="619" customFormat="1" hidden="1" x14ac:dyDescent="0.35">
      <c r="A1222" s="613" t="s">
        <v>4867</v>
      </c>
      <c r="B1222" s="614" t="s">
        <v>435</v>
      </c>
      <c r="C1222" s="615">
        <v>44977</v>
      </c>
      <c r="D1222" s="443">
        <v>44977</v>
      </c>
      <c r="E1222" s="615" t="s">
        <v>443</v>
      </c>
      <c r="F1222" s="453" t="s">
        <v>4863</v>
      </c>
      <c r="G1222" s="616" t="s">
        <v>3655</v>
      </c>
      <c r="H1222" s="442" t="s">
        <v>4757</v>
      </c>
      <c r="I1222" s="362">
        <f t="shared" si="97"/>
        <v>12809.773536000001</v>
      </c>
      <c r="J1222" s="362">
        <v>1207.74</v>
      </c>
      <c r="K1222" s="362">
        <v>1207.74</v>
      </c>
      <c r="L1222" s="362">
        <f t="shared" si="96"/>
        <v>241.548</v>
      </c>
      <c r="M1222" s="362" t="s">
        <v>6171</v>
      </c>
      <c r="N1222" s="613" t="s">
        <v>3785</v>
      </c>
      <c r="O1222" s="433" t="s">
        <v>4120</v>
      </c>
      <c r="P1222" s="430" t="s">
        <v>3659</v>
      </c>
      <c r="Q1222" s="431">
        <v>0.2</v>
      </c>
      <c r="R1222" s="452">
        <v>1900000837</v>
      </c>
      <c r="S1222" s="617" t="s">
        <v>444</v>
      </c>
      <c r="T1222" s="618" t="s">
        <v>5915</v>
      </c>
    </row>
    <row r="1223" spans="1:20" s="619" customFormat="1" hidden="1" x14ac:dyDescent="0.35">
      <c r="A1223" s="613" t="s">
        <v>4868</v>
      </c>
      <c r="B1223" s="614" t="s">
        <v>435</v>
      </c>
      <c r="C1223" s="615">
        <v>44977</v>
      </c>
      <c r="D1223" s="443">
        <v>44977</v>
      </c>
      <c r="E1223" s="615" t="s">
        <v>445</v>
      </c>
      <c r="F1223" s="453" t="s">
        <v>4863</v>
      </c>
      <c r="G1223" s="616" t="s">
        <v>3655</v>
      </c>
      <c r="H1223" s="442" t="s">
        <v>4757</v>
      </c>
      <c r="I1223" s="362">
        <f t="shared" si="97"/>
        <v>12809.773536000001</v>
      </c>
      <c r="J1223" s="362">
        <v>1207.74</v>
      </c>
      <c r="K1223" s="362">
        <v>1207.74</v>
      </c>
      <c r="L1223" s="362">
        <f t="shared" si="96"/>
        <v>241.548</v>
      </c>
      <c r="M1223" s="362" t="s">
        <v>6171</v>
      </c>
      <c r="N1223" s="613" t="s">
        <v>3785</v>
      </c>
      <c r="O1223" s="433" t="s">
        <v>4120</v>
      </c>
      <c r="P1223" s="430" t="s">
        <v>3659</v>
      </c>
      <c r="Q1223" s="431">
        <v>0.2</v>
      </c>
      <c r="R1223" s="452">
        <v>1900000837</v>
      </c>
      <c r="S1223" s="617" t="s">
        <v>446</v>
      </c>
      <c r="T1223" s="618" t="s">
        <v>5915</v>
      </c>
    </row>
    <row r="1224" spans="1:20" s="619" customFormat="1" hidden="1" x14ac:dyDescent="0.35">
      <c r="A1224" s="613" t="s">
        <v>4869</v>
      </c>
      <c r="B1224" s="614" t="s">
        <v>435</v>
      </c>
      <c r="C1224" s="615">
        <v>44977</v>
      </c>
      <c r="D1224" s="443">
        <v>44977</v>
      </c>
      <c r="E1224" s="615" t="s">
        <v>447</v>
      </c>
      <c r="F1224" s="453" t="s">
        <v>4863</v>
      </c>
      <c r="G1224" s="616" t="s">
        <v>3655</v>
      </c>
      <c r="H1224" s="442" t="s">
        <v>4757</v>
      </c>
      <c r="I1224" s="362">
        <f t="shared" si="97"/>
        <v>12809.773536000001</v>
      </c>
      <c r="J1224" s="362">
        <v>1207.74</v>
      </c>
      <c r="K1224" s="362">
        <v>1207.74</v>
      </c>
      <c r="L1224" s="362">
        <f t="shared" si="96"/>
        <v>241.548</v>
      </c>
      <c r="M1224" s="362" t="s">
        <v>6171</v>
      </c>
      <c r="N1224" s="613" t="s">
        <v>3785</v>
      </c>
      <c r="O1224" s="433" t="s">
        <v>4120</v>
      </c>
      <c r="P1224" s="430" t="s">
        <v>3659</v>
      </c>
      <c r="Q1224" s="431">
        <v>0.2</v>
      </c>
      <c r="R1224" s="452">
        <v>1900000837</v>
      </c>
      <c r="S1224" s="617" t="s">
        <v>448</v>
      </c>
      <c r="T1224" s="618" t="s">
        <v>5915</v>
      </c>
    </row>
    <row r="1225" spans="1:20" s="619" customFormat="1" hidden="1" x14ac:dyDescent="0.35">
      <c r="A1225" s="613" t="s">
        <v>4870</v>
      </c>
      <c r="B1225" s="614" t="s">
        <v>435</v>
      </c>
      <c r="C1225" s="615">
        <v>44977</v>
      </c>
      <c r="D1225" s="443">
        <v>44977</v>
      </c>
      <c r="E1225" s="615" t="s">
        <v>449</v>
      </c>
      <c r="F1225" s="453" t="s">
        <v>4863</v>
      </c>
      <c r="G1225" s="616" t="s">
        <v>3655</v>
      </c>
      <c r="H1225" s="442" t="s">
        <v>4757</v>
      </c>
      <c r="I1225" s="362">
        <f t="shared" si="97"/>
        <v>12809.773536000001</v>
      </c>
      <c r="J1225" s="362">
        <v>1207.74</v>
      </c>
      <c r="K1225" s="362">
        <v>1207.74</v>
      </c>
      <c r="L1225" s="362">
        <f t="shared" si="96"/>
        <v>241.548</v>
      </c>
      <c r="M1225" s="362" t="s">
        <v>6171</v>
      </c>
      <c r="N1225" s="613" t="s">
        <v>3785</v>
      </c>
      <c r="O1225" s="433" t="s">
        <v>4120</v>
      </c>
      <c r="P1225" s="430" t="s">
        <v>3659</v>
      </c>
      <c r="Q1225" s="431">
        <v>0.2</v>
      </c>
      <c r="R1225" s="452">
        <v>1900000837</v>
      </c>
      <c r="S1225" s="617" t="s">
        <v>450</v>
      </c>
      <c r="T1225" s="618" t="s">
        <v>5915</v>
      </c>
    </row>
    <row r="1226" spans="1:20" s="619" customFormat="1" hidden="1" x14ac:dyDescent="0.35">
      <c r="A1226" s="613" t="s">
        <v>4871</v>
      </c>
      <c r="B1226" s="614" t="s">
        <v>435</v>
      </c>
      <c r="C1226" s="615">
        <v>44977</v>
      </c>
      <c r="D1226" s="443">
        <v>44977</v>
      </c>
      <c r="E1226" s="615" t="s">
        <v>451</v>
      </c>
      <c r="F1226" s="453" t="s">
        <v>4863</v>
      </c>
      <c r="G1226" s="616" t="s">
        <v>3655</v>
      </c>
      <c r="H1226" s="442" t="s">
        <v>4757</v>
      </c>
      <c r="I1226" s="362">
        <f t="shared" si="97"/>
        <v>12809.773536000001</v>
      </c>
      <c r="J1226" s="362">
        <v>1207.74</v>
      </c>
      <c r="K1226" s="362">
        <v>1207.74</v>
      </c>
      <c r="L1226" s="362">
        <f t="shared" si="96"/>
        <v>241.548</v>
      </c>
      <c r="M1226" s="362" t="s">
        <v>6171</v>
      </c>
      <c r="N1226" s="613" t="s">
        <v>3785</v>
      </c>
      <c r="O1226" s="433" t="s">
        <v>4120</v>
      </c>
      <c r="P1226" s="430" t="s">
        <v>3659</v>
      </c>
      <c r="Q1226" s="431">
        <v>0.2</v>
      </c>
      <c r="R1226" s="452">
        <v>1900000837</v>
      </c>
      <c r="S1226" s="617" t="s">
        <v>452</v>
      </c>
      <c r="T1226" s="618" t="s">
        <v>5915</v>
      </c>
    </row>
    <row r="1227" spans="1:20" s="619" customFormat="1" hidden="1" x14ac:dyDescent="0.35">
      <c r="A1227" s="613" t="s">
        <v>4872</v>
      </c>
      <c r="B1227" s="614" t="s">
        <v>435</v>
      </c>
      <c r="C1227" s="615">
        <v>44977</v>
      </c>
      <c r="D1227" s="443">
        <v>44977</v>
      </c>
      <c r="E1227" s="615" t="s">
        <v>453</v>
      </c>
      <c r="F1227" s="453" t="s">
        <v>4863</v>
      </c>
      <c r="G1227" s="616" t="s">
        <v>3655</v>
      </c>
      <c r="H1227" s="442" t="s">
        <v>4757</v>
      </c>
      <c r="I1227" s="362">
        <f t="shared" si="97"/>
        <v>12809.773536000001</v>
      </c>
      <c r="J1227" s="362">
        <v>1207.74</v>
      </c>
      <c r="K1227" s="362">
        <v>1207.74</v>
      </c>
      <c r="L1227" s="362">
        <f t="shared" si="96"/>
        <v>241.548</v>
      </c>
      <c r="M1227" s="362" t="s">
        <v>6171</v>
      </c>
      <c r="N1227" s="613" t="s">
        <v>3785</v>
      </c>
      <c r="O1227" s="433" t="s">
        <v>4120</v>
      </c>
      <c r="P1227" s="430" t="s">
        <v>3659</v>
      </c>
      <c r="Q1227" s="431">
        <v>0.2</v>
      </c>
      <c r="R1227" s="452">
        <v>1900000837</v>
      </c>
      <c r="S1227" s="617" t="s">
        <v>454</v>
      </c>
      <c r="T1227" s="618" t="s">
        <v>5915</v>
      </c>
    </row>
    <row r="1228" spans="1:20" s="619" customFormat="1" hidden="1" x14ac:dyDescent="0.35">
      <c r="A1228" s="613" t="s">
        <v>4873</v>
      </c>
      <c r="B1228" s="614" t="s">
        <v>435</v>
      </c>
      <c r="C1228" s="615">
        <v>44977</v>
      </c>
      <c r="D1228" s="443">
        <v>44977</v>
      </c>
      <c r="E1228" s="615" t="s">
        <v>455</v>
      </c>
      <c r="F1228" s="453" t="s">
        <v>4863</v>
      </c>
      <c r="G1228" s="616" t="s">
        <v>3655</v>
      </c>
      <c r="H1228" s="442" t="s">
        <v>4757</v>
      </c>
      <c r="I1228" s="362">
        <f t="shared" si="97"/>
        <v>12809.773536000001</v>
      </c>
      <c r="J1228" s="362">
        <v>1207.74</v>
      </c>
      <c r="K1228" s="362">
        <v>1207.74</v>
      </c>
      <c r="L1228" s="362">
        <f t="shared" si="96"/>
        <v>241.548</v>
      </c>
      <c r="M1228" s="362" t="s">
        <v>6171</v>
      </c>
      <c r="N1228" s="613" t="s">
        <v>3785</v>
      </c>
      <c r="O1228" s="433" t="s">
        <v>4120</v>
      </c>
      <c r="P1228" s="430" t="s">
        <v>3659</v>
      </c>
      <c r="Q1228" s="431">
        <v>0.2</v>
      </c>
      <c r="R1228" s="452">
        <v>1900000837</v>
      </c>
      <c r="S1228" s="617" t="s">
        <v>456</v>
      </c>
      <c r="T1228" s="618" t="s">
        <v>5915</v>
      </c>
    </row>
    <row r="1229" spans="1:20" s="691" customFormat="1" hidden="1" x14ac:dyDescent="0.35">
      <c r="A1229" s="685" t="s">
        <v>4874</v>
      </c>
      <c r="B1229" s="686" t="s">
        <v>435</v>
      </c>
      <c r="C1229" s="687">
        <v>44977</v>
      </c>
      <c r="D1229" s="443">
        <v>44977</v>
      </c>
      <c r="E1229" s="687" t="s">
        <v>457</v>
      </c>
      <c r="F1229" s="453" t="s">
        <v>4863</v>
      </c>
      <c r="G1229" s="688" t="s">
        <v>3655</v>
      </c>
      <c r="H1229" s="442" t="s">
        <v>4757</v>
      </c>
      <c r="I1229" s="362">
        <f t="shared" si="97"/>
        <v>12809.773536000001</v>
      </c>
      <c r="J1229" s="362">
        <v>1207.74</v>
      </c>
      <c r="K1229" s="362">
        <v>1207.74</v>
      </c>
      <c r="L1229" s="362">
        <f t="shared" si="96"/>
        <v>241.548</v>
      </c>
      <c r="M1229" s="362" t="s">
        <v>6171</v>
      </c>
      <c r="N1229" s="685" t="s">
        <v>3785</v>
      </c>
      <c r="O1229" s="433" t="s">
        <v>4120</v>
      </c>
      <c r="P1229" s="430" t="s">
        <v>3659</v>
      </c>
      <c r="Q1229" s="431">
        <v>0.2</v>
      </c>
      <c r="R1229" s="452">
        <v>1900000837</v>
      </c>
      <c r="S1229" s="689" t="s">
        <v>6196</v>
      </c>
      <c r="T1229" s="690" t="s">
        <v>5915</v>
      </c>
    </row>
    <row r="1230" spans="1:20" s="619" customFormat="1" hidden="1" x14ac:dyDescent="0.35">
      <c r="A1230" s="613" t="s">
        <v>4875</v>
      </c>
      <c r="B1230" s="614" t="s">
        <v>435</v>
      </c>
      <c r="C1230" s="615">
        <v>44977</v>
      </c>
      <c r="D1230" s="443">
        <v>44977</v>
      </c>
      <c r="E1230" s="615" t="s">
        <v>458</v>
      </c>
      <c r="F1230" s="453" t="s">
        <v>4863</v>
      </c>
      <c r="G1230" s="616" t="s">
        <v>3655</v>
      </c>
      <c r="H1230" s="442" t="s">
        <v>4757</v>
      </c>
      <c r="I1230" s="362">
        <f t="shared" si="97"/>
        <v>12809.773536000001</v>
      </c>
      <c r="J1230" s="362">
        <v>1207.74</v>
      </c>
      <c r="K1230" s="362">
        <v>1207.74</v>
      </c>
      <c r="L1230" s="362">
        <f t="shared" si="96"/>
        <v>241.548</v>
      </c>
      <c r="M1230" s="362" t="s">
        <v>6171</v>
      </c>
      <c r="N1230" s="613" t="s">
        <v>3785</v>
      </c>
      <c r="O1230" s="433" t="s">
        <v>4120</v>
      </c>
      <c r="P1230" s="430" t="s">
        <v>3659</v>
      </c>
      <c r="Q1230" s="431">
        <v>0.2</v>
      </c>
      <c r="R1230" s="452">
        <v>1900000837</v>
      </c>
      <c r="S1230" s="617" t="s">
        <v>459</v>
      </c>
      <c r="T1230" s="618" t="s">
        <v>5915</v>
      </c>
    </row>
    <row r="1231" spans="1:20" s="619" customFormat="1" hidden="1" x14ac:dyDescent="0.35">
      <c r="A1231" s="613" t="s">
        <v>4876</v>
      </c>
      <c r="B1231" s="614" t="s">
        <v>435</v>
      </c>
      <c r="C1231" s="615">
        <v>44977</v>
      </c>
      <c r="D1231" s="443">
        <v>44977</v>
      </c>
      <c r="E1231" s="615" t="s">
        <v>460</v>
      </c>
      <c r="F1231" s="453" t="s">
        <v>4863</v>
      </c>
      <c r="G1231" s="616" t="s">
        <v>3655</v>
      </c>
      <c r="H1231" s="442" t="s">
        <v>4757</v>
      </c>
      <c r="I1231" s="362">
        <f t="shared" si="97"/>
        <v>12809.773536000001</v>
      </c>
      <c r="J1231" s="362">
        <v>1207.74</v>
      </c>
      <c r="K1231" s="362">
        <v>1207.74</v>
      </c>
      <c r="L1231" s="362">
        <f t="shared" si="96"/>
        <v>241.548</v>
      </c>
      <c r="M1231" s="362" t="s">
        <v>6171</v>
      </c>
      <c r="N1231" s="613" t="s">
        <v>3785</v>
      </c>
      <c r="O1231" s="433" t="s">
        <v>4120</v>
      </c>
      <c r="P1231" s="430" t="s">
        <v>3659</v>
      </c>
      <c r="Q1231" s="431">
        <v>0.2</v>
      </c>
      <c r="R1231" s="452">
        <v>1900000837</v>
      </c>
      <c r="S1231" s="617" t="s">
        <v>461</v>
      </c>
      <c r="T1231" s="618" t="s">
        <v>5915</v>
      </c>
    </row>
    <row r="1232" spans="1:20" s="619" customFormat="1" hidden="1" x14ac:dyDescent="0.35">
      <c r="A1232" s="613" t="s">
        <v>4877</v>
      </c>
      <c r="B1232" s="614" t="s">
        <v>435</v>
      </c>
      <c r="C1232" s="615">
        <v>44977</v>
      </c>
      <c r="D1232" s="443">
        <v>44977</v>
      </c>
      <c r="E1232" s="615" t="s">
        <v>462</v>
      </c>
      <c r="F1232" s="453" t="s">
        <v>4863</v>
      </c>
      <c r="G1232" s="616" t="s">
        <v>3655</v>
      </c>
      <c r="H1232" s="442" t="s">
        <v>4757</v>
      </c>
      <c r="I1232" s="362">
        <f t="shared" si="97"/>
        <v>12809.773536000001</v>
      </c>
      <c r="J1232" s="362">
        <v>1207.74</v>
      </c>
      <c r="K1232" s="362">
        <v>1207.74</v>
      </c>
      <c r="L1232" s="362">
        <f t="shared" si="96"/>
        <v>241.548</v>
      </c>
      <c r="M1232" s="362" t="s">
        <v>6171</v>
      </c>
      <c r="N1232" s="613" t="s">
        <v>3785</v>
      </c>
      <c r="O1232" s="433" t="s">
        <v>4120</v>
      </c>
      <c r="P1232" s="430" t="s">
        <v>3659</v>
      </c>
      <c r="Q1232" s="431">
        <v>0.2</v>
      </c>
      <c r="R1232" s="452">
        <v>1900000837</v>
      </c>
      <c r="S1232" s="617" t="s">
        <v>463</v>
      </c>
      <c r="T1232" s="618" t="s">
        <v>5915</v>
      </c>
    </row>
    <row r="1233" spans="1:20" s="619" customFormat="1" hidden="1" x14ac:dyDescent="0.35">
      <c r="A1233" s="613" t="s">
        <v>4878</v>
      </c>
      <c r="B1233" s="614" t="s">
        <v>435</v>
      </c>
      <c r="C1233" s="615">
        <v>44977</v>
      </c>
      <c r="D1233" s="443">
        <v>44977</v>
      </c>
      <c r="E1233" s="615" t="s">
        <v>464</v>
      </c>
      <c r="F1233" s="453" t="s">
        <v>4863</v>
      </c>
      <c r="G1233" s="616" t="s">
        <v>3655</v>
      </c>
      <c r="H1233" s="442" t="s">
        <v>4757</v>
      </c>
      <c r="I1233" s="362">
        <f t="shared" si="97"/>
        <v>12809.773536000001</v>
      </c>
      <c r="J1233" s="362">
        <v>1207.74</v>
      </c>
      <c r="K1233" s="362">
        <v>1207.74</v>
      </c>
      <c r="L1233" s="362">
        <f t="shared" si="96"/>
        <v>241.548</v>
      </c>
      <c r="M1233" s="362" t="s">
        <v>6171</v>
      </c>
      <c r="N1233" s="613" t="s">
        <v>3785</v>
      </c>
      <c r="O1233" s="433" t="s">
        <v>4120</v>
      </c>
      <c r="P1233" s="430" t="s">
        <v>3659</v>
      </c>
      <c r="Q1233" s="431">
        <v>0.2</v>
      </c>
      <c r="R1233" s="452">
        <v>1900000837</v>
      </c>
      <c r="S1233" s="617" t="s">
        <v>465</v>
      </c>
      <c r="T1233" s="618" t="s">
        <v>5915</v>
      </c>
    </row>
    <row r="1234" spans="1:20" s="619" customFormat="1" hidden="1" x14ac:dyDescent="0.35">
      <c r="A1234" s="613" t="s">
        <v>4879</v>
      </c>
      <c r="B1234" s="614" t="s">
        <v>435</v>
      </c>
      <c r="C1234" s="615">
        <v>44977</v>
      </c>
      <c r="D1234" s="443">
        <v>44977</v>
      </c>
      <c r="E1234" s="615" t="s">
        <v>466</v>
      </c>
      <c r="F1234" s="453" t="s">
        <v>4863</v>
      </c>
      <c r="G1234" s="616" t="s">
        <v>3655</v>
      </c>
      <c r="H1234" s="442" t="s">
        <v>4757</v>
      </c>
      <c r="I1234" s="362">
        <f t="shared" si="97"/>
        <v>12809.773536000001</v>
      </c>
      <c r="J1234" s="362">
        <v>1207.74</v>
      </c>
      <c r="K1234" s="362">
        <v>1207.74</v>
      </c>
      <c r="L1234" s="362">
        <f t="shared" si="96"/>
        <v>241.548</v>
      </c>
      <c r="M1234" s="362" t="s">
        <v>6171</v>
      </c>
      <c r="N1234" s="613" t="s">
        <v>3785</v>
      </c>
      <c r="O1234" s="433" t="s">
        <v>4120</v>
      </c>
      <c r="P1234" s="430" t="s">
        <v>3659</v>
      </c>
      <c r="Q1234" s="431">
        <v>0.2</v>
      </c>
      <c r="R1234" s="452">
        <v>1900000837</v>
      </c>
      <c r="S1234" s="617" t="s">
        <v>467</v>
      </c>
      <c r="T1234" s="618" t="s">
        <v>5915</v>
      </c>
    </row>
    <row r="1235" spans="1:20" s="619" customFormat="1" hidden="1" x14ac:dyDescent="0.35">
      <c r="A1235" s="613" t="s">
        <v>4880</v>
      </c>
      <c r="B1235" s="614" t="s">
        <v>435</v>
      </c>
      <c r="C1235" s="615">
        <v>44977</v>
      </c>
      <c r="D1235" s="443">
        <v>44977</v>
      </c>
      <c r="E1235" s="615" t="s">
        <v>468</v>
      </c>
      <c r="F1235" s="453" t="s">
        <v>4863</v>
      </c>
      <c r="G1235" s="616" t="s">
        <v>3655</v>
      </c>
      <c r="H1235" s="442" t="s">
        <v>4757</v>
      </c>
      <c r="I1235" s="362">
        <f t="shared" si="97"/>
        <v>12809.773536000001</v>
      </c>
      <c r="J1235" s="362">
        <v>1207.74</v>
      </c>
      <c r="K1235" s="362">
        <v>1207.74</v>
      </c>
      <c r="L1235" s="362">
        <f t="shared" si="96"/>
        <v>241.548</v>
      </c>
      <c r="M1235" s="362" t="s">
        <v>6171</v>
      </c>
      <c r="N1235" s="613" t="s">
        <v>3785</v>
      </c>
      <c r="O1235" s="433" t="s">
        <v>4120</v>
      </c>
      <c r="P1235" s="430" t="s">
        <v>3659</v>
      </c>
      <c r="Q1235" s="431">
        <v>0.2</v>
      </c>
      <c r="R1235" s="452">
        <v>1900000837</v>
      </c>
      <c r="S1235" s="617" t="s">
        <v>469</v>
      </c>
      <c r="T1235" s="618" t="s">
        <v>5915</v>
      </c>
    </row>
    <row r="1236" spans="1:20" s="619" customFormat="1" hidden="1" x14ac:dyDescent="0.35">
      <c r="A1236" s="613" t="s">
        <v>4881</v>
      </c>
      <c r="B1236" s="614" t="s">
        <v>435</v>
      </c>
      <c r="C1236" s="615">
        <v>44977</v>
      </c>
      <c r="D1236" s="443">
        <v>44977</v>
      </c>
      <c r="E1236" s="615" t="s">
        <v>470</v>
      </c>
      <c r="F1236" s="453" t="s">
        <v>4863</v>
      </c>
      <c r="G1236" s="616" t="s">
        <v>3655</v>
      </c>
      <c r="H1236" s="442" t="s">
        <v>4757</v>
      </c>
      <c r="I1236" s="362">
        <f t="shared" si="97"/>
        <v>12809.773536000001</v>
      </c>
      <c r="J1236" s="362">
        <v>1207.74</v>
      </c>
      <c r="K1236" s="362">
        <v>1207.74</v>
      </c>
      <c r="L1236" s="362">
        <f t="shared" si="96"/>
        <v>241.548</v>
      </c>
      <c r="M1236" s="362" t="s">
        <v>6171</v>
      </c>
      <c r="N1236" s="613" t="s">
        <v>3785</v>
      </c>
      <c r="O1236" s="433" t="s">
        <v>4120</v>
      </c>
      <c r="P1236" s="430" t="s">
        <v>3659</v>
      </c>
      <c r="Q1236" s="431">
        <v>0.2</v>
      </c>
      <c r="R1236" s="452">
        <v>1900000837</v>
      </c>
      <c r="S1236" s="617" t="s">
        <v>471</v>
      </c>
      <c r="T1236" s="618" t="s">
        <v>5915</v>
      </c>
    </row>
    <row r="1237" spans="1:20" hidden="1" x14ac:dyDescent="0.35">
      <c r="A1237" s="432" t="s">
        <v>4882</v>
      </c>
      <c r="B1237" s="442" t="s">
        <v>1677</v>
      </c>
      <c r="C1237" s="443">
        <v>44977</v>
      </c>
      <c r="D1237" s="443">
        <v>44977</v>
      </c>
      <c r="E1237" s="443" t="s">
        <v>1587</v>
      </c>
      <c r="F1237" s="453" t="s">
        <v>4863</v>
      </c>
      <c r="G1237" s="453" t="s">
        <v>1486</v>
      </c>
      <c r="H1237" s="442" t="s">
        <v>4757</v>
      </c>
      <c r="I1237" s="362">
        <f t="shared" si="97"/>
        <v>42659.768099200002</v>
      </c>
      <c r="J1237" s="362">
        <f>20110.39/5</f>
        <v>4022.078</v>
      </c>
      <c r="K1237" s="362">
        <v>4022.078</v>
      </c>
      <c r="L1237" s="362">
        <f t="shared" si="96"/>
        <v>804.41560000000004</v>
      </c>
      <c r="M1237" s="362" t="s">
        <v>6171</v>
      </c>
      <c r="N1237" s="432" t="s">
        <v>3785</v>
      </c>
      <c r="O1237" s="433" t="s">
        <v>4120</v>
      </c>
      <c r="P1237" s="430" t="s">
        <v>3659</v>
      </c>
      <c r="Q1237" s="431">
        <v>0.2</v>
      </c>
      <c r="R1237" s="452">
        <v>1900000837</v>
      </c>
      <c r="S1237" s="444" t="s">
        <v>1664</v>
      </c>
      <c r="T1237" s="2" t="s">
        <v>5915</v>
      </c>
    </row>
    <row r="1238" spans="1:20" hidden="1" x14ac:dyDescent="0.35">
      <c r="A1238" s="432" t="s">
        <v>4883</v>
      </c>
      <c r="B1238" s="442" t="s">
        <v>1677</v>
      </c>
      <c r="C1238" s="443">
        <v>44977</v>
      </c>
      <c r="D1238" s="443">
        <v>44977</v>
      </c>
      <c r="E1238" s="443" t="s">
        <v>1577</v>
      </c>
      <c r="F1238" s="453" t="s">
        <v>4863</v>
      </c>
      <c r="G1238" s="453" t="s">
        <v>1486</v>
      </c>
      <c r="H1238" s="442" t="s">
        <v>4757</v>
      </c>
      <c r="I1238" s="362">
        <f t="shared" si="97"/>
        <v>42659.768099200002</v>
      </c>
      <c r="J1238" s="362">
        <f>20110.39/5</f>
        <v>4022.078</v>
      </c>
      <c r="K1238" s="362">
        <v>4022.078</v>
      </c>
      <c r="L1238" s="362">
        <f t="shared" si="96"/>
        <v>804.41560000000004</v>
      </c>
      <c r="M1238" s="362" t="s">
        <v>6171</v>
      </c>
      <c r="N1238" s="432" t="s">
        <v>3785</v>
      </c>
      <c r="O1238" s="433" t="s">
        <v>4120</v>
      </c>
      <c r="P1238" s="430" t="s">
        <v>3659</v>
      </c>
      <c r="Q1238" s="431">
        <v>0.2</v>
      </c>
      <c r="R1238" s="452">
        <v>1900000837</v>
      </c>
      <c r="S1238" s="444" t="s">
        <v>1576</v>
      </c>
      <c r="T1238" s="2" t="s">
        <v>5915</v>
      </c>
    </row>
    <row r="1239" spans="1:20" hidden="1" x14ac:dyDescent="0.35">
      <c r="A1239" s="432" t="s">
        <v>4884</v>
      </c>
      <c r="B1239" s="442" t="s">
        <v>1677</v>
      </c>
      <c r="C1239" s="443">
        <v>44977</v>
      </c>
      <c r="D1239" s="443">
        <v>44977</v>
      </c>
      <c r="E1239" s="443" t="s">
        <v>1585</v>
      </c>
      <c r="F1239" s="453" t="s">
        <v>4863</v>
      </c>
      <c r="G1239" s="453" t="s">
        <v>1486</v>
      </c>
      <c r="H1239" s="442" t="s">
        <v>4757</v>
      </c>
      <c r="I1239" s="362">
        <f t="shared" si="97"/>
        <v>42659.768099200002</v>
      </c>
      <c r="J1239" s="362">
        <f>20110.39/5</f>
        <v>4022.078</v>
      </c>
      <c r="K1239" s="362">
        <v>4022.078</v>
      </c>
      <c r="L1239" s="362">
        <f t="shared" si="96"/>
        <v>804.41560000000004</v>
      </c>
      <c r="M1239" s="362" t="s">
        <v>6171</v>
      </c>
      <c r="N1239" s="432" t="s">
        <v>3785</v>
      </c>
      <c r="O1239" s="433" t="s">
        <v>4120</v>
      </c>
      <c r="P1239" s="430" t="s">
        <v>3659</v>
      </c>
      <c r="Q1239" s="431">
        <v>0.2</v>
      </c>
      <c r="R1239" s="452">
        <v>1900000837</v>
      </c>
      <c r="S1239" s="444" t="s">
        <v>1209</v>
      </c>
      <c r="T1239" s="2" t="s">
        <v>5915</v>
      </c>
    </row>
    <row r="1240" spans="1:20" hidden="1" x14ac:dyDescent="0.35">
      <c r="A1240" s="432" t="s">
        <v>4885</v>
      </c>
      <c r="B1240" s="442" t="s">
        <v>1677</v>
      </c>
      <c r="C1240" s="443">
        <v>44977</v>
      </c>
      <c r="D1240" s="443">
        <v>44977</v>
      </c>
      <c r="E1240" s="443" t="s">
        <v>1588</v>
      </c>
      <c r="F1240" s="453" t="s">
        <v>4863</v>
      </c>
      <c r="G1240" s="453" t="s">
        <v>1486</v>
      </c>
      <c r="H1240" s="442" t="s">
        <v>4757</v>
      </c>
      <c r="I1240" s="362">
        <f t="shared" si="97"/>
        <v>42659.768099200002</v>
      </c>
      <c r="J1240" s="362">
        <f>20110.39/5</f>
        <v>4022.078</v>
      </c>
      <c r="K1240" s="362">
        <v>4022.078</v>
      </c>
      <c r="L1240" s="362">
        <f t="shared" si="96"/>
        <v>804.41560000000004</v>
      </c>
      <c r="M1240" s="362" t="s">
        <v>6171</v>
      </c>
      <c r="N1240" s="432" t="s">
        <v>3785</v>
      </c>
      <c r="O1240" s="433" t="s">
        <v>4120</v>
      </c>
      <c r="P1240" s="430" t="s">
        <v>3659</v>
      </c>
      <c r="Q1240" s="431">
        <v>0.2</v>
      </c>
      <c r="R1240" s="452">
        <v>1900000837</v>
      </c>
      <c r="S1240" s="444" t="s">
        <v>4886</v>
      </c>
      <c r="T1240" s="2" t="s">
        <v>5915</v>
      </c>
    </row>
    <row r="1241" spans="1:20" hidden="1" x14ac:dyDescent="0.35">
      <c r="A1241" s="432" t="s">
        <v>4887</v>
      </c>
      <c r="B1241" s="442" t="s">
        <v>1677</v>
      </c>
      <c r="C1241" s="443">
        <v>44977</v>
      </c>
      <c r="D1241" s="443"/>
      <c r="E1241" s="821" t="s">
        <v>6243</v>
      </c>
      <c r="F1241" s="453"/>
      <c r="G1241" s="453" t="s">
        <v>1486</v>
      </c>
      <c r="H1241" s="442"/>
      <c r="I1241" s="362"/>
      <c r="J1241" s="362"/>
      <c r="K1241" s="362"/>
      <c r="L1241" s="362"/>
      <c r="M1241" s="362"/>
      <c r="N1241" s="432"/>
      <c r="O1241" s="433"/>
      <c r="P1241" s="430"/>
      <c r="Q1241" s="431"/>
      <c r="R1241" s="452"/>
      <c r="S1241" s="444" t="s">
        <v>57</v>
      </c>
      <c r="T1241" s="2"/>
    </row>
    <row r="1242" spans="1:20" hidden="1" x14ac:dyDescent="0.35">
      <c r="A1242" s="432" t="s">
        <v>4890</v>
      </c>
      <c r="B1242" s="442" t="s">
        <v>1677</v>
      </c>
      <c r="C1242" s="443">
        <v>44977</v>
      </c>
      <c r="D1242" s="443"/>
      <c r="E1242" s="821" t="s">
        <v>6244</v>
      </c>
      <c r="F1242" s="453"/>
      <c r="G1242" s="453" t="s">
        <v>1486</v>
      </c>
      <c r="H1242" s="442"/>
      <c r="I1242" s="362"/>
      <c r="J1242" s="362"/>
      <c r="K1242" s="362"/>
      <c r="L1242" s="362"/>
      <c r="M1242" s="362"/>
      <c r="N1242" s="432"/>
      <c r="O1242" s="433"/>
      <c r="P1242" s="430"/>
      <c r="Q1242" s="431"/>
      <c r="R1242" s="452"/>
      <c r="S1242" s="444" t="s">
        <v>57</v>
      </c>
      <c r="T1242" s="2"/>
    </row>
    <row r="1243" spans="1:20" hidden="1" x14ac:dyDescent="0.35">
      <c r="A1243" s="432" t="s">
        <v>4892</v>
      </c>
      <c r="B1243" s="442" t="s">
        <v>1677</v>
      </c>
      <c r="C1243" s="443">
        <v>44977</v>
      </c>
      <c r="D1243" s="443">
        <v>44977</v>
      </c>
      <c r="E1243" s="443" t="s">
        <v>1678</v>
      </c>
      <c r="F1243" s="453" t="s">
        <v>4863</v>
      </c>
      <c r="G1243" s="453" t="s">
        <v>1486</v>
      </c>
      <c r="H1243" s="442" t="s">
        <v>4757</v>
      </c>
      <c r="I1243" s="362">
        <f t="shared" si="97"/>
        <v>42659.768099200002</v>
      </c>
      <c r="J1243" s="362">
        <f>20110.39/5</f>
        <v>4022.078</v>
      </c>
      <c r="K1243" s="362">
        <v>4022.078</v>
      </c>
      <c r="L1243" s="362">
        <f t="shared" si="96"/>
        <v>804.41560000000004</v>
      </c>
      <c r="M1243" s="362" t="s">
        <v>6171</v>
      </c>
      <c r="N1243" s="432" t="s">
        <v>3785</v>
      </c>
      <c r="O1243" s="433" t="s">
        <v>4120</v>
      </c>
      <c r="P1243" s="430" t="s">
        <v>3659</v>
      </c>
      <c r="Q1243" s="431">
        <v>0.2</v>
      </c>
      <c r="R1243" s="452">
        <v>1900000837</v>
      </c>
      <c r="S1243" s="444"/>
      <c r="T1243" s="2" t="s">
        <v>5914</v>
      </c>
    </row>
    <row r="1244" spans="1:20" hidden="1" x14ac:dyDescent="0.35">
      <c r="A1244" s="432"/>
      <c r="B1244" s="442" t="s">
        <v>4860</v>
      </c>
      <c r="C1244" s="443">
        <v>44979</v>
      </c>
      <c r="D1244" s="443">
        <v>44979</v>
      </c>
      <c r="E1244" s="443" t="s">
        <v>1222</v>
      </c>
      <c r="F1244" s="453" t="s">
        <v>4863</v>
      </c>
      <c r="G1244" s="438" t="s">
        <v>3784</v>
      </c>
      <c r="H1244" s="438" t="s">
        <v>3656</v>
      </c>
      <c r="I1244" s="362">
        <f>404406.157725/30</f>
        <v>13480.2052575</v>
      </c>
      <c r="J1244" s="364">
        <f>37225.728/30</f>
        <v>1240.8576</v>
      </c>
      <c r="K1244" s="364">
        <v>1240.8576</v>
      </c>
      <c r="L1244" s="363">
        <f t="shared" si="96"/>
        <v>248.17152000000002</v>
      </c>
      <c r="M1244" s="363" t="s">
        <v>6171</v>
      </c>
      <c r="N1244" s="432" t="s">
        <v>3785</v>
      </c>
      <c r="O1244" s="433" t="s">
        <v>4120</v>
      </c>
      <c r="P1244" s="430" t="s">
        <v>3659</v>
      </c>
      <c r="Q1244" s="431">
        <v>0.2</v>
      </c>
      <c r="R1244" s="454" t="s">
        <v>4888</v>
      </c>
      <c r="S1244" s="455" t="s">
        <v>1220</v>
      </c>
      <c r="T1244" s="2" t="s">
        <v>5915</v>
      </c>
    </row>
    <row r="1245" spans="1:20" hidden="1" x14ac:dyDescent="0.35">
      <c r="A1245" s="432"/>
      <c r="B1245" s="442" t="s">
        <v>4860</v>
      </c>
      <c r="C1245" s="443">
        <v>44979</v>
      </c>
      <c r="D1245" s="443">
        <v>44979</v>
      </c>
      <c r="E1245" s="443" t="s">
        <v>1225</v>
      </c>
      <c r="F1245" s="453" t="s">
        <v>4863</v>
      </c>
      <c r="G1245" s="438" t="s">
        <v>3784</v>
      </c>
      <c r="H1245" s="438" t="s">
        <v>3656</v>
      </c>
      <c r="I1245" s="362">
        <v>13480.2052575</v>
      </c>
      <c r="J1245" s="364">
        <v>1240.8576</v>
      </c>
      <c r="K1245" s="364">
        <v>1240.8576</v>
      </c>
      <c r="L1245" s="363">
        <f t="shared" si="96"/>
        <v>248.17152000000002</v>
      </c>
      <c r="M1245" s="363" t="s">
        <v>6171</v>
      </c>
      <c r="N1245" s="432" t="s">
        <v>3785</v>
      </c>
      <c r="O1245" s="433" t="s">
        <v>4120</v>
      </c>
      <c r="P1245" s="430" t="s">
        <v>3659</v>
      </c>
      <c r="Q1245" s="431">
        <v>0.2</v>
      </c>
      <c r="R1245" s="454" t="s">
        <v>4888</v>
      </c>
      <c r="S1245" s="444" t="s">
        <v>1223</v>
      </c>
      <c r="T1245" s="2" t="s">
        <v>5915</v>
      </c>
    </row>
    <row r="1246" spans="1:20" hidden="1" x14ac:dyDescent="0.35">
      <c r="A1246" s="432"/>
      <c r="B1246" s="442" t="s">
        <v>4860</v>
      </c>
      <c r="C1246" s="443">
        <v>44979</v>
      </c>
      <c r="D1246" s="443">
        <v>44979</v>
      </c>
      <c r="E1246" s="443" t="s">
        <v>1227</v>
      </c>
      <c r="F1246" s="453" t="s">
        <v>4863</v>
      </c>
      <c r="G1246" s="438" t="s">
        <v>3784</v>
      </c>
      <c r="H1246" s="438" t="s">
        <v>3656</v>
      </c>
      <c r="I1246" s="362">
        <v>13480.2052575</v>
      </c>
      <c r="J1246" s="364">
        <v>1240.8576</v>
      </c>
      <c r="K1246" s="364">
        <v>1240.8576</v>
      </c>
      <c r="L1246" s="363">
        <f t="shared" si="96"/>
        <v>248.17152000000002</v>
      </c>
      <c r="M1246" s="363" t="s">
        <v>6171</v>
      </c>
      <c r="N1246" s="432" t="s">
        <v>3785</v>
      </c>
      <c r="O1246" s="433" t="s">
        <v>4120</v>
      </c>
      <c r="P1246" s="430" t="s">
        <v>3659</v>
      </c>
      <c r="Q1246" s="431">
        <v>0.2</v>
      </c>
      <c r="R1246" s="454" t="s">
        <v>4888</v>
      </c>
      <c r="S1246" s="444" t="s">
        <v>1226</v>
      </c>
      <c r="T1246" s="2" t="s">
        <v>5915</v>
      </c>
    </row>
    <row r="1247" spans="1:20" hidden="1" x14ac:dyDescent="0.35">
      <c r="A1247" s="432"/>
      <c r="B1247" s="442" t="s">
        <v>4860</v>
      </c>
      <c r="C1247" s="443">
        <v>44979</v>
      </c>
      <c r="D1247" s="443">
        <v>44979</v>
      </c>
      <c r="E1247" s="443" t="s">
        <v>1228</v>
      </c>
      <c r="F1247" s="453" t="s">
        <v>4863</v>
      </c>
      <c r="G1247" s="438" t="s">
        <v>3784</v>
      </c>
      <c r="H1247" s="438" t="s">
        <v>3656</v>
      </c>
      <c r="I1247" s="362">
        <v>13480.2052575</v>
      </c>
      <c r="J1247" s="364">
        <v>1240.8576</v>
      </c>
      <c r="K1247" s="364">
        <v>1240.8576</v>
      </c>
      <c r="L1247" s="363">
        <f t="shared" si="96"/>
        <v>248.17152000000002</v>
      </c>
      <c r="M1247" s="363" t="s">
        <v>6171</v>
      </c>
      <c r="N1247" s="432" t="s">
        <v>3785</v>
      </c>
      <c r="O1247" s="433" t="s">
        <v>4120</v>
      </c>
      <c r="P1247" s="430" t="s">
        <v>3659</v>
      </c>
      <c r="Q1247" s="431">
        <v>0.2</v>
      </c>
      <c r="R1247" s="454" t="s">
        <v>4888</v>
      </c>
      <c r="S1247" s="444" t="s">
        <v>1226</v>
      </c>
      <c r="T1247" s="2" t="s">
        <v>5915</v>
      </c>
    </row>
    <row r="1248" spans="1:20" hidden="1" x14ac:dyDescent="0.35">
      <c r="A1248" s="432"/>
      <c r="B1248" s="442" t="s">
        <v>4860</v>
      </c>
      <c r="C1248" s="443">
        <v>44979</v>
      </c>
      <c r="D1248" s="443">
        <v>44979</v>
      </c>
      <c r="E1248" s="443" t="s">
        <v>1229</v>
      </c>
      <c r="F1248" s="453" t="s">
        <v>4863</v>
      </c>
      <c r="G1248" s="438" t="s">
        <v>3784</v>
      </c>
      <c r="H1248" s="438" t="s">
        <v>3656</v>
      </c>
      <c r="I1248" s="362">
        <v>13480.2052575</v>
      </c>
      <c r="J1248" s="364">
        <v>1240.8576</v>
      </c>
      <c r="K1248" s="364">
        <v>1240.8576</v>
      </c>
      <c r="L1248" s="363">
        <f t="shared" si="96"/>
        <v>248.17152000000002</v>
      </c>
      <c r="M1248" s="363" t="s">
        <v>6171</v>
      </c>
      <c r="N1248" s="432" t="s">
        <v>3785</v>
      </c>
      <c r="O1248" s="433" t="s">
        <v>4120</v>
      </c>
      <c r="P1248" s="430" t="s">
        <v>3659</v>
      </c>
      <c r="Q1248" s="431">
        <v>0.2</v>
      </c>
      <c r="R1248" s="454" t="s">
        <v>4888</v>
      </c>
      <c r="S1248" s="444" t="s">
        <v>330</v>
      </c>
      <c r="T1248" s="2" t="s">
        <v>5915</v>
      </c>
    </row>
    <row r="1249" spans="1:20" hidden="1" x14ac:dyDescent="0.35">
      <c r="A1249" s="432"/>
      <c r="B1249" s="442" t="s">
        <v>4860</v>
      </c>
      <c r="C1249" s="443">
        <v>44979</v>
      </c>
      <c r="D1249" s="443">
        <v>44979</v>
      </c>
      <c r="E1249" s="443" t="s">
        <v>1230</v>
      </c>
      <c r="F1249" s="453" t="s">
        <v>4863</v>
      </c>
      <c r="G1249" s="438" t="s">
        <v>3784</v>
      </c>
      <c r="H1249" s="438" t="s">
        <v>3656</v>
      </c>
      <c r="I1249" s="362">
        <v>13480.2052575</v>
      </c>
      <c r="J1249" s="364">
        <v>1240.8576</v>
      </c>
      <c r="K1249" s="364">
        <v>1240.8576</v>
      </c>
      <c r="L1249" s="363">
        <f t="shared" si="96"/>
        <v>248.17152000000002</v>
      </c>
      <c r="M1249" s="363" t="s">
        <v>6171</v>
      </c>
      <c r="N1249" s="432" t="s">
        <v>3785</v>
      </c>
      <c r="O1249" s="433" t="s">
        <v>4120</v>
      </c>
      <c r="P1249" s="430" t="s">
        <v>3659</v>
      </c>
      <c r="Q1249" s="431">
        <v>0.2</v>
      </c>
      <c r="R1249" s="454" t="s">
        <v>4888</v>
      </c>
      <c r="S1249" s="444" t="s">
        <v>330</v>
      </c>
      <c r="T1249" s="2" t="s">
        <v>5915</v>
      </c>
    </row>
    <row r="1250" spans="1:20" hidden="1" x14ac:dyDescent="0.35">
      <c r="A1250" s="432"/>
      <c r="B1250" s="442" t="s">
        <v>4860</v>
      </c>
      <c r="C1250" s="443">
        <v>44979</v>
      </c>
      <c r="D1250" s="443">
        <v>44979</v>
      </c>
      <c r="E1250" s="443" t="s">
        <v>1264</v>
      </c>
      <c r="F1250" s="453" t="s">
        <v>4863</v>
      </c>
      <c r="G1250" s="438" t="s">
        <v>3784</v>
      </c>
      <c r="H1250" s="438" t="s">
        <v>3656</v>
      </c>
      <c r="I1250" s="362">
        <v>13480.2052575</v>
      </c>
      <c r="J1250" s="364">
        <v>1240.8576</v>
      </c>
      <c r="K1250" s="364">
        <v>1240.8576</v>
      </c>
      <c r="L1250" s="363">
        <f t="shared" si="96"/>
        <v>248.17152000000002</v>
      </c>
      <c r="M1250" s="363" t="s">
        <v>6171</v>
      </c>
      <c r="N1250" s="432" t="s">
        <v>3785</v>
      </c>
      <c r="O1250" s="433" t="s">
        <v>4120</v>
      </c>
      <c r="P1250" s="430" t="s">
        <v>3659</v>
      </c>
      <c r="Q1250" s="431">
        <v>0.2</v>
      </c>
      <c r="R1250" s="454" t="s">
        <v>4888</v>
      </c>
      <c r="S1250" s="444" t="s">
        <v>1263</v>
      </c>
      <c r="T1250" s="2" t="s">
        <v>5915</v>
      </c>
    </row>
    <row r="1251" spans="1:20" hidden="1" x14ac:dyDescent="0.35">
      <c r="A1251" s="432"/>
      <c r="B1251" s="442" t="s">
        <v>4860</v>
      </c>
      <c r="C1251" s="443">
        <v>44979</v>
      </c>
      <c r="D1251" s="443">
        <v>44979</v>
      </c>
      <c r="E1251" s="443" t="s">
        <v>1265</v>
      </c>
      <c r="F1251" s="453" t="s">
        <v>4863</v>
      </c>
      <c r="G1251" s="438" t="s">
        <v>3784</v>
      </c>
      <c r="H1251" s="438" t="s">
        <v>3656</v>
      </c>
      <c r="I1251" s="362">
        <v>13480.2052575</v>
      </c>
      <c r="J1251" s="364">
        <v>1240.8576</v>
      </c>
      <c r="K1251" s="364">
        <v>1240.8576</v>
      </c>
      <c r="L1251" s="363">
        <f t="shared" si="96"/>
        <v>248.17152000000002</v>
      </c>
      <c r="M1251" s="363" t="s">
        <v>6171</v>
      </c>
      <c r="N1251" s="432" t="s">
        <v>3785</v>
      </c>
      <c r="O1251" s="433" t="s">
        <v>4120</v>
      </c>
      <c r="P1251" s="430" t="s">
        <v>3659</v>
      </c>
      <c r="Q1251" s="431">
        <v>0.2</v>
      </c>
      <c r="R1251" s="454" t="s">
        <v>4888</v>
      </c>
      <c r="S1251" s="444" t="s">
        <v>1263</v>
      </c>
      <c r="T1251" s="2" t="s">
        <v>5915</v>
      </c>
    </row>
    <row r="1252" spans="1:20" hidden="1" x14ac:dyDescent="0.35">
      <c r="A1252" s="432"/>
      <c r="B1252" s="442" t="s">
        <v>4860</v>
      </c>
      <c r="C1252" s="443">
        <v>44979</v>
      </c>
      <c r="D1252" s="443"/>
      <c r="E1252" s="443" t="s">
        <v>6293</v>
      </c>
      <c r="F1252" s="453"/>
      <c r="G1252" s="438" t="s">
        <v>3784</v>
      </c>
      <c r="H1252" s="438" t="s">
        <v>3656</v>
      </c>
      <c r="I1252" s="362"/>
      <c r="J1252" s="364"/>
      <c r="K1252" s="364"/>
      <c r="L1252" s="363"/>
      <c r="M1252" s="363"/>
      <c r="N1252" s="432" t="s">
        <v>3785</v>
      </c>
      <c r="O1252" s="433"/>
      <c r="P1252" s="430"/>
      <c r="Q1252" s="431"/>
      <c r="R1252" s="454"/>
      <c r="S1252" s="444" t="s">
        <v>640</v>
      </c>
      <c r="T1252" s="2"/>
    </row>
    <row r="1253" spans="1:20" hidden="1" x14ac:dyDescent="0.35">
      <c r="A1253" s="432"/>
      <c r="B1253" s="442" t="s">
        <v>4860</v>
      </c>
      <c r="C1253" s="443">
        <v>44979</v>
      </c>
      <c r="D1253" s="443">
        <v>44979</v>
      </c>
      <c r="E1253" s="443" t="s">
        <v>1267</v>
      </c>
      <c r="F1253" s="453" t="s">
        <v>4863</v>
      </c>
      <c r="G1253" s="438" t="s">
        <v>3784</v>
      </c>
      <c r="H1253" s="438" t="s">
        <v>3656</v>
      </c>
      <c r="I1253" s="362">
        <v>13480.2052575</v>
      </c>
      <c r="J1253" s="364">
        <v>1240.8576</v>
      </c>
      <c r="K1253" s="364">
        <v>1240.8576</v>
      </c>
      <c r="L1253" s="363">
        <f t="shared" si="96"/>
        <v>248.17152000000002</v>
      </c>
      <c r="M1253" s="363" t="s">
        <v>6171</v>
      </c>
      <c r="N1253" s="432" t="s">
        <v>3785</v>
      </c>
      <c r="O1253" s="433" t="s">
        <v>4120</v>
      </c>
      <c r="P1253" s="430" t="s">
        <v>3659</v>
      </c>
      <c r="Q1253" s="431">
        <v>0.2</v>
      </c>
      <c r="R1253" s="454" t="s">
        <v>4888</v>
      </c>
      <c r="S1253" s="444" t="s">
        <v>516</v>
      </c>
      <c r="T1253" s="2" t="s">
        <v>5915</v>
      </c>
    </row>
    <row r="1254" spans="1:20" hidden="1" x14ac:dyDescent="0.35">
      <c r="A1254" s="432"/>
      <c r="B1254" s="442" t="s">
        <v>4860</v>
      </c>
      <c r="C1254" s="443">
        <v>44979</v>
      </c>
      <c r="D1254" s="443">
        <v>44979</v>
      </c>
      <c r="E1254" s="443" t="s">
        <v>1268</v>
      </c>
      <c r="F1254" s="453" t="s">
        <v>4863</v>
      </c>
      <c r="G1254" s="438" t="s">
        <v>3784</v>
      </c>
      <c r="H1254" s="438" t="s">
        <v>3656</v>
      </c>
      <c r="I1254" s="362">
        <v>13480.2052575</v>
      </c>
      <c r="J1254" s="364">
        <v>1240.8576</v>
      </c>
      <c r="K1254" s="364">
        <v>1240.8576</v>
      </c>
      <c r="L1254" s="363">
        <f t="shared" si="96"/>
        <v>248.17152000000002</v>
      </c>
      <c r="M1254" s="363" t="s">
        <v>6171</v>
      </c>
      <c r="N1254" s="432" t="s">
        <v>3785</v>
      </c>
      <c r="O1254" s="433" t="s">
        <v>4120</v>
      </c>
      <c r="P1254" s="430" t="s">
        <v>3659</v>
      </c>
      <c r="Q1254" s="431">
        <v>0.2</v>
      </c>
      <c r="R1254" s="454" t="s">
        <v>4888</v>
      </c>
      <c r="S1254" s="444" t="s">
        <v>516</v>
      </c>
      <c r="T1254" s="2" t="s">
        <v>5915</v>
      </c>
    </row>
    <row r="1255" spans="1:20" hidden="1" x14ac:dyDescent="0.35">
      <c r="A1255" s="432"/>
      <c r="B1255" s="442" t="s">
        <v>4860</v>
      </c>
      <c r="C1255" s="443">
        <v>44979</v>
      </c>
      <c r="D1255" s="443">
        <v>44979</v>
      </c>
      <c r="E1255" s="443" t="s">
        <v>1280</v>
      </c>
      <c r="F1255" s="453" t="s">
        <v>4863</v>
      </c>
      <c r="G1255" s="438" t="s">
        <v>3784</v>
      </c>
      <c r="H1255" s="438" t="s">
        <v>3656</v>
      </c>
      <c r="I1255" s="362">
        <v>13480.2052575</v>
      </c>
      <c r="J1255" s="364">
        <v>1240.8576</v>
      </c>
      <c r="K1255" s="364">
        <v>1240.8576</v>
      </c>
      <c r="L1255" s="363">
        <f t="shared" si="96"/>
        <v>248.17152000000002</v>
      </c>
      <c r="M1255" s="363" t="s">
        <v>6171</v>
      </c>
      <c r="N1255" s="432" t="s">
        <v>3785</v>
      </c>
      <c r="O1255" s="433" t="s">
        <v>4120</v>
      </c>
      <c r="P1255" s="430" t="s">
        <v>3659</v>
      </c>
      <c r="Q1255" s="431">
        <v>0.2</v>
      </c>
      <c r="R1255" s="454" t="s">
        <v>4888</v>
      </c>
      <c r="S1255" s="444" t="s">
        <v>1664</v>
      </c>
      <c r="T1255" s="2" t="s">
        <v>5915</v>
      </c>
    </row>
    <row r="1256" spans="1:20" hidden="1" x14ac:dyDescent="0.35">
      <c r="A1256" s="432"/>
      <c r="B1256" s="442" t="s">
        <v>4860</v>
      </c>
      <c r="C1256" s="443">
        <v>44979</v>
      </c>
      <c r="D1256" s="443">
        <v>44979</v>
      </c>
      <c r="E1256" s="443" t="s">
        <v>1305</v>
      </c>
      <c r="F1256" s="453" t="s">
        <v>4863</v>
      </c>
      <c r="G1256" s="438" t="s">
        <v>3784</v>
      </c>
      <c r="H1256" s="438" t="s">
        <v>3656</v>
      </c>
      <c r="I1256" s="362">
        <v>13480.2052575</v>
      </c>
      <c r="J1256" s="364">
        <v>1240.8576</v>
      </c>
      <c r="K1256" s="364">
        <v>1240.8576</v>
      </c>
      <c r="L1256" s="363">
        <f t="shared" si="96"/>
        <v>248.17152000000002</v>
      </c>
      <c r="M1256" s="363" t="s">
        <v>6171</v>
      </c>
      <c r="N1256" s="432" t="s">
        <v>3785</v>
      </c>
      <c r="O1256" s="433" t="s">
        <v>4120</v>
      </c>
      <c r="P1256" s="430" t="s">
        <v>3659</v>
      </c>
      <c r="Q1256" s="431">
        <v>0.2</v>
      </c>
      <c r="R1256" s="454" t="s">
        <v>4888</v>
      </c>
      <c r="S1256" s="444" t="s">
        <v>677</v>
      </c>
      <c r="T1256" s="2" t="s">
        <v>5915</v>
      </c>
    </row>
    <row r="1257" spans="1:20" hidden="1" x14ac:dyDescent="0.35">
      <c r="A1257" s="432"/>
      <c r="B1257" s="442" t="s">
        <v>4860</v>
      </c>
      <c r="C1257" s="443">
        <v>44979</v>
      </c>
      <c r="D1257" s="443">
        <v>44979</v>
      </c>
      <c r="E1257" s="443" t="s">
        <v>1309</v>
      </c>
      <c r="F1257" s="453" t="s">
        <v>4863</v>
      </c>
      <c r="G1257" s="438" t="s">
        <v>3784</v>
      </c>
      <c r="H1257" s="438" t="s">
        <v>3656</v>
      </c>
      <c r="I1257" s="362">
        <v>13480.2052575</v>
      </c>
      <c r="J1257" s="364">
        <v>1240.8576</v>
      </c>
      <c r="K1257" s="364">
        <v>1240.8576</v>
      </c>
      <c r="L1257" s="363">
        <f t="shared" si="96"/>
        <v>248.17152000000002</v>
      </c>
      <c r="M1257" s="363" t="s">
        <v>6171</v>
      </c>
      <c r="N1257" s="432" t="s">
        <v>3785</v>
      </c>
      <c r="O1257" s="433" t="s">
        <v>4120</v>
      </c>
      <c r="P1257" s="430" t="s">
        <v>3659</v>
      </c>
      <c r="Q1257" s="431">
        <v>0.2</v>
      </c>
      <c r="R1257" s="454" t="s">
        <v>4888</v>
      </c>
      <c r="S1257" s="444" t="s">
        <v>1308</v>
      </c>
      <c r="T1257" s="2" t="s">
        <v>5915</v>
      </c>
    </row>
    <row r="1258" spans="1:20" hidden="1" x14ac:dyDescent="0.35">
      <c r="A1258" s="432"/>
      <c r="B1258" s="442" t="s">
        <v>4860</v>
      </c>
      <c r="C1258" s="443">
        <v>44979</v>
      </c>
      <c r="D1258" s="443">
        <v>44979</v>
      </c>
      <c r="E1258" s="443" t="s">
        <v>1380</v>
      </c>
      <c r="F1258" s="453" t="s">
        <v>4863</v>
      </c>
      <c r="G1258" s="438" t="s">
        <v>3784</v>
      </c>
      <c r="H1258" s="438" t="s">
        <v>3656</v>
      </c>
      <c r="I1258" s="362">
        <v>13480.2052575</v>
      </c>
      <c r="J1258" s="364">
        <v>1240.8576</v>
      </c>
      <c r="K1258" s="364">
        <v>1240.8576</v>
      </c>
      <c r="L1258" s="363">
        <f t="shared" si="96"/>
        <v>248.17152000000002</v>
      </c>
      <c r="M1258" s="363" t="s">
        <v>6171</v>
      </c>
      <c r="N1258" s="432" t="s">
        <v>3785</v>
      </c>
      <c r="O1258" s="433" t="s">
        <v>4120</v>
      </c>
      <c r="P1258" s="430" t="s">
        <v>3659</v>
      </c>
      <c r="Q1258" s="431">
        <v>0.2</v>
      </c>
      <c r="R1258" s="454" t="s">
        <v>4888</v>
      </c>
      <c r="S1258" s="444" t="s">
        <v>4889</v>
      </c>
      <c r="T1258" s="2" t="s">
        <v>5915</v>
      </c>
    </row>
    <row r="1259" spans="1:20" hidden="1" x14ac:dyDescent="0.35">
      <c r="A1259" s="432"/>
      <c r="B1259" s="442" t="s">
        <v>4860</v>
      </c>
      <c r="C1259" s="443">
        <v>44979</v>
      </c>
      <c r="D1259" s="443">
        <v>44979</v>
      </c>
      <c r="E1259" s="443" t="s">
        <v>1384</v>
      </c>
      <c r="F1259" s="453" t="s">
        <v>4863</v>
      </c>
      <c r="G1259" s="438" t="s">
        <v>3784</v>
      </c>
      <c r="H1259" s="438" t="s">
        <v>3656</v>
      </c>
      <c r="I1259" s="362">
        <v>13480.2052575</v>
      </c>
      <c r="J1259" s="364">
        <v>1240.8576</v>
      </c>
      <c r="K1259" s="364">
        <v>1240.8576</v>
      </c>
      <c r="L1259" s="363">
        <f t="shared" si="96"/>
        <v>248.17152000000002</v>
      </c>
      <c r="M1259" s="363" t="s">
        <v>6171</v>
      </c>
      <c r="N1259" s="432" t="s">
        <v>3785</v>
      </c>
      <c r="O1259" s="433" t="s">
        <v>4120</v>
      </c>
      <c r="P1259" s="430" t="s">
        <v>3659</v>
      </c>
      <c r="Q1259" s="431">
        <v>0.2</v>
      </c>
      <c r="R1259" s="454" t="s">
        <v>4888</v>
      </c>
      <c r="S1259" s="444" t="s">
        <v>1383</v>
      </c>
      <c r="T1259" s="2" t="s">
        <v>5915</v>
      </c>
    </row>
    <row r="1260" spans="1:20" hidden="1" x14ac:dyDescent="0.35">
      <c r="A1260" s="432"/>
      <c r="B1260" s="442" t="s">
        <v>4860</v>
      </c>
      <c r="C1260" s="443">
        <v>44979</v>
      </c>
      <c r="D1260" s="443">
        <v>44979</v>
      </c>
      <c r="E1260" s="443" t="s">
        <v>1440</v>
      </c>
      <c r="F1260" s="453" t="s">
        <v>4863</v>
      </c>
      <c r="G1260" s="438" t="s">
        <v>3784</v>
      </c>
      <c r="H1260" s="438" t="s">
        <v>3656</v>
      </c>
      <c r="I1260" s="362">
        <v>13480.2052575</v>
      </c>
      <c r="J1260" s="364">
        <v>1240.8576</v>
      </c>
      <c r="K1260" s="364">
        <v>1240.8576</v>
      </c>
      <c r="L1260" s="363">
        <f t="shared" si="96"/>
        <v>248.17152000000002</v>
      </c>
      <c r="M1260" s="363" t="s">
        <v>6171</v>
      </c>
      <c r="N1260" s="432" t="s">
        <v>3785</v>
      </c>
      <c r="O1260" s="433" t="s">
        <v>4120</v>
      </c>
      <c r="P1260" s="430" t="s">
        <v>3659</v>
      </c>
      <c r="Q1260" s="431">
        <v>0.2</v>
      </c>
      <c r="R1260" s="454" t="s">
        <v>4888</v>
      </c>
      <c r="S1260" s="444" t="s">
        <v>1439</v>
      </c>
      <c r="T1260" s="2" t="s">
        <v>5915</v>
      </c>
    </row>
    <row r="1261" spans="1:20" hidden="1" x14ac:dyDescent="0.35">
      <c r="A1261" s="432"/>
      <c r="B1261" s="442" t="s">
        <v>4860</v>
      </c>
      <c r="C1261" s="443">
        <v>44979</v>
      </c>
      <c r="D1261" s="443">
        <v>44979</v>
      </c>
      <c r="E1261" s="443" t="s">
        <v>1450</v>
      </c>
      <c r="F1261" s="453" t="s">
        <v>4863</v>
      </c>
      <c r="G1261" s="438" t="s">
        <v>3784</v>
      </c>
      <c r="H1261" s="438" t="s">
        <v>3656</v>
      </c>
      <c r="I1261" s="362">
        <v>13480.2052575</v>
      </c>
      <c r="J1261" s="364">
        <v>1240.8576</v>
      </c>
      <c r="K1261" s="364">
        <v>1240.8576</v>
      </c>
      <c r="L1261" s="363">
        <f t="shared" si="96"/>
        <v>248.17152000000002</v>
      </c>
      <c r="M1261" s="363" t="s">
        <v>6171</v>
      </c>
      <c r="N1261" s="432" t="s">
        <v>3785</v>
      </c>
      <c r="O1261" s="433" t="s">
        <v>4120</v>
      </c>
      <c r="P1261" s="430" t="s">
        <v>3659</v>
      </c>
      <c r="Q1261" s="431">
        <v>0.2</v>
      </c>
      <c r="R1261" s="454" t="s">
        <v>4888</v>
      </c>
      <c r="S1261" s="444" t="s">
        <v>1449</v>
      </c>
      <c r="T1261" s="2" t="s">
        <v>5915</v>
      </c>
    </row>
    <row r="1262" spans="1:20" hidden="1" x14ac:dyDescent="0.35">
      <c r="A1262" s="432"/>
      <c r="B1262" s="442" t="s">
        <v>4860</v>
      </c>
      <c r="C1262" s="443">
        <v>44979</v>
      </c>
      <c r="D1262" s="443">
        <v>44979</v>
      </c>
      <c r="E1262" s="443" t="s">
        <v>1452</v>
      </c>
      <c r="F1262" s="453" t="s">
        <v>4863</v>
      </c>
      <c r="G1262" s="438" t="s">
        <v>3784</v>
      </c>
      <c r="H1262" s="438" t="s">
        <v>3656</v>
      </c>
      <c r="I1262" s="362">
        <v>13480.2052575</v>
      </c>
      <c r="J1262" s="364">
        <v>1240.8576</v>
      </c>
      <c r="K1262" s="364">
        <v>1240.8576</v>
      </c>
      <c r="L1262" s="363">
        <f t="shared" si="96"/>
        <v>248.17152000000002</v>
      </c>
      <c r="M1262" s="363" t="s">
        <v>6171</v>
      </c>
      <c r="N1262" s="432" t="s">
        <v>3785</v>
      </c>
      <c r="O1262" s="433" t="s">
        <v>4120</v>
      </c>
      <c r="P1262" s="430" t="s">
        <v>3659</v>
      </c>
      <c r="Q1262" s="431">
        <v>0.2</v>
      </c>
      <c r="R1262" s="454" t="s">
        <v>4888</v>
      </c>
      <c r="S1262" s="444" t="s">
        <v>1451</v>
      </c>
      <c r="T1262" s="2" t="s">
        <v>5915</v>
      </c>
    </row>
    <row r="1263" spans="1:20" hidden="1" x14ac:dyDescent="0.35">
      <c r="A1263" s="432"/>
      <c r="B1263" s="442" t="s">
        <v>4860</v>
      </c>
      <c r="C1263" s="443">
        <v>44979</v>
      </c>
      <c r="D1263" s="443">
        <v>44979</v>
      </c>
      <c r="E1263" s="443" t="s">
        <v>1460</v>
      </c>
      <c r="F1263" s="453" t="s">
        <v>4863</v>
      </c>
      <c r="G1263" s="438" t="s">
        <v>3784</v>
      </c>
      <c r="H1263" s="438" t="s">
        <v>3656</v>
      </c>
      <c r="I1263" s="362">
        <v>13480.2052575</v>
      </c>
      <c r="J1263" s="364">
        <v>1240.8576</v>
      </c>
      <c r="K1263" s="364">
        <v>1240.8576</v>
      </c>
      <c r="L1263" s="363">
        <f t="shared" si="96"/>
        <v>248.17152000000002</v>
      </c>
      <c r="M1263" s="363" t="s">
        <v>6171</v>
      </c>
      <c r="N1263" s="432" t="s">
        <v>3785</v>
      </c>
      <c r="O1263" s="433" t="s">
        <v>4120</v>
      </c>
      <c r="P1263" s="430" t="s">
        <v>3659</v>
      </c>
      <c r="Q1263" s="431">
        <v>0.2</v>
      </c>
      <c r="R1263" s="454" t="s">
        <v>4888</v>
      </c>
      <c r="S1263" s="444" t="s">
        <v>600</v>
      </c>
      <c r="T1263" s="2" t="s">
        <v>5915</v>
      </c>
    </row>
    <row r="1264" spans="1:20" hidden="1" x14ac:dyDescent="0.35">
      <c r="A1264" s="432"/>
      <c r="B1264" s="442" t="s">
        <v>4860</v>
      </c>
      <c r="C1264" s="443">
        <v>44979</v>
      </c>
      <c r="D1264" s="443">
        <v>44979</v>
      </c>
      <c r="E1264" s="443" t="s">
        <v>1462</v>
      </c>
      <c r="F1264" s="453" t="s">
        <v>4863</v>
      </c>
      <c r="G1264" s="438" t="s">
        <v>3784</v>
      </c>
      <c r="H1264" s="438" t="s">
        <v>3656</v>
      </c>
      <c r="I1264" s="362">
        <v>13480.2052575</v>
      </c>
      <c r="J1264" s="364">
        <v>1240.8576</v>
      </c>
      <c r="K1264" s="364">
        <v>1240.8576</v>
      </c>
      <c r="L1264" s="363">
        <f t="shared" si="96"/>
        <v>248.17152000000002</v>
      </c>
      <c r="M1264" s="363" t="s">
        <v>6171</v>
      </c>
      <c r="N1264" s="432" t="s">
        <v>3785</v>
      </c>
      <c r="O1264" s="433" t="s">
        <v>4120</v>
      </c>
      <c r="P1264" s="430" t="s">
        <v>3659</v>
      </c>
      <c r="Q1264" s="431">
        <v>0.2</v>
      </c>
      <c r="R1264" s="454" t="s">
        <v>4888</v>
      </c>
      <c r="S1264" s="444" t="s">
        <v>1461</v>
      </c>
      <c r="T1264" s="2" t="s">
        <v>5915</v>
      </c>
    </row>
    <row r="1265" spans="1:20" hidden="1" x14ac:dyDescent="0.35">
      <c r="A1265" s="432"/>
      <c r="B1265" s="442" t="s">
        <v>4860</v>
      </c>
      <c r="C1265" s="443">
        <v>44979</v>
      </c>
      <c r="D1265" s="443">
        <v>44979</v>
      </c>
      <c r="E1265" s="443" t="s">
        <v>1086</v>
      </c>
      <c r="F1265" s="453" t="s">
        <v>4863</v>
      </c>
      <c r="G1265" s="438" t="s">
        <v>3784</v>
      </c>
      <c r="H1265" s="438" t="s">
        <v>3656</v>
      </c>
      <c r="I1265" s="362">
        <v>13480.2052575</v>
      </c>
      <c r="J1265" s="364">
        <v>1240.8576</v>
      </c>
      <c r="K1265" s="364">
        <v>1240.8576</v>
      </c>
      <c r="L1265" s="363">
        <f t="shared" si="96"/>
        <v>248.17152000000002</v>
      </c>
      <c r="M1265" s="363" t="s">
        <v>6171</v>
      </c>
      <c r="N1265" s="432" t="s">
        <v>3785</v>
      </c>
      <c r="O1265" s="433" t="s">
        <v>4120</v>
      </c>
      <c r="P1265" s="430" t="s">
        <v>3659</v>
      </c>
      <c r="Q1265" s="431">
        <v>0.2</v>
      </c>
      <c r="R1265" s="454" t="s">
        <v>4888</v>
      </c>
      <c r="S1265" s="444" t="s">
        <v>1084</v>
      </c>
      <c r="T1265" s="2" t="s">
        <v>5915</v>
      </c>
    </row>
    <row r="1266" spans="1:20" hidden="1" x14ac:dyDescent="0.35">
      <c r="A1266" s="432"/>
      <c r="B1266" s="442" t="s">
        <v>4860</v>
      </c>
      <c r="C1266" s="443">
        <v>44979</v>
      </c>
      <c r="D1266" s="443">
        <v>44979</v>
      </c>
      <c r="E1266" s="443" t="s">
        <v>1092</v>
      </c>
      <c r="F1266" s="453" t="s">
        <v>4863</v>
      </c>
      <c r="G1266" s="438" t="s">
        <v>3784</v>
      </c>
      <c r="H1266" s="438" t="s">
        <v>3656</v>
      </c>
      <c r="I1266" s="362">
        <v>13480.2052575</v>
      </c>
      <c r="J1266" s="364">
        <v>1240.8576</v>
      </c>
      <c r="K1266" s="364">
        <v>1240.8576</v>
      </c>
      <c r="L1266" s="363">
        <f t="shared" si="96"/>
        <v>248.17152000000002</v>
      </c>
      <c r="M1266" s="363" t="s">
        <v>6171</v>
      </c>
      <c r="N1266" s="432" t="s">
        <v>3785</v>
      </c>
      <c r="O1266" s="433" t="s">
        <v>4120</v>
      </c>
      <c r="P1266" s="430" t="s">
        <v>3659</v>
      </c>
      <c r="Q1266" s="431">
        <v>0.2</v>
      </c>
      <c r="R1266" s="454" t="s">
        <v>4888</v>
      </c>
      <c r="S1266" s="444" t="s">
        <v>1091</v>
      </c>
      <c r="T1266" s="2" t="s">
        <v>5915</v>
      </c>
    </row>
    <row r="1267" spans="1:20" hidden="1" x14ac:dyDescent="0.35">
      <c r="A1267" s="432"/>
      <c r="B1267" s="442" t="s">
        <v>4860</v>
      </c>
      <c r="C1267" s="443">
        <v>44979</v>
      </c>
      <c r="D1267" s="443">
        <v>44979</v>
      </c>
      <c r="E1267" s="443" t="s">
        <v>1100</v>
      </c>
      <c r="F1267" s="453" t="s">
        <v>4863</v>
      </c>
      <c r="G1267" s="438" t="s">
        <v>3784</v>
      </c>
      <c r="H1267" s="438" t="s">
        <v>3656</v>
      </c>
      <c r="I1267" s="362">
        <v>13480.2052575</v>
      </c>
      <c r="J1267" s="364">
        <v>1240.8576</v>
      </c>
      <c r="K1267" s="364">
        <v>1240.8576</v>
      </c>
      <c r="L1267" s="363">
        <f t="shared" si="96"/>
        <v>248.17152000000002</v>
      </c>
      <c r="M1267" s="363" t="s">
        <v>6171</v>
      </c>
      <c r="N1267" s="432" t="s">
        <v>3785</v>
      </c>
      <c r="O1267" s="433" t="s">
        <v>4120</v>
      </c>
      <c r="P1267" s="430" t="s">
        <v>3659</v>
      </c>
      <c r="Q1267" s="431">
        <v>0.2</v>
      </c>
      <c r="R1267" s="454" t="s">
        <v>4888</v>
      </c>
      <c r="S1267" s="444" t="s">
        <v>79</v>
      </c>
      <c r="T1267" s="2" t="s">
        <v>5915</v>
      </c>
    </row>
    <row r="1268" spans="1:20" hidden="1" x14ac:dyDescent="0.35">
      <c r="A1268" s="432"/>
      <c r="B1268" s="442" t="s">
        <v>4860</v>
      </c>
      <c r="C1268" s="443">
        <v>44979</v>
      </c>
      <c r="D1268" s="443">
        <v>44979</v>
      </c>
      <c r="E1268" s="443" t="s">
        <v>1105</v>
      </c>
      <c r="F1268" s="453" t="s">
        <v>4863</v>
      </c>
      <c r="G1268" s="438" t="s">
        <v>3784</v>
      </c>
      <c r="H1268" s="438" t="s">
        <v>3656</v>
      </c>
      <c r="I1268" s="362">
        <v>13480.2052575</v>
      </c>
      <c r="J1268" s="364">
        <v>1240.8576</v>
      </c>
      <c r="K1268" s="364">
        <v>1240.8576</v>
      </c>
      <c r="L1268" s="363">
        <f t="shared" si="96"/>
        <v>248.17152000000002</v>
      </c>
      <c r="M1268" s="363" t="s">
        <v>6171</v>
      </c>
      <c r="N1268" s="432" t="s">
        <v>3785</v>
      </c>
      <c r="O1268" s="433" t="s">
        <v>4120</v>
      </c>
      <c r="P1268" s="430" t="s">
        <v>3659</v>
      </c>
      <c r="Q1268" s="431">
        <v>0.2</v>
      </c>
      <c r="R1268" s="454" t="s">
        <v>4888</v>
      </c>
      <c r="S1268" s="444" t="s">
        <v>1103</v>
      </c>
      <c r="T1268" s="2" t="s">
        <v>5915</v>
      </c>
    </row>
    <row r="1269" spans="1:20" hidden="1" x14ac:dyDescent="0.35">
      <c r="A1269" s="432"/>
      <c r="B1269" s="442" t="s">
        <v>4860</v>
      </c>
      <c r="C1269" s="443">
        <v>44979</v>
      </c>
      <c r="D1269" s="443">
        <v>44979</v>
      </c>
      <c r="E1269" s="443" t="s">
        <v>1125</v>
      </c>
      <c r="F1269" s="453" t="s">
        <v>4863</v>
      </c>
      <c r="G1269" s="438" t="s">
        <v>3784</v>
      </c>
      <c r="H1269" s="438" t="s">
        <v>3656</v>
      </c>
      <c r="I1269" s="362">
        <v>13480.2052575</v>
      </c>
      <c r="J1269" s="364">
        <v>1240.8576</v>
      </c>
      <c r="K1269" s="364">
        <v>1240.8576</v>
      </c>
      <c r="L1269" s="363">
        <f t="shared" si="96"/>
        <v>248.17152000000002</v>
      </c>
      <c r="M1269" s="363" t="s">
        <v>6171</v>
      </c>
      <c r="N1269" s="432" t="s">
        <v>3785</v>
      </c>
      <c r="O1269" s="433" t="s">
        <v>4120</v>
      </c>
      <c r="P1269" s="430" t="s">
        <v>3659</v>
      </c>
      <c r="Q1269" s="431">
        <v>0.2</v>
      </c>
      <c r="R1269" s="454" t="s">
        <v>4888</v>
      </c>
      <c r="S1269" s="444" t="s">
        <v>1124</v>
      </c>
      <c r="T1269" s="2" t="s">
        <v>5915</v>
      </c>
    </row>
    <row r="1270" spans="1:20" hidden="1" x14ac:dyDescent="0.35">
      <c r="A1270" s="432"/>
      <c r="B1270" s="442" t="s">
        <v>4860</v>
      </c>
      <c r="C1270" s="443">
        <v>44979</v>
      </c>
      <c r="D1270" s="443">
        <v>44979</v>
      </c>
      <c r="E1270" s="443" t="s">
        <v>1141</v>
      </c>
      <c r="F1270" s="453" t="s">
        <v>4863</v>
      </c>
      <c r="G1270" s="438" t="s">
        <v>3784</v>
      </c>
      <c r="H1270" s="438" t="s">
        <v>3656</v>
      </c>
      <c r="I1270" s="362">
        <v>13480.2052575</v>
      </c>
      <c r="J1270" s="364">
        <v>1240.8576</v>
      </c>
      <c r="K1270" s="364">
        <v>1240.8576</v>
      </c>
      <c r="L1270" s="363">
        <f t="shared" si="96"/>
        <v>248.17152000000002</v>
      </c>
      <c r="M1270" s="363" t="s">
        <v>6171</v>
      </c>
      <c r="N1270" s="432" t="s">
        <v>3785</v>
      </c>
      <c r="O1270" s="433" t="s">
        <v>4120</v>
      </c>
      <c r="P1270" s="430" t="s">
        <v>3659</v>
      </c>
      <c r="Q1270" s="431">
        <v>0.2</v>
      </c>
      <c r="R1270" s="454" t="s">
        <v>4888</v>
      </c>
      <c r="S1270" s="444" t="s">
        <v>1140</v>
      </c>
      <c r="T1270" s="2" t="s">
        <v>5915</v>
      </c>
    </row>
    <row r="1271" spans="1:20" hidden="1" x14ac:dyDescent="0.35">
      <c r="A1271" s="432"/>
      <c r="B1271" s="442" t="s">
        <v>4860</v>
      </c>
      <c r="C1271" s="443">
        <v>44979</v>
      </c>
      <c r="D1271" s="443">
        <v>44979</v>
      </c>
      <c r="E1271" s="443" t="s">
        <v>1156</v>
      </c>
      <c r="F1271" s="453" t="s">
        <v>4863</v>
      </c>
      <c r="G1271" s="438" t="s">
        <v>3784</v>
      </c>
      <c r="H1271" s="438" t="s">
        <v>3656</v>
      </c>
      <c r="I1271" s="362">
        <v>13480.2052575</v>
      </c>
      <c r="J1271" s="364">
        <v>1240.8576</v>
      </c>
      <c r="K1271" s="364">
        <v>1240.8576</v>
      </c>
      <c r="L1271" s="363">
        <f t="shared" si="96"/>
        <v>248.17152000000002</v>
      </c>
      <c r="M1271" s="363" t="s">
        <v>6171</v>
      </c>
      <c r="N1271" s="432" t="s">
        <v>3785</v>
      </c>
      <c r="O1271" s="433" t="s">
        <v>4120</v>
      </c>
      <c r="P1271" s="430" t="s">
        <v>3659</v>
      </c>
      <c r="Q1271" s="431">
        <v>0.2</v>
      </c>
      <c r="R1271" s="454" t="s">
        <v>4888</v>
      </c>
      <c r="S1271" s="444" t="s">
        <v>427</v>
      </c>
      <c r="T1271" s="2" t="s">
        <v>5915</v>
      </c>
    </row>
    <row r="1272" spans="1:20" hidden="1" x14ac:dyDescent="0.35">
      <c r="A1272" s="432"/>
      <c r="B1272" s="442" t="s">
        <v>4860</v>
      </c>
      <c r="C1272" s="443">
        <v>44979</v>
      </c>
      <c r="D1272" s="443">
        <v>44979</v>
      </c>
      <c r="E1272" s="443" t="s">
        <v>1158</v>
      </c>
      <c r="F1272" s="453" t="s">
        <v>4863</v>
      </c>
      <c r="G1272" s="438" t="s">
        <v>3784</v>
      </c>
      <c r="H1272" s="438" t="s">
        <v>3656</v>
      </c>
      <c r="I1272" s="362">
        <v>13480.2052575</v>
      </c>
      <c r="J1272" s="364">
        <v>1240.8576</v>
      </c>
      <c r="K1272" s="364">
        <v>1240.8576</v>
      </c>
      <c r="L1272" s="363">
        <f t="shared" si="96"/>
        <v>248.17152000000002</v>
      </c>
      <c r="M1272" s="363" t="s">
        <v>6171</v>
      </c>
      <c r="N1272" s="432" t="s">
        <v>3785</v>
      </c>
      <c r="O1272" s="433" t="s">
        <v>4120</v>
      </c>
      <c r="P1272" s="430" t="s">
        <v>3659</v>
      </c>
      <c r="Q1272" s="431">
        <v>0.2</v>
      </c>
      <c r="R1272" s="454" t="s">
        <v>4888</v>
      </c>
      <c r="S1272" s="444" t="s">
        <v>427</v>
      </c>
      <c r="T1272" s="2" t="s">
        <v>5915</v>
      </c>
    </row>
    <row r="1273" spans="1:20" hidden="1" x14ac:dyDescent="0.35">
      <c r="A1273" s="432"/>
      <c r="B1273" s="442" t="s">
        <v>4860</v>
      </c>
      <c r="C1273" s="443">
        <v>44979</v>
      </c>
      <c r="D1273" s="443">
        <v>44979</v>
      </c>
      <c r="E1273" s="443" t="s">
        <v>1160</v>
      </c>
      <c r="F1273" s="453" t="s">
        <v>4863</v>
      </c>
      <c r="G1273" s="438" t="s">
        <v>3784</v>
      </c>
      <c r="H1273" s="438" t="s">
        <v>3656</v>
      </c>
      <c r="I1273" s="362">
        <v>13480.2052575</v>
      </c>
      <c r="J1273" s="364">
        <v>1240.8576</v>
      </c>
      <c r="K1273" s="364">
        <v>1240.8576</v>
      </c>
      <c r="L1273" s="363">
        <f t="shared" si="96"/>
        <v>248.17152000000002</v>
      </c>
      <c r="M1273" s="363" t="s">
        <v>6171</v>
      </c>
      <c r="N1273" s="432" t="s">
        <v>3785</v>
      </c>
      <c r="O1273" s="433" t="s">
        <v>4120</v>
      </c>
      <c r="P1273" s="430" t="s">
        <v>3659</v>
      </c>
      <c r="Q1273" s="431">
        <v>0.2</v>
      </c>
      <c r="R1273" s="454" t="s">
        <v>4888</v>
      </c>
      <c r="S1273" s="444" t="s">
        <v>1159</v>
      </c>
      <c r="T1273" s="2" t="s">
        <v>5915</v>
      </c>
    </row>
    <row r="1274" spans="1:20" hidden="1" x14ac:dyDescent="0.35">
      <c r="A1274" s="432"/>
      <c r="B1274" s="442" t="s">
        <v>4860</v>
      </c>
      <c r="C1274" s="443">
        <v>44979</v>
      </c>
      <c r="D1274" s="443">
        <v>44979</v>
      </c>
      <c r="E1274" s="443" t="s">
        <v>1163</v>
      </c>
      <c r="F1274" s="453" t="s">
        <v>4863</v>
      </c>
      <c r="G1274" s="438" t="s">
        <v>3784</v>
      </c>
      <c r="H1274" s="438" t="s">
        <v>3656</v>
      </c>
      <c r="I1274" s="362">
        <v>13480.2052575</v>
      </c>
      <c r="J1274" s="364">
        <v>1240.8576</v>
      </c>
      <c r="K1274" s="364">
        <v>1240.8576</v>
      </c>
      <c r="L1274" s="363">
        <f t="shared" si="96"/>
        <v>248.17152000000002</v>
      </c>
      <c r="M1274" s="363" t="s">
        <v>6171</v>
      </c>
      <c r="N1274" s="432" t="s">
        <v>3785</v>
      </c>
      <c r="O1274" s="433" t="s">
        <v>4120</v>
      </c>
      <c r="P1274" s="430" t="s">
        <v>3659</v>
      </c>
      <c r="Q1274" s="431">
        <v>0.2</v>
      </c>
      <c r="R1274" s="454" t="s">
        <v>4888</v>
      </c>
      <c r="S1274" s="444" t="s">
        <v>1161</v>
      </c>
      <c r="T1274" s="2" t="s">
        <v>5915</v>
      </c>
    </row>
    <row r="1275" spans="1:20" s="707" customFormat="1" hidden="1" x14ac:dyDescent="0.35">
      <c r="A1275" s="701" t="s">
        <v>4890</v>
      </c>
      <c r="B1275" s="702" t="s">
        <v>472</v>
      </c>
      <c r="C1275" s="703">
        <v>45003</v>
      </c>
      <c r="D1275" s="443">
        <v>45003</v>
      </c>
      <c r="E1275" s="703" t="s">
        <v>473</v>
      </c>
      <c r="F1275" s="453" t="s">
        <v>4891</v>
      </c>
      <c r="G1275" s="704" t="s">
        <v>3655</v>
      </c>
      <c r="H1275" s="442" t="s">
        <v>4757</v>
      </c>
      <c r="I1275" s="362">
        <f>71279.61/10</f>
        <v>7127.9610000000002</v>
      </c>
      <c r="J1275" s="362">
        <f>12445.09/10</f>
        <v>1244.509</v>
      </c>
      <c r="K1275" s="362">
        <v>1244.509</v>
      </c>
      <c r="L1275" s="362">
        <f t="shared" si="96"/>
        <v>248.90180000000001</v>
      </c>
      <c r="M1275" s="362" t="s">
        <v>6171</v>
      </c>
      <c r="N1275" s="701" t="s">
        <v>3785</v>
      </c>
      <c r="O1275" s="433" t="s">
        <v>4120</v>
      </c>
      <c r="P1275" s="430" t="s">
        <v>3659</v>
      </c>
      <c r="Q1275" s="431">
        <v>0.2</v>
      </c>
      <c r="R1275" s="452">
        <v>1900000917</v>
      </c>
      <c r="S1275" s="705" t="s">
        <v>3475</v>
      </c>
      <c r="T1275" s="706" t="s">
        <v>5915</v>
      </c>
    </row>
    <row r="1276" spans="1:20" s="619" customFormat="1" hidden="1" x14ac:dyDescent="0.35">
      <c r="A1276" s="613" t="s">
        <v>4892</v>
      </c>
      <c r="B1276" s="614" t="s">
        <v>472</v>
      </c>
      <c r="C1276" s="615">
        <v>45003</v>
      </c>
      <c r="D1276" s="443">
        <v>45003</v>
      </c>
      <c r="E1276" s="615" t="s">
        <v>474</v>
      </c>
      <c r="F1276" s="453" t="s">
        <v>4891</v>
      </c>
      <c r="G1276" s="616" t="s">
        <v>3655</v>
      </c>
      <c r="H1276" s="442" t="s">
        <v>4757</v>
      </c>
      <c r="I1276" s="362">
        <f t="shared" ref="I1276:I1285" si="98">71279.61/10</f>
        <v>7127.9610000000002</v>
      </c>
      <c r="J1276" s="362">
        <v>1244.509</v>
      </c>
      <c r="K1276" s="362">
        <v>1244.509</v>
      </c>
      <c r="L1276" s="362">
        <f t="shared" si="96"/>
        <v>248.90180000000001</v>
      </c>
      <c r="M1276" s="362" t="s">
        <v>6171</v>
      </c>
      <c r="N1276" s="613" t="s">
        <v>3785</v>
      </c>
      <c r="O1276" s="433" t="s">
        <v>4120</v>
      </c>
      <c r="P1276" s="430" t="s">
        <v>3659</v>
      </c>
      <c r="Q1276" s="431">
        <v>0.2</v>
      </c>
      <c r="R1276" s="452">
        <v>1900000917</v>
      </c>
      <c r="S1276" s="617" t="s">
        <v>475</v>
      </c>
      <c r="T1276" s="618" t="s">
        <v>5915</v>
      </c>
    </row>
    <row r="1277" spans="1:20" s="619" customFormat="1" hidden="1" x14ac:dyDescent="0.35">
      <c r="A1277" s="613"/>
      <c r="B1277" s="614"/>
      <c r="C1277" s="615">
        <v>45003</v>
      </c>
      <c r="D1277" s="443"/>
      <c r="E1277" s="621" t="s">
        <v>6198</v>
      </c>
      <c r="F1277" s="453"/>
      <c r="G1277" s="616" t="s">
        <v>3655</v>
      </c>
      <c r="H1277" s="442"/>
      <c r="I1277" s="362"/>
      <c r="J1277" s="362"/>
      <c r="K1277" s="362"/>
      <c r="L1277" s="362"/>
      <c r="M1277" s="362"/>
      <c r="N1277" s="613" t="s">
        <v>3785</v>
      </c>
      <c r="O1277" s="433"/>
      <c r="P1277" s="430"/>
      <c r="Q1277" s="431"/>
      <c r="R1277" s="452"/>
      <c r="S1277" s="700" t="s">
        <v>3188</v>
      </c>
      <c r="T1277" s="618" t="s">
        <v>5915</v>
      </c>
    </row>
    <row r="1278" spans="1:20" s="619" customFormat="1" hidden="1" x14ac:dyDescent="0.35">
      <c r="A1278" s="613" t="s">
        <v>4893</v>
      </c>
      <c r="B1278" s="614" t="s">
        <v>472</v>
      </c>
      <c r="C1278" s="615">
        <v>45003</v>
      </c>
      <c r="D1278" s="443">
        <v>45003</v>
      </c>
      <c r="E1278" s="615" t="s">
        <v>476</v>
      </c>
      <c r="F1278" s="453" t="s">
        <v>4891</v>
      </c>
      <c r="G1278" s="616" t="s">
        <v>3655</v>
      </c>
      <c r="H1278" s="442" t="s">
        <v>4757</v>
      </c>
      <c r="I1278" s="362">
        <f t="shared" si="98"/>
        <v>7127.9610000000002</v>
      </c>
      <c r="J1278" s="362">
        <v>1244.509</v>
      </c>
      <c r="K1278" s="362">
        <v>1244.509</v>
      </c>
      <c r="L1278" s="362">
        <f t="shared" si="96"/>
        <v>248.90180000000001</v>
      </c>
      <c r="M1278" s="362" t="s">
        <v>6171</v>
      </c>
      <c r="N1278" s="613" t="s">
        <v>3785</v>
      </c>
      <c r="O1278" s="433" t="s">
        <v>4120</v>
      </c>
      <c r="P1278" s="430" t="s">
        <v>3659</v>
      </c>
      <c r="Q1278" s="431">
        <v>0.2</v>
      </c>
      <c r="R1278" s="452">
        <v>1900000917</v>
      </c>
      <c r="S1278" s="617" t="s">
        <v>477</v>
      </c>
      <c r="T1278" s="618" t="s">
        <v>5915</v>
      </c>
    </row>
    <row r="1279" spans="1:20" s="561" customFormat="1" hidden="1" x14ac:dyDescent="0.35">
      <c r="A1279" s="564" t="s">
        <v>4894</v>
      </c>
      <c r="B1279" s="565" t="s">
        <v>472</v>
      </c>
      <c r="C1279" s="566">
        <v>45003</v>
      </c>
      <c r="D1279" s="443">
        <v>45003</v>
      </c>
      <c r="E1279" s="566" t="s">
        <v>478</v>
      </c>
      <c r="F1279" s="453" t="s">
        <v>4891</v>
      </c>
      <c r="G1279" s="567" t="s">
        <v>3655</v>
      </c>
      <c r="H1279" s="442" t="s">
        <v>4757</v>
      </c>
      <c r="I1279" s="362">
        <f t="shared" si="98"/>
        <v>7127.9610000000002</v>
      </c>
      <c r="J1279" s="362">
        <v>1244.509</v>
      </c>
      <c r="K1279" s="362">
        <v>1244.509</v>
      </c>
      <c r="L1279" s="362">
        <f t="shared" si="96"/>
        <v>248.90180000000001</v>
      </c>
      <c r="M1279" s="362" t="s">
        <v>6171</v>
      </c>
      <c r="N1279" s="564" t="s">
        <v>3785</v>
      </c>
      <c r="O1279" s="433" t="s">
        <v>4120</v>
      </c>
      <c r="P1279" s="430" t="s">
        <v>3659</v>
      </c>
      <c r="Q1279" s="431">
        <v>0.2</v>
      </c>
      <c r="R1279" s="452">
        <v>1900000917</v>
      </c>
      <c r="S1279" s="568" t="s">
        <v>57</v>
      </c>
      <c r="T1279" s="560" t="s">
        <v>5915</v>
      </c>
    </row>
    <row r="1280" spans="1:20" s="619" customFormat="1" hidden="1" x14ac:dyDescent="0.35">
      <c r="A1280" s="613" t="s">
        <v>4895</v>
      </c>
      <c r="B1280" s="614" t="s">
        <v>472</v>
      </c>
      <c r="C1280" s="615">
        <v>45003</v>
      </c>
      <c r="D1280" s="443">
        <v>45003</v>
      </c>
      <c r="E1280" s="615" t="s">
        <v>481</v>
      </c>
      <c r="F1280" s="453" t="s">
        <v>4891</v>
      </c>
      <c r="G1280" s="616" t="s">
        <v>3655</v>
      </c>
      <c r="H1280" s="442" t="s">
        <v>4757</v>
      </c>
      <c r="I1280" s="362">
        <f t="shared" si="98"/>
        <v>7127.9610000000002</v>
      </c>
      <c r="J1280" s="362">
        <v>1244.509</v>
      </c>
      <c r="K1280" s="362">
        <v>1244.509</v>
      </c>
      <c r="L1280" s="362">
        <f t="shared" si="96"/>
        <v>248.90180000000001</v>
      </c>
      <c r="M1280" s="362" t="s">
        <v>6171</v>
      </c>
      <c r="N1280" s="613" t="s">
        <v>3785</v>
      </c>
      <c r="O1280" s="433" t="s">
        <v>4120</v>
      </c>
      <c r="P1280" s="430" t="s">
        <v>3659</v>
      </c>
      <c r="Q1280" s="431">
        <v>0.2</v>
      </c>
      <c r="R1280" s="452">
        <v>1900000917</v>
      </c>
      <c r="S1280" s="617" t="s">
        <v>482</v>
      </c>
      <c r="T1280" s="618" t="s">
        <v>5915</v>
      </c>
    </row>
    <row r="1281" spans="1:20" s="619" customFormat="1" hidden="1" x14ac:dyDescent="0.35">
      <c r="A1281" s="613" t="s">
        <v>4896</v>
      </c>
      <c r="B1281" s="614" t="s">
        <v>472</v>
      </c>
      <c r="C1281" s="615">
        <v>45003</v>
      </c>
      <c r="D1281" s="443">
        <v>45003</v>
      </c>
      <c r="E1281" s="615" t="s">
        <v>483</v>
      </c>
      <c r="F1281" s="453" t="s">
        <v>4891</v>
      </c>
      <c r="G1281" s="616" t="s">
        <v>3655</v>
      </c>
      <c r="H1281" s="442" t="s">
        <v>4757</v>
      </c>
      <c r="I1281" s="362">
        <f t="shared" si="98"/>
        <v>7127.9610000000002</v>
      </c>
      <c r="J1281" s="362">
        <v>1244.509</v>
      </c>
      <c r="K1281" s="362">
        <v>1244.509</v>
      </c>
      <c r="L1281" s="362">
        <f t="shared" si="96"/>
        <v>248.90180000000001</v>
      </c>
      <c r="M1281" s="362" t="s">
        <v>6171</v>
      </c>
      <c r="N1281" s="613" t="s">
        <v>3785</v>
      </c>
      <c r="O1281" s="433" t="s">
        <v>4120</v>
      </c>
      <c r="P1281" s="430" t="s">
        <v>3659</v>
      </c>
      <c r="Q1281" s="431">
        <v>0.2</v>
      </c>
      <c r="R1281" s="452">
        <v>1900000917</v>
      </c>
      <c r="S1281" s="617" t="s">
        <v>484</v>
      </c>
      <c r="T1281" s="618" t="s">
        <v>5915</v>
      </c>
    </row>
    <row r="1282" spans="1:20" s="594" customFormat="1" hidden="1" x14ac:dyDescent="0.35">
      <c r="A1282" s="608" t="s">
        <v>4897</v>
      </c>
      <c r="B1282" s="609" t="s">
        <v>472</v>
      </c>
      <c r="C1282" s="610">
        <v>45003</v>
      </c>
      <c r="D1282" s="443">
        <v>45003</v>
      </c>
      <c r="E1282" s="610" t="s">
        <v>485</v>
      </c>
      <c r="F1282" s="453" t="s">
        <v>4891</v>
      </c>
      <c r="G1282" s="626" t="s">
        <v>3655</v>
      </c>
      <c r="H1282" s="442" t="s">
        <v>4757</v>
      </c>
      <c r="I1282" s="362">
        <f t="shared" si="98"/>
        <v>7127.9610000000002</v>
      </c>
      <c r="J1282" s="362">
        <v>1244.509</v>
      </c>
      <c r="K1282" s="362">
        <v>1244.509</v>
      </c>
      <c r="L1282" s="362">
        <f t="shared" si="96"/>
        <v>248.90180000000001</v>
      </c>
      <c r="M1282" s="362" t="s">
        <v>6171</v>
      </c>
      <c r="N1282" s="608" t="s">
        <v>3785</v>
      </c>
      <c r="O1282" s="433" t="s">
        <v>4120</v>
      </c>
      <c r="P1282" s="430" t="s">
        <v>3659</v>
      </c>
      <c r="Q1282" s="431">
        <v>0.2</v>
      </c>
      <c r="R1282" s="452">
        <v>1900000917</v>
      </c>
      <c r="S1282" s="612" t="s">
        <v>4001</v>
      </c>
      <c r="T1282" s="588" t="s">
        <v>5915</v>
      </c>
    </row>
    <row r="1283" spans="1:20" s="561" customFormat="1" hidden="1" x14ac:dyDescent="0.35">
      <c r="A1283" s="564" t="s">
        <v>4898</v>
      </c>
      <c r="B1283" s="565" t="s">
        <v>472</v>
      </c>
      <c r="C1283" s="566">
        <v>45003</v>
      </c>
      <c r="D1283" s="443">
        <v>45003</v>
      </c>
      <c r="E1283" s="566" t="s">
        <v>486</v>
      </c>
      <c r="F1283" s="453" t="s">
        <v>4891</v>
      </c>
      <c r="G1283" s="567" t="s">
        <v>3655</v>
      </c>
      <c r="H1283" s="442" t="s">
        <v>4757</v>
      </c>
      <c r="I1283" s="362">
        <f t="shared" si="98"/>
        <v>7127.9610000000002</v>
      </c>
      <c r="J1283" s="362">
        <v>1244.509</v>
      </c>
      <c r="K1283" s="362">
        <v>1244.509</v>
      </c>
      <c r="L1283" s="362">
        <f t="shared" si="96"/>
        <v>248.90180000000001</v>
      </c>
      <c r="M1283" s="362" t="s">
        <v>6171</v>
      </c>
      <c r="N1283" s="564" t="s">
        <v>3785</v>
      </c>
      <c r="O1283" s="433" t="s">
        <v>4120</v>
      </c>
      <c r="P1283" s="430" t="s">
        <v>3659</v>
      </c>
      <c r="Q1283" s="431">
        <v>0.2</v>
      </c>
      <c r="R1283" s="452">
        <v>1900000917</v>
      </c>
      <c r="S1283" s="568" t="s">
        <v>57</v>
      </c>
      <c r="T1283" s="560" t="s">
        <v>5915</v>
      </c>
    </row>
    <row r="1284" spans="1:20" s="619" customFormat="1" hidden="1" x14ac:dyDescent="0.35">
      <c r="A1284" s="613" t="s">
        <v>4899</v>
      </c>
      <c r="B1284" s="614" t="s">
        <v>472</v>
      </c>
      <c r="C1284" s="615">
        <v>45003</v>
      </c>
      <c r="D1284" s="443">
        <v>45003</v>
      </c>
      <c r="E1284" s="615" t="s">
        <v>4900</v>
      </c>
      <c r="F1284" s="453" t="s">
        <v>4891</v>
      </c>
      <c r="G1284" s="616" t="s">
        <v>3655</v>
      </c>
      <c r="H1284" s="442" t="s">
        <v>4757</v>
      </c>
      <c r="I1284" s="362">
        <f t="shared" si="98"/>
        <v>7127.9610000000002</v>
      </c>
      <c r="J1284" s="362">
        <v>1244.509</v>
      </c>
      <c r="K1284" s="362">
        <v>1244.509</v>
      </c>
      <c r="L1284" s="362">
        <f t="shared" si="96"/>
        <v>248.90180000000001</v>
      </c>
      <c r="M1284" s="362" t="s">
        <v>6171</v>
      </c>
      <c r="N1284" s="613" t="s">
        <v>3785</v>
      </c>
      <c r="O1284" s="433" t="s">
        <v>4120</v>
      </c>
      <c r="P1284" s="430" t="s">
        <v>3659</v>
      </c>
      <c r="Q1284" s="431">
        <v>0.2</v>
      </c>
      <c r="R1284" s="452">
        <v>1900000917</v>
      </c>
      <c r="S1284" s="617" t="s">
        <v>488</v>
      </c>
      <c r="T1284" s="618" t="s">
        <v>5915</v>
      </c>
    </row>
    <row r="1285" spans="1:20" s="619" customFormat="1" hidden="1" x14ac:dyDescent="0.35">
      <c r="A1285" s="613" t="s">
        <v>4901</v>
      </c>
      <c r="B1285" s="614" t="s">
        <v>472</v>
      </c>
      <c r="C1285" s="615">
        <v>45003</v>
      </c>
      <c r="D1285" s="443">
        <v>45003</v>
      </c>
      <c r="E1285" s="615" t="s">
        <v>489</v>
      </c>
      <c r="F1285" s="453" t="s">
        <v>4891</v>
      </c>
      <c r="G1285" s="616" t="s">
        <v>3655</v>
      </c>
      <c r="H1285" s="442" t="s">
        <v>4757</v>
      </c>
      <c r="I1285" s="362">
        <f t="shared" si="98"/>
        <v>7127.9610000000002</v>
      </c>
      <c r="J1285" s="362">
        <v>1244.509</v>
      </c>
      <c r="K1285" s="362">
        <v>1244.509</v>
      </c>
      <c r="L1285" s="362">
        <f t="shared" si="96"/>
        <v>248.90180000000001</v>
      </c>
      <c r="M1285" s="362" t="s">
        <v>6171</v>
      </c>
      <c r="N1285" s="613" t="s">
        <v>3785</v>
      </c>
      <c r="O1285" s="433" t="s">
        <v>4120</v>
      </c>
      <c r="P1285" s="430" t="s">
        <v>3659</v>
      </c>
      <c r="Q1285" s="431">
        <v>0.2</v>
      </c>
      <c r="R1285" s="452">
        <v>1900000917</v>
      </c>
      <c r="S1285" s="617" t="s">
        <v>490</v>
      </c>
      <c r="T1285" s="618" t="s">
        <v>5915</v>
      </c>
    </row>
    <row r="1286" spans="1:20" s="691" customFormat="1" hidden="1" x14ac:dyDescent="0.35">
      <c r="A1286" s="685"/>
      <c r="B1286" s="686" t="s">
        <v>472</v>
      </c>
      <c r="C1286" s="687">
        <v>45003</v>
      </c>
      <c r="D1286" s="443"/>
      <c r="E1286" s="708" t="s">
        <v>6119</v>
      </c>
      <c r="F1286" s="453"/>
      <c r="G1286" s="688" t="s">
        <v>3655</v>
      </c>
      <c r="H1286" s="442"/>
      <c r="I1286" s="362">
        <v>7127.9610000000002</v>
      </c>
      <c r="J1286" s="362">
        <v>1244.509</v>
      </c>
      <c r="K1286" s="362">
        <v>1244.509</v>
      </c>
      <c r="L1286" s="362">
        <v>248.90180000000001</v>
      </c>
      <c r="M1286" s="362" t="s">
        <v>6171</v>
      </c>
      <c r="N1286" s="685" t="s">
        <v>3785</v>
      </c>
      <c r="O1286" s="433"/>
      <c r="P1286" s="430"/>
      <c r="Q1286" s="431"/>
      <c r="R1286" s="452"/>
      <c r="S1286" s="689" t="s">
        <v>6165</v>
      </c>
      <c r="T1286" s="690" t="s">
        <v>5915</v>
      </c>
    </row>
    <row r="1287" spans="1:20" s="561" customFormat="1" hidden="1" x14ac:dyDescent="0.35">
      <c r="A1287" s="564" t="s">
        <v>4902</v>
      </c>
      <c r="B1287" s="565" t="s">
        <v>491</v>
      </c>
      <c r="C1287" s="566">
        <v>44361</v>
      </c>
      <c r="D1287" s="443">
        <v>44361</v>
      </c>
      <c r="E1287" s="566" t="s">
        <v>492</v>
      </c>
      <c r="F1287" s="453" t="s">
        <v>4903</v>
      </c>
      <c r="G1287" s="567" t="s">
        <v>3655</v>
      </c>
      <c r="H1287" s="442" t="s">
        <v>4757</v>
      </c>
      <c r="I1287" s="362">
        <v>6150.4629999999997</v>
      </c>
      <c r="J1287" s="362">
        <v>1059.2190000000001</v>
      </c>
      <c r="K1287" s="362">
        <v>1059.2190000000001</v>
      </c>
      <c r="L1287" s="362">
        <f t="shared" ref="L1287:L1350" si="99">+K1287*Q1287</f>
        <v>211.84380000000002</v>
      </c>
      <c r="M1287" s="362" t="s">
        <v>6171</v>
      </c>
      <c r="N1287" s="564" t="s">
        <v>3785</v>
      </c>
      <c r="O1287" s="433" t="s">
        <v>4120</v>
      </c>
      <c r="P1287" s="430" t="s">
        <v>3659</v>
      </c>
      <c r="Q1287" s="431">
        <v>0.2</v>
      </c>
      <c r="R1287" s="452">
        <v>1900002614</v>
      </c>
      <c r="S1287" s="568" t="s">
        <v>57</v>
      </c>
      <c r="T1287" s="560" t="s">
        <v>5915</v>
      </c>
    </row>
    <row r="1288" spans="1:20" s="594" customFormat="1" hidden="1" x14ac:dyDescent="0.35">
      <c r="A1288" s="608" t="s">
        <v>4904</v>
      </c>
      <c r="B1288" s="609" t="s">
        <v>491</v>
      </c>
      <c r="C1288" s="610">
        <v>44361</v>
      </c>
      <c r="D1288" s="443">
        <v>44361</v>
      </c>
      <c r="E1288" s="610" t="s">
        <v>493</v>
      </c>
      <c r="F1288" s="453" t="s">
        <v>4903</v>
      </c>
      <c r="G1288" s="626" t="s">
        <v>3655</v>
      </c>
      <c r="H1288" s="442" t="s">
        <v>4757</v>
      </c>
      <c r="I1288" s="362">
        <v>6150.4629999999997</v>
      </c>
      <c r="J1288" s="362">
        <v>1059.2190000000001</v>
      </c>
      <c r="K1288" s="362">
        <v>1059.2190000000001</v>
      </c>
      <c r="L1288" s="362">
        <f t="shared" si="99"/>
        <v>211.84380000000002</v>
      </c>
      <c r="M1288" s="362" t="s">
        <v>6171</v>
      </c>
      <c r="N1288" s="432" t="s">
        <v>3785</v>
      </c>
      <c r="O1288" s="433" t="s">
        <v>4120</v>
      </c>
      <c r="P1288" s="430" t="s">
        <v>3659</v>
      </c>
      <c r="Q1288" s="431">
        <v>0.2</v>
      </c>
      <c r="R1288" s="452">
        <v>1900002614</v>
      </c>
      <c r="S1288" s="612" t="s">
        <v>3475</v>
      </c>
      <c r="T1288" s="588" t="s">
        <v>5915</v>
      </c>
    </row>
    <row r="1289" spans="1:20" s="619" customFormat="1" hidden="1" x14ac:dyDescent="0.35">
      <c r="A1289" s="613" t="s">
        <v>4905</v>
      </c>
      <c r="B1289" s="614" t="s">
        <v>491</v>
      </c>
      <c r="C1289" s="615">
        <v>44361</v>
      </c>
      <c r="D1289" s="443">
        <v>44361</v>
      </c>
      <c r="E1289" s="615" t="s">
        <v>494</v>
      </c>
      <c r="F1289" s="453" t="s">
        <v>4903</v>
      </c>
      <c r="G1289" s="616" t="s">
        <v>3655</v>
      </c>
      <c r="H1289" s="442" t="s">
        <v>4757</v>
      </c>
      <c r="I1289" s="362">
        <v>6150.4629999999997</v>
      </c>
      <c r="J1289" s="362">
        <v>1059.2190000000001</v>
      </c>
      <c r="K1289" s="362">
        <v>1059.2190000000001</v>
      </c>
      <c r="L1289" s="362">
        <f t="shared" si="99"/>
        <v>211.84380000000002</v>
      </c>
      <c r="M1289" s="362" t="s">
        <v>6171</v>
      </c>
      <c r="N1289" s="613" t="s">
        <v>3785</v>
      </c>
      <c r="O1289" s="433" t="s">
        <v>4120</v>
      </c>
      <c r="P1289" s="430" t="s">
        <v>3659</v>
      </c>
      <c r="Q1289" s="431">
        <v>0.2</v>
      </c>
      <c r="R1289" s="452">
        <v>1900002614</v>
      </c>
      <c r="S1289" s="617" t="s">
        <v>495</v>
      </c>
      <c r="T1289" s="618" t="s">
        <v>5915</v>
      </c>
    </row>
    <row r="1290" spans="1:20" s="619" customFormat="1" hidden="1" x14ac:dyDescent="0.35">
      <c r="A1290" s="613" t="s">
        <v>4906</v>
      </c>
      <c r="B1290" s="614" t="s">
        <v>491</v>
      </c>
      <c r="C1290" s="615">
        <v>44361</v>
      </c>
      <c r="D1290" s="443">
        <v>44361</v>
      </c>
      <c r="E1290" s="615" t="s">
        <v>496</v>
      </c>
      <c r="F1290" s="453" t="s">
        <v>4903</v>
      </c>
      <c r="G1290" s="616" t="s">
        <v>3655</v>
      </c>
      <c r="H1290" s="442" t="s">
        <v>4757</v>
      </c>
      <c r="I1290" s="362">
        <v>6150.4629999999997</v>
      </c>
      <c r="J1290" s="362">
        <v>1059.2190000000001</v>
      </c>
      <c r="K1290" s="362">
        <v>1059.2190000000001</v>
      </c>
      <c r="L1290" s="362">
        <f t="shared" si="99"/>
        <v>211.84380000000002</v>
      </c>
      <c r="M1290" s="362" t="s">
        <v>6171</v>
      </c>
      <c r="N1290" s="613" t="s">
        <v>3785</v>
      </c>
      <c r="O1290" s="433" t="s">
        <v>4120</v>
      </c>
      <c r="P1290" s="430" t="s">
        <v>3659</v>
      </c>
      <c r="Q1290" s="431">
        <v>0.2</v>
      </c>
      <c r="R1290" s="452">
        <v>1900002614</v>
      </c>
      <c r="S1290" s="617" t="s">
        <v>497</v>
      </c>
      <c r="T1290" s="618" t="s">
        <v>5915</v>
      </c>
    </row>
    <row r="1291" spans="1:20" s="561" customFormat="1" hidden="1" x14ac:dyDescent="0.35">
      <c r="A1291" s="564" t="s">
        <v>4907</v>
      </c>
      <c r="B1291" s="565" t="s">
        <v>491</v>
      </c>
      <c r="C1291" s="566">
        <v>44361</v>
      </c>
      <c r="D1291" s="443">
        <v>44361</v>
      </c>
      <c r="E1291" s="566" t="s">
        <v>498</v>
      </c>
      <c r="F1291" s="453" t="s">
        <v>4903</v>
      </c>
      <c r="G1291" s="567" t="s">
        <v>3655</v>
      </c>
      <c r="H1291" s="442" t="s">
        <v>4757</v>
      </c>
      <c r="I1291" s="362">
        <v>6150.4629999999997</v>
      </c>
      <c r="J1291" s="362">
        <v>1059.2190000000001</v>
      </c>
      <c r="K1291" s="362">
        <v>1059.2190000000001</v>
      </c>
      <c r="L1291" s="362">
        <f t="shared" si="99"/>
        <v>211.84380000000002</v>
      </c>
      <c r="M1291" s="362" t="s">
        <v>6171</v>
      </c>
      <c r="N1291" s="564" t="s">
        <v>3785</v>
      </c>
      <c r="O1291" s="433" t="s">
        <v>4120</v>
      </c>
      <c r="P1291" s="430" t="s">
        <v>3659</v>
      </c>
      <c r="Q1291" s="431">
        <v>0.2</v>
      </c>
      <c r="R1291" s="452">
        <v>1900002614</v>
      </c>
      <c r="S1291" s="568" t="s">
        <v>57</v>
      </c>
      <c r="T1291" s="560" t="s">
        <v>5915</v>
      </c>
    </row>
    <row r="1292" spans="1:20" s="657" customFormat="1" hidden="1" x14ac:dyDescent="0.35">
      <c r="A1292" s="652" t="s">
        <v>4908</v>
      </c>
      <c r="B1292" s="653" t="s">
        <v>491</v>
      </c>
      <c r="C1292" s="654">
        <v>44361</v>
      </c>
      <c r="D1292" s="443">
        <v>44361</v>
      </c>
      <c r="E1292" s="654" t="s">
        <v>499</v>
      </c>
      <c r="F1292" s="453" t="s">
        <v>4903</v>
      </c>
      <c r="G1292" s="655" t="s">
        <v>3655</v>
      </c>
      <c r="H1292" s="442" t="s">
        <v>4757</v>
      </c>
      <c r="I1292" s="362">
        <v>6150.4629999999997</v>
      </c>
      <c r="J1292" s="362">
        <v>1059.2190000000001</v>
      </c>
      <c r="K1292" s="362">
        <v>1059.2190000000001</v>
      </c>
      <c r="L1292" s="362">
        <f t="shared" si="99"/>
        <v>211.84380000000002</v>
      </c>
      <c r="M1292" s="362" t="s">
        <v>6171</v>
      </c>
      <c r="N1292" s="652" t="s">
        <v>3785</v>
      </c>
      <c r="O1292" s="433" t="s">
        <v>4120</v>
      </c>
      <c r="P1292" s="430" t="s">
        <v>3659</v>
      </c>
      <c r="Q1292" s="431">
        <v>0.2</v>
      </c>
      <c r="R1292" s="452">
        <v>1900002614</v>
      </c>
      <c r="S1292" s="656" t="s">
        <v>6200</v>
      </c>
      <c r="T1292" s="251" t="s">
        <v>5915</v>
      </c>
    </row>
    <row r="1293" spans="1:20" s="619" customFormat="1" hidden="1" x14ac:dyDescent="0.35">
      <c r="A1293" s="613" t="s">
        <v>4909</v>
      </c>
      <c r="B1293" s="614" t="s">
        <v>491</v>
      </c>
      <c r="C1293" s="615">
        <v>44361</v>
      </c>
      <c r="D1293" s="443">
        <v>44361</v>
      </c>
      <c r="E1293" s="615" t="s">
        <v>500</v>
      </c>
      <c r="F1293" s="453" t="s">
        <v>4903</v>
      </c>
      <c r="G1293" s="616" t="s">
        <v>3655</v>
      </c>
      <c r="H1293" s="442" t="s">
        <v>4757</v>
      </c>
      <c r="I1293" s="362">
        <v>6150.4629999999997</v>
      </c>
      <c r="J1293" s="362">
        <v>1059.2190000000001</v>
      </c>
      <c r="K1293" s="362">
        <v>1059.2190000000001</v>
      </c>
      <c r="L1293" s="362">
        <f t="shared" si="99"/>
        <v>211.84380000000002</v>
      </c>
      <c r="M1293" s="362" t="s">
        <v>6171</v>
      </c>
      <c r="N1293" s="613" t="s">
        <v>3785</v>
      </c>
      <c r="O1293" s="433" t="s">
        <v>4120</v>
      </c>
      <c r="P1293" s="430" t="s">
        <v>3659</v>
      </c>
      <c r="Q1293" s="431">
        <v>0.2</v>
      </c>
      <c r="R1293" s="452">
        <v>1900002614</v>
      </c>
      <c r="S1293" s="617" t="s">
        <v>501</v>
      </c>
      <c r="T1293" s="618" t="s">
        <v>5915</v>
      </c>
    </row>
    <row r="1294" spans="1:20" s="619" customFormat="1" hidden="1" x14ac:dyDescent="0.35">
      <c r="A1294" s="613" t="s">
        <v>4910</v>
      </c>
      <c r="B1294" s="614" t="s">
        <v>491</v>
      </c>
      <c r="C1294" s="615">
        <v>44361</v>
      </c>
      <c r="D1294" s="443">
        <v>44361</v>
      </c>
      <c r="E1294" s="615" t="s">
        <v>502</v>
      </c>
      <c r="F1294" s="453" t="s">
        <v>4903</v>
      </c>
      <c r="G1294" s="616" t="s">
        <v>3655</v>
      </c>
      <c r="H1294" s="442" t="s">
        <v>4757</v>
      </c>
      <c r="I1294" s="362">
        <v>6150.4629999999997</v>
      </c>
      <c r="J1294" s="362">
        <v>1059.2190000000001</v>
      </c>
      <c r="K1294" s="362">
        <v>1059.2190000000001</v>
      </c>
      <c r="L1294" s="362">
        <f t="shared" si="99"/>
        <v>211.84380000000002</v>
      </c>
      <c r="M1294" s="362" t="s">
        <v>6171</v>
      </c>
      <c r="N1294" s="613" t="s">
        <v>3785</v>
      </c>
      <c r="O1294" s="433" t="s">
        <v>4120</v>
      </c>
      <c r="P1294" s="430" t="s">
        <v>3659</v>
      </c>
      <c r="Q1294" s="431">
        <v>0.2</v>
      </c>
      <c r="R1294" s="452">
        <v>1900002614</v>
      </c>
      <c r="S1294" s="617" t="s">
        <v>6165</v>
      </c>
      <c r="T1294" s="618" t="s">
        <v>5915</v>
      </c>
    </row>
    <row r="1295" spans="1:20" s="594" customFormat="1" hidden="1" x14ac:dyDescent="0.35">
      <c r="A1295" s="608" t="s">
        <v>4911</v>
      </c>
      <c r="B1295" s="609" t="s">
        <v>491</v>
      </c>
      <c r="C1295" s="610">
        <v>44361</v>
      </c>
      <c r="D1295" s="443">
        <v>44361</v>
      </c>
      <c r="E1295" s="610" t="s">
        <v>504</v>
      </c>
      <c r="F1295" s="453" t="s">
        <v>4903</v>
      </c>
      <c r="G1295" s="626" t="s">
        <v>3655</v>
      </c>
      <c r="H1295" s="442" t="s">
        <v>4757</v>
      </c>
      <c r="I1295" s="362">
        <v>6150.4629999999997</v>
      </c>
      <c r="J1295" s="362">
        <v>1059.2190000000001</v>
      </c>
      <c r="K1295" s="362">
        <v>1059.2190000000001</v>
      </c>
      <c r="L1295" s="362">
        <f t="shared" si="99"/>
        <v>211.84380000000002</v>
      </c>
      <c r="M1295" s="362" t="s">
        <v>6171</v>
      </c>
      <c r="N1295" s="608" t="s">
        <v>3785</v>
      </c>
      <c r="O1295" s="433" t="s">
        <v>4120</v>
      </c>
      <c r="P1295" s="430" t="s">
        <v>3659</v>
      </c>
      <c r="Q1295" s="431">
        <v>0.2</v>
      </c>
      <c r="R1295" s="452">
        <v>1900002614</v>
      </c>
      <c r="S1295" s="612" t="s">
        <v>4001</v>
      </c>
      <c r="T1295" s="588" t="s">
        <v>5915</v>
      </c>
    </row>
    <row r="1296" spans="1:20" s="619" customFormat="1" hidden="1" x14ac:dyDescent="0.35">
      <c r="A1296" s="613" t="s">
        <v>4912</v>
      </c>
      <c r="B1296" s="614" t="s">
        <v>505</v>
      </c>
      <c r="C1296" s="615">
        <v>44368</v>
      </c>
      <c r="D1296" s="443">
        <v>44368</v>
      </c>
      <c r="E1296" s="615" t="s">
        <v>506</v>
      </c>
      <c r="F1296" s="453" t="s">
        <v>4913</v>
      </c>
      <c r="G1296" s="616" t="s">
        <v>3655</v>
      </c>
      <c r="H1296" s="442" t="s">
        <v>4757</v>
      </c>
      <c r="I1296" s="362">
        <f>69870/5</f>
        <v>13974</v>
      </c>
      <c r="J1296" s="362">
        <f>11981.24/5</f>
        <v>2396.248</v>
      </c>
      <c r="K1296" s="362">
        <v>2396.248</v>
      </c>
      <c r="L1296" s="362">
        <f t="shared" si="99"/>
        <v>479.24960000000004</v>
      </c>
      <c r="M1296" s="362" t="s">
        <v>6171</v>
      </c>
      <c r="N1296" s="613" t="s">
        <v>3785</v>
      </c>
      <c r="O1296" s="433" t="s">
        <v>4120</v>
      </c>
      <c r="P1296" s="430" t="s">
        <v>3659</v>
      </c>
      <c r="Q1296" s="431">
        <v>0.2</v>
      </c>
      <c r="R1296" s="452">
        <v>1900001990</v>
      </c>
      <c r="S1296" s="617" t="s">
        <v>507</v>
      </c>
      <c r="T1296" s="618" t="s">
        <v>5915</v>
      </c>
    </row>
    <row r="1297" spans="1:20" s="691" customFormat="1" hidden="1" x14ac:dyDescent="0.35">
      <c r="A1297" s="685" t="s">
        <v>4914</v>
      </c>
      <c r="B1297" s="686" t="s">
        <v>505</v>
      </c>
      <c r="C1297" s="687">
        <v>44368</v>
      </c>
      <c r="D1297" s="443">
        <v>44368</v>
      </c>
      <c r="E1297" s="687" t="s">
        <v>508</v>
      </c>
      <c r="F1297" s="453" t="s">
        <v>4913</v>
      </c>
      <c r="G1297" s="688" t="s">
        <v>3655</v>
      </c>
      <c r="H1297" s="442" t="s">
        <v>4757</v>
      </c>
      <c r="I1297" s="362">
        <f>69870/5</f>
        <v>13974</v>
      </c>
      <c r="J1297" s="362">
        <f>11981.24/5</f>
        <v>2396.248</v>
      </c>
      <c r="K1297" s="362">
        <v>2396.248</v>
      </c>
      <c r="L1297" s="362">
        <f t="shared" si="99"/>
        <v>479.24960000000004</v>
      </c>
      <c r="M1297" s="362" t="s">
        <v>6171</v>
      </c>
      <c r="N1297" s="685" t="s">
        <v>3785</v>
      </c>
      <c r="O1297" s="433" t="s">
        <v>4120</v>
      </c>
      <c r="P1297" s="430" t="s">
        <v>3659</v>
      </c>
      <c r="Q1297" s="431">
        <v>0.2</v>
      </c>
      <c r="R1297" s="452">
        <v>1900001990</v>
      </c>
      <c r="S1297" s="689" t="s">
        <v>509</v>
      </c>
      <c r="T1297" s="690" t="s">
        <v>5915</v>
      </c>
    </row>
    <row r="1298" spans="1:20" s="691" customFormat="1" hidden="1" x14ac:dyDescent="0.35">
      <c r="A1298" s="685" t="s">
        <v>4915</v>
      </c>
      <c r="B1298" s="686" t="s">
        <v>505</v>
      </c>
      <c r="C1298" s="687">
        <v>44368</v>
      </c>
      <c r="D1298" s="443">
        <v>44368</v>
      </c>
      <c r="E1298" s="687" t="s">
        <v>510</v>
      </c>
      <c r="F1298" s="453" t="s">
        <v>4913</v>
      </c>
      <c r="G1298" s="688" t="s">
        <v>3655</v>
      </c>
      <c r="H1298" s="442" t="s">
        <v>4757</v>
      </c>
      <c r="I1298" s="362">
        <f>69870/5</f>
        <v>13974</v>
      </c>
      <c r="J1298" s="362">
        <f>11981.24/5</f>
        <v>2396.248</v>
      </c>
      <c r="K1298" s="362">
        <v>2396.248</v>
      </c>
      <c r="L1298" s="362">
        <f t="shared" si="99"/>
        <v>479.24960000000004</v>
      </c>
      <c r="M1298" s="362" t="s">
        <v>6171</v>
      </c>
      <c r="N1298" s="685" t="s">
        <v>3785</v>
      </c>
      <c r="O1298" s="433" t="s">
        <v>4120</v>
      </c>
      <c r="P1298" s="430" t="s">
        <v>3659</v>
      </c>
      <c r="Q1298" s="431">
        <v>0.2</v>
      </c>
      <c r="R1298" s="452">
        <v>1900001990</v>
      </c>
      <c r="S1298" s="689" t="s">
        <v>509</v>
      </c>
      <c r="T1298" s="690" t="s">
        <v>5915</v>
      </c>
    </row>
    <row r="1299" spans="1:20" s="691" customFormat="1" hidden="1" x14ac:dyDescent="0.35">
      <c r="A1299" s="685" t="s">
        <v>4916</v>
      </c>
      <c r="B1299" s="686" t="s">
        <v>505</v>
      </c>
      <c r="C1299" s="687">
        <v>44368</v>
      </c>
      <c r="D1299" s="443">
        <v>44368</v>
      </c>
      <c r="E1299" s="687" t="s">
        <v>511</v>
      </c>
      <c r="F1299" s="453" t="s">
        <v>4913</v>
      </c>
      <c r="G1299" s="688" t="s">
        <v>3655</v>
      </c>
      <c r="H1299" s="442" t="s">
        <v>4757</v>
      </c>
      <c r="I1299" s="362">
        <f>69870/5</f>
        <v>13974</v>
      </c>
      <c r="J1299" s="362">
        <f>11981.24/5</f>
        <v>2396.248</v>
      </c>
      <c r="K1299" s="362">
        <v>2396.248</v>
      </c>
      <c r="L1299" s="362">
        <f t="shared" si="99"/>
        <v>479.24960000000004</v>
      </c>
      <c r="M1299" s="362" t="s">
        <v>6171</v>
      </c>
      <c r="N1299" s="685" t="s">
        <v>3785</v>
      </c>
      <c r="O1299" s="433" t="s">
        <v>4120</v>
      </c>
      <c r="P1299" s="430" t="s">
        <v>3659</v>
      </c>
      <c r="Q1299" s="431">
        <v>0.2</v>
      </c>
      <c r="R1299" s="452">
        <v>1900001990</v>
      </c>
      <c r="S1299" s="689" t="s">
        <v>509</v>
      </c>
      <c r="T1299" s="690" t="s">
        <v>5915</v>
      </c>
    </row>
    <row r="1300" spans="1:20" s="691" customFormat="1" hidden="1" x14ac:dyDescent="0.35">
      <c r="A1300" s="685" t="s">
        <v>4917</v>
      </c>
      <c r="B1300" s="686" t="s">
        <v>505</v>
      </c>
      <c r="C1300" s="687">
        <v>44368</v>
      </c>
      <c r="D1300" s="443">
        <v>44368</v>
      </c>
      <c r="E1300" s="687" t="s">
        <v>512</v>
      </c>
      <c r="F1300" s="453" t="s">
        <v>4913</v>
      </c>
      <c r="G1300" s="688" t="s">
        <v>3655</v>
      </c>
      <c r="H1300" s="442" t="s">
        <v>4757</v>
      </c>
      <c r="I1300" s="362">
        <f>69870/5</f>
        <v>13974</v>
      </c>
      <c r="J1300" s="362">
        <f>11981.24/5</f>
        <v>2396.248</v>
      </c>
      <c r="K1300" s="362">
        <v>2396.248</v>
      </c>
      <c r="L1300" s="362">
        <f t="shared" si="99"/>
        <v>479.24960000000004</v>
      </c>
      <c r="M1300" s="362" t="s">
        <v>6171</v>
      </c>
      <c r="N1300" s="685" t="s">
        <v>3785</v>
      </c>
      <c r="O1300" s="433" t="s">
        <v>4120</v>
      </c>
      <c r="P1300" s="430" t="s">
        <v>3659</v>
      </c>
      <c r="Q1300" s="431">
        <v>0.2</v>
      </c>
      <c r="R1300" s="452">
        <v>1900001990</v>
      </c>
      <c r="S1300" s="689" t="s">
        <v>509</v>
      </c>
      <c r="T1300" s="690" t="s">
        <v>5915</v>
      </c>
    </row>
    <row r="1301" spans="1:20" s="619" customFormat="1" hidden="1" x14ac:dyDescent="0.35">
      <c r="A1301" s="613" t="s">
        <v>4918</v>
      </c>
      <c r="B1301" s="614" t="s">
        <v>435</v>
      </c>
      <c r="C1301" s="615">
        <v>44977</v>
      </c>
      <c r="D1301" s="443">
        <v>44977</v>
      </c>
      <c r="E1301" s="615" t="s">
        <v>513</v>
      </c>
      <c r="F1301" s="453">
        <v>2023300034</v>
      </c>
      <c r="G1301" s="616" t="s">
        <v>3655</v>
      </c>
      <c r="H1301" s="442" t="s">
        <v>4757</v>
      </c>
      <c r="I1301" s="362">
        <f>319871.31/20</f>
        <v>15993.565500000001</v>
      </c>
      <c r="J1301" s="362">
        <f>29444.7/20</f>
        <v>1472.2350000000001</v>
      </c>
      <c r="K1301" s="362">
        <v>1472.2350000000001</v>
      </c>
      <c r="L1301" s="362">
        <f t="shared" si="99"/>
        <v>294.44700000000006</v>
      </c>
      <c r="M1301" s="362" t="s">
        <v>6171</v>
      </c>
      <c r="N1301" s="613" t="s">
        <v>3785</v>
      </c>
      <c r="O1301" s="433" t="s">
        <v>4120</v>
      </c>
      <c r="P1301" s="430" t="s">
        <v>3659</v>
      </c>
      <c r="Q1301" s="431">
        <v>0.2</v>
      </c>
      <c r="R1301" s="452">
        <v>1900000836</v>
      </c>
      <c r="S1301" s="617" t="s">
        <v>514</v>
      </c>
      <c r="T1301" s="618" t="s">
        <v>5915</v>
      </c>
    </row>
    <row r="1302" spans="1:20" s="619" customFormat="1" hidden="1" x14ac:dyDescent="0.35">
      <c r="A1302" s="613" t="s">
        <v>4919</v>
      </c>
      <c r="B1302" s="614" t="s">
        <v>435</v>
      </c>
      <c r="C1302" s="615">
        <v>44977</v>
      </c>
      <c r="D1302" s="443">
        <v>44977</v>
      </c>
      <c r="E1302" s="615" t="s">
        <v>515</v>
      </c>
      <c r="F1302" s="453">
        <v>2023300034</v>
      </c>
      <c r="G1302" s="616" t="s">
        <v>3655</v>
      </c>
      <c r="H1302" s="442" t="s">
        <v>4757</v>
      </c>
      <c r="I1302" s="362">
        <f t="shared" ref="I1302:I1319" si="100">319871.31/20</f>
        <v>15993.565500000001</v>
      </c>
      <c r="J1302" s="362">
        <f t="shared" ref="J1302:J1319" si="101">29444.7/20</f>
        <v>1472.2350000000001</v>
      </c>
      <c r="K1302" s="362">
        <v>1472.2350000000001</v>
      </c>
      <c r="L1302" s="362">
        <f t="shared" si="99"/>
        <v>294.44700000000006</v>
      </c>
      <c r="M1302" s="362" t="s">
        <v>6171</v>
      </c>
      <c r="N1302" s="613" t="s">
        <v>3785</v>
      </c>
      <c r="O1302" s="433" t="s">
        <v>4120</v>
      </c>
      <c r="P1302" s="430" t="s">
        <v>3659</v>
      </c>
      <c r="Q1302" s="431">
        <v>0.2</v>
      </c>
      <c r="R1302" s="452">
        <v>1900000836</v>
      </c>
      <c r="S1302" s="617" t="s">
        <v>516</v>
      </c>
      <c r="T1302" s="618" t="s">
        <v>5915</v>
      </c>
    </row>
    <row r="1303" spans="1:20" s="691" customFormat="1" hidden="1" x14ac:dyDescent="0.35">
      <c r="A1303" s="685" t="s">
        <v>4920</v>
      </c>
      <c r="B1303" s="686" t="s">
        <v>435</v>
      </c>
      <c r="C1303" s="687">
        <v>44977</v>
      </c>
      <c r="D1303" s="443">
        <v>44977</v>
      </c>
      <c r="E1303" s="687" t="s">
        <v>517</v>
      </c>
      <c r="F1303" s="453">
        <v>2023300034</v>
      </c>
      <c r="G1303" s="688" t="s">
        <v>3655</v>
      </c>
      <c r="H1303" s="442" t="s">
        <v>4757</v>
      </c>
      <c r="I1303" s="362">
        <f t="shared" si="100"/>
        <v>15993.565500000001</v>
      </c>
      <c r="J1303" s="362">
        <f t="shared" si="101"/>
        <v>1472.2350000000001</v>
      </c>
      <c r="K1303" s="362">
        <v>1472.2350000000001</v>
      </c>
      <c r="L1303" s="362">
        <f t="shared" si="99"/>
        <v>294.44700000000006</v>
      </c>
      <c r="M1303" s="362" t="s">
        <v>6171</v>
      </c>
      <c r="N1303" s="613" t="s">
        <v>3785</v>
      </c>
      <c r="O1303" s="433" t="s">
        <v>4120</v>
      </c>
      <c r="P1303" s="430" t="s">
        <v>3659</v>
      </c>
      <c r="Q1303" s="431">
        <v>0.2</v>
      </c>
      <c r="R1303" s="452">
        <v>1900000836</v>
      </c>
      <c r="S1303" s="689" t="s">
        <v>6165</v>
      </c>
      <c r="T1303" s="690" t="s">
        <v>5915</v>
      </c>
    </row>
    <row r="1304" spans="1:20" s="619" customFormat="1" hidden="1" x14ac:dyDescent="0.35">
      <c r="A1304" s="613" t="s">
        <v>4921</v>
      </c>
      <c r="B1304" s="614" t="s">
        <v>435</v>
      </c>
      <c r="C1304" s="615">
        <v>44977</v>
      </c>
      <c r="D1304" s="443">
        <v>44977</v>
      </c>
      <c r="E1304" s="615" t="s">
        <v>518</v>
      </c>
      <c r="F1304" s="453">
        <v>2023300034</v>
      </c>
      <c r="G1304" s="616" t="s">
        <v>3655</v>
      </c>
      <c r="H1304" s="442" t="s">
        <v>4757</v>
      </c>
      <c r="I1304" s="362">
        <f t="shared" si="100"/>
        <v>15993.565500000001</v>
      </c>
      <c r="J1304" s="362">
        <f t="shared" si="101"/>
        <v>1472.2350000000001</v>
      </c>
      <c r="K1304" s="362">
        <v>1472.2350000000001</v>
      </c>
      <c r="L1304" s="362">
        <f t="shared" si="99"/>
        <v>294.44700000000006</v>
      </c>
      <c r="M1304" s="362" t="s">
        <v>6171</v>
      </c>
      <c r="N1304" s="432" t="s">
        <v>3785</v>
      </c>
      <c r="O1304" s="433" t="s">
        <v>4120</v>
      </c>
      <c r="P1304" s="430" t="s">
        <v>3659</v>
      </c>
      <c r="Q1304" s="431">
        <v>0.2</v>
      </c>
      <c r="R1304" s="452">
        <v>1900000836</v>
      </c>
      <c r="S1304" s="617" t="s">
        <v>519</v>
      </c>
      <c r="T1304" s="618" t="s">
        <v>5915</v>
      </c>
    </row>
    <row r="1305" spans="1:20" s="619" customFormat="1" hidden="1" x14ac:dyDescent="0.35">
      <c r="A1305" s="613" t="s">
        <v>4922</v>
      </c>
      <c r="B1305" s="614" t="s">
        <v>435</v>
      </c>
      <c r="C1305" s="615">
        <v>44977</v>
      </c>
      <c r="D1305" s="443">
        <v>44977</v>
      </c>
      <c r="E1305" s="615" t="s">
        <v>520</v>
      </c>
      <c r="F1305" s="453">
        <v>2023300034</v>
      </c>
      <c r="G1305" s="616" t="s">
        <v>3655</v>
      </c>
      <c r="H1305" s="442" t="s">
        <v>4757</v>
      </c>
      <c r="I1305" s="362">
        <f t="shared" si="100"/>
        <v>15993.565500000001</v>
      </c>
      <c r="J1305" s="362">
        <f t="shared" si="101"/>
        <v>1472.2350000000001</v>
      </c>
      <c r="K1305" s="362">
        <v>1472.2350000000001</v>
      </c>
      <c r="L1305" s="362">
        <f t="shared" si="99"/>
        <v>294.44700000000006</v>
      </c>
      <c r="M1305" s="362" t="s">
        <v>6171</v>
      </c>
      <c r="N1305" s="432" t="s">
        <v>3785</v>
      </c>
      <c r="O1305" s="433" t="s">
        <v>4120</v>
      </c>
      <c r="P1305" s="430" t="s">
        <v>3659</v>
      </c>
      <c r="Q1305" s="431">
        <v>0.2</v>
      </c>
      <c r="R1305" s="452">
        <v>1900000836</v>
      </c>
      <c r="S1305" s="617" t="s">
        <v>521</v>
      </c>
      <c r="T1305" s="618" t="s">
        <v>5915</v>
      </c>
    </row>
    <row r="1306" spans="1:20" s="619" customFormat="1" hidden="1" x14ac:dyDescent="0.35">
      <c r="A1306" s="613" t="s">
        <v>4923</v>
      </c>
      <c r="B1306" s="614" t="s">
        <v>435</v>
      </c>
      <c r="C1306" s="615">
        <v>44977</v>
      </c>
      <c r="D1306" s="443">
        <v>44977</v>
      </c>
      <c r="E1306" s="615" t="s">
        <v>522</v>
      </c>
      <c r="F1306" s="453">
        <v>2023300034</v>
      </c>
      <c r="G1306" s="616" t="s">
        <v>3655</v>
      </c>
      <c r="H1306" s="442" t="s">
        <v>4757</v>
      </c>
      <c r="I1306" s="362">
        <f t="shared" si="100"/>
        <v>15993.565500000001</v>
      </c>
      <c r="J1306" s="362">
        <f t="shared" si="101"/>
        <v>1472.2350000000001</v>
      </c>
      <c r="K1306" s="362">
        <v>1472.2350000000001</v>
      </c>
      <c r="L1306" s="362">
        <f t="shared" si="99"/>
        <v>294.44700000000006</v>
      </c>
      <c r="M1306" s="362" t="s">
        <v>6171</v>
      </c>
      <c r="N1306" s="432" t="s">
        <v>3785</v>
      </c>
      <c r="O1306" s="433" t="s">
        <v>4120</v>
      </c>
      <c r="P1306" s="430" t="s">
        <v>3659</v>
      </c>
      <c r="Q1306" s="431">
        <v>0.2</v>
      </c>
      <c r="R1306" s="452">
        <v>1900000836</v>
      </c>
      <c r="S1306" s="617" t="s">
        <v>523</v>
      </c>
      <c r="T1306" s="618" t="s">
        <v>5915</v>
      </c>
    </row>
    <row r="1307" spans="1:20" s="619" customFormat="1" hidden="1" x14ac:dyDescent="0.35">
      <c r="A1307" s="613" t="s">
        <v>4924</v>
      </c>
      <c r="B1307" s="614" t="s">
        <v>435</v>
      </c>
      <c r="C1307" s="615">
        <v>44977</v>
      </c>
      <c r="D1307" s="443">
        <v>44977</v>
      </c>
      <c r="E1307" s="615" t="s">
        <v>524</v>
      </c>
      <c r="F1307" s="453">
        <v>2023300034</v>
      </c>
      <c r="G1307" s="616" t="s">
        <v>3655</v>
      </c>
      <c r="H1307" s="442" t="s">
        <v>4757</v>
      </c>
      <c r="I1307" s="362">
        <f t="shared" si="100"/>
        <v>15993.565500000001</v>
      </c>
      <c r="J1307" s="362">
        <f t="shared" si="101"/>
        <v>1472.2350000000001</v>
      </c>
      <c r="K1307" s="362">
        <v>1472.2350000000001</v>
      </c>
      <c r="L1307" s="362">
        <f t="shared" si="99"/>
        <v>294.44700000000006</v>
      </c>
      <c r="M1307" s="362" t="s">
        <v>6171</v>
      </c>
      <c r="N1307" s="432" t="s">
        <v>3785</v>
      </c>
      <c r="O1307" s="433" t="s">
        <v>4120</v>
      </c>
      <c r="P1307" s="430" t="s">
        <v>3659</v>
      </c>
      <c r="Q1307" s="431">
        <v>0.2</v>
      </c>
      <c r="R1307" s="452">
        <v>1900000836</v>
      </c>
      <c r="S1307" s="617" t="s">
        <v>525</v>
      </c>
      <c r="T1307" s="618" t="s">
        <v>5915</v>
      </c>
    </row>
    <row r="1308" spans="1:20" s="619" customFormat="1" hidden="1" x14ac:dyDescent="0.35">
      <c r="A1308" s="613" t="s">
        <v>4925</v>
      </c>
      <c r="B1308" s="614" t="s">
        <v>435</v>
      </c>
      <c r="C1308" s="615">
        <v>44977</v>
      </c>
      <c r="D1308" s="443">
        <v>44977</v>
      </c>
      <c r="E1308" s="615" t="s">
        <v>526</v>
      </c>
      <c r="F1308" s="453">
        <v>2023300034</v>
      </c>
      <c r="G1308" s="616" t="s">
        <v>3655</v>
      </c>
      <c r="H1308" s="442" t="s">
        <v>4757</v>
      </c>
      <c r="I1308" s="362">
        <f t="shared" si="100"/>
        <v>15993.565500000001</v>
      </c>
      <c r="J1308" s="362">
        <f t="shared" si="101"/>
        <v>1472.2350000000001</v>
      </c>
      <c r="K1308" s="362">
        <v>1472.2350000000001</v>
      </c>
      <c r="L1308" s="362">
        <f t="shared" si="99"/>
        <v>294.44700000000006</v>
      </c>
      <c r="M1308" s="362" t="s">
        <v>6171</v>
      </c>
      <c r="N1308" s="432" t="s">
        <v>3785</v>
      </c>
      <c r="O1308" s="433" t="s">
        <v>4120</v>
      </c>
      <c r="P1308" s="430" t="s">
        <v>3659</v>
      </c>
      <c r="Q1308" s="431">
        <v>0.2</v>
      </c>
      <c r="R1308" s="452">
        <v>1900000836</v>
      </c>
      <c r="S1308" s="617" t="s">
        <v>3482</v>
      </c>
      <c r="T1308" s="618" t="s">
        <v>5915</v>
      </c>
    </row>
    <row r="1309" spans="1:20" s="619" customFormat="1" hidden="1" x14ac:dyDescent="0.35">
      <c r="A1309" s="613" t="s">
        <v>4926</v>
      </c>
      <c r="B1309" s="614" t="s">
        <v>435</v>
      </c>
      <c r="C1309" s="615">
        <v>44977</v>
      </c>
      <c r="D1309" s="443">
        <v>44977</v>
      </c>
      <c r="E1309" s="615" t="s">
        <v>529</v>
      </c>
      <c r="F1309" s="453">
        <v>2023300034</v>
      </c>
      <c r="G1309" s="616" t="s">
        <v>3655</v>
      </c>
      <c r="H1309" s="442" t="s">
        <v>4757</v>
      </c>
      <c r="I1309" s="362">
        <f t="shared" si="100"/>
        <v>15993.565500000001</v>
      </c>
      <c r="J1309" s="362">
        <f t="shared" si="101"/>
        <v>1472.2350000000001</v>
      </c>
      <c r="K1309" s="362">
        <v>1472.2350000000001</v>
      </c>
      <c r="L1309" s="362">
        <f t="shared" si="99"/>
        <v>294.44700000000006</v>
      </c>
      <c r="M1309" s="362" t="s">
        <v>6171</v>
      </c>
      <c r="N1309" s="432" t="s">
        <v>3785</v>
      </c>
      <c r="O1309" s="433" t="s">
        <v>4120</v>
      </c>
      <c r="P1309" s="430" t="s">
        <v>3659</v>
      </c>
      <c r="Q1309" s="431">
        <v>0.2</v>
      </c>
      <c r="R1309" s="452">
        <v>1900000836</v>
      </c>
      <c r="S1309" s="617" t="s">
        <v>530</v>
      </c>
      <c r="T1309" s="618" t="s">
        <v>5915</v>
      </c>
    </row>
    <row r="1310" spans="1:20" s="619" customFormat="1" hidden="1" x14ac:dyDescent="0.35">
      <c r="A1310" s="613" t="s">
        <v>4927</v>
      </c>
      <c r="B1310" s="614" t="s">
        <v>435</v>
      </c>
      <c r="C1310" s="615">
        <v>44977</v>
      </c>
      <c r="D1310" s="443">
        <v>44977</v>
      </c>
      <c r="E1310" s="615" t="s">
        <v>531</v>
      </c>
      <c r="F1310" s="453">
        <v>2023300034</v>
      </c>
      <c r="G1310" s="616" t="s">
        <v>3655</v>
      </c>
      <c r="H1310" s="442" t="s">
        <v>4757</v>
      </c>
      <c r="I1310" s="362">
        <f t="shared" si="100"/>
        <v>15993.565500000001</v>
      </c>
      <c r="J1310" s="362">
        <f t="shared" si="101"/>
        <v>1472.2350000000001</v>
      </c>
      <c r="K1310" s="362">
        <v>1472.2350000000001</v>
      </c>
      <c r="L1310" s="362">
        <f t="shared" si="99"/>
        <v>294.44700000000006</v>
      </c>
      <c r="M1310" s="362" t="s">
        <v>6171</v>
      </c>
      <c r="N1310" s="432" t="s">
        <v>3785</v>
      </c>
      <c r="O1310" s="433" t="s">
        <v>4120</v>
      </c>
      <c r="P1310" s="430" t="s">
        <v>3659</v>
      </c>
      <c r="Q1310" s="431">
        <v>0.2</v>
      </c>
      <c r="R1310" s="452">
        <v>1900000836</v>
      </c>
      <c r="S1310" s="617" t="s">
        <v>532</v>
      </c>
      <c r="T1310" s="618" t="s">
        <v>5915</v>
      </c>
    </row>
    <row r="1311" spans="1:20" s="619" customFormat="1" hidden="1" x14ac:dyDescent="0.35">
      <c r="A1311" s="613" t="s">
        <v>4928</v>
      </c>
      <c r="B1311" s="614" t="s">
        <v>435</v>
      </c>
      <c r="C1311" s="615">
        <v>44977</v>
      </c>
      <c r="D1311" s="443">
        <v>44977</v>
      </c>
      <c r="E1311" s="615" t="s">
        <v>533</v>
      </c>
      <c r="F1311" s="453">
        <v>2023300034</v>
      </c>
      <c r="G1311" s="616" t="s">
        <v>3655</v>
      </c>
      <c r="H1311" s="442" t="s">
        <v>4757</v>
      </c>
      <c r="I1311" s="362">
        <f t="shared" si="100"/>
        <v>15993.565500000001</v>
      </c>
      <c r="J1311" s="362">
        <f t="shared" si="101"/>
        <v>1472.2350000000001</v>
      </c>
      <c r="K1311" s="362">
        <v>1472.2350000000001</v>
      </c>
      <c r="L1311" s="362">
        <f t="shared" si="99"/>
        <v>294.44700000000006</v>
      </c>
      <c r="M1311" s="362" t="s">
        <v>6171</v>
      </c>
      <c r="N1311" s="432" t="s">
        <v>3785</v>
      </c>
      <c r="O1311" s="433" t="s">
        <v>4120</v>
      </c>
      <c r="P1311" s="430" t="s">
        <v>3659</v>
      </c>
      <c r="Q1311" s="431">
        <v>0.2</v>
      </c>
      <c r="R1311" s="452">
        <v>1900000836</v>
      </c>
      <c r="S1311" s="617" t="s">
        <v>534</v>
      </c>
      <c r="T1311" s="618" t="s">
        <v>5915</v>
      </c>
    </row>
    <row r="1312" spans="1:20" s="619" customFormat="1" hidden="1" x14ac:dyDescent="0.35">
      <c r="A1312" s="613" t="s">
        <v>4929</v>
      </c>
      <c r="B1312" s="614" t="s">
        <v>435</v>
      </c>
      <c r="C1312" s="615">
        <v>44977</v>
      </c>
      <c r="D1312" s="443">
        <v>44977</v>
      </c>
      <c r="E1312" s="615" t="s">
        <v>535</v>
      </c>
      <c r="F1312" s="453">
        <v>2023300034</v>
      </c>
      <c r="G1312" s="616" t="s">
        <v>3655</v>
      </c>
      <c r="H1312" s="442" t="s">
        <v>4757</v>
      </c>
      <c r="I1312" s="362">
        <f t="shared" si="100"/>
        <v>15993.565500000001</v>
      </c>
      <c r="J1312" s="362">
        <f t="shared" si="101"/>
        <v>1472.2350000000001</v>
      </c>
      <c r="K1312" s="362">
        <v>1472.2350000000001</v>
      </c>
      <c r="L1312" s="362">
        <f t="shared" si="99"/>
        <v>294.44700000000006</v>
      </c>
      <c r="M1312" s="362" t="s">
        <v>6171</v>
      </c>
      <c r="N1312" s="432" t="s">
        <v>3785</v>
      </c>
      <c r="O1312" s="433" t="s">
        <v>4120</v>
      </c>
      <c r="P1312" s="430" t="s">
        <v>3659</v>
      </c>
      <c r="Q1312" s="431">
        <v>0.2</v>
      </c>
      <c r="R1312" s="452">
        <v>1900000836</v>
      </c>
      <c r="S1312" s="617" t="s">
        <v>536</v>
      </c>
      <c r="T1312" s="618" t="s">
        <v>5915</v>
      </c>
    </row>
    <row r="1313" spans="1:20" s="619" customFormat="1" hidden="1" x14ac:dyDescent="0.35">
      <c r="A1313" s="613" t="s">
        <v>4930</v>
      </c>
      <c r="B1313" s="614" t="s">
        <v>435</v>
      </c>
      <c r="C1313" s="615">
        <v>44977</v>
      </c>
      <c r="D1313" s="443">
        <v>44977</v>
      </c>
      <c r="E1313" s="615" t="s">
        <v>537</v>
      </c>
      <c r="F1313" s="453">
        <v>2023300034</v>
      </c>
      <c r="G1313" s="616" t="s">
        <v>3655</v>
      </c>
      <c r="H1313" s="442" t="s">
        <v>4757</v>
      </c>
      <c r="I1313" s="362">
        <f t="shared" si="100"/>
        <v>15993.565500000001</v>
      </c>
      <c r="J1313" s="362">
        <f t="shared" si="101"/>
        <v>1472.2350000000001</v>
      </c>
      <c r="K1313" s="362">
        <v>1472.2350000000001</v>
      </c>
      <c r="L1313" s="362">
        <f t="shared" si="99"/>
        <v>294.44700000000006</v>
      </c>
      <c r="M1313" s="362" t="s">
        <v>6171</v>
      </c>
      <c r="N1313" s="432" t="s">
        <v>3785</v>
      </c>
      <c r="O1313" s="433" t="s">
        <v>4120</v>
      </c>
      <c r="P1313" s="430" t="s">
        <v>3659</v>
      </c>
      <c r="Q1313" s="431">
        <v>0.2</v>
      </c>
      <c r="R1313" s="452">
        <v>1900000836</v>
      </c>
      <c r="S1313" s="617" t="s">
        <v>538</v>
      </c>
      <c r="T1313" s="618" t="s">
        <v>5915</v>
      </c>
    </row>
    <row r="1314" spans="1:20" s="619" customFormat="1" hidden="1" x14ac:dyDescent="0.35">
      <c r="A1314" s="613" t="s">
        <v>4931</v>
      </c>
      <c r="B1314" s="614" t="s">
        <v>435</v>
      </c>
      <c r="C1314" s="615">
        <v>44977</v>
      </c>
      <c r="D1314" s="443">
        <v>44977</v>
      </c>
      <c r="E1314" s="615" t="s">
        <v>539</v>
      </c>
      <c r="F1314" s="453">
        <v>2023300034</v>
      </c>
      <c r="G1314" s="616" t="s">
        <v>3655</v>
      </c>
      <c r="H1314" s="442" t="s">
        <v>4757</v>
      </c>
      <c r="I1314" s="362">
        <f t="shared" si="100"/>
        <v>15993.565500000001</v>
      </c>
      <c r="J1314" s="362">
        <f t="shared" si="101"/>
        <v>1472.2350000000001</v>
      </c>
      <c r="K1314" s="362">
        <v>1472.2350000000001</v>
      </c>
      <c r="L1314" s="362">
        <f t="shared" si="99"/>
        <v>294.44700000000006</v>
      </c>
      <c r="M1314" s="362" t="s">
        <v>6171</v>
      </c>
      <c r="N1314" s="432" t="s">
        <v>3785</v>
      </c>
      <c r="O1314" s="433" t="s">
        <v>4120</v>
      </c>
      <c r="P1314" s="430" t="s">
        <v>3659</v>
      </c>
      <c r="Q1314" s="431">
        <v>0.2</v>
      </c>
      <c r="R1314" s="452">
        <v>1900000836</v>
      </c>
      <c r="S1314" s="617" t="s">
        <v>540</v>
      </c>
      <c r="T1314" s="618" t="s">
        <v>5915</v>
      </c>
    </row>
    <row r="1315" spans="1:20" s="619" customFormat="1" hidden="1" x14ac:dyDescent="0.35">
      <c r="A1315" s="613" t="s">
        <v>4932</v>
      </c>
      <c r="B1315" s="614" t="s">
        <v>435</v>
      </c>
      <c r="C1315" s="615">
        <v>44977</v>
      </c>
      <c r="D1315" s="443">
        <v>44977</v>
      </c>
      <c r="E1315" s="615" t="s">
        <v>541</v>
      </c>
      <c r="F1315" s="453">
        <v>2023300034</v>
      </c>
      <c r="G1315" s="616" t="s">
        <v>3655</v>
      </c>
      <c r="H1315" s="442" t="s">
        <v>4757</v>
      </c>
      <c r="I1315" s="362">
        <f t="shared" si="100"/>
        <v>15993.565500000001</v>
      </c>
      <c r="J1315" s="362">
        <f t="shared" si="101"/>
        <v>1472.2350000000001</v>
      </c>
      <c r="K1315" s="362">
        <v>1472.2350000000001</v>
      </c>
      <c r="L1315" s="362">
        <f t="shared" si="99"/>
        <v>294.44700000000006</v>
      </c>
      <c r="M1315" s="362" t="s">
        <v>6171</v>
      </c>
      <c r="N1315" s="432" t="s">
        <v>3785</v>
      </c>
      <c r="O1315" s="433" t="s">
        <v>4120</v>
      </c>
      <c r="P1315" s="430" t="s">
        <v>3659</v>
      </c>
      <c r="Q1315" s="431">
        <v>0.2</v>
      </c>
      <c r="R1315" s="452">
        <v>1900000836</v>
      </c>
      <c r="S1315" s="617" t="s">
        <v>542</v>
      </c>
      <c r="T1315" s="618" t="s">
        <v>5915</v>
      </c>
    </row>
    <row r="1316" spans="1:20" s="619" customFormat="1" hidden="1" x14ac:dyDescent="0.35">
      <c r="A1316" s="613" t="s">
        <v>4933</v>
      </c>
      <c r="B1316" s="614" t="s">
        <v>435</v>
      </c>
      <c r="C1316" s="615">
        <v>44977</v>
      </c>
      <c r="D1316" s="443">
        <v>44977</v>
      </c>
      <c r="E1316" s="615" t="s">
        <v>543</v>
      </c>
      <c r="F1316" s="453">
        <v>2023300034</v>
      </c>
      <c r="G1316" s="616" t="s">
        <v>3655</v>
      </c>
      <c r="H1316" s="442" t="s">
        <v>4757</v>
      </c>
      <c r="I1316" s="362">
        <f t="shared" si="100"/>
        <v>15993.565500000001</v>
      </c>
      <c r="J1316" s="362">
        <f t="shared" si="101"/>
        <v>1472.2350000000001</v>
      </c>
      <c r="K1316" s="362">
        <v>1472.2350000000001</v>
      </c>
      <c r="L1316" s="362">
        <f t="shared" si="99"/>
        <v>294.44700000000006</v>
      </c>
      <c r="M1316" s="362" t="s">
        <v>6171</v>
      </c>
      <c r="N1316" s="432" t="s">
        <v>3785</v>
      </c>
      <c r="O1316" s="433" t="s">
        <v>4120</v>
      </c>
      <c r="P1316" s="430" t="s">
        <v>3659</v>
      </c>
      <c r="Q1316" s="431">
        <v>0.2</v>
      </c>
      <c r="R1316" s="452">
        <v>1900000836</v>
      </c>
      <c r="S1316" s="617" t="s">
        <v>544</v>
      </c>
      <c r="T1316" s="618" t="s">
        <v>5915</v>
      </c>
    </row>
    <row r="1317" spans="1:20" s="619" customFormat="1" hidden="1" x14ac:dyDescent="0.35">
      <c r="A1317" s="613" t="s">
        <v>4934</v>
      </c>
      <c r="B1317" s="614" t="s">
        <v>435</v>
      </c>
      <c r="C1317" s="615">
        <v>44977</v>
      </c>
      <c r="D1317" s="443">
        <v>44977</v>
      </c>
      <c r="E1317" s="615" t="s">
        <v>545</v>
      </c>
      <c r="F1317" s="453">
        <v>2023300034</v>
      </c>
      <c r="G1317" s="616" t="s">
        <v>3655</v>
      </c>
      <c r="H1317" s="442" t="s">
        <v>4757</v>
      </c>
      <c r="I1317" s="362">
        <f t="shared" si="100"/>
        <v>15993.565500000001</v>
      </c>
      <c r="J1317" s="362">
        <f t="shared" si="101"/>
        <v>1472.2350000000001</v>
      </c>
      <c r="K1317" s="362">
        <v>1472.2350000000001</v>
      </c>
      <c r="L1317" s="362">
        <f t="shared" si="99"/>
        <v>294.44700000000006</v>
      </c>
      <c r="M1317" s="362" t="s">
        <v>6171</v>
      </c>
      <c r="N1317" s="432" t="s">
        <v>3785</v>
      </c>
      <c r="O1317" s="433" t="s">
        <v>4120</v>
      </c>
      <c r="P1317" s="430" t="s">
        <v>3659</v>
      </c>
      <c r="Q1317" s="431">
        <v>0.2</v>
      </c>
      <c r="R1317" s="452">
        <v>1900000836</v>
      </c>
      <c r="S1317" s="617" t="s">
        <v>546</v>
      </c>
      <c r="T1317" s="618" t="s">
        <v>5915</v>
      </c>
    </row>
    <row r="1318" spans="1:20" s="619" customFormat="1" hidden="1" x14ac:dyDescent="0.35">
      <c r="A1318" s="613" t="s">
        <v>4935</v>
      </c>
      <c r="B1318" s="614" t="s">
        <v>435</v>
      </c>
      <c r="C1318" s="615">
        <v>44977</v>
      </c>
      <c r="D1318" s="443">
        <v>44977</v>
      </c>
      <c r="E1318" s="615" t="s">
        <v>547</v>
      </c>
      <c r="F1318" s="453">
        <v>2023300034</v>
      </c>
      <c r="G1318" s="616" t="s">
        <v>3655</v>
      </c>
      <c r="H1318" s="442" t="s">
        <v>4757</v>
      </c>
      <c r="I1318" s="362">
        <f t="shared" si="100"/>
        <v>15993.565500000001</v>
      </c>
      <c r="J1318" s="362">
        <f t="shared" si="101"/>
        <v>1472.2350000000001</v>
      </c>
      <c r="K1318" s="362">
        <v>1472.2350000000001</v>
      </c>
      <c r="L1318" s="362">
        <f t="shared" si="99"/>
        <v>294.44700000000006</v>
      </c>
      <c r="M1318" s="362" t="s">
        <v>6171</v>
      </c>
      <c r="N1318" s="432" t="s">
        <v>3785</v>
      </c>
      <c r="O1318" s="433" t="s">
        <v>4120</v>
      </c>
      <c r="P1318" s="430" t="s">
        <v>3659</v>
      </c>
      <c r="Q1318" s="431">
        <v>0.2</v>
      </c>
      <c r="R1318" s="452">
        <v>1900000836</v>
      </c>
      <c r="S1318" s="617" t="s">
        <v>548</v>
      </c>
      <c r="T1318" s="618" t="s">
        <v>5915</v>
      </c>
    </row>
    <row r="1319" spans="1:20" s="619" customFormat="1" hidden="1" x14ac:dyDescent="0.35">
      <c r="A1319" s="613" t="s">
        <v>4936</v>
      </c>
      <c r="B1319" s="614" t="s">
        <v>435</v>
      </c>
      <c r="C1319" s="615">
        <v>44977</v>
      </c>
      <c r="D1319" s="443">
        <v>44977</v>
      </c>
      <c r="E1319" s="615" t="s">
        <v>549</v>
      </c>
      <c r="F1319" s="453">
        <v>2023300034</v>
      </c>
      <c r="G1319" s="616" t="s">
        <v>3655</v>
      </c>
      <c r="H1319" s="442" t="s">
        <v>4757</v>
      </c>
      <c r="I1319" s="362">
        <f t="shared" si="100"/>
        <v>15993.565500000001</v>
      </c>
      <c r="J1319" s="362">
        <f t="shared" si="101"/>
        <v>1472.2350000000001</v>
      </c>
      <c r="K1319" s="362">
        <v>1472.2350000000001</v>
      </c>
      <c r="L1319" s="362">
        <f t="shared" si="99"/>
        <v>294.44700000000006</v>
      </c>
      <c r="M1319" s="362" t="s">
        <v>6171</v>
      </c>
      <c r="N1319" s="432" t="s">
        <v>3785</v>
      </c>
      <c r="O1319" s="433" t="s">
        <v>4120</v>
      </c>
      <c r="P1319" s="430" t="s">
        <v>3659</v>
      </c>
      <c r="Q1319" s="431">
        <v>0.2</v>
      </c>
      <c r="R1319" s="452">
        <v>1900000836</v>
      </c>
      <c r="S1319" s="617" t="s">
        <v>550</v>
      </c>
      <c r="T1319" s="618" t="s">
        <v>5915</v>
      </c>
    </row>
    <row r="1320" spans="1:20" s="657" customFormat="1" hidden="1" x14ac:dyDescent="0.35">
      <c r="A1320" s="652" t="s">
        <v>4937</v>
      </c>
      <c r="B1320" s="653" t="s">
        <v>435</v>
      </c>
      <c r="C1320" s="654">
        <v>44977</v>
      </c>
      <c r="D1320" s="443">
        <v>44977</v>
      </c>
      <c r="E1320" s="654" t="s">
        <v>551</v>
      </c>
      <c r="F1320" s="453">
        <v>2023300034</v>
      </c>
      <c r="G1320" s="655" t="s">
        <v>3655</v>
      </c>
      <c r="H1320" s="442" t="s">
        <v>4757</v>
      </c>
      <c r="I1320" s="362">
        <f>269753.22/20</f>
        <v>13487.660999999998</v>
      </c>
      <c r="J1320" s="362">
        <f>24830.5/20</f>
        <v>1241.5250000000001</v>
      </c>
      <c r="K1320" s="362">
        <v>1241.5250000000001</v>
      </c>
      <c r="L1320" s="362">
        <f t="shared" si="99"/>
        <v>248.30500000000004</v>
      </c>
      <c r="M1320" s="362" t="s">
        <v>6171</v>
      </c>
      <c r="N1320" s="652" t="s">
        <v>3785</v>
      </c>
      <c r="O1320" s="433" t="s">
        <v>4120</v>
      </c>
      <c r="P1320" s="430" t="s">
        <v>3659</v>
      </c>
      <c r="Q1320" s="431">
        <v>0.2</v>
      </c>
      <c r="R1320" s="452">
        <v>1900000836</v>
      </c>
      <c r="S1320" s="656" t="s">
        <v>6179</v>
      </c>
      <c r="T1320" s="251" t="s">
        <v>5915</v>
      </c>
    </row>
    <row r="1321" spans="1:20" s="619" customFormat="1" hidden="1" x14ac:dyDescent="0.35">
      <c r="A1321" s="613" t="s">
        <v>4938</v>
      </c>
      <c r="B1321" s="614" t="s">
        <v>435</v>
      </c>
      <c r="C1321" s="615">
        <v>44977</v>
      </c>
      <c r="D1321" s="443">
        <v>44977</v>
      </c>
      <c r="E1321" s="615" t="s">
        <v>552</v>
      </c>
      <c r="F1321" s="453">
        <v>2023300034</v>
      </c>
      <c r="G1321" s="616" t="s">
        <v>3655</v>
      </c>
      <c r="H1321" s="442" t="s">
        <v>4757</v>
      </c>
      <c r="I1321" s="362">
        <f t="shared" ref="I1321:I1341" si="102">269753.22/20</f>
        <v>13487.660999999998</v>
      </c>
      <c r="J1321" s="362">
        <f t="shared" ref="J1321:J1341" si="103">24830.5/20</f>
        <v>1241.5250000000001</v>
      </c>
      <c r="K1321" s="362">
        <v>1241.5250000000001</v>
      </c>
      <c r="L1321" s="362">
        <f t="shared" si="99"/>
        <v>248.30500000000004</v>
      </c>
      <c r="M1321" s="362" t="s">
        <v>6171</v>
      </c>
      <c r="N1321" s="432" t="s">
        <v>3785</v>
      </c>
      <c r="O1321" s="433" t="s">
        <v>4120</v>
      </c>
      <c r="P1321" s="430" t="s">
        <v>3659</v>
      </c>
      <c r="Q1321" s="431">
        <v>0.2</v>
      </c>
      <c r="R1321" s="452">
        <v>1900000836</v>
      </c>
      <c r="S1321" s="617" t="s">
        <v>553</v>
      </c>
      <c r="T1321" s="618" t="s">
        <v>5915</v>
      </c>
    </row>
    <row r="1322" spans="1:20" s="619" customFormat="1" hidden="1" x14ac:dyDescent="0.35">
      <c r="A1322" s="613" t="s">
        <v>4939</v>
      </c>
      <c r="B1322" s="614" t="s">
        <v>435</v>
      </c>
      <c r="C1322" s="615">
        <v>44977</v>
      </c>
      <c r="D1322" s="443">
        <v>44977</v>
      </c>
      <c r="E1322" s="615" t="s">
        <v>554</v>
      </c>
      <c r="F1322" s="453">
        <v>2023300034</v>
      </c>
      <c r="G1322" s="616" t="s">
        <v>3655</v>
      </c>
      <c r="H1322" s="442" t="s">
        <v>4757</v>
      </c>
      <c r="I1322" s="362">
        <f t="shared" si="102"/>
        <v>13487.660999999998</v>
      </c>
      <c r="J1322" s="362">
        <f t="shared" si="103"/>
        <v>1241.5250000000001</v>
      </c>
      <c r="K1322" s="362">
        <v>1241.5250000000001</v>
      </c>
      <c r="L1322" s="362">
        <f t="shared" si="99"/>
        <v>248.30500000000004</v>
      </c>
      <c r="M1322" s="362" t="s">
        <v>6171</v>
      </c>
      <c r="N1322" s="432" t="s">
        <v>3785</v>
      </c>
      <c r="O1322" s="433" t="s">
        <v>4120</v>
      </c>
      <c r="P1322" s="430" t="s">
        <v>3659</v>
      </c>
      <c r="Q1322" s="431">
        <v>0.2</v>
      </c>
      <c r="R1322" s="452">
        <v>1900000836</v>
      </c>
      <c r="S1322" s="617" t="s">
        <v>555</v>
      </c>
      <c r="T1322" s="618" t="s">
        <v>5915</v>
      </c>
    </row>
    <row r="1323" spans="1:20" s="619" customFormat="1" hidden="1" x14ac:dyDescent="0.35">
      <c r="A1323" s="613" t="s">
        <v>4940</v>
      </c>
      <c r="B1323" s="614" t="s">
        <v>435</v>
      </c>
      <c r="C1323" s="615">
        <v>44977</v>
      </c>
      <c r="D1323" s="443">
        <v>44977</v>
      </c>
      <c r="E1323" s="615" t="s">
        <v>556</v>
      </c>
      <c r="F1323" s="453">
        <v>2023300034</v>
      </c>
      <c r="G1323" s="616" t="s">
        <v>3655</v>
      </c>
      <c r="H1323" s="442" t="s">
        <v>4757</v>
      </c>
      <c r="I1323" s="362">
        <f t="shared" si="102"/>
        <v>13487.660999999998</v>
      </c>
      <c r="J1323" s="362">
        <f t="shared" si="103"/>
        <v>1241.5250000000001</v>
      </c>
      <c r="K1323" s="362">
        <v>1241.5250000000001</v>
      </c>
      <c r="L1323" s="362">
        <f t="shared" si="99"/>
        <v>248.30500000000004</v>
      </c>
      <c r="M1323" s="362" t="s">
        <v>6171</v>
      </c>
      <c r="N1323" s="432" t="s">
        <v>3785</v>
      </c>
      <c r="O1323" s="433" t="s">
        <v>4120</v>
      </c>
      <c r="P1323" s="430" t="s">
        <v>3659</v>
      </c>
      <c r="Q1323" s="431">
        <v>0.2</v>
      </c>
      <c r="R1323" s="452">
        <v>1900000836</v>
      </c>
      <c r="S1323" s="617" t="s">
        <v>557</v>
      </c>
      <c r="T1323" s="618" t="s">
        <v>5915</v>
      </c>
    </row>
    <row r="1324" spans="1:20" s="619" customFormat="1" hidden="1" x14ac:dyDescent="0.35">
      <c r="A1324" s="613"/>
      <c r="B1324" s="614" t="s">
        <v>558</v>
      </c>
      <c r="C1324" s="615">
        <v>44977</v>
      </c>
      <c r="D1324" s="443"/>
      <c r="E1324" s="615" t="s">
        <v>527</v>
      </c>
      <c r="F1324" s="453"/>
      <c r="G1324" s="616" t="s">
        <v>3655</v>
      </c>
      <c r="H1324" s="442"/>
      <c r="I1324" s="362"/>
      <c r="J1324" s="362"/>
      <c r="K1324" s="362"/>
      <c r="L1324" s="362"/>
      <c r="M1324" s="362"/>
      <c r="N1324" s="432"/>
      <c r="O1324" s="433"/>
      <c r="P1324" s="430"/>
      <c r="Q1324" s="431"/>
      <c r="R1324" s="452"/>
      <c r="S1324" s="617" t="s">
        <v>528</v>
      </c>
      <c r="T1324" s="618"/>
    </row>
    <row r="1325" spans="1:20" s="619" customFormat="1" hidden="1" x14ac:dyDescent="0.35">
      <c r="A1325" s="613" t="s">
        <v>4941</v>
      </c>
      <c r="B1325" s="614" t="s">
        <v>558</v>
      </c>
      <c r="C1325" s="615">
        <v>44977</v>
      </c>
      <c r="D1325" s="443">
        <v>44977</v>
      </c>
      <c r="E1325" s="615" t="s">
        <v>559</v>
      </c>
      <c r="F1325" s="453">
        <v>2023300034</v>
      </c>
      <c r="G1325" s="616" t="s">
        <v>3655</v>
      </c>
      <c r="H1325" s="442" t="s">
        <v>4757</v>
      </c>
      <c r="I1325" s="362">
        <f t="shared" si="102"/>
        <v>13487.660999999998</v>
      </c>
      <c r="J1325" s="362">
        <f t="shared" si="103"/>
        <v>1241.5250000000001</v>
      </c>
      <c r="K1325" s="362">
        <v>1241.5250000000001</v>
      </c>
      <c r="L1325" s="362">
        <f t="shared" si="99"/>
        <v>248.30500000000004</v>
      </c>
      <c r="M1325" s="362" t="s">
        <v>6171</v>
      </c>
      <c r="N1325" s="432" t="s">
        <v>3785</v>
      </c>
      <c r="O1325" s="433" t="s">
        <v>4120</v>
      </c>
      <c r="P1325" s="430" t="s">
        <v>3659</v>
      </c>
      <c r="Q1325" s="431">
        <v>0.2</v>
      </c>
      <c r="R1325" s="452">
        <v>1900000836</v>
      </c>
      <c r="S1325" s="617" t="s">
        <v>560</v>
      </c>
      <c r="T1325" s="618" t="s">
        <v>5915</v>
      </c>
    </row>
    <row r="1326" spans="1:20" s="619" customFormat="1" hidden="1" x14ac:dyDescent="0.35">
      <c r="A1326" s="613" t="s">
        <v>4942</v>
      </c>
      <c r="B1326" s="614" t="s">
        <v>558</v>
      </c>
      <c r="C1326" s="615">
        <v>44977</v>
      </c>
      <c r="D1326" s="443">
        <v>44977</v>
      </c>
      <c r="E1326" s="615" t="s">
        <v>561</v>
      </c>
      <c r="F1326" s="453">
        <v>2023300034</v>
      </c>
      <c r="G1326" s="616" t="s">
        <v>3655</v>
      </c>
      <c r="H1326" s="442" t="s">
        <v>4757</v>
      </c>
      <c r="I1326" s="362">
        <f t="shared" si="102"/>
        <v>13487.660999999998</v>
      </c>
      <c r="J1326" s="362">
        <f t="shared" si="103"/>
        <v>1241.5250000000001</v>
      </c>
      <c r="K1326" s="362">
        <v>1241.5250000000001</v>
      </c>
      <c r="L1326" s="362">
        <f t="shared" si="99"/>
        <v>248.30500000000004</v>
      </c>
      <c r="M1326" s="362" t="s">
        <v>6171</v>
      </c>
      <c r="N1326" s="432" t="s">
        <v>3785</v>
      </c>
      <c r="O1326" s="433" t="s">
        <v>4120</v>
      </c>
      <c r="P1326" s="430" t="s">
        <v>3659</v>
      </c>
      <c r="Q1326" s="431">
        <v>0.2</v>
      </c>
      <c r="R1326" s="452">
        <v>1900000836</v>
      </c>
      <c r="S1326" s="617" t="s">
        <v>562</v>
      </c>
      <c r="T1326" s="618" t="s">
        <v>5915</v>
      </c>
    </row>
    <row r="1327" spans="1:20" s="619" customFormat="1" hidden="1" x14ac:dyDescent="0.35">
      <c r="A1327" s="613" t="s">
        <v>4943</v>
      </c>
      <c r="B1327" s="614" t="s">
        <v>558</v>
      </c>
      <c r="C1327" s="615">
        <v>44977</v>
      </c>
      <c r="D1327" s="443">
        <v>44977</v>
      </c>
      <c r="E1327" s="615" t="s">
        <v>565</v>
      </c>
      <c r="F1327" s="453">
        <v>2023300034</v>
      </c>
      <c r="G1327" s="616" t="s">
        <v>3655</v>
      </c>
      <c r="H1327" s="442" t="s">
        <v>4757</v>
      </c>
      <c r="I1327" s="362">
        <f t="shared" si="102"/>
        <v>13487.660999999998</v>
      </c>
      <c r="J1327" s="362">
        <f t="shared" si="103"/>
        <v>1241.5250000000001</v>
      </c>
      <c r="K1327" s="362">
        <v>1241.5250000000001</v>
      </c>
      <c r="L1327" s="362">
        <f t="shared" si="99"/>
        <v>248.30500000000004</v>
      </c>
      <c r="M1327" s="362" t="s">
        <v>6171</v>
      </c>
      <c r="N1327" s="432" t="s">
        <v>3785</v>
      </c>
      <c r="O1327" s="433" t="s">
        <v>4120</v>
      </c>
      <c r="P1327" s="430" t="s">
        <v>3659</v>
      </c>
      <c r="Q1327" s="431">
        <v>0.2</v>
      </c>
      <c r="R1327" s="452">
        <v>1900000836</v>
      </c>
      <c r="S1327" s="617" t="s">
        <v>566</v>
      </c>
      <c r="T1327" s="618" t="s">
        <v>5915</v>
      </c>
    </row>
    <row r="1328" spans="1:20" s="619" customFormat="1" hidden="1" x14ac:dyDescent="0.35">
      <c r="A1328" s="613" t="s">
        <v>4944</v>
      </c>
      <c r="B1328" s="614" t="s">
        <v>558</v>
      </c>
      <c r="C1328" s="615">
        <v>44977</v>
      </c>
      <c r="D1328" s="443">
        <v>44977</v>
      </c>
      <c r="E1328" s="615" t="s">
        <v>567</v>
      </c>
      <c r="F1328" s="453">
        <v>2023300034</v>
      </c>
      <c r="G1328" s="616" t="s">
        <v>3655</v>
      </c>
      <c r="H1328" s="442" t="s">
        <v>4757</v>
      </c>
      <c r="I1328" s="362">
        <f t="shared" si="102"/>
        <v>13487.660999999998</v>
      </c>
      <c r="J1328" s="362">
        <f t="shared" si="103"/>
        <v>1241.5250000000001</v>
      </c>
      <c r="K1328" s="362">
        <v>1241.5250000000001</v>
      </c>
      <c r="L1328" s="362">
        <f t="shared" si="99"/>
        <v>248.30500000000004</v>
      </c>
      <c r="M1328" s="362" t="s">
        <v>6171</v>
      </c>
      <c r="N1328" s="432" t="s">
        <v>3785</v>
      </c>
      <c r="O1328" s="433" t="s">
        <v>4120</v>
      </c>
      <c r="P1328" s="430" t="s">
        <v>3659</v>
      </c>
      <c r="Q1328" s="431">
        <v>0.2</v>
      </c>
      <c r="R1328" s="452">
        <v>1900000836</v>
      </c>
      <c r="S1328" s="617" t="s">
        <v>6202</v>
      </c>
      <c r="T1328" s="618" t="s">
        <v>5915</v>
      </c>
    </row>
    <row r="1329" spans="1:21" s="619" customFormat="1" hidden="1" x14ac:dyDescent="0.35">
      <c r="A1329" s="613" t="s">
        <v>4945</v>
      </c>
      <c r="B1329" s="614" t="s">
        <v>558</v>
      </c>
      <c r="C1329" s="615">
        <v>44977</v>
      </c>
      <c r="D1329" s="443">
        <v>44977</v>
      </c>
      <c r="E1329" s="615" t="s">
        <v>568</v>
      </c>
      <c r="F1329" s="453">
        <v>2023300034</v>
      </c>
      <c r="G1329" s="616" t="s">
        <v>3655</v>
      </c>
      <c r="H1329" s="442" t="s">
        <v>4757</v>
      </c>
      <c r="I1329" s="362">
        <f t="shared" si="102"/>
        <v>13487.660999999998</v>
      </c>
      <c r="J1329" s="362">
        <f t="shared" si="103"/>
        <v>1241.5250000000001</v>
      </c>
      <c r="K1329" s="362">
        <v>1241.5250000000001</v>
      </c>
      <c r="L1329" s="362">
        <f t="shared" si="99"/>
        <v>248.30500000000004</v>
      </c>
      <c r="M1329" s="362" t="s">
        <v>6171</v>
      </c>
      <c r="N1329" s="432" t="s">
        <v>3785</v>
      </c>
      <c r="O1329" s="433" t="s">
        <v>4120</v>
      </c>
      <c r="P1329" s="430" t="s">
        <v>3659</v>
      </c>
      <c r="Q1329" s="431">
        <v>0.2</v>
      </c>
      <c r="R1329" s="452">
        <v>1900000836</v>
      </c>
      <c r="S1329" s="617" t="s">
        <v>569</v>
      </c>
      <c r="T1329" s="618" t="s">
        <v>5915</v>
      </c>
    </row>
    <row r="1330" spans="1:21" s="657" customFormat="1" hidden="1" x14ac:dyDescent="0.35">
      <c r="A1330" s="652" t="s">
        <v>4946</v>
      </c>
      <c r="B1330" s="653" t="s">
        <v>558</v>
      </c>
      <c r="C1330" s="654">
        <v>44977</v>
      </c>
      <c r="D1330" s="443">
        <v>44977</v>
      </c>
      <c r="E1330" s="654" t="s">
        <v>570</v>
      </c>
      <c r="F1330" s="453">
        <v>2023300034</v>
      </c>
      <c r="G1330" s="655" t="s">
        <v>3655</v>
      </c>
      <c r="H1330" s="442" t="s">
        <v>4757</v>
      </c>
      <c r="I1330" s="362">
        <f t="shared" si="102"/>
        <v>13487.660999999998</v>
      </c>
      <c r="J1330" s="362">
        <f t="shared" si="103"/>
        <v>1241.5250000000001</v>
      </c>
      <c r="K1330" s="362">
        <v>1241.5250000000001</v>
      </c>
      <c r="L1330" s="362">
        <f t="shared" si="99"/>
        <v>248.30500000000004</v>
      </c>
      <c r="M1330" s="362" t="s">
        <v>6171</v>
      </c>
      <c r="N1330" s="432" t="s">
        <v>3785</v>
      </c>
      <c r="O1330" s="433" t="s">
        <v>4120</v>
      </c>
      <c r="P1330" s="430" t="s">
        <v>3659</v>
      </c>
      <c r="Q1330" s="431">
        <v>0.2</v>
      </c>
      <c r="R1330" s="452">
        <v>1900000836</v>
      </c>
      <c r="S1330" s="656" t="s">
        <v>571</v>
      </c>
      <c r="T1330" s="251" t="s">
        <v>5915</v>
      </c>
    </row>
    <row r="1331" spans="1:21" s="619" customFormat="1" hidden="1" x14ac:dyDescent="0.35">
      <c r="A1331" s="613" t="s">
        <v>4947</v>
      </c>
      <c r="B1331" s="614" t="s">
        <v>558</v>
      </c>
      <c r="C1331" s="615">
        <v>44977</v>
      </c>
      <c r="D1331" s="443">
        <v>44977</v>
      </c>
      <c r="E1331" s="615" t="s">
        <v>572</v>
      </c>
      <c r="F1331" s="453">
        <v>2023300034</v>
      </c>
      <c r="G1331" s="616" t="s">
        <v>3655</v>
      </c>
      <c r="H1331" s="442" t="s">
        <v>4757</v>
      </c>
      <c r="I1331" s="362">
        <f t="shared" si="102"/>
        <v>13487.660999999998</v>
      </c>
      <c r="J1331" s="362">
        <f t="shared" si="103"/>
        <v>1241.5250000000001</v>
      </c>
      <c r="K1331" s="362">
        <v>1241.5250000000001</v>
      </c>
      <c r="L1331" s="362">
        <f t="shared" si="99"/>
        <v>248.30500000000004</v>
      </c>
      <c r="M1331" s="362" t="s">
        <v>6171</v>
      </c>
      <c r="N1331" s="432" t="s">
        <v>3785</v>
      </c>
      <c r="O1331" s="433" t="s">
        <v>4120</v>
      </c>
      <c r="P1331" s="430" t="s">
        <v>3659</v>
      </c>
      <c r="Q1331" s="431">
        <v>0.2</v>
      </c>
      <c r="R1331" s="452">
        <v>1900000836</v>
      </c>
      <c r="S1331" s="617" t="s">
        <v>573</v>
      </c>
      <c r="T1331" s="618" t="s">
        <v>5915</v>
      </c>
    </row>
    <row r="1332" spans="1:21" s="619" customFormat="1" hidden="1" x14ac:dyDescent="0.35">
      <c r="A1332" s="613" t="s">
        <v>4948</v>
      </c>
      <c r="B1332" s="614" t="s">
        <v>558</v>
      </c>
      <c r="C1332" s="615">
        <v>44977</v>
      </c>
      <c r="D1332" s="443">
        <v>44977</v>
      </c>
      <c r="E1332" s="615" t="s">
        <v>574</v>
      </c>
      <c r="F1332" s="453">
        <v>2023300034</v>
      </c>
      <c r="G1332" s="616" t="s">
        <v>3655</v>
      </c>
      <c r="H1332" s="442" t="s">
        <v>4757</v>
      </c>
      <c r="I1332" s="362">
        <f t="shared" si="102"/>
        <v>13487.660999999998</v>
      </c>
      <c r="J1332" s="362">
        <f t="shared" si="103"/>
        <v>1241.5250000000001</v>
      </c>
      <c r="K1332" s="362">
        <v>1241.5250000000001</v>
      </c>
      <c r="L1332" s="362">
        <f t="shared" si="99"/>
        <v>248.30500000000004</v>
      </c>
      <c r="M1332" s="362" t="s">
        <v>6171</v>
      </c>
      <c r="N1332" s="432" t="s">
        <v>3785</v>
      </c>
      <c r="O1332" s="433" t="s">
        <v>4120</v>
      </c>
      <c r="P1332" s="430" t="s">
        <v>3659</v>
      </c>
      <c r="Q1332" s="431">
        <v>0.2</v>
      </c>
      <c r="R1332" s="452">
        <v>1900000836</v>
      </c>
      <c r="S1332" s="617" t="s">
        <v>575</v>
      </c>
      <c r="T1332" s="618" t="s">
        <v>5915</v>
      </c>
    </row>
    <row r="1333" spans="1:21" s="619" customFormat="1" hidden="1" x14ac:dyDescent="0.35">
      <c r="A1333" s="613" t="s">
        <v>4949</v>
      </c>
      <c r="B1333" s="614" t="s">
        <v>558</v>
      </c>
      <c r="C1333" s="615">
        <v>44977</v>
      </c>
      <c r="D1333" s="443">
        <v>44977</v>
      </c>
      <c r="E1333" s="615" t="s">
        <v>576</v>
      </c>
      <c r="F1333" s="453">
        <v>2023300034</v>
      </c>
      <c r="G1333" s="616" t="s">
        <v>3655</v>
      </c>
      <c r="H1333" s="442" t="s">
        <v>4757</v>
      </c>
      <c r="I1333" s="362">
        <f t="shared" si="102"/>
        <v>13487.660999999998</v>
      </c>
      <c r="J1333" s="362">
        <f t="shared" si="103"/>
        <v>1241.5250000000001</v>
      </c>
      <c r="K1333" s="362">
        <v>1241.5250000000001</v>
      </c>
      <c r="L1333" s="362">
        <f t="shared" si="99"/>
        <v>248.30500000000004</v>
      </c>
      <c r="M1333" s="362" t="s">
        <v>6171</v>
      </c>
      <c r="N1333" s="432" t="s">
        <v>3785</v>
      </c>
      <c r="O1333" s="433" t="s">
        <v>4120</v>
      </c>
      <c r="P1333" s="430" t="s">
        <v>3659</v>
      </c>
      <c r="Q1333" s="431">
        <v>0.2</v>
      </c>
      <c r="R1333" s="452">
        <v>1900000836</v>
      </c>
      <c r="S1333" s="617" t="s">
        <v>577</v>
      </c>
      <c r="T1333" s="618" t="s">
        <v>5915</v>
      </c>
    </row>
    <row r="1334" spans="1:21" s="619" customFormat="1" hidden="1" x14ac:dyDescent="0.35">
      <c r="A1334" s="613" t="s">
        <v>4950</v>
      </c>
      <c r="B1334" s="614" t="s">
        <v>558</v>
      </c>
      <c r="C1334" s="615">
        <v>44977</v>
      </c>
      <c r="D1334" s="443">
        <v>44977</v>
      </c>
      <c r="E1334" s="615" t="s">
        <v>578</v>
      </c>
      <c r="F1334" s="453">
        <v>2023300034</v>
      </c>
      <c r="G1334" s="616" t="s">
        <v>3655</v>
      </c>
      <c r="H1334" s="442" t="s">
        <v>4757</v>
      </c>
      <c r="I1334" s="362">
        <f t="shared" si="102"/>
        <v>13487.660999999998</v>
      </c>
      <c r="J1334" s="362">
        <f t="shared" si="103"/>
        <v>1241.5250000000001</v>
      </c>
      <c r="K1334" s="362">
        <v>1241.5250000000001</v>
      </c>
      <c r="L1334" s="362">
        <f t="shared" si="99"/>
        <v>248.30500000000004</v>
      </c>
      <c r="M1334" s="362" t="s">
        <v>6171</v>
      </c>
      <c r="N1334" s="432" t="s">
        <v>3785</v>
      </c>
      <c r="O1334" s="433" t="s">
        <v>4120</v>
      </c>
      <c r="P1334" s="430" t="s">
        <v>3659</v>
      </c>
      <c r="Q1334" s="431">
        <v>0.2</v>
      </c>
      <c r="R1334" s="452">
        <v>1900000836</v>
      </c>
      <c r="S1334" s="617" t="s">
        <v>579</v>
      </c>
      <c r="T1334" s="618" t="s">
        <v>5915</v>
      </c>
    </row>
    <row r="1335" spans="1:21" s="619" customFormat="1" hidden="1" x14ac:dyDescent="0.35">
      <c r="A1335" s="613" t="s">
        <v>4951</v>
      </c>
      <c r="B1335" s="614" t="s">
        <v>558</v>
      </c>
      <c r="C1335" s="615">
        <v>44977</v>
      </c>
      <c r="D1335" s="443">
        <v>44977</v>
      </c>
      <c r="E1335" s="615" t="s">
        <v>580</v>
      </c>
      <c r="F1335" s="453">
        <v>2023300034</v>
      </c>
      <c r="G1335" s="616" t="s">
        <v>3655</v>
      </c>
      <c r="H1335" s="442" t="s">
        <v>4757</v>
      </c>
      <c r="I1335" s="362">
        <f t="shared" si="102"/>
        <v>13487.660999999998</v>
      </c>
      <c r="J1335" s="362">
        <f t="shared" si="103"/>
        <v>1241.5250000000001</v>
      </c>
      <c r="K1335" s="362">
        <v>1241.5250000000001</v>
      </c>
      <c r="L1335" s="362">
        <f t="shared" si="99"/>
        <v>248.30500000000004</v>
      </c>
      <c r="M1335" s="362" t="s">
        <v>6171</v>
      </c>
      <c r="N1335" s="432" t="s">
        <v>3785</v>
      </c>
      <c r="O1335" s="433" t="s">
        <v>4120</v>
      </c>
      <c r="P1335" s="430" t="s">
        <v>3659</v>
      </c>
      <c r="Q1335" s="431">
        <v>0.2</v>
      </c>
      <c r="R1335" s="452">
        <v>1900000836</v>
      </c>
      <c r="S1335" s="617" t="s">
        <v>581</v>
      </c>
      <c r="T1335" s="618" t="s">
        <v>5915</v>
      </c>
    </row>
    <row r="1336" spans="1:21" s="619" customFormat="1" hidden="1" x14ac:dyDescent="0.35">
      <c r="A1336" s="613" t="s">
        <v>4952</v>
      </c>
      <c r="B1336" s="614" t="s">
        <v>558</v>
      </c>
      <c r="C1336" s="615">
        <v>44977</v>
      </c>
      <c r="D1336" s="443">
        <v>44977</v>
      </c>
      <c r="E1336" s="615" t="s">
        <v>582</v>
      </c>
      <c r="F1336" s="453">
        <v>2023300034</v>
      </c>
      <c r="G1336" s="616" t="s">
        <v>3655</v>
      </c>
      <c r="H1336" s="442" t="s">
        <v>4757</v>
      </c>
      <c r="I1336" s="362">
        <f t="shared" si="102"/>
        <v>13487.660999999998</v>
      </c>
      <c r="J1336" s="362">
        <f t="shared" si="103"/>
        <v>1241.5250000000001</v>
      </c>
      <c r="K1336" s="362">
        <v>1241.5250000000001</v>
      </c>
      <c r="L1336" s="362">
        <f t="shared" si="99"/>
        <v>248.30500000000004</v>
      </c>
      <c r="M1336" s="362" t="s">
        <v>6171</v>
      </c>
      <c r="N1336" s="432" t="s">
        <v>3785</v>
      </c>
      <c r="O1336" s="433" t="s">
        <v>4120</v>
      </c>
      <c r="P1336" s="430" t="s">
        <v>3659</v>
      </c>
      <c r="Q1336" s="431">
        <v>0.2</v>
      </c>
      <c r="R1336" s="452">
        <v>1900000836</v>
      </c>
      <c r="S1336" s="617" t="s">
        <v>583</v>
      </c>
      <c r="T1336" s="618" t="s">
        <v>5915</v>
      </c>
    </row>
    <row r="1337" spans="1:21" s="594" customFormat="1" hidden="1" x14ac:dyDescent="0.35">
      <c r="A1337" s="608" t="s">
        <v>4953</v>
      </c>
      <c r="B1337" s="609" t="s">
        <v>558</v>
      </c>
      <c r="C1337" s="610">
        <v>44977</v>
      </c>
      <c r="D1337" s="443">
        <v>44977</v>
      </c>
      <c r="E1337" s="610" t="s">
        <v>584</v>
      </c>
      <c r="F1337" s="453">
        <v>2023300034</v>
      </c>
      <c r="G1337" s="626" t="s">
        <v>3655</v>
      </c>
      <c r="H1337" s="442" t="s">
        <v>4757</v>
      </c>
      <c r="I1337" s="362">
        <f t="shared" si="102"/>
        <v>13487.660999999998</v>
      </c>
      <c r="J1337" s="362">
        <f t="shared" si="103"/>
        <v>1241.5250000000001</v>
      </c>
      <c r="K1337" s="362">
        <v>1241.5250000000001</v>
      </c>
      <c r="L1337" s="362">
        <f t="shared" si="99"/>
        <v>248.30500000000004</v>
      </c>
      <c r="M1337" s="362" t="s">
        <v>6171</v>
      </c>
      <c r="N1337" s="432" t="s">
        <v>3785</v>
      </c>
      <c r="O1337" s="433" t="s">
        <v>4120</v>
      </c>
      <c r="P1337" s="430" t="s">
        <v>3659</v>
      </c>
      <c r="Q1337" s="431">
        <v>0.2</v>
      </c>
      <c r="R1337" s="452">
        <v>1900000836</v>
      </c>
      <c r="S1337" s="612" t="s">
        <v>6203</v>
      </c>
      <c r="T1337" s="588" t="s">
        <v>5915</v>
      </c>
    </row>
    <row r="1338" spans="1:21" s="619" customFormat="1" hidden="1" x14ac:dyDescent="0.35">
      <c r="A1338" s="613" t="s">
        <v>4954</v>
      </c>
      <c r="B1338" s="614" t="s">
        <v>558</v>
      </c>
      <c r="C1338" s="615">
        <v>44977</v>
      </c>
      <c r="D1338" s="443">
        <v>44977</v>
      </c>
      <c r="E1338" s="615" t="s">
        <v>585</v>
      </c>
      <c r="F1338" s="453">
        <v>2023300034</v>
      </c>
      <c r="G1338" s="616" t="s">
        <v>3655</v>
      </c>
      <c r="H1338" s="442" t="s">
        <v>4757</v>
      </c>
      <c r="I1338" s="362">
        <f t="shared" si="102"/>
        <v>13487.660999999998</v>
      </c>
      <c r="J1338" s="362">
        <f t="shared" si="103"/>
        <v>1241.5250000000001</v>
      </c>
      <c r="K1338" s="362">
        <v>1241.5250000000001</v>
      </c>
      <c r="L1338" s="362">
        <f t="shared" si="99"/>
        <v>248.30500000000004</v>
      </c>
      <c r="M1338" s="362" t="s">
        <v>6171</v>
      </c>
      <c r="N1338" s="432" t="s">
        <v>3785</v>
      </c>
      <c r="O1338" s="433" t="s">
        <v>4120</v>
      </c>
      <c r="P1338" s="430" t="s">
        <v>3659</v>
      </c>
      <c r="Q1338" s="431">
        <v>0.2</v>
      </c>
      <c r="R1338" s="452">
        <v>1900000836</v>
      </c>
      <c r="S1338" s="617" t="s">
        <v>586</v>
      </c>
      <c r="T1338" s="618" t="s">
        <v>5915</v>
      </c>
    </row>
    <row r="1339" spans="1:21" s="619" customFormat="1" hidden="1" x14ac:dyDescent="0.35">
      <c r="A1339" s="613" t="s">
        <v>4955</v>
      </c>
      <c r="B1339" s="614" t="s">
        <v>558</v>
      </c>
      <c r="C1339" s="615">
        <v>44977</v>
      </c>
      <c r="D1339" s="443">
        <v>44977</v>
      </c>
      <c r="E1339" s="615" t="s">
        <v>587</v>
      </c>
      <c r="F1339" s="453">
        <v>2023300034</v>
      </c>
      <c r="G1339" s="616" t="s">
        <v>3655</v>
      </c>
      <c r="H1339" s="442" t="s">
        <v>4757</v>
      </c>
      <c r="I1339" s="362">
        <f t="shared" si="102"/>
        <v>13487.660999999998</v>
      </c>
      <c r="J1339" s="362">
        <f t="shared" si="103"/>
        <v>1241.5250000000001</v>
      </c>
      <c r="K1339" s="362">
        <v>1241.5250000000001</v>
      </c>
      <c r="L1339" s="362">
        <f t="shared" si="99"/>
        <v>248.30500000000004</v>
      </c>
      <c r="M1339" s="362" t="s">
        <v>6171</v>
      </c>
      <c r="N1339" s="432" t="s">
        <v>3785</v>
      </c>
      <c r="O1339" s="433" t="s">
        <v>4120</v>
      </c>
      <c r="P1339" s="430" t="s">
        <v>3659</v>
      </c>
      <c r="Q1339" s="431">
        <v>0.2</v>
      </c>
      <c r="R1339" s="452">
        <v>1900000836</v>
      </c>
      <c r="S1339" s="617" t="s">
        <v>588</v>
      </c>
      <c r="T1339" s="618" t="s">
        <v>5915</v>
      </c>
    </row>
    <row r="1340" spans="1:21" s="619" customFormat="1" hidden="1" x14ac:dyDescent="0.35">
      <c r="A1340" s="613" t="s">
        <v>4956</v>
      </c>
      <c r="B1340" s="614" t="s">
        <v>558</v>
      </c>
      <c r="C1340" s="615">
        <v>44977</v>
      </c>
      <c r="D1340" s="443">
        <v>44977</v>
      </c>
      <c r="E1340" s="615" t="s">
        <v>591</v>
      </c>
      <c r="F1340" s="453">
        <v>2023300034</v>
      </c>
      <c r="G1340" s="616" t="s">
        <v>3655</v>
      </c>
      <c r="H1340" s="442" t="s">
        <v>4757</v>
      </c>
      <c r="I1340" s="362">
        <f t="shared" si="102"/>
        <v>13487.660999999998</v>
      </c>
      <c r="J1340" s="362">
        <f t="shared" si="103"/>
        <v>1241.5250000000001</v>
      </c>
      <c r="K1340" s="362">
        <v>1241.5250000000001</v>
      </c>
      <c r="L1340" s="362">
        <f t="shared" si="99"/>
        <v>248.30500000000004</v>
      </c>
      <c r="M1340" s="362" t="s">
        <v>6171</v>
      </c>
      <c r="N1340" s="432" t="s">
        <v>3785</v>
      </c>
      <c r="O1340" s="433" t="s">
        <v>4120</v>
      </c>
      <c r="P1340" s="430" t="s">
        <v>3659</v>
      </c>
      <c r="Q1340" s="431">
        <v>0.2</v>
      </c>
      <c r="R1340" s="452">
        <v>1900000836</v>
      </c>
      <c r="S1340" s="617" t="s">
        <v>592</v>
      </c>
      <c r="T1340" s="618" t="s">
        <v>5915</v>
      </c>
    </row>
    <row r="1341" spans="1:21" s="619" customFormat="1" hidden="1" x14ac:dyDescent="0.35">
      <c r="A1341" s="613"/>
      <c r="B1341" s="614" t="s">
        <v>558</v>
      </c>
      <c r="C1341" s="615">
        <v>44977</v>
      </c>
      <c r="D1341" s="443">
        <v>44977</v>
      </c>
      <c r="E1341" s="615" t="s">
        <v>563</v>
      </c>
      <c r="F1341" s="453">
        <v>2023300034</v>
      </c>
      <c r="G1341" s="616" t="s">
        <v>3655</v>
      </c>
      <c r="H1341" s="442" t="s">
        <v>4757</v>
      </c>
      <c r="I1341" s="362">
        <f t="shared" si="102"/>
        <v>13487.660999999998</v>
      </c>
      <c r="J1341" s="362">
        <f t="shared" si="103"/>
        <v>1241.5250000000001</v>
      </c>
      <c r="K1341" s="362">
        <v>1241.5250000000001</v>
      </c>
      <c r="L1341" s="362">
        <f t="shared" si="99"/>
        <v>248.30500000000004</v>
      </c>
      <c r="M1341" s="362" t="s">
        <v>6171</v>
      </c>
      <c r="N1341" s="432" t="s">
        <v>3785</v>
      </c>
      <c r="O1341" s="433" t="s">
        <v>4120</v>
      </c>
      <c r="P1341" s="430" t="s">
        <v>3659</v>
      </c>
      <c r="Q1341" s="431">
        <v>0.2</v>
      </c>
      <c r="R1341" s="452">
        <v>1900000836</v>
      </c>
      <c r="S1341" s="617" t="s">
        <v>564</v>
      </c>
      <c r="T1341" s="618" t="s">
        <v>5915</v>
      </c>
    </row>
    <row r="1342" spans="1:21" hidden="1" x14ac:dyDescent="0.35">
      <c r="A1342" s="432" t="s">
        <v>4957</v>
      </c>
      <c r="B1342" s="442" t="s">
        <v>1679</v>
      </c>
      <c r="C1342" s="443">
        <v>45176</v>
      </c>
      <c r="D1342" s="443">
        <v>45176</v>
      </c>
      <c r="E1342" s="443" t="s">
        <v>1680</v>
      </c>
      <c r="F1342" s="453">
        <v>2023300145</v>
      </c>
      <c r="G1342" s="453" t="s">
        <v>1486</v>
      </c>
      <c r="H1342" s="442" t="s">
        <v>4757</v>
      </c>
      <c r="I1342" s="362">
        <f>91117.17/10</f>
        <v>9111.7170000000006</v>
      </c>
      <c r="J1342" s="362">
        <f>8347.71/10</f>
        <v>834.77099999999996</v>
      </c>
      <c r="K1342" s="362">
        <v>834.77099999999996</v>
      </c>
      <c r="L1342" s="362">
        <f t="shared" si="99"/>
        <v>166.95420000000001</v>
      </c>
      <c r="M1342" s="362" t="s">
        <v>6171</v>
      </c>
      <c r="N1342" s="432" t="s">
        <v>3785</v>
      </c>
      <c r="O1342" s="433" t="s">
        <v>4120</v>
      </c>
      <c r="P1342" s="430" t="s">
        <v>3659</v>
      </c>
      <c r="Q1342" s="431">
        <v>0.2</v>
      </c>
      <c r="R1342" s="452">
        <v>1900002118</v>
      </c>
      <c r="S1342" s="444"/>
      <c r="T1342" s="2" t="s">
        <v>5914</v>
      </c>
      <c r="U1342" s="9" t="s">
        <v>5919</v>
      </c>
    </row>
    <row r="1343" spans="1:21" hidden="1" x14ac:dyDescent="0.35">
      <c r="A1343" s="432" t="s">
        <v>4958</v>
      </c>
      <c r="B1343" s="442" t="s">
        <v>1679</v>
      </c>
      <c r="C1343" s="443">
        <v>45176</v>
      </c>
      <c r="D1343" s="443">
        <v>45176</v>
      </c>
      <c r="E1343" s="443" t="s">
        <v>1681</v>
      </c>
      <c r="F1343" s="453">
        <v>2023300145</v>
      </c>
      <c r="G1343" s="453" t="s">
        <v>1486</v>
      </c>
      <c r="H1343" s="442" t="s">
        <v>4757</v>
      </c>
      <c r="I1343" s="362">
        <f t="shared" ref="I1343:I1351" si="104">91117.17/10</f>
        <v>9111.7170000000006</v>
      </c>
      <c r="J1343" s="362">
        <f t="shared" ref="J1343:J1351" si="105">8347.71/10</f>
        <v>834.77099999999996</v>
      </c>
      <c r="K1343" s="362">
        <v>834.77099999999996</v>
      </c>
      <c r="L1343" s="362">
        <f t="shared" si="99"/>
        <v>166.95420000000001</v>
      </c>
      <c r="M1343" s="362" t="s">
        <v>6171</v>
      </c>
      <c r="N1343" s="432" t="s">
        <v>3785</v>
      </c>
      <c r="O1343" s="433" t="s">
        <v>4120</v>
      </c>
      <c r="P1343" s="430" t="s">
        <v>3659</v>
      </c>
      <c r="Q1343" s="431">
        <v>0.2</v>
      </c>
      <c r="R1343" s="452">
        <v>1900002118</v>
      </c>
      <c r="S1343" s="444"/>
      <c r="T1343" s="2" t="s">
        <v>5914</v>
      </c>
      <c r="U1343" s="9" t="s">
        <v>5919</v>
      </c>
    </row>
    <row r="1344" spans="1:21" hidden="1" x14ac:dyDescent="0.35">
      <c r="A1344" s="432" t="s">
        <v>4959</v>
      </c>
      <c r="B1344" s="442" t="s">
        <v>1679</v>
      </c>
      <c r="C1344" s="443">
        <v>45176</v>
      </c>
      <c r="D1344" s="443">
        <v>45176</v>
      </c>
      <c r="E1344" s="443" t="s">
        <v>1682</v>
      </c>
      <c r="F1344" s="453">
        <v>2023300145</v>
      </c>
      <c r="G1344" s="453" t="s">
        <v>1486</v>
      </c>
      <c r="H1344" s="442" t="s">
        <v>4757</v>
      </c>
      <c r="I1344" s="362">
        <f t="shared" si="104"/>
        <v>9111.7170000000006</v>
      </c>
      <c r="J1344" s="362">
        <f t="shared" si="105"/>
        <v>834.77099999999996</v>
      </c>
      <c r="K1344" s="362">
        <v>834.77099999999996</v>
      </c>
      <c r="L1344" s="362">
        <f t="shared" si="99"/>
        <v>166.95420000000001</v>
      </c>
      <c r="M1344" s="362" t="s">
        <v>6171</v>
      </c>
      <c r="N1344" s="432" t="s">
        <v>3785</v>
      </c>
      <c r="O1344" s="433" t="s">
        <v>4120</v>
      </c>
      <c r="P1344" s="430" t="s">
        <v>3659</v>
      </c>
      <c r="Q1344" s="431">
        <v>0.2</v>
      </c>
      <c r="R1344" s="452">
        <v>1900002118</v>
      </c>
      <c r="S1344" s="444"/>
      <c r="T1344" s="2" t="s">
        <v>5914</v>
      </c>
      <c r="U1344" s="9" t="s">
        <v>5919</v>
      </c>
    </row>
    <row r="1345" spans="1:21" hidden="1" x14ac:dyDescent="0.35">
      <c r="A1345" s="432" t="s">
        <v>4960</v>
      </c>
      <c r="B1345" s="442" t="s">
        <v>1679</v>
      </c>
      <c r="C1345" s="443">
        <v>45176</v>
      </c>
      <c r="D1345" s="443">
        <v>45176</v>
      </c>
      <c r="E1345" s="443" t="s">
        <v>1683</v>
      </c>
      <c r="F1345" s="453">
        <v>2023300145</v>
      </c>
      <c r="G1345" s="453" t="s">
        <v>1486</v>
      </c>
      <c r="H1345" s="442" t="s">
        <v>4757</v>
      </c>
      <c r="I1345" s="362">
        <f t="shared" si="104"/>
        <v>9111.7170000000006</v>
      </c>
      <c r="J1345" s="362">
        <f t="shared" si="105"/>
        <v>834.77099999999996</v>
      </c>
      <c r="K1345" s="362">
        <v>834.77099999999996</v>
      </c>
      <c r="L1345" s="362">
        <f t="shared" si="99"/>
        <v>166.95420000000001</v>
      </c>
      <c r="M1345" s="362" t="s">
        <v>6171</v>
      </c>
      <c r="N1345" s="432" t="s">
        <v>2675</v>
      </c>
      <c r="O1345" s="433" t="s">
        <v>4120</v>
      </c>
      <c r="P1345" s="430" t="s">
        <v>3659</v>
      </c>
      <c r="Q1345" s="431">
        <v>0.2</v>
      </c>
      <c r="R1345" s="452">
        <v>1900002118</v>
      </c>
      <c r="S1345" s="444" t="s">
        <v>6258</v>
      </c>
      <c r="T1345" s="2" t="s">
        <v>5915</v>
      </c>
    </row>
    <row r="1346" spans="1:21" hidden="1" x14ac:dyDescent="0.35">
      <c r="A1346" s="432" t="s">
        <v>4961</v>
      </c>
      <c r="B1346" s="442" t="s">
        <v>1679</v>
      </c>
      <c r="C1346" s="443">
        <v>45176</v>
      </c>
      <c r="D1346" s="443">
        <v>45176</v>
      </c>
      <c r="E1346" s="443" t="s">
        <v>1645</v>
      </c>
      <c r="F1346" s="453">
        <v>2023300145</v>
      </c>
      <c r="G1346" s="453" t="s">
        <v>1486</v>
      </c>
      <c r="H1346" s="442" t="s">
        <v>4757</v>
      </c>
      <c r="I1346" s="362">
        <f t="shared" si="104"/>
        <v>9111.7170000000006</v>
      </c>
      <c r="J1346" s="362">
        <f t="shared" si="105"/>
        <v>834.77099999999996</v>
      </c>
      <c r="K1346" s="362">
        <v>834.77099999999996</v>
      </c>
      <c r="L1346" s="362">
        <f t="shared" si="99"/>
        <v>166.95420000000001</v>
      </c>
      <c r="M1346" s="362" t="s">
        <v>6171</v>
      </c>
      <c r="N1346" s="432" t="s">
        <v>1377</v>
      </c>
      <c r="O1346" s="433" t="s">
        <v>4120</v>
      </c>
      <c r="P1346" s="430" t="s">
        <v>3659</v>
      </c>
      <c r="Q1346" s="431">
        <v>0.2</v>
      </c>
      <c r="R1346" s="452">
        <v>1900002118</v>
      </c>
      <c r="S1346" s="22" t="s">
        <v>1391</v>
      </c>
      <c r="T1346" s="2" t="s">
        <v>5915</v>
      </c>
    </row>
    <row r="1347" spans="1:21" hidden="1" x14ac:dyDescent="0.35">
      <c r="A1347" s="432" t="s">
        <v>4962</v>
      </c>
      <c r="B1347" s="442" t="s">
        <v>1679</v>
      </c>
      <c r="C1347" s="443">
        <v>45176</v>
      </c>
      <c r="D1347" s="443">
        <v>45176</v>
      </c>
      <c r="E1347" s="443" t="s">
        <v>1684</v>
      </c>
      <c r="F1347" s="453">
        <v>2023300145</v>
      </c>
      <c r="G1347" s="453" t="s">
        <v>1486</v>
      </c>
      <c r="H1347" s="442" t="s">
        <v>4757</v>
      </c>
      <c r="I1347" s="362">
        <f t="shared" si="104"/>
        <v>9111.7170000000006</v>
      </c>
      <c r="J1347" s="362">
        <f t="shared" si="105"/>
        <v>834.77099999999996</v>
      </c>
      <c r="K1347" s="362">
        <v>834.77099999999996</v>
      </c>
      <c r="L1347" s="362">
        <f t="shared" si="99"/>
        <v>166.95420000000001</v>
      </c>
      <c r="M1347" s="362" t="s">
        <v>6171</v>
      </c>
      <c r="N1347" s="432" t="s">
        <v>3785</v>
      </c>
      <c r="O1347" s="433" t="s">
        <v>4120</v>
      </c>
      <c r="P1347" s="430" t="s">
        <v>3659</v>
      </c>
      <c r="Q1347" s="431">
        <v>0.2</v>
      </c>
      <c r="R1347" s="452">
        <v>1900002118</v>
      </c>
      <c r="S1347" s="444"/>
      <c r="T1347" s="2" t="s">
        <v>5914</v>
      </c>
      <c r="U1347" s="9" t="s">
        <v>5919</v>
      </c>
    </row>
    <row r="1348" spans="1:21" hidden="1" x14ac:dyDescent="0.35">
      <c r="A1348" s="432" t="s">
        <v>4963</v>
      </c>
      <c r="B1348" s="442" t="s">
        <v>1679</v>
      </c>
      <c r="C1348" s="443">
        <v>45176</v>
      </c>
      <c r="D1348" s="443">
        <v>45176</v>
      </c>
      <c r="E1348" s="443" t="s">
        <v>1633</v>
      </c>
      <c r="F1348" s="453">
        <v>2023300145</v>
      </c>
      <c r="G1348" s="453" t="s">
        <v>1486</v>
      </c>
      <c r="H1348" s="442" t="s">
        <v>4757</v>
      </c>
      <c r="I1348" s="362">
        <f t="shared" si="104"/>
        <v>9111.7170000000006</v>
      </c>
      <c r="J1348" s="362">
        <f t="shared" si="105"/>
        <v>834.77099999999996</v>
      </c>
      <c r="K1348" s="362">
        <v>834.77099999999996</v>
      </c>
      <c r="L1348" s="362">
        <f t="shared" si="99"/>
        <v>166.95420000000001</v>
      </c>
      <c r="M1348" s="362" t="s">
        <v>6171</v>
      </c>
      <c r="N1348" s="432" t="s">
        <v>1377</v>
      </c>
      <c r="O1348" s="433" t="s">
        <v>4120</v>
      </c>
      <c r="P1348" s="430" t="s">
        <v>3659</v>
      </c>
      <c r="Q1348" s="431">
        <v>0.2</v>
      </c>
      <c r="R1348" s="452">
        <v>1900002118</v>
      </c>
      <c r="S1348" s="23" t="s">
        <v>1632</v>
      </c>
      <c r="T1348" s="2" t="s">
        <v>5915</v>
      </c>
    </row>
    <row r="1349" spans="1:21" hidden="1" x14ac:dyDescent="0.35">
      <c r="A1349" s="432" t="s">
        <v>4964</v>
      </c>
      <c r="B1349" s="442" t="s">
        <v>1679</v>
      </c>
      <c r="C1349" s="443">
        <v>45176</v>
      </c>
      <c r="D1349" s="443">
        <v>45176</v>
      </c>
      <c r="E1349" s="443" t="s">
        <v>1685</v>
      </c>
      <c r="F1349" s="453">
        <v>2023300145</v>
      </c>
      <c r="G1349" s="453" t="s">
        <v>1486</v>
      </c>
      <c r="H1349" s="442" t="s">
        <v>4757</v>
      </c>
      <c r="I1349" s="362">
        <f t="shared" si="104"/>
        <v>9111.7170000000006</v>
      </c>
      <c r="J1349" s="362">
        <f t="shared" si="105"/>
        <v>834.77099999999996</v>
      </c>
      <c r="K1349" s="362">
        <v>834.77099999999996</v>
      </c>
      <c r="L1349" s="362">
        <f t="shared" si="99"/>
        <v>166.95420000000001</v>
      </c>
      <c r="M1349" s="362" t="s">
        <v>6171</v>
      </c>
      <c r="N1349" s="432" t="s">
        <v>2675</v>
      </c>
      <c r="O1349" s="433" t="s">
        <v>4120</v>
      </c>
      <c r="P1349" s="430" t="s">
        <v>3659</v>
      </c>
      <c r="Q1349" s="431">
        <v>0.2</v>
      </c>
      <c r="R1349" s="452">
        <v>1900002118</v>
      </c>
      <c r="S1349" s="444" t="s">
        <v>6257</v>
      </c>
      <c r="T1349" s="2" t="s">
        <v>5915</v>
      </c>
    </row>
    <row r="1350" spans="1:21" hidden="1" x14ac:dyDescent="0.35">
      <c r="A1350" s="432" t="s">
        <v>4965</v>
      </c>
      <c r="B1350" s="442" t="s">
        <v>1679</v>
      </c>
      <c r="C1350" s="443">
        <v>45176</v>
      </c>
      <c r="D1350" s="443">
        <v>45176</v>
      </c>
      <c r="E1350" s="443" t="s">
        <v>1646</v>
      </c>
      <c r="F1350" s="453">
        <v>2023300145</v>
      </c>
      <c r="G1350" s="453" t="s">
        <v>1486</v>
      </c>
      <c r="H1350" s="442" t="s">
        <v>4757</v>
      </c>
      <c r="I1350" s="362">
        <f t="shared" si="104"/>
        <v>9111.7170000000006</v>
      </c>
      <c r="J1350" s="362">
        <f t="shared" si="105"/>
        <v>834.77099999999996</v>
      </c>
      <c r="K1350" s="362">
        <v>834.77099999999996</v>
      </c>
      <c r="L1350" s="362">
        <f t="shared" si="99"/>
        <v>166.95420000000001</v>
      </c>
      <c r="M1350" s="362" t="s">
        <v>6171</v>
      </c>
      <c r="N1350" s="432" t="s">
        <v>1377</v>
      </c>
      <c r="O1350" s="433" t="s">
        <v>4120</v>
      </c>
      <c r="P1350" s="430" t="s">
        <v>3659</v>
      </c>
      <c r="Q1350" s="431">
        <v>0.2</v>
      </c>
      <c r="R1350" s="452">
        <v>1900002118</v>
      </c>
      <c r="S1350" s="22" t="s">
        <v>1394</v>
      </c>
      <c r="T1350" s="2" t="s">
        <v>5915</v>
      </c>
    </row>
    <row r="1351" spans="1:21" hidden="1" x14ac:dyDescent="0.35">
      <c r="A1351" s="446" t="s">
        <v>4966</v>
      </c>
      <c r="B1351" s="447" t="s">
        <v>1679</v>
      </c>
      <c r="C1351" s="448">
        <v>45176</v>
      </c>
      <c r="D1351" s="448">
        <v>45176</v>
      </c>
      <c r="E1351" s="448" t="s">
        <v>1638</v>
      </c>
      <c r="F1351" s="456">
        <v>2023300145</v>
      </c>
      <c r="G1351" s="456" t="s">
        <v>1486</v>
      </c>
      <c r="H1351" s="447" t="s">
        <v>4757</v>
      </c>
      <c r="I1351" s="363">
        <f t="shared" si="104"/>
        <v>9111.7170000000006</v>
      </c>
      <c r="J1351" s="363">
        <f t="shared" si="105"/>
        <v>834.77099999999996</v>
      </c>
      <c r="K1351" s="363">
        <v>834.77099999999996</v>
      </c>
      <c r="L1351" s="363">
        <f t="shared" ref="L1351:L1416" si="106">+K1351*Q1351</f>
        <v>166.95420000000001</v>
      </c>
      <c r="M1351" s="363" t="s">
        <v>6171</v>
      </c>
      <c r="N1351" s="446" t="s">
        <v>1377</v>
      </c>
      <c r="O1351" s="450" t="s">
        <v>4120</v>
      </c>
      <c r="P1351" s="449" t="s">
        <v>3659</v>
      </c>
      <c r="Q1351" s="451">
        <v>0.2</v>
      </c>
      <c r="R1351" s="457">
        <v>1900002118</v>
      </c>
      <c r="S1351" s="22" t="s">
        <v>1387</v>
      </c>
      <c r="T1351" s="2" t="s">
        <v>5915</v>
      </c>
    </row>
    <row r="1352" spans="1:21" hidden="1" x14ac:dyDescent="0.35">
      <c r="A1352" s="432"/>
      <c r="B1352" s="442" t="s">
        <v>4967</v>
      </c>
      <c r="C1352" s="443">
        <v>45006</v>
      </c>
      <c r="D1352" s="443">
        <v>45006</v>
      </c>
      <c r="E1352" s="443" t="s">
        <v>1877</v>
      </c>
      <c r="F1352" s="453" t="s">
        <v>4968</v>
      </c>
      <c r="G1352" s="453" t="s">
        <v>4840</v>
      </c>
      <c r="H1352" s="442" t="s">
        <v>4757</v>
      </c>
      <c r="I1352" s="362">
        <f>113442.7/40</f>
        <v>2836.0675000000001</v>
      </c>
      <c r="J1352" s="362">
        <f>10442.44/40</f>
        <v>261.06100000000004</v>
      </c>
      <c r="K1352" s="362">
        <v>261.06100000000004</v>
      </c>
      <c r="L1352" s="363">
        <f t="shared" si="106"/>
        <v>52.21220000000001</v>
      </c>
      <c r="M1352" s="363" t="s">
        <v>6171</v>
      </c>
      <c r="N1352" s="432" t="s">
        <v>3785</v>
      </c>
      <c r="O1352" s="433" t="s">
        <v>4120</v>
      </c>
      <c r="P1352" s="430" t="s">
        <v>3659</v>
      </c>
      <c r="Q1352" s="431">
        <v>0.2</v>
      </c>
      <c r="R1352" s="458" t="s">
        <v>4969</v>
      </c>
      <c r="S1352" s="444" t="s">
        <v>1878</v>
      </c>
      <c r="T1352" s="2" t="s">
        <v>5915</v>
      </c>
    </row>
    <row r="1353" spans="1:21" hidden="1" x14ac:dyDescent="0.35">
      <c r="A1353" s="432"/>
      <c r="B1353" s="442" t="s">
        <v>4967</v>
      </c>
      <c r="C1353" s="443">
        <v>45006</v>
      </c>
      <c r="D1353" s="443">
        <v>45006</v>
      </c>
      <c r="E1353" s="443" t="s">
        <v>1879</v>
      </c>
      <c r="F1353" s="453" t="s">
        <v>4968</v>
      </c>
      <c r="G1353" s="453" t="s">
        <v>4840</v>
      </c>
      <c r="H1353" s="442" t="s">
        <v>4757</v>
      </c>
      <c r="I1353" s="362">
        <v>2836.0675000000001</v>
      </c>
      <c r="J1353" s="362">
        <f t="shared" ref="J1353:J1391" si="107">10442.44/40</f>
        <v>261.06100000000004</v>
      </c>
      <c r="K1353" s="362">
        <v>261.06100000000004</v>
      </c>
      <c r="L1353" s="363">
        <f t="shared" si="106"/>
        <v>52.21220000000001</v>
      </c>
      <c r="M1353" s="363" t="s">
        <v>6171</v>
      </c>
      <c r="N1353" s="432" t="s">
        <v>3785</v>
      </c>
      <c r="O1353" s="433" t="s">
        <v>4120</v>
      </c>
      <c r="P1353" s="430" t="s">
        <v>3659</v>
      </c>
      <c r="Q1353" s="431">
        <v>0.2</v>
      </c>
      <c r="R1353" s="459" t="s">
        <v>4969</v>
      </c>
      <c r="S1353" s="444" t="s">
        <v>1880</v>
      </c>
      <c r="T1353" s="2" t="s">
        <v>5915</v>
      </c>
    </row>
    <row r="1354" spans="1:21" hidden="1" x14ac:dyDescent="0.35">
      <c r="A1354" s="432"/>
      <c r="B1354" s="442" t="s">
        <v>4967</v>
      </c>
      <c r="C1354" s="443">
        <v>45006</v>
      </c>
      <c r="D1354" s="443">
        <v>45006</v>
      </c>
      <c r="E1354" s="443" t="s">
        <v>1881</v>
      </c>
      <c r="F1354" s="453" t="s">
        <v>4968</v>
      </c>
      <c r="G1354" s="453" t="s">
        <v>4840</v>
      </c>
      <c r="H1354" s="442" t="s">
        <v>4757</v>
      </c>
      <c r="I1354" s="362">
        <v>2836.0675000000001</v>
      </c>
      <c r="J1354" s="362">
        <f t="shared" si="107"/>
        <v>261.06100000000004</v>
      </c>
      <c r="K1354" s="362">
        <v>261.06100000000004</v>
      </c>
      <c r="L1354" s="363">
        <f t="shared" si="106"/>
        <v>52.21220000000001</v>
      </c>
      <c r="M1354" s="363" t="s">
        <v>6171</v>
      </c>
      <c r="N1354" s="432" t="s">
        <v>3785</v>
      </c>
      <c r="O1354" s="433" t="s">
        <v>4120</v>
      </c>
      <c r="P1354" s="430" t="s">
        <v>3659</v>
      </c>
      <c r="Q1354" s="431">
        <v>0.2</v>
      </c>
      <c r="R1354" s="459" t="s">
        <v>4969</v>
      </c>
      <c r="S1354" s="444" t="s">
        <v>672</v>
      </c>
      <c r="T1354" s="2" t="s">
        <v>5915</v>
      </c>
    </row>
    <row r="1355" spans="1:21" hidden="1" x14ac:dyDescent="0.35">
      <c r="A1355" s="432"/>
      <c r="B1355" s="442" t="s">
        <v>4967</v>
      </c>
      <c r="C1355" s="443">
        <v>45006</v>
      </c>
      <c r="D1355" s="443">
        <v>45006</v>
      </c>
      <c r="E1355" s="443" t="s">
        <v>1882</v>
      </c>
      <c r="F1355" s="453" t="s">
        <v>4968</v>
      </c>
      <c r="G1355" s="453" t="s">
        <v>4840</v>
      </c>
      <c r="H1355" s="442" t="s">
        <v>4757</v>
      </c>
      <c r="I1355" s="362">
        <v>2836.0675000000001</v>
      </c>
      <c r="J1355" s="362">
        <f t="shared" si="107"/>
        <v>261.06100000000004</v>
      </c>
      <c r="K1355" s="362">
        <v>261.06100000000004</v>
      </c>
      <c r="L1355" s="363">
        <f t="shared" si="106"/>
        <v>52.21220000000001</v>
      </c>
      <c r="M1355" s="363" t="s">
        <v>6171</v>
      </c>
      <c r="N1355" s="432" t="s">
        <v>3785</v>
      </c>
      <c r="O1355" s="433" t="s">
        <v>4120</v>
      </c>
      <c r="P1355" s="430" t="s">
        <v>3659</v>
      </c>
      <c r="Q1355" s="431">
        <v>0.2</v>
      </c>
      <c r="R1355" s="459" t="s">
        <v>4969</v>
      </c>
      <c r="S1355" s="444" t="s">
        <v>516</v>
      </c>
      <c r="T1355" s="2" t="s">
        <v>5915</v>
      </c>
    </row>
    <row r="1356" spans="1:21" hidden="1" x14ac:dyDescent="0.35">
      <c r="A1356" s="432"/>
      <c r="B1356" s="442" t="s">
        <v>4967</v>
      </c>
      <c r="C1356" s="443">
        <v>45006</v>
      </c>
      <c r="D1356" s="443">
        <v>45006</v>
      </c>
      <c r="E1356" s="443" t="s">
        <v>1883</v>
      </c>
      <c r="F1356" s="453" t="s">
        <v>4968</v>
      </c>
      <c r="G1356" s="453" t="s">
        <v>4840</v>
      </c>
      <c r="H1356" s="442" t="s">
        <v>4757</v>
      </c>
      <c r="I1356" s="362">
        <v>2836.0675000000001</v>
      </c>
      <c r="J1356" s="362">
        <f t="shared" si="107"/>
        <v>261.06100000000004</v>
      </c>
      <c r="K1356" s="362">
        <v>261.06100000000004</v>
      </c>
      <c r="L1356" s="363">
        <f t="shared" si="106"/>
        <v>52.21220000000001</v>
      </c>
      <c r="M1356" s="363" t="s">
        <v>6171</v>
      </c>
      <c r="N1356" s="432" t="s">
        <v>3785</v>
      </c>
      <c r="O1356" s="433" t="s">
        <v>4120</v>
      </c>
      <c r="P1356" s="430" t="s">
        <v>3659</v>
      </c>
      <c r="Q1356" s="431">
        <v>0.2</v>
      </c>
      <c r="R1356" s="459" t="s">
        <v>4969</v>
      </c>
      <c r="S1356" s="444" t="s">
        <v>787</v>
      </c>
      <c r="T1356" s="2" t="s">
        <v>5915</v>
      </c>
    </row>
    <row r="1357" spans="1:21" hidden="1" x14ac:dyDescent="0.35">
      <c r="A1357" s="432"/>
      <c r="B1357" s="442" t="s">
        <v>4967</v>
      </c>
      <c r="C1357" s="443">
        <v>45006</v>
      </c>
      <c r="D1357" s="443">
        <v>45006</v>
      </c>
      <c r="E1357" s="443" t="s">
        <v>1884</v>
      </c>
      <c r="F1357" s="453" t="s">
        <v>4968</v>
      </c>
      <c r="G1357" s="453" t="s">
        <v>4840</v>
      </c>
      <c r="H1357" s="442" t="s">
        <v>4757</v>
      </c>
      <c r="I1357" s="362">
        <v>2836.0675000000001</v>
      </c>
      <c r="J1357" s="362">
        <f t="shared" si="107"/>
        <v>261.06100000000004</v>
      </c>
      <c r="K1357" s="362">
        <v>261.06100000000004</v>
      </c>
      <c r="L1357" s="363">
        <f t="shared" si="106"/>
        <v>52.21220000000001</v>
      </c>
      <c r="M1357" s="363" t="s">
        <v>6171</v>
      </c>
      <c r="N1357" s="432" t="s">
        <v>3785</v>
      </c>
      <c r="O1357" s="433" t="s">
        <v>4120</v>
      </c>
      <c r="P1357" s="430" t="s">
        <v>3659</v>
      </c>
      <c r="Q1357" s="431">
        <v>0.2</v>
      </c>
      <c r="R1357" s="459" t="s">
        <v>4969</v>
      </c>
      <c r="S1357" s="444" t="s">
        <v>797</v>
      </c>
      <c r="T1357" s="2" t="s">
        <v>5915</v>
      </c>
    </row>
    <row r="1358" spans="1:21" hidden="1" x14ac:dyDescent="0.35">
      <c r="A1358" s="432"/>
      <c r="B1358" s="442" t="s">
        <v>4967</v>
      </c>
      <c r="C1358" s="443">
        <v>45006</v>
      </c>
      <c r="D1358" s="443">
        <v>45006</v>
      </c>
      <c r="E1358" s="443" t="s">
        <v>1885</v>
      </c>
      <c r="F1358" s="453" t="s">
        <v>4968</v>
      </c>
      <c r="G1358" s="453" t="s">
        <v>4840</v>
      </c>
      <c r="H1358" s="442" t="s">
        <v>4757</v>
      </c>
      <c r="I1358" s="362">
        <v>2836.0675000000001</v>
      </c>
      <c r="J1358" s="362">
        <f t="shared" si="107"/>
        <v>261.06100000000004</v>
      </c>
      <c r="K1358" s="362">
        <v>261.06100000000004</v>
      </c>
      <c r="L1358" s="363">
        <f t="shared" si="106"/>
        <v>52.21220000000001</v>
      </c>
      <c r="M1358" s="363" t="s">
        <v>6171</v>
      </c>
      <c r="N1358" s="432" t="s">
        <v>3785</v>
      </c>
      <c r="O1358" s="433" t="s">
        <v>4120</v>
      </c>
      <c r="P1358" s="430" t="s">
        <v>3659</v>
      </c>
      <c r="Q1358" s="431">
        <v>0.2</v>
      </c>
      <c r="R1358" s="459" t="s">
        <v>4969</v>
      </c>
      <c r="S1358" s="444" t="s">
        <v>514</v>
      </c>
      <c r="T1358" s="2" t="s">
        <v>5915</v>
      </c>
    </row>
    <row r="1359" spans="1:21" hidden="1" x14ac:dyDescent="0.35">
      <c r="A1359" s="432"/>
      <c r="B1359" s="442" t="s">
        <v>4967</v>
      </c>
      <c r="C1359" s="443">
        <v>45006</v>
      </c>
      <c r="D1359" s="443">
        <v>45006</v>
      </c>
      <c r="E1359" s="443" t="s">
        <v>1886</v>
      </c>
      <c r="F1359" s="453" t="s">
        <v>4968</v>
      </c>
      <c r="G1359" s="453" t="s">
        <v>4840</v>
      </c>
      <c r="H1359" s="442" t="s">
        <v>4757</v>
      </c>
      <c r="I1359" s="362">
        <v>2836.0675000000001</v>
      </c>
      <c r="J1359" s="362">
        <f t="shared" si="107"/>
        <v>261.06100000000004</v>
      </c>
      <c r="K1359" s="362">
        <v>261.06100000000004</v>
      </c>
      <c r="L1359" s="363">
        <f t="shared" si="106"/>
        <v>52.21220000000001</v>
      </c>
      <c r="M1359" s="363" t="s">
        <v>6171</v>
      </c>
      <c r="N1359" s="432" t="s">
        <v>3785</v>
      </c>
      <c r="O1359" s="433" t="s">
        <v>4120</v>
      </c>
      <c r="P1359" s="430" t="s">
        <v>3659</v>
      </c>
      <c r="Q1359" s="431">
        <v>0.2</v>
      </c>
      <c r="R1359" s="459" t="s">
        <v>4969</v>
      </c>
      <c r="S1359" s="444" t="s">
        <v>1203</v>
      </c>
      <c r="T1359" s="2" t="s">
        <v>5915</v>
      </c>
    </row>
    <row r="1360" spans="1:21" hidden="1" x14ac:dyDescent="0.35">
      <c r="A1360" s="432"/>
      <c r="B1360" s="442" t="s">
        <v>4967</v>
      </c>
      <c r="C1360" s="443">
        <v>45006</v>
      </c>
      <c r="D1360" s="443">
        <v>45006</v>
      </c>
      <c r="E1360" s="443" t="s">
        <v>1887</v>
      </c>
      <c r="F1360" s="453" t="s">
        <v>4968</v>
      </c>
      <c r="G1360" s="453" t="s">
        <v>4840</v>
      </c>
      <c r="H1360" s="442" t="s">
        <v>4757</v>
      </c>
      <c r="I1360" s="362">
        <v>2836.0675000000001</v>
      </c>
      <c r="J1360" s="362">
        <f t="shared" si="107"/>
        <v>261.06100000000004</v>
      </c>
      <c r="K1360" s="362">
        <v>261.06100000000004</v>
      </c>
      <c r="L1360" s="363">
        <f t="shared" si="106"/>
        <v>52.21220000000001</v>
      </c>
      <c r="M1360" s="363" t="s">
        <v>6171</v>
      </c>
      <c r="N1360" s="432" t="s">
        <v>3785</v>
      </c>
      <c r="O1360" s="433" t="s">
        <v>4120</v>
      </c>
      <c r="P1360" s="430" t="s">
        <v>3659</v>
      </c>
      <c r="Q1360" s="431">
        <v>0.2</v>
      </c>
      <c r="R1360" s="459" t="s">
        <v>4969</v>
      </c>
      <c r="S1360" s="444" t="s">
        <v>1888</v>
      </c>
      <c r="T1360" s="2" t="s">
        <v>5915</v>
      </c>
    </row>
    <row r="1361" spans="1:20" hidden="1" x14ac:dyDescent="0.35">
      <c r="A1361" s="432"/>
      <c r="B1361" s="442" t="s">
        <v>4967</v>
      </c>
      <c r="C1361" s="443">
        <v>45006</v>
      </c>
      <c r="D1361" s="443">
        <v>45006</v>
      </c>
      <c r="E1361" s="443" t="s">
        <v>1889</v>
      </c>
      <c r="F1361" s="453" t="s">
        <v>4968</v>
      </c>
      <c r="G1361" s="453" t="s">
        <v>4840</v>
      </c>
      <c r="H1361" s="442" t="s">
        <v>4757</v>
      </c>
      <c r="I1361" s="362">
        <v>2836.0675000000001</v>
      </c>
      <c r="J1361" s="362">
        <f t="shared" si="107"/>
        <v>261.06100000000004</v>
      </c>
      <c r="K1361" s="362">
        <v>261.06100000000004</v>
      </c>
      <c r="L1361" s="363">
        <f t="shared" si="106"/>
        <v>52.21220000000001</v>
      </c>
      <c r="M1361" s="363" t="s">
        <v>6171</v>
      </c>
      <c r="N1361" s="432" t="s">
        <v>3785</v>
      </c>
      <c r="O1361" s="433" t="s">
        <v>4120</v>
      </c>
      <c r="P1361" s="430" t="s">
        <v>3659</v>
      </c>
      <c r="Q1361" s="431">
        <v>0.2</v>
      </c>
      <c r="R1361" s="459" t="s">
        <v>4969</v>
      </c>
      <c r="S1361" s="444" t="s">
        <v>801</v>
      </c>
      <c r="T1361" s="2" t="s">
        <v>5915</v>
      </c>
    </row>
    <row r="1362" spans="1:20" hidden="1" x14ac:dyDescent="0.35">
      <c r="A1362" s="432"/>
      <c r="B1362" s="442" t="s">
        <v>4967</v>
      </c>
      <c r="C1362" s="443">
        <v>45006</v>
      </c>
      <c r="D1362" s="443">
        <v>45006</v>
      </c>
      <c r="E1362" s="443" t="s">
        <v>1890</v>
      </c>
      <c r="F1362" s="453" t="s">
        <v>4968</v>
      </c>
      <c r="G1362" s="453" t="s">
        <v>4840</v>
      </c>
      <c r="H1362" s="442" t="s">
        <v>4757</v>
      </c>
      <c r="I1362" s="362">
        <v>2836.0675000000001</v>
      </c>
      <c r="J1362" s="362">
        <f t="shared" si="107"/>
        <v>261.06100000000004</v>
      </c>
      <c r="K1362" s="362">
        <v>261.06100000000004</v>
      </c>
      <c r="L1362" s="363">
        <f t="shared" si="106"/>
        <v>52.21220000000001</v>
      </c>
      <c r="M1362" s="363" t="s">
        <v>6171</v>
      </c>
      <c r="N1362" s="432" t="s">
        <v>3785</v>
      </c>
      <c r="O1362" s="433" t="s">
        <v>4120</v>
      </c>
      <c r="P1362" s="430" t="s">
        <v>3659</v>
      </c>
      <c r="Q1362" s="431">
        <v>0.2</v>
      </c>
      <c r="R1362" s="459" t="s">
        <v>4969</v>
      </c>
      <c r="S1362" s="444" t="s">
        <v>469</v>
      </c>
      <c r="T1362" s="2" t="s">
        <v>5915</v>
      </c>
    </row>
    <row r="1363" spans="1:20" hidden="1" x14ac:dyDescent="0.35">
      <c r="A1363" s="432"/>
      <c r="B1363" s="442" t="s">
        <v>4967</v>
      </c>
      <c r="C1363" s="443">
        <v>45006</v>
      </c>
      <c r="D1363" s="443">
        <v>45006</v>
      </c>
      <c r="E1363" s="443" t="s">
        <v>1891</v>
      </c>
      <c r="F1363" s="453" t="s">
        <v>4968</v>
      </c>
      <c r="G1363" s="453" t="s">
        <v>4840</v>
      </c>
      <c r="H1363" s="442" t="s">
        <v>4757</v>
      </c>
      <c r="I1363" s="362">
        <v>2836.0675000000001</v>
      </c>
      <c r="J1363" s="362">
        <f t="shared" si="107"/>
        <v>261.06100000000004</v>
      </c>
      <c r="K1363" s="362">
        <v>261.06100000000004</v>
      </c>
      <c r="L1363" s="363">
        <f t="shared" si="106"/>
        <v>52.21220000000001</v>
      </c>
      <c r="M1363" s="363" t="s">
        <v>6171</v>
      </c>
      <c r="N1363" s="432" t="s">
        <v>3785</v>
      </c>
      <c r="O1363" s="433" t="s">
        <v>4120</v>
      </c>
      <c r="P1363" s="430" t="s">
        <v>3659</v>
      </c>
      <c r="Q1363" s="431">
        <v>0.2</v>
      </c>
      <c r="R1363" s="459" t="s">
        <v>4969</v>
      </c>
      <c r="S1363" s="444" t="s">
        <v>733</v>
      </c>
      <c r="T1363" s="2" t="s">
        <v>5915</v>
      </c>
    </row>
    <row r="1364" spans="1:20" hidden="1" x14ac:dyDescent="0.35">
      <c r="A1364" s="432"/>
      <c r="B1364" s="442" t="s">
        <v>4967</v>
      </c>
      <c r="C1364" s="443">
        <v>45006</v>
      </c>
      <c r="D1364" s="443">
        <v>45006</v>
      </c>
      <c r="E1364" s="443" t="s">
        <v>1892</v>
      </c>
      <c r="F1364" s="453" t="s">
        <v>4968</v>
      </c>
      <c r="G1364" s="453" t="s">
        <v>4840</v>
      </c>
      <c r="H1364" s="442" t="s">
        <v>4757</v>
      </c>
      <c r="I1364" s="362">
        <v>2836.0675000000001</v>
      </c>
      <c r="J1364" s="362">
        <f t="shared" si="107"/>
        <v>261.06100000000004</v>
      </c>
      <c r="K1364" s="362">
        <v>261.06100000000004</v>
      </c>
      <c r="L1364" s="363">
        <f t="shared" si="106"/>
        <v>52.21220000000001</v>
      </c>
      <c r="M1364" s="363" t="s">
        <v>6171</v>
      </c>
      <c r="N1364" s="432" t="s">
        <v>3785</v>
      </c>
      <c r="O1364" s="433" t="s">
        <v>4120</v>
      </c>
      <c r="P1364" s="430" t="s">
        <v>3659</v>
      </c>
      <c r="Q1364" s="431">
        <v>0.2</v>
      </c>
      <c r="R1364" s="459" t="s">
        <v>4969</v>
      </c>
      <c r="S1364" s="444" t="s">
        <v>1893</v>
      </c>
      <c r="T1364" s="2" t="s">
        <v>5915</v>
      </c>
    </row>
    <row r="1365" spans="1:20" hidden="1" x14ac:dyDescent="0.35">
      <c r="A1365" s="432"/>
      <c r="B1365" s="442" t="s">
        <v>4967</v>
      </c>
      <c r="C1365" s="443">
        <v>45006</v>
      </c>
      <c r="D1365" s="443">
        <v>45006</v>
      </c>
      <c r="E1365" s="443" t="s">
        <v>1894</v>
      </c>
      <c r="F1365" s="453" t="s">
        <v>4968</v>
      </c>
      <c r="G1365" s="453" t="s">
        <v>4840</v>
      </c>
      <c r="H1365" s="442" t="s">
        <v>4757</v>
      </c>
      <c r="I1365" s="362">
        <v>2836.0675000000001</v>
      </c>
      <c r="J1365" s="362">
        <f t="shared" si="107"/>
        <v>261.06100000000004</v>
      </c>
      <c r="K1365" s="362">
        <v>261.06100000000004</v>
      </c>
      <c r="L1365" s="363">
        <f t="shared" si="106"/>
        <v>52.21220000000001</v>
      </c>
      <c r="M1365" s="363" t="s">
        <v>6171</v>
      </c>
      <c r="N1365" s="432" t="s">
        <v>3785</v>
      </c>
      <c r="O1365" s="433" t="s">
        <v>4120</v>
      </c>
      <c r="P1365" s="430" t="s">
        <v>3659</v>
      </c>
      <c r="Q1365" s="431">
        <v>0.2</v>
      </c>
      <c r="R1365" s="459" t="s">
        <v>4969</v>
      </c>
      <c r="S1365" s="444" t="s">
        <v>1895</v>
      </c>
      <c r="T1365" s="2" t="s">
        <v>5915</v>
      </c>
    </row>
    <row r="1366" spans="1:20" hidden="1" x14ac:dyDescent="0.35">
      <c r="A1366" s="432"/>
      <c r="B1366" s="442" t="s">
        <v>4967</v>
      </c>
      <c r="C1366" s="443">
        <v>45006</v>
      </c>
      <c r="D1366" s="443">
        <v>45006</v>
      </c>
      <c r="E1366" s="443" t="s">
        <v>1896</v>
      </c>
      <c r="F1366" s="453" t="s">
        <v>4968</v>
      </c>
      <c r="G1366" s="453" t="s">
        <v>4840</v>
      </c>
      <c r="H1366" s="442" t="s">
        <v>4757</v>
      </c>
      <c r="I1366" s="362">
        <v>2836.0675000000001</v>
      </c>
      <c r="J1366" s="362">
        <f t="shared" si="107"/>
        <v>261.06100000000004</v>
      </c>
      <c r="K1366" s="362">
        <v>261.06100000000004</v>
      </c>
      <c r="L1366" s="363">
        <f t="shared" si="106"/>
        <v>52.21220000000001</v>
      </c>
      <c r="M1366" s="363" t="s">
        <v>6171</v>
      </c>
      <c r="N1366" s="432" t="s">
        <v>3785</v>
      </c>
      <c r="O1366" s="433" t="s">
        <v>4120</v>
      </c>
      <c r="P1366" s="430" t="s">
        <v>3659</v>
      </c>
      <c r="Q1366" s="431">
        <v>0.2</v>
      </c>
      <c r="R1366" s="459" t="s">
        <v>4969</v>
      </c>
      <c r="S1366" s="444" t="s">
        <v>355</v>
      </c>
      <c r="T1366" s="2" t="s">
        <v>5915</v>
      </c>
    </row>
    <row r="1367" spans="1:20" hidden="1" x14ac:dyDescent="0.35">
      <c r="A1367" s="432"/>
      <c r="B1367" s="442" t="s">
        <v>4967</v>
      </c>
      <c r="C1367" s="443">
        <v>45006</v>
      </c>
      <c r="D1367" s="443">
        <v>45006</v>
      </c>
      <c r="E1367" s="443" t="s">
        <v>1897</v>
      </c>
      <c r="F1367" s="453" t="s">
        <v>4968</v>
      </c>
      <c r="G1367" s="453" t="s">
        <v>4840</v>
      </c>
      <c r="H1367" s="442" t="s">
        <v>4757</v>
      </c>
      <c r="I1367" s="362">
        <v>2836.0675000000001</v>
      </c>
      <c r="J1367" s="362">
        <f t="shared" si="107"/>
        <v>261.06100000000004</v>
      </c>
      <c r="K1367" s="362">
        <v>261.06100000000004</v>
      </c>
      <c r="L1367" s="363">
        <f t="shared" si="106"/>
        <v>52.21220000000001</v>
      </c>
      <c r="M1367" s="363" t="s">
        <v>6171</v>
      </c>
      <c r="N1367" s="432" t="s">
        <v>3785</v>
      </c>
      <c r="O1367" s="433" t="s">
        <v>4120</v>
      </c>
      <c r="P1367" s="430" t="s">
        <v>3659</v>
      </c>
      <c r="Q1367" s="431">
        <v>0.2</v>
      </c>
      <c r="R1367" s="459" t="s">
        <v>4969</v>
      </c>
      <c r="S1367" s="444" t="s">
        <v>1898</v>
      </c>
      <c r="T1367" s="2" t="s">
        <v>5915</v>
      </c>
    </row>
    <row r="1368" spans="1:20" hidden="1" x14ac:dyDescent="0.35">
      <c r="A1368" s="432"/>
      <c r="B1368" s="442" t="s">
        <v>4967</v>
      </c>
      <c r="C1368" s="443">
        <v>45006</v>
      </c>
      <c r="D1368" s="443">
        <v>45006</v>
      </c>
      <c r="E1368" s="443" t="s">
        <v>1899</v>
      </c>
      <c r="F1368" s="453" t="s">
        <v>4968</v>
      </c>
      <c r="G1368" s="453" t="s">
        <v>4840</v>
      </c>
      <c r="H1368" s="442" t="s">
        <v>4757</v>
      </c>
      <c r="I1368" s="362">
        <v>2836.0675000000001</v>
      </c>
      <c r="J1368" s="362">
        <f t="shared" si="107"/>
        <v>261.06100000000004</v>
      </c>
      <c r="K1368" s="362">
        <v>261.06100000000004</v>
      </c>
      <c r="L1368" s="363">
        <f t="shared" si="106"/>
        <v>52.21220000000001</v>
      </c>
      <c r="M1368" s="363" t="s">
        <v>6171</v>
      </c>
      <c r="N1368" s="432" t="s">
        <v>3785</v>
      </c>
      <c r="O1368" s="433" t="s">
        <v>4120</v>
      </c>
      <c r="P1368" s="430" t="s">
        <v>3659</v>
      </c>
      <c r="Q1368" s="431">
        <v>0.2</v>
      </c>
      <c r="R1368" s="459" t="s">
        <v>4969</v>
      </c>
      <c r="S1368" s="444" t="s">
        <v>427</v>
      </c>
      <c r="T1368" s="2" t="s">
        <v>5915</v>
      </c>
    </row>
    <row r="1369" spans="1:20" hidden="1" x14ac:dyDescent="0.35">
      <c r="A1369" s="432"/>
      <c r="B1369" s="442" t="s">
        <v>4967</v>
      </c>
      <c r="C1369" s="443">
        <v>45006</v>
      </c>
      <c r="D1369" s="443">
        <v>45006</v>
      </c>
      <c r="E1369" s="443" t="s">
        <v>1900</v>
      </c>
      <c r="F1369" s="453" t="s">
        <v>4968</v>
      </c>
      <c r="G1369" s="453" t="s">
        <v>4840</v>
      </c>
      <c r="H1369" s="442" t="s">
        <v>4757</v>
      </c>
      <c r="I1369" s="362">
        <v>2836.0675000000001</v>
      </c>
      <c r="J1369" s="362">
        <f t="shared" si="107"/>
        <v>261.06100000000004</v>
      </c>
      <c r="K1369" s="362">
        <v>261.06100000000004</v>
      </c>
      <c r="L1369" s="363">
        <f t="shared" si="106"/>
        <v>52.21220000000001</v>
      </c>
      <c r="M1369" s="363" t="s">
        <v>6171</v>
      </c>
      <c r="N1369" s="432" t="s">
        <v>3785</v>
      </c>
      <c r="O1369" s="433" t="s">
        <v>4120</v>
      </c>
      <c r="P1369" s="430" t="s">
        <v>3659</v>
      </c>
      <c r="Q1369" s="431">
        <v>0.2</v>
      </c>
      <c r="R1369" s="459" t="s">
        <v>4969</v>
      </c>
      <c r="S1369" s="444" t="s">
        <v>532</v>
      </c>
      <c r="T1369" s="2" t="s">
        <v>5915</v>
      </c>
    </row>
    <row r="1370" spans="1:20" hidden="1" x14ac:dyDescent="0.35">
      <c r="A1370" s="432"/>
      <c r="B1370" s="442" t="s">
        <v>4967</v>
      </c>
      <c r="C1370" s="443">
        <v>45006</v>
      </c>
      <c r="D1370" s="443">
        <v>45006</v>
      </c>
      <c r="E1370" s="443" t="s">
        <v>1901</v>
      </c>
      <c r="F1370" s="453" t="s">
        <v>4968</v>
      </c>
      <c r="G1370" s="453" t="s">
        <v>4840</v>
      </c>
      <c r="H1370" s="442" t="s">
        <v>4757</v>
      </c>
      <c r="I1370" s="362">
        <v>2836.0675000000001</v>
      </c>
      <c r="J1370" s="362">
        <f t="shared" si="107"/>
        <v>261.06100000000004</v>
      </c>
      <c r="K1370" s="362">
        <v>261.06100000000004</v>
      </c>
      <c r="L1370" s="363">
        <f t="shared" si="106"/>
        <v>52.21220000000001</v>
      </c>
      <c r="M1370" s="363" t="s">
        <v>6171</v>
      </c>
      <c r="N1370" s="432" t="s">
        <v>3785</v>
      </c>
      <c r="O1370" s="433" t="s">
        <v>4120</v>
      </c>
      <c r="P1370" s="430" t="s">
        <v>3659</v>
      </c>
      <c r="Q1370" s="431">
        <v>0.2</v>
      </c>
      <c r="R1370" s="459" t="s">
        <v>4969</v>
      </c>
      <c r="S1370" s="444" t="s">
        <v>1902</v>
      </c>
      <c r="T1370" s="2" t="s">
        <v>5915</v>
      </c>
    </row>
    <row r="1371" spans="1:20" hidden="1" x14ac:dyDescent="0.35">
      <c r="A1371" s="432"/>
      <c r="B1371" s="442" t="s">
        <v>4967</v>
      </c>
      <c r="C1371" s="443">
        <v>45006</v>
      </c>
      <c r="D1371" s="443">
        <v>45006</v>
      </c>
      <c r="E1371" s="443" t="s">
        <v>1903</v>
      </c>
      <c r="F1371" s="453" t="s">
        <v>4968</v>
      </c>
      <c r="G1371" s="453" t="s">
        <v>4840</v>
      </c>
      <c r="H1371" s="442" t="s">
        <v>4757</v>
      </c>
      <c r="I1371" s="362">
        <v>2836.0675000000001</v>
      </c>
      <c r="J1371" s="362">
        <f t="shared" si="107"/>
        <v>261.06100000000004</v>
      </c>
      <c r="K1371" s="362">
        <v>261.06100000000004</v>
      </c>
      <c r="L1371" s="363">
        <f t="shared" si="106"/>
        <v>52.21220000000001</v>
      </c>
      <c r="M1371" s="363" t="s">
        <v>6171</v>
      </c>
      <c r="N1371" s="432" t="s">
        <v>3785</v>
      </c>
      <c r="O1371" s="433" t="s">
        <v>4120</v>
      </c>
      <c r="P1371" s="430" t="s">
        <v>3659</v>
      </c>
      <c r="Q1371" s="431">
        <v>0.2</v>
      </c>
      <c r="R1371" s="459" t="s">
        <v>4969</v>
      </c>
      <c r="S1371" s="444" t="s">
        <v>1904</v>
      </c>
      <c r="T1371" s="2" t="s">
        <v>5915</v>
      </c>
    </row>
    <row r="1372" spans="1:20" hidden="1" x14ac:dyDescent="0.35">
      <c r="A1372" s="432"/>
      <c r="B1372" s="442" t="s">
        <v>4967</v>
      </c>
      <c r="C1372" s="443">
        <v>45006</v>
      </c>
      <c r="D1372" s="443">
        <v>45006</v>
      </c>
      <c r="E1372" s="443" t="s">
        <v>1905</v>
      </c>
      <c r="F1372" s="453" t="s">
        <v>4968</v>
      </c>
      <c r="G1372" s="453" t="s">
        <v>4840</v>
      </c>
      <c r="H1372" s="442" t="s">
        <v>4757</v>
      </c>
      <c r="I1372" s="362">
        <v>2836.0675000000001</v>
      </c>
      <c r="J1372" s="362">
        <f t="shared" si="107"/>
        <v>261.06100000000004</v>
      </c>
      <c r="K1372" s="362">
        <v>261.06100000000004</v>
      </c>
      <c r="L1372" s="363">
        <f t="shared" si="106"/>
        <v>52.21220000000001</v>
      </c>
      <c r="M1372" s="363" t="s">
        <v>6171</v>
      </c>
      <c r="N1372" s="432" t="s">
        <v>3785</v>
      </c>
      <c r="O1372" s="433" t="s">
        <v>4120</v>
      </c>
      <c r="P1372" s="430" t="s">
        <v>3659</v>
      </c>
      <c r="Q1372" s="431">
        <v>0.2</v>
      </c>
      <c r="R1372" s="459" t="s">
        <v>4969</v>
      </c>
      <c r="S1372" s="444" t="s">
        <v>1906</v>
      </c>
      <c r="T1372" s="2" t="s">
        <v>5915</v>
      </c>
    </row>
    <row r="1373" spans="1:20" hidden="1" x14ac:dyDescent="0.35">
      <c r="A1373" s="432"/>
      <c r="B1373" s="442" t="s">
        <v>4967</v>
      </c>
      <c r="C1373" s="443">
        <v>45006</v>
      </c>
      <c r="D1373" s="443">
        <v>45006</v>
      </c>
      <c r="E1373" s="443" t="s">
        <v>1907</v>
      </c>
      <c r="F1373" s="453" t="s">
        <v>4968</v>
      </c>
      <c r="G1373" s="453" t="s">
        <v>4840</v>
      </c>
      <c r="H1373" s="442" t="s">
        <v>4757</v>
      </c>
      <c r="I1373" s="362">
        <v>2836.0675000000001</v>
      </c>
      <c r="J1373" s="362">
        <f t="shared" si="107"/>
        <v>261.06100000000004</v>
      </c>
      <c r="K1373" s="362">
        <v>261.06100000000004</v>
      </c>
      <c r="L1373" s="363">
        <f t="shared" si="106"/>
        <v>52.21220000000001</v>
      </c>
      <c r="M1373" s="363" t="s">
        <v>6171</v>
      </c>
      <c r="N1373" s="432" t="s">
        <v>3785</v>
      </c>
      <c r="O1373" s="433" t="s">
        <v>4120</v>
      </c>
      <c r="P1373" s="430" t="s">
        <v>3659</v>
      </c>
      <c r="Q1373" s="431">
        <v>0.2</v>
      </c>
      <c r="R1373" s="459" t="s">
        <v>4969</v>
      </c>
      <c r="S1373" s="444" t="s">
        <v>1182</v>
      </c>
      <c r="T1373" s="2" t="s">
        <v>5915</v>
      </c>
    </row>
    <row r="1374" spans="1:20" hidden="1" x14ac:dyDescent="0.35">
      <c r="A1374" s="432"/>
      <c r="B1374" s="442" t="s">
        <v>4967</v>
      </c>
      <c r="C1374" s="443">
        <v>45006</v>
      </c>
      <c r="D1374" s="443">
        <v>45006</v>
      </c>
      <c r="E1374" s="443" t="s">
        <v>1908</v>
      </c>
      <c r="F1374" s="453" t="s">
        <v>4968</v>
      </c>
      <c r="G1374" s="453" t="s">
        <v>4840</v>
      </c>
      <c r="H1374" s="442" t="s">
        <v>4757</v>
      </c>
      <c r="I1374" s="362">
        <v>2836.0675000000001</v>
      </c>
      <c r="J1374" s="362">
        <f t="shared" si="107"/>
        <v>261.06100000000004</v>
      </c>
      <c r="K1374" s="362">
        <v>261.06100000000004</v>
      </c>
      <c r="L1374" s="363">
        <f t="shared" si="106"/>
        <v>52.21220000000001</v>
      </c>
      <c r="M1374" s="363" t="s">
        <v>6171</v>
      </c>
      <c r="N1374" s="432" t="s">
        <v>3785</v>
      </c>
      <c r="O1374" s="433" t="s">
        <v>4120</v>
      </c>
      <c r="P1374" s="430" t="s">
        <v>3659</v>
      </c>
      <c r="Q1374" s="431">
        <v>0.2</v>
      </c>
      <c r="R1374" s="459" t="s">
        <v>4969</v>
      </c>
      <c r="S1374" s="444" t="s">
        <v>1050</v>
      </c>
      <c r="T1374" s="2" t="s">
        <v>5915</v>
      </c>
    </row>
    <row r="1375" spans="1:20" hidden="1" x14ac:dyDescent="0.35">
      <c r="A1375" s="432"/>
      <c r="B1375" s="442" t="s">
        <v>4967</v>
      </c>
      <c r="C1375" s="443">
        <v>45006</v>
      </c>
      <c r="D1375" s="443">
        <v>45006</v>
      </c>
      <c r="E1375" s="443" t="s">
        <v>1909</v>
      </c>
      <c r="F1375" s="453" t="s">
        <v>4968</v>
      </c>
      <c r="G1375" s="453" t="s">
        <v>4840</v>
      </c>
      <c r="H1375" s="442" t="s">
        <v>4757</v>
      </c>
      <c r="I1375" s="362">
        <v>2836.0675000000001</v>
      </c>
      <c r="J1375" s="362">
        <f t="shared" si="107"/>
        <v>261.06100000000004</v>
      </c>
      <c r="K1375" s="362">
        <v>261.06100000000004</v>
      </c>
      <c r="L1375" s="363">
        <f t="shared" si="106"/>
        <v>52.21220000000001</v>
      </c>
      <c r="M1375" s="363" t="s">
        <v>6171</v>
      </c>
      <c r="N1375" s="432" t="s">
        <v>3785</v>
      </c>
      <c r="O1375" s="433" t="s">
        <v>4120</v>
      </c>
      <c r="P1375" s="430" t="s">
        <v>3659</v>
      </c>
      <c r="Q1375" s="431">
        <v>0.2</v>
      </c>
      <c r="R1375" s="459" t="s">
        <v>4969</v>
      </c>
      <c r="S1375" s="444" t="s">
        <v>1041</v>
      </c>
      <c r="T1375" s="2" t="s">
        <v>5915</v>
      </c>
    </row>
    <row r="1376" spans="1:20" hidden="1" x14ac:dyDescent="0.35">
      <c r="A1376" s="432"/>
      <c r="B1376" s="442" t="s">
        <v>4967</v>
      </c>
      <c r="C1376" s="443">
        <v>45006</v>
      </c>
      <c r="D1376" s="443">
        <v>45006</v>
      </c>
      <c r="E1376" s="443" t="s">
        <v>1910</v>
      </c>
      <c r="F1376" s="453" t="s">
        <v>4968</v>
      </c>
      <c r="G1376" s="453" t="s">
        <v>4840</v>
      </c>
      <c r="H1376" s="442" t="s">
        <v>4757</v>
      </c>
      <c r="I1376" s="362">
        <v>2836.0675000000001</v>
      </c>
      <c r="J1376" s="362">
        <f t="shared" si="107"/>
        <v>261.06100000000004</v>
      </c>
      <c r="K1376" s="362">
        <v>261.06100000000004</v>
      </c>
      <c r="L1376" s="363">
        <f t="shared" si="106"/>
        <v>52.21220000000001</v>
      </c>
      <c r="M1376" s="363" t="s">
        <v>6171</v>
      </c>
      <c r="N1376" s="432" t="s">
        <v>3785</v>
      </c>
      <c r="O1376" s="433" t="s">
        <v>4120</v>
      </c>
      <c r="P1376" s="430" t="s">
        <v>3659</v>
      </c>
      <c r="Q1376" s="431">
        <v>0.2</v>
      </c>
      <c r="R1376" s="459" t="s">
        <v>4969</v>
      </c>
      <c r="S1376" s="444" t="s">
        <v>413</v>
      </c>
      <c r="T1376" s="2" t="s">
        <v>5915</v>
      </c>
    </row>
    <row r="1377" spans="1:20" hidden="1" x14ac:dyDescent="0.35">
      <c r="A1377" s="432"/>
      <c r="B1377" s="442" t="s">
        <v>4967</v>
      </c>
      <c r="C1377" s="443">
        <v>45006</v>
      </c>
      <c r="D1377" s="443">
        <v>45006</v>
      </c>
      <c r="E1377" s="443" t="s">
        <v>1911</v>
      </c>
      <c r="F1377" s="453" t="s">
        <v>4968</v>
      </c>
      <c r="G1377" s="453" t="s">
        <v>4840</v>
      </c>
      <c r="H1377" s="442" t="s">
        <v>4757</v>
      </c>
      <c r="I1377" s="362">
        <v>2836.0675000000001</v>
      </c>
      <c r="J1377" s="362">
        <f t="shared" si="107"/>
        <v>261.06100000000004</v>
      </c>
      <c r="K1377" s="362">
        <v>261.06100000000004</v>
      </c>
      <c r="L1377" s="363">
        <f t="shared" si="106"/>
        <v>52.21220000000001</v>
      </c>
      <c r="M1377" s="363" t="s">
        <v>6171</v>
      </c>
      <c r="N1377" s="432" t="s">
        <v>3785</v>
      </c>
      <c r="O1377" s="433" t="s">
        <v>4120</v>
      </c>
      <c r="P1377" s="430" t="s">
        <v>3659</v>
      </c>
      <c r="Q1377" s="431">
        <v>0.2</v>
      </c>
      <c r="R1377" s="459" t="s">
        <v>4969</v>
      </c>
      <c r="S1377" s="444" t="s">
        <v>1059</v>
      </c>
      <c r="T1377" s="2" t="s">
        <v>5915</v>
      </c>
    </row>
    <row r="1378" spans="1:20" hidden="1" x14ac:dyDescent="0.35">
      <c r="A1378" s="432"/>
      <c r="B1378" s="442" t="s">
        <v>4967</v>
      </c>
      <c r="C1378" s="443">
        <v>45006</v>
      </c>
      <c r="D1378" s="443">
        <v>45006</v>
      </c>
      <c r="E1378" s="443" t="s">
        <v>1912</v>
      </c>
      <c r="F1378" s="453" t="s">
        <v>4968</v>
      </c>
      <c r="G1378" s="453" t="s">
        <v>4840</v>
      </c>
      <c r="H1378" s="442" t="s">
        <v>4757</v>
      </c>
      <c r="I1378" s="362">
        <v>2836.0675000000001</v>
      </c>
      <c r="J1378" s="362">
        <f t="shared" si="107"/>
        <v>261.06100000000004</v>
      </c>
      <c r="K1378" s="362">
        <v>261.06100000000004</v>
      </c>
      <c r="L1378" s="363">
        <f t="shared" si="106"/>
        <v>52.21220000000001</v>
      </c>
      <c r="M1378" s="363" t="s">
        <v>6171</v>
      </c>
      <c r="N1378" s="432" t="s">
        <v>3785</v>
      </c>
      <c r="O1378" s="433" t="s">
        <v>4120</v>
      </c>
      <c r="P1378" s="430" t="s">
        <v>3659</v>
      </c>
      <c r="Q1378" s="431">
        <v>0.2</v>
      </c>
      <c r="R1378" s="459" t="s">
        <v>4969</v>
      </c>
      <c r="S1378" s="444" t="s">
        <v>404</v>
      </c>
      <c r="T1378" s="2" t="s">
        <v>5915</v>
      </c>
    </row>
    <row r="1379" spans="1:20" hidden="1" x14ac:dyDescent="0.35">
      <c r="A1379" s="432"/>
      <c r="B1379" s="442" t="s">
        <v>4967</v>
      </c>
      <c r="C1379" s="443">
        <v>45006</v>
      </c>
      <c r="D1379" s="443">
        <v>45006</v>
      </c>
      <c r="E1379" s="443" t="s">
        <v>1913</v>
      </c>
      <c r="F1379" s="453" t="s">
        <v>4968</v>
      </c>
      <c r="G1379" s="453" t="s">
        <v>4840</v>
      </c>
      <c r="H1379" s="442" t="s">
        <v>4757</v>
      </c>
      <c r="I1379" s="362">
        <v>2836.0675000000001</v>
      </c>
      <c r="J1379" s="362">
        <f t="shared" si="107"/>
        <v>261.06100000000004</v>
      </c>
      <c r="K1379" s="362">
        <v>261.06100000000004</v>
      </c>
      <c r="L1379" s="363">
        <f t="shared" si="106"/>
        <v>52.21220000000001</v>
      </c>
      <c r="M1379" s="363" t="s">
        <v>6171</v>
      </c>
      <c r="N1379" s="432" t="s">
        <v>3785</v>
      </c>
      <c r="O1379" s="433" t="s">
        <v>4120</v>
      </c>
      <c r="P1379" s="430" t="s">
        <v>3659</v>
      </c>
      <c r="Q1379" s="431">
        <v>0.2</v>
      </c>
      <c r="R1379" s="459" t="s">
        <v>4969</v>
      </c>
      <c r="S1379" s="444" t="s">
        <v>400</v>
      </c>
      <c r="T1379" s="2" t="s">
        <v>5915</v>
      </c>
    </row>
    <row r="1380" spans="1:20" hidden="1" x14ac:dyDescent="0.35">
      <c r="A1380" s="432"/>
      <c r="B1380" s="442" t="s">
        <v>4967</v>
      </c>
      <c r="C1380" s="443">
        <v>45006</v>
      </c>
      <c r="D1380" s="443">
        <v>45006</v>
      </c>
      <c r="E1380" s="443" t="s">
        <v>1914</v>
      </c>
      <c r="F1380" s="453" t="s">
        <v>4968</v>
      </c>
      <c r="G1380" s="453" t="s">
        <v>4840</v>
      </c>
      <c r="H1380" s="442" t="s">
        <v>4757</v>
      </c>
      <c r="I1380" s="362">
        <v>2836.0675000000001</v>
      </c>
      <c r="J1380" s="362">
        <f t="shared" si="107"/>
        <v>261.06100000000004</v>
      </c>
      <c r="K1380" s="362">
        <v>261.06100000000004</v>
      </c>
      <c r="L1380" s="363">
        <f t="shared" si="106"/>
        <v>52.21220000000001</v>
      </c>
      <c r="M1380" s="363" t="s">
        <v>6171</v>
      </c>
      <c r="N1380" s="432" t="s">
        <v>3785</v>
      </c>
      <c r="O1380" s="433" t="s">
        <v>4120</v>
      </c>
      <c r="P1380" s="430" t="s">
        <v>3659</v>
      </c>
      <c r="Q1380" s="431">
        <v>0.2</v>
      </c>
      <c r="R1380" s="459" t="s">
        <v>4969</v>
      </c>
      <c r="S1380" s="444" t="s">
        <v>1174</v>
      </c>
      <c r="T1380" s="2" t="s">
        <v>5915</v>
      </c>
    </row>
    <row r="1381" spans="1:20" hidden="1" x14ac:dyDescent="0.35">
      <c r="A1381" s="432"/>
      <c r="B1381" s="442" t="s">
        <v>4967</v>
      </c>
      <c r="C1381" s="443">
        <v>45006</v>
      </c>
      <c r="D1381" s="443">
        <v>45006</v>
      </c>
      <c r="E1381" s="443" t="s">
        <v>1915</v>
      </c>
      <c r="F1381" s="453" t="s">
        <v>4968</v>
      </c>
      <c r="G1381" s="453" t="s">
        <v>4840</v>
      </c>
      <c r="H1381" s="442" t="s">
        <v>4757</v>
      </c>
      <c r="I1381" s="362">
        <v>2836.0675000000001</v>
      </c>
      <c r="J1381" s="362">
        <f t="shared" si="107"/>
        <v>261.06100000000004</v>
      </c>
      <c r="K1381" s="362">
        <v>261.06100000000004</v>
      </c>
      <c r="L1381" s="363">
        <f t="shared" si="106"/>
        <v>52.21220000000001</v>
      </c>
      <c r="M1381" s="363" t="s">
        <v>6171</v>
      </c>
      <c r="N1381" s="432" t="s">
        <v>3785</v>
      </c>
      <c r="O1381" s="433" t="s">
        <v>4120</v>
      </c>
      <c r="P1381" s="430" t="s">
        <v>3659</v>
      </c>
      <c r="Q1381" s="431">
        <v>0.2</v>
      </c>
      <c r="R1381" s="459" t="s">
        <v>4969</v>
      </c>
      <c r="S1381" s="444" t="s">
        <v>1916</v>
      </c>
      <c r="T1381" s="2" t="s">
        <v>5915</v>
      </c>
    </row>
    <row r="1382" spans="1:20" hidden="1" x14ac:dyDescent="0.35">
      <c r="A1382" s="432"/>
      <c r="B1382" s="442" t="s">
        <v>4967</v>
      </c>
      <c r="C1382" s="443">
        <v>45006</v>
      </c>
      <c r="D1382" s="443">
        <v>45006</v>
      </c>
      <c r="E1382" s="443" t="s">
        <v>1917</v>
      </c>
      <c r="F1382" s="453" t="s">
        <v>4968</v>
      </c>
      <c r="G1382" s="453" t="s">
        <v>4840</v>
      </c>
      <c r="H1382" s="442" t="s">
        <v>4757</v>
      </c>
      <c r="I1382" s="362">
        <v>2836.0675000000001</v>
      </c>
      <c r="J1382" s="362">
        <f t="shared" si="107"/>
        <v>261.06100000000004</v>
      </c>
      <c r="K1382" s="362">
        <v>261.06100000000004</v>
      </c>
      <c r="L1382" s="363">
        <f t="shared" si="106"/>
        <v>52.21220000000001</v>
      </c>
      <c r="M1382" s="363" t="s">
        <v>6171</v>
      </c>
      <c r="N1382" s="432" t="s">
        <v>3785</v>
      </c>
      <c r="O1382" s="433" t="s">
        <v>4120</v>
      </c>
      <c r="P1382" s="430" t="s">
        <v>3659</v>
      </c>
      <c r="Q1382" s="431">
        <v>0.2</v>
      </c>
      <c r="R1382" s="459" t="s">
        <v>4969</v>
      </c>
      <c r="S1382" s="444" t="s">
        <v>1918</v>
      </c>
      <c r="T1382" s="2" t="s">
        <v>5915</v>
      </c>
    </row>
    <row r="1383" spans="1:20" hidden="1" x14ac:dyDescent="0.35">
      <c r="A1383" s="432"/>
      <c r="B1383" s="442" t="s">
        <v>4967</v>
      </c>
      <c r="C1383" s="443">
        <v>45006</v>
      </c>
      <c r="D1383" s="443">
        <v>45006</v>
      </c>
      <c r="E1383" s="443" t="s">
        <v>1919</v>
      </c>
      <c r="F1383" s="453" t="s">
        <v>4968</v>
      </c>
      <c r="G1383" s="453" t="s">
        <v>4840</v>
      </c>
      <c r="H1383" s="442" t="s">
        <v>4757</v>
      </c>
      <c r="I1383" s="362">
        <v>2836.0675000000001</v>
      </c>
      <c r="J1383" s="362">
        <f t="shared" si="107"/>
        <v>261.06100000000004</v>
      </c>
      <c r="K1383" s="362">
        <v>261.06100000000004</v>
      </c>
      <c r="L1383" s="363">
        <f t="shared" si="106"/>
        <v>52.21220000000001</v>
      </c>
      <c r="M1383" s="363" t="s">
        <v>6171</v>
      </c>
      <c r="N1383" s="432" t="s">
        <v>3785</v>
      </c>
      <c r="O1383" s="433" t="s">
        <v>4120</v>
      </c>
      <c r="P1383" s="430" t="s">
        <v>3659</v>
      </c>
      <c r="Q1383" s="431">
        <v>0.2</v>
      </c>
      <c r="R1383" s="459" t="s">
        <v>4969</v>
      </c>
      <c r="S1383" s="444" t="s">
        <v>259</v>
      </c>
      <c r="T1383" s="2" t="s">
        <v>5915</v>
      </c>
    </row>
    <row r="1384" spans="1:20" hidden="1" x14ac:dyDescent="0.35">
      <c r="A1384" s="432"/>
      <c r="B1384" s="442" t="s">
        <v>4967</v>
      </c>
      <c r="C1384" s="443">
        <v>45006</v>
      </c>
      <c r="D1384" s="443">
        <v>45006</v>
      </c>
      <c r="E1384" s="443" t="s">
        <v>1920</v>
      </c>
      <c r="F1384" s="453" t="s">
        <v>4968</v>
      </c>
      <c r="G1384" s="453" t="s">
        <v>4840</v>
      </c>
      <c r="H1384" s="442" t="s">
        <v>4757</v>
      </c>
      <c r="I1384" s="362">
        <v>2836.0675000000001</v>
      </c>
      <c r="J1384" s="362">
        <f t="shared" si="107"/>
        <v>261.06100000000004</v>
      </c>
      <c r="K1384" s="362">
        <v>261.06100000000004</v>
      </c>
      <c r="L1384" s="363">
        <f t="shared" si="106"/>
        <v>52.21220000000001</v>
      </c>
      <c r="M1384" s="363" t="s">
        <v>6171</v>
      </c>
      <c r="N1384" s="432" t="s">
        <v>3785</v>
      </c>
      <c r="O1384" s="433" t="s">
        <v>4120</v>
      </c>
      <c r="P1384" s="430" t="s">
        <v>3659</v>
      </c>
      <c r="Q1384" s="431">
        <v>0.2</v>
      </c>
      <c r="R1384" s="459" t="s">
        <v>4969</v>
      </c>
      <c r="S1384" s="444" t="s">
        <v>569</v>
      </c>
      <c r="T1384" s="2" t="s">
        <v>5915</v>
      </c>
    </row>
    <row r="1385" spans="1:20" hidden="1" x14ac:dyDescent="0.35">
      <c r="A1385" s="432"/>
      <c r="B1385" s="442" t="s">
        <v>4967</v>
      </c>
      <c r="C1385" s="443">
        <v>45006</v>
      </c>
      <c r="D1385" s="443">
        <v>45006</v>
      </c>
      <c r="E1385" s="443" t="s">
        <v>1921</v>
      </c>
      <c r="F1385" s="453" t="s">
        <v>4968</v>
      </c>
      <c r="G1385" s="453" t="s">
        <v>4840</v>
      </c>
      <c r="H1385" s="442" t="s">
        <v>4757</v>
      </c>
      <c r="I1385" s="362">
        <v>2836.0675000000001</v>
      </c>
      <c r="J1385" s="362">
        <f t="shared" si="107"/>
        <v>261.06100000000004</v>
      </c>
      <c r="K1385" s="362">
        <v>261.06100000000004</v>
      </c>
      <c r="L1385" s="363">
        <f t="shared" si="106"/>
        <v>52.21220000000001</v>
      </c>
      <c r="M1385" s="363" t="s">
        <v>6171</v>
      </c>
      <c r="N1385" s="432" t="s">
        <v>3785</v>
      </c>
      <c r="O1385" s="433" t="s">
        <v>4120</v>
      </c>
      <c r="P1385" s="430" t="s">
        <v>3659</v>
      </c>
      <c r="Q1385" s="431">
        <v>0.2</v>
      </c>
      <c r="R1385" s="459" t="s">
        <v>4969</v>
      </c>
      <c r="S1385" s="444" t="s">
        <v>1922</v>
      </c>
      <c r="T1385" s="2" t="s">
        <v>5915</v>
      </c>
    </row>
    <row r="1386" spans="1:20" hidden="1" x14ac:dyDescent="0.35">
      <c r="A1386" s="432"/>
      <c r="B1386" s="442" t="s">
        <v>4967</v>
      </c>
      <c r="C1386" s="443">
        <v>45006</v>
      </c>
      <c r="D1386" s="443">
        <v>45006</v>
      </c>
      <c r="E1386" s="443" t="s">
        <v>1923</v>
      </c>
      <c r="F1386" s="453" t="s">
        <v>4968</v>
      </c>
      <c r="G1386" s="453" t="s">
        <v>4840</v>
      </c>
      <c r="H1386" s="442" t="s">
        <v>4757</v>
      </c>
      <c r="I1386" s="362">
        <v>2836.0675000000001</v>
      </c>
      <c r="J1386" s="362">
        <f t="shared" si="107"/>
        <v>261.06100000000004</v>
      </c>
      <c r="K1386" s="362">
        <v>261.06100000000004</v>
      </c>
      <c r="L1386" s="363">
        <f t="shared" si="106"/>
        <v>52.21220000000001</v>
      </c>
      <c r="M1386" s="363" t="s">
        <v>6171</v>
      </c>
      <c r="N1386" s="432" t="s">
        <v>3785</v>
      </c>
      <c r="O1386" s="433" t="s">
        <v>4120</v>
      </c>
      <c r="P1386" s="430" t="s">
        <v>3659</v>
      </c>
      <c r="Q1386" s="431">
        <v>0.2</v>
      </c>
      <c r="R1386" s="459" t="s">
        <v>4969</v>
      </c>
      <c r="S1386" s="444" t="s">
        <v>1924</v>
      </c>
      <c r="T1386" s="2" t="s">
        <v>5915</v>
      </c>
    </row>
    <row r="1387" spans="1:20" hidden="1" x14ac:dyDescent="0.35">
      <c r="A1387" s="432"/>
      <c r="B1387" s="442" t="s">
        <v>4967</v>
      </c>
      <c r="C1387" s="443">
        <v>45006</v>
      </c>
      <c r="D1387" s="443">
        <v>45006</v>
      </c>
      <c r="E1387" s="443" t="s">
        <v>1925</v>
      </c>
      <c r="F1387" s="453" t="s">
        <v>4968</v>
      </c>
      <c r="G1387" s="453" t="s">
        <v>4840</v>
      </c>
      <c r="H1387" s="442" t="s">
        <v>4757</v>
      </c>
      <c r="I1387" s="362">
        <v>2836.0675000000001</v>
      </c>
      <c r="J1387" s="362">
        <f t="shared" si="107"/>
        <v>261.06100000000004</v>
      </c>
      <c r="K1387" s="362">
        <v>261.06100000000004</v>
      </c>
      <c r="L1387" s="363">
        <f t="shared" si="106"/>
        <v>52.21220000000001</v>
      </c>
      <c r="M1387" s="363" t="s">
        <v>6171</v>
      </c>
      <c r="N1387" s="432" t="s">
        <v>3785</v>
      </c>
      <c r="O1387" s="433" t="s">
        <v>4120</v>
      </c>
      <c r="P1387" s="430" t="s">
        <v>3659</v>
      </c>
      <c r="Q1387" s="431">
        <v>0.2</v>
      </c>
      <c r="R1387" s="459" t="s">
        <v>4969</v>
      </c>
      <c r="S1387" s="444" t="s">
        <v>353</v>
      </c>
      <c r="T1387" s="2" t="s">
        <v>5915</v>
      </c>
    </row>
    <row r="1388" spans="1:20" hidden="1" x14ac:dyDescent="0.35">
      <c r="A1388" s="432"/>
      <c r="B1388" s="442" t="s">
        <v>4967</v>
      </c>
      <c r="C1388" s="443">
        <v>45006</v>
      </c>
      <c r="D1388" s="443">
        <v>45006</v>
      </c>
      <c r="E1388" s="443" t="s">
        <v>1926</v>
      </c>
      <c r="F1388" s="453" t="s">
        <v>4968</v>
      </c>
      <c r="G1388" s="453" t="s">
        <v>4840</v>
      </c>
      <c r="H1388" s="442" t="s">
        <v>4757</v>
      </c>
      <c r="I1388" s="362">
        <v>2836.0675000000001</v>
      </c>
      <c r="J1388" s="362">
        <f t="shared" si="107"/>
        <v>261.06100000000004</v>
      </c>
      <c r="K1388" s="362">
        <v>261.06100000000004</v>
      </c>
      <c r="L1388" s="363">
        <f t="shared" si="106"/>
        <v>52.21220000000001</v>
      </c>
      <c r="M1388" s="363" t="s">
        <v>6171</v>
      </c>
      <c r="N1388" s="432" t="s">
        <v>3785</v>
      </c>
      <c r="O1388" s="433" t="s">
        <v>4120</v>
      </c>
      <c r="P1388" s="430" t="s">
        <v>3659</v>
      </c>
      <c r="Q1388" s="431">
        <v>0.2</v>
      </c>
      <c r="R1388" s="459" t="s">
        <v>4969</v>
      </c>
      <c r="S1388" s="444" t="s">
        <v>1118</v>
      </c>
      <c r="T1388" s="2" t="s">
        <v>5915</v>
      </c>
    </row>
    <row r="1389" spans="1:20" hidden="1" x14ac:dyDescent="0.35">
      <c r="A1389" s="432"/>
      <c r="B1389" s="442" t="s">
        <v>4967</v>
      </c>
      <c r="C1389" s="443">
        <v>45006</v>
      </c>
      <c r="D1389" s="443">
        <v>45006</v>
      </c>
      <c r="E1389" s="443" t="s">
        <v>1927</v>
      </c>
      <c r="F1389" s="453" t="s">
        <v>4968</v>
      </c>
      <c r="G1389" s="453" t="s">
        <v>4840</v>
      </c>
      <c r="H1389" s="442" t="s">
        <v>4757</v>
      </c>
      <c r="I1389" s="362">
        <v>2836.0675000000001</v>
      </c>
      <c r="J1389" s="362">
        <f t="shared" si="107"/>
        <v>261.06100000000004</v>
      </c>
      <c r="K1389" s="362">
        <v>261.06100000000004</v>
      </c>
      <c r="L1389" s="363">
        <f t="shared" si="106"/>
        <v>52.21220000000001</v>
      </c>
      <c r="M1389" s="363" t="s">
        <v>6171</v>
      </c>
      <c r="N1389" s="432" t="s">
        <v>3785</v>
      </c>
      <c r="O1389" s="433" t="s">
        <v>4120</v>
      </c>
      <c r="P1389" s="430" t="s">
        <v>3659</v>
      </c>
      <c r="Q1389" s="431">
        <v>0.2</v>
      </c>
      <c r="R1389" s="459" t="s">
        <v>4969</v>
      </c>
      <c r="S1389" s="444" t="s">
        <v>586</v>
      </c>
      <c r="T1389" s="2" t="s">
        <v>5915</v>
      </c>
    </row>
    <row r="1390" spans="1:20" hidden="1" x14ac:dyDescent="0.35">
      <c r="A1390" s="432"/>
      <c r="B1390" s="442" t="s">
        <v>4967</v>
      </c>
      <c r="C1390" s="443">
        <v>45006</v>
      </c>
      <c r="D1390" s="443">
        <v>45006</v>
      </c>
      <c r="E1390" s="443" t="s">
        <v>1928</v>
      </c>
      <c r="F1390" s="453" t="s">
        <v>4968</v>
      </c>
      <c r="G1390" s="453" t="s">
        <v>4840</v>
      </c>
      <c r="H1390" s="442" t="s">
        <v>4757</v>
      </c>
      <c r="I1390" s="362">
        <v>2836.0675000000001</v>
      </c>
      <c r="J1390" s="362">
        <f t="shared" si="107"/>
        <v>261.06100000000004</v>
      </c>
      <c r="K1390" s="362">
        <v>261.06100000000004</v>
      </c>
      <c r="L1390" s="363">
        <f t="shared" si="106"/>
        <v>52.21220000000001</v>
      </c>
      <c r="M1390" s="363" t="s">
        <v>6171</v>
      </c>
      <c r="N1390" s="432" t="s">
        <v>3785</v>
      </c>
      <c r="O1390" s="433" t="s">
        <v>4120</v>
      </c>
      <c r="P1390" s="430" t="s">
        <v>3659</v>
      </c>
      <c r="Q1390" s="431">
        <v>0.2</v>
      </c>
      <c r="R1390" s="459" t="s">
        <v>4969</v>
      </c>
      <c r="S1390" s="444" t="s">
        <v>581</v>
      </c>
      <c r="T1390" s="2" t="s">
        <v>5915</v>
      </c>
    </row>
    <row r="1391" spans="1:20" hidden="1" x14ac:dyDescent="0.35">
      <c r="A1391" s="432"/>
      <c r="B1391" s="442" t="s">
        <v>4967</v>
      </c>
      <c r="C1391" s="443">
        <v>45006</v>
      </c>
      <c r="D1391" s="443">
        <v>45006</v>
      </c>
      <c r="E1391" s="443" t="s">
        <v>1929</v>
      </c>
      <c r="F1391" s="453" t="s">
        <v>4968</v>
      </c>
      <c r="G1391" s="453" t="s">
        <v>4840</v>
      </c>
      <c r="H1391" s="442" t="s">
        <v>4757</v>
      </c>
      <c r="I1391" s="362">
        <v>2836.0675000000001</v>
      </c>
      <c r="J1391" s="362">
        <f t="shared" si="107"/>
        <v>261.06100000000004</v>
      </c>
      <c r="K1391" s="362">
        <v>261.06100000000004</v>
      </c>
      <c r="L1391" s="363">
        <f t="shared" si="106"/>
        <v>52.21220000000001</v>
      </c>
      <c r="M1391" s="363" t="s">
        <v>6171</v>
      </c>
      <c r="N1391" s="432" t="s">
        <v>3785</v>
      </c>
      <c r="O1391" s="433" t="s">
        <v>4120</v>
      </c>
      <c r="P1391" s="430" t="s">
        <v>3659</v>
      </c>
      <c r="Q1391" s="431">
        <v>0.2</v>
      </c>
      <c r="R1391" s="459" t="s">
        <v>4969</v>
      </c>
      <c r="S1391" s="444" t="s">
        <v>670</v>
      </c>
      <c r="T1391" s="2" t="s">
        <v>5915</v>
      </c>
    </row>
    <row r="1392" spans="1:20" hidden="1" x14ac:dyDescent="0.35">
      <c r="A1392" s="432"/>
      <c r="B1392" s="442" t="s">
        <v>4751</v>
      </c>
      <c r="C1392" s="443">
        <v>45062</v>
      </c>
      <c r="D1392" s="443">
        <v>45062</v>
      </c>
      <c r="E1392" s="443" t="s">
        <v>794</v>
      </c>
      <c r="F1392" s="453" t="s">
        <v>4970</v>
      </c>
      <c r="G1392" s="453" t="s">
        <v>3784</v>
      </c>
      <c r="H1392" s="442" t="s">
        <v>3656</v>
      </c>
      <c r="I1392" s="362">
        <f>92200.93/30</f>
        <v>3073.364333333333</v>
      </c>
      <c r="J1392" s="362">
        <f>8423.53/30</f>
        <v>280.78433333333334</v>
      </c>
      <c r="K1392" s="362">
        <v>280.78433333333334</v>
      </c>
      <c r="L1392" s="363">
        <f t="shared" si="106"/>
        <v>56.156866666666673</v>
      </c>
      <c r="M1392" s="363" t="s">
        <v>6171</v>
      </c>
      <c r="N1392" s="432" t="s">
        <v>3785</v>
      </c>
      <c r="O1392" s="433" t="s">
        <v>4120</v>
      </c>
      <c r="P1392" s="430" t="s">
        <v>3659</v>
      </c>
      <c r="Q1392" s="431">
        <v>0.2</v>
      </c>
      <c r="R1392" s="458" t="s">
        <v>4971</v>
      </c>
      <c r="S1392" s="444" t="s">
        <v>791</v>
      </c>
      <c r="T1392" s="2" t="s">
        <v>5915</v>
      </c>
    </row>
    <row r="1393" spans="1:20" hidden="1" x14ac:dyDescent="0.35">
      <c r="A1393" s="432"/>
      <c r="B1393" s="442" t="s">
        <v>4751</v>
      </c>
      <c r="C1393" s="443">
        <v>45062</v>
      </c>
      <c r="D1393" s="443">
        <v>45062</v>
      </c>
      <c r="E1393" s="443" t="s">
        <v>827</v>
      </c>
      <c r="F1393" s="453" t="s">
        <v>4970</v>
      </c>
      <c r="G1393" s="438" t="s">
        <v>3784</v>
      </c>
      <c r="H1393" s="438" t="s">
        <v>3656</v>
      </c>
      <c r="I1393" s="362">
        <v>3073.364333333333</v>
      </c>
      <c r="J1393" s="362">
        <f t="shared" ref="J1393:J1423" si="108">8423.53/30</f>
        <v>280.78433333333334</v>
      </c>
      <c r="K1393" s="362">
        <v>280.78433333333334</v>
      </c>
      <c r="L1393" s="363">
        <f t="shared" si="106"/>
        <v>56.156866666666673</v>
      </c>
      <c r="M1393" s="363" t="s">
        <v>6171</v>
      </c>
      <c r="N1393" s="432" t="s">
        <v>3785</v>
      </c>
      <c r="O1393" s="433" t="s">
        <v>4120</v>
      </c>
      <c r="P1393" s="430" t="s">
        <v>3659</v>
      </c>
      <c r="Q1393" s="431">
        <v>0.2</v>
      </c>
      <c r="R1393" s="459" t="s">
        <v>4971</v>
      </c>
      <c r="S1393" s="444" t="s">
        <v>826</v>
      </c>
      <c r="T1393" s="2" t="s">
        <v>5915</v>
      </c>
    </row>
    <row r="1394" spans="1:20" hidden="1" x14ac:dyDescent="0.35">
      <c r="A1394" s="432"/>
      <c r="B1394" s="442" t="s">
        <v>4751</v>
      </c>
      <c r="C1394" s="443">
        <v>45062</v>
      </c>
      <c r="D1394" s="443">
        <v>45062</v>
      </c>
      <c r="E1394" s="443" t="s">
        <v>832</v>
      </c>
      <c r="F1394" s="453" t="s">
        <v>4970</v>
      </c>
      <c r="G1394" s="438" t="s">
        <v>3784</v>
      </c>
      <c r="H1394" s="438" t="s">
        <v>3656</v>
      </c>
      <c r="I1394" s="362">
        <v>3073.364333333333</v>
      </c>
      <c r="J1394" s="362">
        <f t="shared" si="108"/>
        <v>280.78433333333334</v>
      </c>
      <c r="K1394" s="362">
        <v>280.78433333333334</v>
      </c>
      <c r="L1394" s="363">
        <f t="shared" si="106"/>
        <v>56.156866666666673</v>
      </c>
      <c r="M1394" s="363" t="s">
        <v>6171</v>
      </c>
      <c r="N1394" s="432" t="s">
        <v>3785</v>
      </c>
      <c r="O1394" s="433" t="s">
        <v>4120</v>
      </c>
      <c r="P1394" s="430" t="s">
        <v>3659</v>
      </c>
      <c r="Q1394" s="431">
        <v>0.2</v>
      </c>
      <c r="R1394" s="459" t="s">
        <v>4971</v>
      </c>
      <c r="S1394" s="444" t="s">
        <v>831</v>
      </c>
      <c r="T1394" s="2" t="s">
        <v>5915</v>
      </c>
    </row>
    <row r="1395" spans="1:20" hidden="1" x14ac:dyDescent="0.35">
      <c r="A1395" s="432"/>
      <c r="B1395" s="442" t="s">
        <v>4751</v>
      </c>
      <c r="C1395" s="443">
        <v>45062</v>
      </c>
      <c r="D1395" s="443">
        <v>45062</v>
      </c>
      <c r="E1395" s="443" t="s">
        <v>872</v>
      </c>
      <c r="F1395" s="453" t="s">
        <v>4970</v>
      </c>
      <c r="G1395" s="438" t="s">
        <v>3784</v>
      </c>
      <c r="H1395" s="438" t="s">
        <v>3656</v>
      </c>
      <c r="I1395" s="362">
        <v>3073.364333333333</v>
      </c>
      <c r="J1395" s="362">
        <f t="shared" si="108"/>
        <v>280.78433333333334</v>
      </c>
      <c r="K1395" s="362">
        <v>280.78433333333334</v>
      </c>
      <c r="L1395" s="363">
        <f t="shared" si="106"/>
        <v>56.156866666666673</v>
      </c>
      <c r="M1395" s="363" t="s">
        <v>6171</v>
      </c>
      <c r="N1395" s="432" t="s">
        <v>3785</v>
      </c>
      <c r="O1395" s="433" t="s">
        <v>4120</v>
      </c>
      <c r="P1395" s="430" t="s">
        <v>3659</v>
      </c>
      <c r="Q1395" s="431">
        <v>0.2</v>
      </c>
      <c r="R1395" s="459" t="s">
        <v>4971</v>
      </c>
      <c r="S1395" s="444" t="s">
        <v>525</v>
      </c>
      <c r="T1395" s="2" t="s">
        <v>5915</v>
      </c>
    </row>
    <row r="1396" spans="1:20" hidden="1" x14ac:dyDescent="0.35">
      <c r="A1396" s="432"/>
      <c r="B1396" s="442" t="s">
        <v>4751</v>
      </c>
      <c r="C1396" s="443">
        <v>45062</v>
      </c>
      <c r="D1396" s="443">
        <v>45062</v>
      </c>
      <c r="E1396" s="443" t="s">
        <v>874</v>
      </c>
      <c r="F1396" s="453" t="s">
        <v>4970</v>
      </c>
      <c r="G1396" s="438" t="s">
        <v>3784</v>
      </c>
      <c r="H1396" s="438" t="s">
        <v>3656</v>
      </c>
      <c r="I1396" s="362">
        <v>3073.364333333333</v>
      </c>
      <c r="J1396" s="362">
        <f t="shared" si="108"/>
        <v>280.78433333333334</v>
      </c>
      <c r="K1396" s="362">
        <v>280.78433333333334</v>
      </c>
      <c r="L1396" s="363">
        <f t="shared" si="106"/>
        <v>56.156866666666673</v>
      </c>
      <c r="M1396" s="363" t="s">
        <v>6171</v>
      </c>
      <c r="N1396" s="432" t="s">
        <v>3785</v>
      </c>
      <c r="O1396" s="433" t="s">
        <v>4120</v>
      </c>
      <c r="P1396" s="430" t="s">
        <v>3659</v>
      </c>
      <c r="Q1396" s="431">
        <v>0.2</v>
      </c>
      <c r="R1396" s="459" t="s">
        <v>4971</v>
      </c>
      <c r="S1396" s="444" t="s">
        <v>525</v>
      </c>
      <c r="T1396" s="2" t="s">
        <v>5915</v>
      </c>
    </row>
    <row r="1397" spans="1:20" hidden="1" x14ac:dyDescent="0.35">
      <c r="A1397" s="432"/>
      <c r="B1397" s="442" t="s">
        <v>4751</v>
      </c>
      <c r="C1397" s="443">
        <v>45062</v>
      </c>
      <c r="D1397" s="443">
        <v>45062</v>
      </c>
      <c r="E1397" s="443" t="s">
        <v>928</v>
      </c>
      <c r="F1397" s="453" t="s">
        <v>4970</v>
      </c>
      <c r="G1397" s="438" t="s">
        <v>3784</v>
      </c>
      <c r="H1397" s="438" t="s">
        <v>3656</v>
      </c>
      <c r="I1397" s="362">
        <v>3073.364333333333</v>
      </c>
      <c r="J1397" s="362">
        <f t="shared" si="108"/>
        <v>280.78433333333334</v>
      </c>
      <c r="K1397" s="362">
        <v>280.78433333333334</v>
      </c>
      <c r="L1397" s="363">
        <f t="shared" si="106"/>
        <v>56.156866666666673</v>
      </c>
      <c r="M1397" s="363" t="s">
        <v>6171</v>
      </c>
      <c r="N1397" s="432" t="s">
        <v>3785</v>
      </c>
      <c r="O1397" s="433" t="s">
        <v>4120</v>
      </c>
      <c r="P1397" s="430" t="s">
        <v>3659</v>
      </c>
      <c r="Q1397" s="431">
        <v>0.2</v>
      </c>
      <c r="R1397" s="459" t="s">
        <v>4971</v>
      </c>
      <c r="S1397" s="444" t="s">
        <v>4972</v>
      </c>
      <c r="T1397" s="2" t="s">
        <v>5915</v>
      </c>
    </row>
    <row r="1398" spans="1:20" hidden="1" x14ac:dyDescent="0.35">
      <c r="A1398" s="432"/>
      <c r="B1398" s="442" t="s">
        <v>4751</v>
      </c>
      <c r="C1398" s="443">
        <v>45062</v>
      </c>
      <c r="D1398" s="443">
        <v>45062</v>
      </c>
      <c r="E1398" s="443" t="s">
        <v>973</v>
      </c>
      <c r="F1398" s="453" t="s">
        <v>4970</v>
      </c>
      <c r="G1398" s="438" t="s">
        <v>3784</v>
      </c>
      <c r="H1398" s="438" t="s">
        <v>3656</v>
      </c>
      <c r="I1398" s="362">
        <v>3073.364333333333</v>
      </c>
      <c r="J1398" s="362">
        <f t="shared" si="108"/>
        <v>280.78433333333334</v>
      </c>
      <c r="K1398" s="362">
        <v>280.78433333333334</v>
      </c>
      <c r="L1398" s="363">
        <f t="shared" si="106"/>
        <v>56.156866666666673</v>
      </c>
      <c r="M1398" s="363" t="s">
        <v>6171</v>
      </c>
      <c r="N1398" s="432" t="s">
        <v>3785</v>
      </c>
      <c r="O1398" s="433" t="s">
        <v>4120</v>
      </c>
      <c r="P1398" s="430" t="s">
        <v>3659</v>
      </c>
      <c r="Q1398" s="431">
        <v>0.2</v>
      </c>
      <c r="R1398" s="459" t="s">
        <v>4971</v>
      </c>
      <c r="S1398" s="444" t="s">
        <v>971</v>
      </c>
      <c r="T1398" s="2" t="s">
        <v>5915</v>
      </c>
    </row>
    <row r="1399" spans="1:20" hidden="1" x14ac:dyDescent="0.35">
      <c r="A1399" s="432"/>
      <c r="B1399" s="442" t="s">
        <v>4751</v>
      </c>
      <c r="C1399" s="443">
        <v>45062</v>
      </c>
      <c r="D1399" s="443">
        <v>45062</v>
      </c>
      <c r="E1399" s="443" t="s">
        <v>989</v>
      </c>
      <c r="F1399" s="453" t="s">
        <v>4970</v>
      </c>
      <c r="G1399" s="438" t="s">
        <v>3784</v>
      </c>
      <c r="H1399" s="438" t="s">
        <v>3656</v>
      </c>
      <c r="I1399" s="362">
        <v>3073.364333333333</v>
      </c>
      <c r="J1399" s="362">
        <f t="shared" si="108"/>
        <v>280.78433333333334</v>
      </c>
      <c r="K1399" s="362">
        <v>280.78433333333334</v>
      </c>
      <c r="L1399" s="363">
        <f t="shared" si="106"/>
        <v>56.156866666666673</v>
      </c>
      <c r="M1399" s="363" t="s">
        <v>6171</v>
      </c>
      <c r="N1399" s="432" t="s">
        <v>3785</v>
      </c>
      <c r="O1399" s="433" t="s">
        <v>4120</v>
      </c>
      <c r="P1399" s="430" t="s">
        <v>3659</v>
      </c>
      <c r="Q1399" s="431">
        <v>0.2</v>
      </c>
      <c r="R1399" s="459" t="s">
        <v>4971</v>
      </c>
      <c r="S1399" s="444" t="s">
        <v>987</v>
      </c>
      <c r="T1399" s="2" t="s">
        <v>5915</v>
      </c>
    </row>
    <row r="1400" spans="1:20" hidden="1" x14ac:dyDescent="0.35">
      <c r="A1400" s="432"/>
      <c r="B1400" s="442" t="s">
        <v>4751</v>
      </c>
      <c r="C1400" s="443">
        <v>45062</v>
      </c>
      <c r="D1400" s="443">
        <v>45062</v>
      </c>
      <c r="E1400" s="443" t="s">
        <v>999</v>
      </c>
      <c r="F1400" s="453" t="s">
        <v>4970</v>
      </c>
      <c r="G1400" s="438" t="s">
        <v>3784</v>
      </c>
      <c r="H1400" s="438" t="s">
        <v>3656</v>
      </c>
      <c r="I1400" s="362">
        <v>3073.364333333333</v>
      </c>
      <c r="J1400" s="362">
        <f t="shared" si="108"/>
        <v>280.78433333333334</v>
      </c>
      <c r="K1400" s="362">
        <v>280.78433333333334</v>
      </c>
      <c r="L1400" s="363">
        <f t="shared" si="106"/>
        <v>56.156866666666673</v>
      </c>
      <c r="M1400" s="363" t="s">
        <v>6171</v>
      </c>
      <c r="N1400" s="432" t="s">
        <v>3785</v>
      </c>
      <c r="O1400" s="433" t="s">
        <v>4120</v>
      </c>
      <c r="P1400" s="430" t="s">
        <v>3659</v>
      </c>
      <c r="Q1400" s="431">
        <v>0.2</v>
      </c>
      <c r="R1400" s="459" t="s">
        <v>4971</v>
      </c>
      <c r="S1400" s="444" t="s">
        <v>997</v>
      </c>
      <c r="T1400" s="2" t="s">
        <v>5915</v>
      </c>
    </row>
    <row r="1401" spans="1:20" hidden="1" x14ac:dyDescent="0.35">
      <c r="A1401" s="432"/>
      <c r="B1401" s="442" t="s">
        <v>4751</v>
      </c>
      <c r="C1401" s="443">
        <v>45062</v>
      </c>
      <c r="D1401" s="443">
        <v>45062</v>
      </c>
      <c r="E1401" s="443" t="s">
        <v>1010</v>
      </c>
      <c r="F1401" s="453" t="s">
        <v>4970</v>
      </c>
      <c r="G1401" s="438" t="s">
        <v>3784</v>
      </c>
      <c r="H1401" s="438" t="s">
        <v>3656</v>
      </c>
      <c r="I1401" s="362">
        <v>3073.364333333333</v>
      </c>
      <c r="J1401" s="362">
        <f t="shared" si="108"/>
        <v>280.78433333333334</v>
      </c>
      <c r="K1401" s="362">
        <v>280.78433333333334</v>
      </c>
      <c r="L1401" s="363">
        <f t="shared" si="106"/>
        <v>56.156866666666673</v>
      </c>
      <c r="M1401" s="363" t="s">
        <v>6171</v>
      </c>
      <c r="N1401" s="432" t="s">
        <v>3785</v>
      </c>
      <c r="O1401" s="433" t="s">
        <v>4120</v>
      </c>
      <c r="P1401" s="430" t="s">
        <v>3659</v>
      </c>
      <c r="Q1401" s="431">
        <v>0.2</v>
      </c>
      <c r="R1401" s="459" t="s">
        <v>4971</v>
      </c>
      <c r="S1401" s="444" t="s">
        <v>1009</v>
      </c>
      <c r="T1401" s="2" t="s">
        <v>5915</v>
      </c>
    </row>
    <row r="1402" spans="1:20" hidden="1" x14ac:dyDescent="0.35">
      <c r="A1402" s="432"/>
      <c r="B1402" s="442" t="s">
        <v>4751</v>
      </c>
      <c r="C1402" s="443">
        <v>45062</v>
      </c>
      <c r="D1402" s="443">
        <v>45062</v>
      </c>
      <c r="E1402" s="443" t="s">
        <v>1042</v>
      </c>
      <c r="F1402" s="453" t="s">
        <v>4970</v>
      </c>
      <c r="G1402" s="438" t="s">
        <v>3784</v>
      </c>
      <c r="H1402" s="438" t="s">
        <v>3656</v>
      </c>
      <c r="I1402" s="362">
        <v>3073.364333333333</v>
      </c>
      <c r="J1402" s="362">
        <f t="shared" si="108"/>
        <v>280.78433333333334</v>
      </c>
      <c r="K1402" s="362">
        <v>280.78433333333334</v>
      </c>
      <c r="L1402" s="363">
        <f t="shared" si="106"/>
        <v>56.156866666666673</v>
      </c>
      <c r="M1402" s="363" t="s">
        <v>6171</v>
      </c>
      <c r="N1402" s="432" t="s">
        <v>3785</v>
      </c>
      <c r="O1402" s="433" t="s">
        <v>4120</v>
      </c>
      <c r="P1402" s="430" t="s">
        <v>3659</v>
      </c>
      <c r="Q1402" s="431">
        <v>0.2</v>
      </c>
      <c r="R1402" s="459" t="s">
        <v>4971</v>
      </c>
      <c r="S1402" s="444" t="s">
        <v>1041</v>
      </c>
      <c r="T1402" s="2" t="s">
        <v>5915</v>
      </c>
    </row>
    <row r="1403" spans="1:20" hidden="1" x14ac:dyDescent="0.35">
      <c r="A1403" s="432"/>
      <c r="B1403" s="442" t="s">
        <v>4751</v>
      </c>
      <c r="C1403" s="443">
        <v>45062</v>
      </c>
      <c r="D1403" s="443">
        <v>45062</v>
      </c>
      <c r="E1403" s="443" t="s">
        <v>1044</v>
      </c>
      <c r="F1403" s="453" t="s">
        <v>4970</v>
      </c>
      <c r="G1403" s="438" t="s">
        <v>3784</v>
      </c>
      <c r="H1403" s="438" t="s">
        <v>3656</v>
      </c>
      <c r="I1403" s="362">
        <v>3073.364333333333</v>
      </c>
      <c r="J1403" s="362">
        <f t="shared" si="108"/>
        <v>280.78433333333334</v>
      </c>
      <c r="K1403" s="362">
        <v>280.78433333333334</v>
      </c>
      <c r="L1403" s="363">
        <f t="shared" si="106"/>
        <v>56.156866666666673</v>
      </c>
      <c r="M1403" s="363" t="s">
        <v>6171</v>
      </c>
      <c r="N1403" s="432" t="s">
        <v>3785</v>
      </c>
      <c r="O1403" s="433" t="s">
        <v>4120</v>
      </c>
      <c r="P1403" s="430" t="s">
        <v>3659</v>
      </c>
      <c r="Q1403" s="431">
        <v>0.2</v>
      </c>
      <c r="R1403" s="459" t="s">
        <v>4971</v>
      </c>
      <c r="S1403" s="444" t="s">
        <v>1041</v>
      </c>
      <c r="T1403" s="2" t="s">
        <v>5915</v>
      </c>
    </row>
    <row r="1404" spans="1:20" hidden="1" x14ac:dyDescent="0.35">
      <c r="A1404" s="432"/>
      <c r="B1404" s="442" t="s">
        <v>4751</v>
      </c>
      <c r="C1404" s="443">
        <v>45062</v>
      </c>
      <c r="D1404" s="443">
        <v>45062</v>
      </c>
      <c r="E1404" s="443" t="s">
        <v>1087</v>
      </c>
      <c r="F1404" s="453" t="s">
        <v>4970</v>
      </c>
      <c r="G1404" s="438" t="s">
        <v>3784</v>
      </c>
      <c r="H1404" s="438" t="s">
        <v>3656</v>
      </c>
      <c r="I1404" s="362">
        <v>3073.364333333333</v>
      </c>
      <c r="J1404" s="362">
        <f t="shared" si="108"/>
        <v>280.78433333333334</v>
      </c>
      <c r="K1404" s="362">
        <v>280.78433333333334</v>
      </c>
      <c r="L1404" s="363">
        <f t="shared" si="106"/>
        <v>56.156866666666673</v>
      </c>
      <c r="M1404" s="363" t="s">
        <v>6171</v>
      </c>
      <c r="N1404" s="432" t="s">
        <v>3785</v>
      </c>
      <c r="O1404" s="433" t="s">
        <v>4120</v>
      </c>
      <c r="P1404" s="430" t="s">
        <v>3659</v>
      </c>
      <c r="Q1404" s="431">
        <v>0.2</v>
      </c>
      <c r="R1404" s="459" t="s">
        <v>4971</v>
      </c>
      <c r="S1404" s="444" t="s">
        <v>1084</v>
      </c>
      <c r="T1404" s="2" t="s">
        <v>5915</v>
      </c>
    </row>
    <row r="1405" spans="1:20" s="815" customFormat="1" hidden="1" x14ac:dyDescent="0.35">
      <c r="B1405" s="442" t="s">
        <v>4751</v>
      </c>
      <c r="C1405" s="443">
        <v>45062</v>
      </c>
      <c r="D1405" s="443"/>
      <c r="E1405" s="8" t="s">
        <v>6294</v>
      </c>
      <c r="F1405" s="453"/>
      <c r="G1405" s="438" t="s">
        <v>3784</v>
      </c>
      <c r="H1405" s="438" t="s">
        <v>3656</v>
      </c>
      <c r="I1405" s="362"/>
      <c r="J1405" s="362"/>
      <c r="K1405" s="362"/>
      <c r="L1405" s="363"/>
      <c r="M1405" s="363"/>
      <c r="N1405" s="432" t="s">
        <v>3785</v>
      </c>
      <c r="O1405" s="433"/>
      <c r="P1405" s="430"/>
      <c r="Q1405" s="431"/>
      <c r="R1405" s="459"/>
      <c r="S1405" s="891" t="s">
        <v>1025</v>
      </c>
    </row>
    <row r="1406" spans="1:20" s="815" customFormat="1" hidden="1" x14ac:dyDescent="0.35">
      <c r="B1406" s="442" t="s">
        <v>4751</v>
      </c>
      <c r="C1406" s="443">
        <v>45062</v>
      </c>
      <c r="D1406" s="443"/>
      <c r="E1406" s="8" t="s">
        <v>6295</v>
      </c>
      <c r="F1406" s="453"/>
      <c r="G1406" s="438" t="s">
        <v>3784</v>
      </c>
      <c r="H1406" s="438" t="s">
        <v>3656</v>
      </c>
      <c r="I1406" s="362"/>
      <c r="J1406" s="362"/>
      <c r="K1406" s="362"/>
      <c r="L1406" s="363"/>
      <c r="M1406" s="363"/>
      <c r="N1406" s="432" t="s">
        <v>3785</v>
      </c>
      <c r="O1406" s="433"/>
      <c r="P1406" s="430"/>
      <c r="Q1406" s="431"/>
      <c r="R1406" s="459"/>
      <c r="S1406" s="891" t="s">
        <v>1025</v>
      </c>
    </row>
    <row r="1407" spans="1:20" hidden="1" x14ac:dyDescent="0.35">
      <c r="A1407" s="432"/>
      <c r="B1407" s="442" t="s">
        <v>4751</v>
      </c>
      <c r="C1407" s="443">
        <v>45062</v>
      </c>
      <c r="D1407" s="443">
        <v>45062</v>
      </c>
      <c r="E1407" s="443" t="s">
        <v>1136</v>
      </c>
      <c r="F1407" s="453" t="s">
        <v>4970</v>
      </c>
      <c r="G1407" s="438" t="s">
        <v>3784</v>
      </c>
      <c r="H1407" s="438" t="s">
        <v>3656</v>
      </c>
      <c r="I1407" s="362">
        <v>3073.364333333333</v>
      </c>
      <c r="J1407" s="362">
        <f t="shared" si="108"/>
        <v>280.78433333333334</v>
      </c>
      <c r="K1407" s="362">
        <v>280.78433333333334</v>
      </c>
      <c r="L1407" s="363">
        <f t="shared" si="106"/>
        <v>56.156866666666673</v>
      </c>
      <c r="M1407" s="363" t="s">
        <v>6171</v>
      </c>
      <c r="N1407" s="432" t="s">
        <v>3785</v>
      </c>
      <c r="O1407" s="433" t="s">
        <v>4120</v>
      </c>
      <c r="P1407" s="430" t="s">
        <v>3659</v>
      </c>
      <c r="Q1407" s="431">
        <v>0.2</v>
      </c>
      <c r="R1407" s="459" t="s">
        <v>4971</v>
      </c>
      <c r="S1407" s="444" t="s">
        <v>331</v>
      </c>
      <c r="T1407" s="2" t="s">
        <v>5915</v>
      </c>
    </row>
    <row r="1408" spans="1:20" hidden="1" x14ac:dyDescent="0.35">
      <c r="A1408" s="432"/>
      <c r="B1408" s="442" t="s">
        <v>4751</v>
      </c>
      <c r="C1408" s="443">
        <v>45062</v>
      </c>
      <c r="D1408" s="443">
        <v>45062</v>
      </c>
      <c r="E1408" s="443" t="s">
        <v>1138</v>
      </c>
      <c r="F1408" s="453" t="s">
        <v>4970</v>
      </c>
      <c r="G1408" s="438" t="s">
        <v>3784</v>
      </c>
      <c r="H1408" s="438" t="s">
        <v>3656</v>
      </c>
      <c r="I1408" s="362">
        <v>3073.364333333333</v>
      </c>
      <c r="J1408" s="362">
        <f t="shared" si="108"/>
        <v>280.78433333333334</v>
      </c>
      <c r="K1408" s="362">
        <v>280.78433333333334</v>
      </c>
      <c r="L1408" s="363">
        <f t="shared" si="106"/>
        <v>56.156866666666673</v>
      </c>
      <c r="M1408" s="363" t="s">
        <v>6171</v>
      </c>
      <c r="N1408" s="432" t="s">
        <v>3785</v>
      </c>
      <c r="O1408" s="433" t="s">
        <v>4120</v>
      </c>
      <c r="P1408" s="430" t="s">
        <v>3659</v>
      </c>
      <c r="Q1408" s="431">
        <v>0.2</v>
      </c>
      <c r="R1408" s="459" t="s">
        <v>4971</v>
      </c>
      <c r="S1408" s="444" t="s">
        <v>1137</v>
      </c>
      <c r="T1408" s="2" t="s">
        <v>5915</v>
      </c>
    </row>
    <row r="1409" spans="1:20" hidden="1" x14ac:dyDescent="0.35">
      <c r="A1409" s="432"/>
      <c r="B1409" s="442" t="s">
        <v>4751</v>
      </c>
      <c r="C1409" s="443">
        <v>45062</v>
      </c>
      <c r="D1409" s="443">
        <v>45062</v>
      </c>
      <c r="E1409" s="443" t="s">
        <v>1176</v>
      </c>
      <c r="F1409" s="453" t="s">
        <v>4970</v>
      </c>
      <c r="G1409" s="438" t="s">
        <v>3784</v>
      </c>
      <c r="H1409" s="438" t="s">
        <v>3656</v>
      </c>
      <c r="I1409" s="362">
        <v>3073.364333333333</v>
      </c>
      <c r="J1409" s="362">
        <f t="shared" si="108"/>
        <v>280.78433333333334</v>
      </c>
      <c r="K1409" s="362">
        <v>280.78433333333334</v>
      </c>
      <c r="L1409" s="363">
        <f t="shared" si="106"/>
        <v>56.156866666666673</v>
      </c>
      <c r="M1409" s="363" t="s">
        <v>6171</v>
      </c>
      <c r="N1409" s="432" t="s">
        <v>3785</v>
      </c>
      <c r="O1409" s="433" t="s">
        <v>4120</v>
      </c>
      <c r="P1409" s="430" t="s">
        <v>3659</v>
      </c>
      <c r="Q1409" s="431">
        <v>0.2</v>
      </c>
      <c r="R1409" s="459" t="s">
        <v>4971</v>
      </c>
      <c r="S1409" s="444" t="s">
        <v>1166</v>
      </c>
      <c r="T1409" s="2" t="s">
        <v>5915</v>
      </c>
    </row>
    <row r="1410" spans="1:20" hidden="1" x14ac:dyDescent="0.35">
      <c r="A1410" s="432"/>
      <c r="B1410" s="442" t="s">
        <v>4751</v>
      </c>
      <c r="C1410" s="443">
        <v>45062</v>
      </c>
      <c r="D1410" s="443">
        <v>45062</v>
      </c>
      <c r="E1410" s="443" t="s">
        <v>1198</v>
      </c>
      <c r="F1410" s="453" t="s">
        <v>4970</v>
      </c>
      <c r="G1410" s="438" t="s">
        <v>3784</v>
      </c>
      <c r="H1410" s="438" t="s">
        <v>3656</v>
      </c>
      <c r="I1410" s="362">
        <v>3073.364333333333</v>
      </c>
      <c r="J1410" s="362">
        <f t="shared" si="108"/>
        <v>280.78433333333334</v>
      </c>
      <c r="K1410" s="362">
        <v>280.78433333333334</v>
      </c>
      <c r="L1410" s="363">
        <f t="shared" si="106"/>
        <v>56.156866666666673</v>
      </c>
      <c r="M1410" s="363" t="s">
        <v>6171</v>
      </c>
      <c r="N1410" s="432" t="s">
        <v>3785</v>
      </c>
      <c r="O1410" s="433" t="s">
        <v>4120</v>
      </c>
      <c r="P1410" s="430" t="s">
        <v>3659</v>
      </c>
      <c r="Q1410" s="431">
        <v>0.2</v>
      </c>
      <c r="R1410" s="459" t="s">
        <v>4971</v>
      </c>
      <c r="S1410" s="444" t="s">
        <v>1197</v>
      </c>
      <c r="T1410" s="2" t="s">
        <v>5915</v>
      </c>
    </row>
    <row r="1411" spans="1:20" hidden="1" x14ac:dyDescent="0.35">
      <c r="A1411" s="432"/>
      <c r="B1411" s="442" t="s">
        <v>4751</v>
      </c>
      <c r="C1411" s="443">
        <v>45062</v>
      </c>
      <c r="D1411" s="443">
        <v>45062</v>
      </c>
      <c r="E1411" s="443" t="s">
        <v>1199</v>
      </c>
      <c r="F1411" s="453" t="s">
        <v>4970</v>
      </c>
      <c r="G1411" s="438" t="s">
        <v>3784</v>
      </c>
      <c r="H1411" s="438" t="s">
        <v>3656</v>
      </c>
      <c r="I1411" s="362">
        <v>3073.364333333333</v>
      </c>
      <c r="J1411" s="362">
        <f t="shared" si="108"/>
        <v>280.78433333333334</v>
      </c>
      <c r="K1411" s="362">
        <v>280.78433333333334</v>
      </c>
      <c r="L1411" s="363">
        <f t="shared" si="106"/>
        <v>56.156866666666673</v>
      </c>
      <c r="M1411" s="363" t="s">
        <v>6171</v>
      </c>
      <c r="N1411" s="432" t="s">
        <v>3785</v>
      </c>
      <c r="O1411" s="433" t="s">
        <v>4120</v>
      </c>
      <c r="P1411" s="430" t="s">
        <v>3659</v>
      </c>
      <c r="Q1411" s="431">
        <v>0.2</v>
      </c>
      <c r="R1411" s="459" t="s">
        <v>4971</v>
      </c>
      <c r="S1411" s="444" t="s">
        <v>1197</v>
      </c>
      <c r="T1411" s="2" t="s">
        <v>5915</v>
      </c>
    </row>
    <row r="1412" spans="1:20" hidden="1" x14ac:dyDescent="0.35">
      <c r="A1412" s="432"/>
      <c r="B1412" s="442" t="s">
        <v>4751</v>
      </c>
      <c r="C1412" s="443">
        <v>45062</v>
      </c>
      <c r="D1412" s="443">
        <v>45062</v>
      </c>
      <c r="E1412" s="443" t="s">
        <v>1204</v>
      </c>
      <c r="F1412" s="453" t="s">
        <v>4970</v>
      </c>
      <c r="G1412" s="438" t="s">
        <v>3784</v>
      </c>
      <c r="H1412" s="438" t="s">
        <v>3656</v>
      </c>
      <c r="I1412" s="362">
        <v>3073.364333333333</v>
      </c>
      <c r="J1412" s="362">
        <f t="shared" si="108"/>
        <v>280.78433333333334</v>
      </c>
      <c r="K1412" s="362">
        <v>280.78433333333334</v>
      </c>
      <c r="L1412" s="363">
        <f t="shared" si="106"/>
        <v>56.156866666666673</v>
      </c>
      <c r="M1412" s="363" t="s">
        <v>6171</v>
      </c>
      <c r="N1412" s="432" t="s">
        <v>3785</v>
      </c>
      <c r="O1412" s="433" t="s">
        <v>4120</v>
      </c>
      <c r="P1412" s="430" t="s">
        <v>3659</v>
      </c>
      <c r="Q1412" s="431">
        <v>0.2</v>
      </c>
      <c r="R1412" s="459" t="s">
        <v>4971</v>
      </c>
      <c r="S1412" s="444" t="s">
        <v>1201</v>
      </c>
      <c r="T1412" s="2" t="s">
        <v>5915</v>
      </c>
    </row>
    <row r="1413" spans="1:20" hidden="1" x14ac:dyDescent="0.35">
      <c r="A1413" s="432"/>
      <c r="B1413" s="442" t="s">
        <v>4751</v>
      </c>
      <c r="C1413" s="443">
        <v>45062</v>
      </c>
      <c r="D1413" s="443">
        <v>45062</v>
      </c>
      <c r="E1413" s="443" t="s">
        <v>1205</v>
      </c>
      <c r="F1413" s="453" t="s">
        <v>4970</v>
      </c>
      <c r="G1413" s="438" t="s">
        <v>3784</v>
      </c>
      <c r="H1413" s="438" t="s">
        <v>3656</v>
      </c>
      <c r="I1413" s="362">
        <v>3073.364333333333</v>
      </c>
      <c r="J1413" s="362">
        <f t="shared" si="108"/>
        <v>280.78433333333334</v>
      </c>
      <c r="K1413" s="362">
        <v>280.78433333333334</v>
      </c>
      <c r="L1413" s="363">
        <f t="shared" si="106"/>
        <v>56.156866666666673</v>
      </c>
      <c r="M1413" s="363" t="s">
        <v>6171</v>
      </c>
      <c r="N1413" s="432" t="s">
        <v>3785</v>
      </c>
      <c r="O1413" s="433" t="s">
        <v>4120</v>
      </c>
      <c r="P1413" s="430" t="s">
        <v>3659</v>
      </c>
      <c r="Q1413" s="431">
        <v>0.2</v>
      </c>
      <c r="R1413" s="459" t="s">
        <v>4971</v>
      </c>
      <c r="S1413" s="444" t="s">
        <v>1201</v>
      </c>
      <c r="T1413" s="2" t="s">
        <v>5915</v>
      </c>
    </row>
    <row r="1414" spans="1:20" hidden="1" x14ac:dyDescent="0.35">
      <c r="A1414" s="432"/>
      <c r="B1414" s="442" t="s">
        <v>4751</v>
      </c>
      <c r="C1414" s="443">
        <v>45062</v>
      </c>
      <c r="D1414" s="443">
        <v>45062</v>
      </c>
      <c r="E1414" s="443" t="s">
        <v>1207</v>
      </c>
      <c r="F1414" s="453" t="s">
        <v>4970</v>
      </c>
      <c r="G1414" s="438" t="s">
        <v>3784</v>
      </c>
      <c r="H1414" s="438" t="s">
        <v>3656</v>
      </c>
      <c r="I1414" s="362">
        <v>3073.364333333333</v>
      </c>
      <c r="J1414" s="362">
        <f t="shared" si="108"/>
        <v>280.78433333333334</v>
      </c>
      <c r="K1414" s="362">
        <v>280.78433333333334</v>
      </c>
      <c r="L1414" s="363">
        <f t="shared" si="106"/>
        <v>56.156866666666673</v>
      </c>
      <c r="M1414" s="363" t="s">
        <v>6171</v>
      </c>
      <c r="N1414" s="432" t="s">
        <v>3785</v>
      </c>
      <c r="O1414" s="433" t="s">
        <v>4120</v>
      </c>
      <c r="P1414" s="430" t="s">
        <v>3659</v>
      </c>
      <c r="Q1414" s="431">
        <v>0.2</v>
      </c>
      <c r="R1414" s="459" t="s">
        <v>4971</v>
      </c>
      <c r="S1414" s="444" t="s">
        <v>1206</v>
      </c>
      <c r="T1414" s="2" t="s">
        <v>5915</v>
      </c>
    </row>
    <row r="1415" spans="1:20" hidden="1" x14ac:dyDescent="0.35">
      <c r="A1415" s="432"/>
      <c r="B1415" s="442" t="s">
        <v>4751</v>
      </c>
      <c r="C1415" s="443">
        <v>45062</v>
      </c>
      <c r="D1415" s="443">
        <v>45062</v>
      </c>
      <c r="E1415" s="443" t="s">
        <v>1208</v>
      </c>
      <c r="F1415" s="453" t="s">
        <v>4970</v>
      </c>
      <c r="G1415" s="438" t="s">
        <v>3784</v>
      </c>
      <c r="H1415" s="438" t="s">
        <v>3656</v>
      </c>
      <c r="I1415" s="362">
        <v>3073.364333333333</v>
      </c>
      <c r="J1415" s="362">
        <f t="shared" si="108"/>
        <v>280.78433333333334</v>
      </c>
      <c r="K1415" s="362">
        <v>280.78433333333334</v>
      </c>
      <c r="L1415" s="363">
        <f t="shared" si="106"/>
        <v>56.156866666666673</v>
      </c>
      <c r="M1415" s="363" t="s">
        <v>6171</v>
      </c>
      <c r="N1415" s="432" t="s">
        <v>3785</v>
      </c>
      <c r="O1415" s="433" t="s">
        <v>4120</v>
      </c>
      <c r="P1415" s="430" t="s">
        <v>3659</v>
      </c>
      <c r="Q1415" s="431">
        <v>0.2</v>
      </c>
      <c r="R1415" s="459" t="s">
        <v>4971</v>
      </c>
      <c r="S1415" s="444" t="s">
        <v>1206</v>
      </c>
      <c r="T1415" s="2" t="s">
        <v>5915</v>
      </c>
    </row>
    <row r="1416" spans="1:20" hidden="1" x14ac:dyDescent="0.35">
      <c r="A1416" s="432"/>
      <c r="B1416" s="442" t="s">
        <v>4751</v>
      </c>
      <c r="C1416" s="443">
        <v>45062</v>
      </c>
      <c r="D1416" s="443">
        <v>45062</v>
      </c>
      <c r="E1416" s="443" t="s">
        <v>1211</v>
      </c>
      <c r="F1416" s="453" t="s">
        <v>4970</v>
      </c>
      <c r="G1416" s="438" t="s">
        <v>3784</v>
      </c>
      <c r="H1416" s="438" t="s">
        <v>3656</v>
      </c>
      <c r="I1416" s="362">
        <v>3073.364333333333</v>
      </c>
      <c r="J1416" s="362">
        <f t="shared" si="108"/>
        <v>280.78433333333334</v>
      </c>
      <c r="K1416" s="362">
        <v>280.78433333333334</v>
      </c>
      <c r="L1416" s="363">
        <f t="shared" si="106"/>
        <v>56.156866666666673</v>
      </c>
      <c r="M1416" s="363" t="s">
        <v>6171</v>
      </c>
      <c r="N1416" s="432" t="s">
        <v>3785</v>
      </c>
      <c r="O1416" s="433" t="s">
        <v>4120</v>
      </c>
      <c r="P1416" s="430" t="s">
        <v>3659</v>
      </c>
      <c r="Q1416" s="431">
        <v>0.2</v>
      </c>
      <c r="R1416" s="459" t="s">
        <v>4971</v>
      </c>
      <c r="S1416" s="444" t="s">
        <v>467</v>
      </c>
      <c r="T1416" s="2" t="s">
        <v>5915</v>
      </c>
    </row>
    <row r="1417" spans="1:20" hidden="1" x14ac:dyDescent="0.35">
      <c r="A1417" s="432"/>
      <c r="B1417" s="442" t="s">
        <v>4751</v>
      </c>
      <c r="C1417" s="443">
        <v>45062</v>
      </c>
      <c r="D1417" s="443">
        <v>45062</v>
      </c>
      <c r="E1417" s="443" t="s">
        <v>1212</v>
      </c>
      <c r="F1417" s="453" t="s">
        <v>4970</v>
      </c>
      <c r="G1417" s="438" t="s">
        <v>3784</v>
      </c>
      <c r="H1417" s="438" t="s">
        <v>3656</v>
      </c>
      <c r="I1417" s="362">
        <v>3073.364333333333</v>
      </c>
      <c r="J1417" s="362">
        <f t="shared" si="108"/>
        <v>280.78433333333334</v>
      </c>
      <c r="K1417" s="362">
        <v>280.78433333333334</v>
      </c>
      <c r="L1417" s="363">
        <f t="shared" ref="L1417:L1423" si="109">+K1417*Q1417</f>
        <v>56.156866666666673</v>
      </c>
      <c r="M1417" s="363" t="s">
        <v>6171</v>
      </c>
      <c r="N1417" s="432" t="s">
        <v>3785</v>
      </c>
      <c r="O1417" s="433" t="s">
        <v>4120</v>
      </c>
      <c r="P1417" s="430" t="s">
        <v>3659</v>
      </c>
      <c r="Q1417" s="431">
        <v>0.2</v>
      </c>
      <c r="R1417" s="459" t="s">
        <v>4971</v>
      </c>
      <c r="S1417" s="444" t="s">
        <v>467</v>
      </c>
      <c r="T1417" s="2" t="s">
        <v>5915</v>
      </c>
    </row>
    <row r="1418" spans="1:20" hidden="1" x14ac:dyDescent="0.35">
      <c r="A1418" s="432"/>
      <c r="B1418" s="442" t="s">
        <v>4751</v>
      </c>
      <c r="C1418" s="443">
        <v>45062</v>
      </c>
      <c r="D1418" s="443">
        <v>45062</v>
      </c>
      <c r="E1418" s="443" t="s">
        <v>1214</v>
      </c>
      <c r="F1418" s="453" t="s">
        <v>4970</v>
      </c>
      <c r="G1418" s="438" t="s">
        <v>3784</v>
      </c>
      <c r="H1418" s="438" t="s">
        <v>3656</v>
      </c>
      <c r="I1418" s="362">
        <v>3073.364333333333</v>
      </c>
      <c r="J1418" s="362">
        <f t="shared" si="108"/>
        <v>280.78433333333334</v>
      </c>
      <c r="K1418" s="362">
        <v>280.78433333333334</v>
      </c>
      <c r="L1418" s="363">
        <f t="shared" si="109"/>
        <v>56.156866666666673</v>
      </c>
      <c r="M1418" s="363" t="s">
        <v>6171</v>
      </c>
      <c r="N1418" s="432" t="s">
        <v>3785</v>
      </c>
      <c r="O1418" s="433" t="s">
        <v>4120</v>
      </c>
      <c r="P1418" s="430" t="s">
        <v>3659</v>
      </c>
      <c r="Q1418" s="431">
        <v>0.2</v>
      </c>
      <c r="R1418" s="459" t="s">
        <v>4971</v>
      </c>
      <c r="S1418" s="444" t="s">
        <v>1201</v>
      </c>
      <c r="T1418" s="2" t="s">
        <v>5915</v>
      </c>
    </row>
    <row r="1419" spans="1:20" hidden="1" x14ac:dyDescent="0.35">
      <c r="A1419" s="432"/>
      <c r="B1419" s="442" t="s">
        <v>4751</v>
      </c>
      <c r="C1419" s="443">
        <v>45062</v>
      </c>
      <c r="D1419" s="443">
        <v>45062</v>
      </c>
      <c r="E1419" s="443" t="s">
        <v>1216</v>
      </c>
      <c r="F1419" s="453" t="s">
        <v>4970</v>
      </c>
      <c r="G1419" s="438" t="s">
        <v>3784</v>
      </c>
      <c r="H1419" s="438" t="s">
        <v>3656</v>
      </c>
      <c r="I1419" s="362">
        <v>3073.364333333333</v>
      </c>
      <c r="J1419" s="362">
        <f t="shared" si="108"/>
        <v>280.78433333333334</v>
      </c>
      <c r="K1419" s="362">
        <v>280.78433333333334</v>
      </c>
      <c r="L1419" s="363">
        <f t="shared" si="109"/>
        <v>56.156866666666673</v>
      </c>
      <c r="M1419" s="363" t="s">
        <v>6171</v>
      </c>
      <c r="N1419" s="432" t="s">
        <v>3785</v>
      </c>
      <c r="O1419" s="433" t="s">
        <v>4120</v>
      </c>
      <c r="P1419" s="430" t="s">
        <v>3659</v>
      </c>
      <c r="Q1419" s="431">
        <v>0.2</v>
      </c>
      <c r="R1419" s="459" t="s">
        <v>4971</v>
      </c>
      <c r="S1419" s="444" t="s">
        <v>557</v>
      </c>
      <c r="T1419" s="2" t="s">
        <v>5915</v>
      </c>
    </row>
    <row r="1420" spans="1:20" hidden="1" x14ac:dyDescent="0.35">
      <c r="A1420" s="432"/>
      <c r="B1420" s="442" t="s">
        <v>4751</v>
      </c>
      <c r="C1420" s="443">
        <v>45062</v>
      </c>
      <c r="D1420" s="443">
        <v>45062</v>
      </c>
      <c r="E1420" s="443" t="s">
        <v>1217</v>
      </c>
      <c r="F1420" s="453" t="s">
        <v>4970</v>
      </c>
      <c r="G1420" s="438" t="s">
        <v>3784</v>
      </c>
      <c r="H1420" s="438" t="s">
        <v>3656</v>
      </c>
      <c r="I1420" s="362">
        <v>3073.364333333333</v>
      </c>
      <c r="J1420" s="362">
        <f t="shared" si="108"/>
        <v>280.78433333333334</v>
      </c>
      <c r="K1420" s="362">
        <v>280.78433333333334</v>
      </c>
      <c r="L1420" s="363">
        <f t="shared" si="109"/>
        <v>56.156866666666673</v>
      </c>
      <c r="M1420" s="363" t="s">
        <v>6171</v>
      </c>
      <c r="N1420" s="432" t="s">
        <v>3785</v>
      </c>
      <c r="O1420" s="433" t="s">
        <v>4120</v>
      </c>
      <c r="P1420" s="430" t="s">
        <v>3659</v>
      </c>
      <c r="Q1420" s="431">
        <v>0.2</v>
      </c>
      <c r="R1420" s="459" t="s">
        <v>4971</v>
      </c>
      <c r="S1420" s="444" t="s">
        <v>557</v>
      </c>
      <c r="T1420" s="2" t="s">
        <v>5915</v>
      </c>
    </row>
    <row r="1421" spans="1:20" hidden="1" x14ac:dyDescent="0.35">
      <c r="A1421" s="432"/>
      <c r="B1421" s="442" t="s">
        <v>4751</v>
      </c>
      <c r="C1421" s="443">
        <v>45062</v>
      </c>
      <c r="D1421" s="443">
        <v>45062</v>
      </c>
      <c r="E1421" s="443" t="s">
        <v>1218</v>
      </c>
      <c r="F1421" s="453" t="s">
        <v>4970</v>
      </c>
      <c r="G1421" s="438" t="s">
        <v>3784</v>
      </c>
      <c r="H1421" s="438" t="s">
        <v>3656</v>
      </c>
      <c r="I1421" s="362">
        <v>3073.364333333333</v>
      </c>
      <c r="J1421" s="362">
        <f t="shared" si="108"/>
        <v>280.78433333333334</v>
      </c>
      <c r="K1421" s="362">
        <v>280.78433333333334</v>
      </c>
      <c r="L1421" s="363">
        <f t="shared" si="109"/>
        <v>56.156866666666673</v>
      </c>
      <c r="M1421" s="363" t="s">
        <v>6171</v>
      </c>
      <c r="N1421" s="432" t="s">
        <v>3785</v>
      </c>
      <c r="O1421" s="433" t="s">
        <v>4120</v>
      </c>
      <c r="P1421" s="430" t="s">
        <v>3659</v>
      </c>
      <c r="Q1421" s="431">
        <v>0.2</v>
      </c>
      <c r="R1421" s="459" t="s">
        <v>4971</v>
      </c>
      <c r="S1421" s="444" t="s">
        <v>469</v>
      </c>
      <c r="T1421" s="2" t="s">
        <v>5915</v>
      </c>
    </row>
    <row r="1422" spans="1:20" hidden="1" x14ac:dyDescent="0.35">
      <c r="A1422" s="432"/>
      <c r="B1422" s="442" t="s">
        <v>4751</v>
      </c>
      <c r="C1422" s="443">
        <v>45062</v>
      </c>
      <c r="D1422" s="443">
        <v>45062</v>
      </c>
      <c r="E1422" s="443" t="s">
        <v>1219</v>
      </c>
      <c r="F1422" s="453" t="s">
        <v>4970</v>
      </c>
      <c r="G1422" s="438" t="s">
        <v>3784</v>
      </c>
      <c r="H1422" s="438" t="s">
        <v>3656</v>
      </c>
      <c r="I1422" s="362">
        <v>3073.364333333333</v>
      </c>
      <c r="J1422" s="362">
        <f t="shared" si="108"/>
        <v>280.78433333333334</v>
      </c>
      <c r="K1422" s="362">
        <v>280.78433333333334</v>
      </c>
      <c r="L1422" s="363">
        <f t="shared" si="109"/>
        <v>56.156866666666673</v>
      </c>
      <c r="M1422" s="363" t="s">
        <v>6171</v>
      </c>
      <c r="N1422" s="432" t="s">
        <v>3785</v>
      </c>
      <c r="O1422" s="433" t="s">
        <v>4120</v>
      </c>
      <c r="P1422" s="430" t="s">
        <v>3659</v>
      </c>
      <c r="Q1422" s="431">
        <v>0.2</v>
      </c>
      <c r="R1422" s="459" t="s">
        <v>4971</v>
      </c>
      <c r="S1422" s="444" t="s">
        <v>469</v>
      </c>
      <c r="T1422" s="2" t="s">
        <v>5915</v>
      </c>
    </row>
    <row r="1423" spans="1:20" hidden="1" x14ac:dyDescent="0.35">
      <c r="A1423" s="446"/>
      <c r="B1423" s="447" t="s">
        <v>4751</v>
      </c>
      <c r="C1423" s="448">
        <v>45062</v>
      </c>
      <c r="D1423" s="448">
        <v>45062</v>
      </c>
      <c r="E1423" s="448" t="s">
        <v>1221</v>
      </c>
      <c r="F1423" s="456" t="s">
        <v>4970</v>
      </c>
      <c r="G1423" s="460" t="s">
        <v>3784</v>
      </c>
      <c r="H1423" s="460" t="s">
        <v>3656</v>
      </c>
      <c r="I1423" s="363">
        <v>3073.364333333333</v>
      </c>
      <c r="J1423" s="363">
        <f t="shared" si="108"/>
        <v>280.78433333333334</v>
      </c>
      <c r="K1423" s="363">
        <v>280.78433333333334</v>
      </c>
      <c r="L1423" s="363">
        <f t="shared" si="109"/>
        <v>56.156866666666673</v>
      </c>
      <c r="M1423" s="363" t="s">
        <v>6171</v>
      </c>
      <c r="N1423" s="446" t="s">
        <v>3785</v>
      </c>
      <c r="O1423" s="450" t="s">
        <v>4120</v>
      </c>
      <c r="P1423" s="449" t="s">
        <v>3659</v>
      </c>
      <c r="Q1423" s="451">
        <v>0.2</v>
      </c>
      <c r="R1423" s="461" t="s">
        <v>4971</v>
      </c>
      <c r="S1423" s="444" t="s">
        <v>1220</v>
      </c>
      <c r="T1423" s="2" t="s">
        <v>5915</v>
      </c>
    </row>
    <row r="1424" spans="1:20" hidden="1" x14ac:dyDescent="0.35">
      <c r="A1424" s="432"/>
      <c r="B1424" s="442" t="s">
        <v>1779</v>
      </c>
      <c r="C1424" s="443">
        <v>45062</v>
      </c>
      <c r="D1424" s="443">
        <v>45062</v>
      </c>
      <c r="E1424" s="443" t="s">
        <v>1930</v>
      </c>
      <c r="F1424" s="453" t="s">
        <v>4970</v>
      </c>
      <c r="G1424" s="438" t="s">
        <v>4840</v>
      </c>
      <c r="H1424" s="438" t="s">
        <v>4757</v>
      </c>
      <c r="I1424" s="362">
        <v>2836.0675000000001</v>
      </c>
      <c r="J1424" s="362">
        <v>261.06100000000004</v>
      </c>
      <c r="K1424" s="362">
        <v>261.06100000000004</v>
      </c>
      <c r="L1424" s="362">
        <v>52.21220000000001</v>
      </c>
      <c r="M1424" s="362" t="s">
        <v>6171</v>
      </c>
      <c r="N1424" s="432" t="s">
        <v>3785</v>
      </c>
      <c r="O1424" s="433" t="s">
        <v>4120</v>
      </c>
      <c r="P1424" s="430" t="s">
        <v>3659</v>
      </c>
      <c r="Q1424" s="431">
        <v>0.2</v>
      </c>
      <c r="R1424" s="459" t="s">
        <v>4971</v>
      </c>
      <c r="S1424" s="444" t="s">
        <v>1931</v>
      </c>
      <c r="T1424" s="2" t="s">
        <v>5915</v>
      </c>
    </row>
    <row r="1425" spans="1:20" hidden="1" x14ac:dyDescent="0.35">
      <c r="A1425" s="432"/>
      <c r="B1425" s="442" t="s">
        <v>1779</v>
      </c>
      <c r="C1425" s="443">
        <v>45062</v>
      </c>
      <c r="D1425" s="443">
        <v>45062</v>
      </c>
      <c r="E1425" s="443" t="s">
        <v>1932</v>
      </c>
      <c r="F1425" s="453" t="s">
        <v>4970</v>
      </c>
      <c r="G1425" s="438" t="s">
        <v>4840</v>
      </c>
      <c r="H1425" s="438" t="s">
        <v>4757</v>
      </c>
      <c r="I1425" s="362">
        <v>2836.0675000000001</v>
      </c>
      <c r="J1425" s="362">
        <v>261.06100000000004</v>
      </c>
      <c r="K1425" s="362">
        <v>261.06100000000004</v>
      </c>
      <c r="L1425" s="362">
        <v>52.21220000000001</v>
      </c>
      <c r="M1425" s="362" t="s">
        <v>6171</v>
      </c>
      <c r="N1425" s="432" t="s">
        <v>3785</v>
      </c>
      <c r="O1425" s="433" t="s">
        <v>4120</v>
      </c>
      <c r="P1425" s="430" t="s">
        <v>3659</v>
      </c>
      <c r="Q1425" s="431">
        <v>0.2</v>
      </c>
      <c r="R1425" s="459" t="s">
        <v>4971</v>
      </c>
      <c r="S1425" s="444" t="s">
        <v>1933</v>
      </c>
      <c r="T1425" s="2" t="s">
        <v>5915</v>
      </c>
    </row>
    <row r="1426" spans="1:20" hidden="1" x14ac:dyDescent="0.35">
      <c r="A1426" s="432"/>
      <c r="B1426" s="442" t="s">
        <v>1779</v>
      </c>
      <c r="C1426" s="443">
        <v>45062</v>
      </c>
      <c r="D1426" s="443">
        <v>45062</v>
      </c>
      <c r="E1426" s="443" t="s">
        <v>1934</v>
      </c>
      <c r="F1426" s="453" t="s">
        <v>4970</v>
      </c>
      <c r="G1426" s="438" t="s">
        <v>4840</v>
      </c>
      <c r="H1426" s="438" t="s">
        <v>4757</v>
      </c>
      <c r="I1426" s="362">
        <v>2836.0675000000001</v>
      </c>
      <c r="J1426" s="362">
        <v>261.06100000000004</v>
      </c>
      <c r="K1426" s="362">
        <v>261.06100000000004</v>
      </c>
      <c r="L1426" s="362">
        <v>52.21220000000001</v>
      </c>
      <c r="M1426" s="362" t="s">
        <v>6171</v>
      </c>
      <c r="N1426" s="432" t="s">
        <v>3785</v>
      </c>
      <c r="O1426" s="433" t="s">
        <v>4120</v>
      </c>
      <c r="P1426" s="430" t="s">
        <v>3659</v>
      </c>
      <c r="Q1426" s="431">
        <v>0.2</v>
      </c>
      <c r="R1426" s="459" t="s">
        <v>4971</v>
      </c>
      <c r="S1426" s="444" t="s">
        <v>1935</v>
      </c>
      <c r="T1426" s="2" t="s">
        <v>5915</v>
      </c>
    </row>
    <row r="1427" spans="1:20" hidden="1" x14ac:dyDescent="0.35">
      <c r="A1427" s="432"/>
      <c r="B1427" s="442" t="s">
        <v>1779</v>
      </c>
      <c r="C1427" s="443">
        <v>45062</v>
      </c>
      <c r="D1427" s="443">
        <v>45062</v>
      </c>
      <c r="E1427" s="443" t="s">
        <v>1936</v>
      </c>
      <c r="F1427" s="453" t="s">
        <v>4970</v>
      </c>
      <c r="G1427" s="438" t="s">
        <v>4840</v>
      </c>
      <c r="H1427" s="438" t="s">
        <v>4757</v>
      </c>
      <c r="I1427" s="362">
        <v>2836.0675000000001</v>
      </c>
      <c r="J1427" s="362">
        <v>261.06100000000004</v>
      </c>
      <c r="K1427" s="362">
        <v>261.06100000000004</v>
      </c>
      <c r="L1427" s="362">
        <v>52.21220000000001</v>
      </c>
      <c r="M1427" s="362" t="s">
        <v>6171</v>
      </c>
      <c r="N1427" s="432" t="s">
        <v>3785</v>
      </c>
      <c r="O1427" s="433" t="s">
        <v>4120</v>
      </c>
      <c r="P1427" s="430" t="s">
        <v>3659</v>
      </c>
      <c r="Q1427" s="431">
        <v>0.2</v>
      </c>
      <c r="R1427" s="459" t="s">
        <v>4971</v>
      </c>
      <c r="S1427" s="444" t="s">
        <v>67</v>
      </c>
      <c r="T1427" s="2" t="s">
        <v>5915</v>
      </c>
    </row>
    <row r="1428" spans="1:20" hidden="1" x14ac:dyDescent="0.35">
      <c r="A1428" s="432"/>
      <c r="B1428" s="442" t="s">
        <v>1779</v>
      </c>
      <c r="C1428" s="443">
        <v>45062</v>
      </c>
      <c r="D1428" s="443">
        <v>45062</v>
      </c>
      <c r="E1428" s="443" t="s">
        <v>1937</v>
      </c>
      <c r="F1428" s="453" t="s">
        <v>4970</v>
      </c>
      <c r="G1428" s="438" t="s">
        <v>4840</v>
      </c>
      <c r="H1428" s="438" t="s">
        <v>4757</v>
      </c>
      <c r="I1428" s="362">
        <v>2836.0675000000001</v>
      </c>
      <c r="J1428" s="362">
        <v>261.06100000000004</v>
      </c>
      <c r="K1428" s="362">
        <v>261.06100000000004</v>
      </c>
      <c r="L1428" s="362">
        <v>52.21220000000001</v>
      </c>
      <c r="M1428" s="362" t="s">
        <v>6171</v>
      </c>
      <c r="N1428" s="432" t="s">
        <v>3785</v>
      </c>
      <c r="O1428" s="433" t="s">
        <v>4120</v>
      </c>
      <c r="P1428" s="430" t="s">
        <v>3659</v>
      </c>
      <c r="Q1428" s="431">
        <v>0.2</v>
      </c>
      <c r="R1428" s="459" t="s">
        <v>4971</v>
      </c>
      <c r="S1428" s="444" t="s">
        <v>1308</v>
      </c>
      <c r="T1428" s="2" t="s">
        <v>5915</v>
      </c>
    </row>
    <row r="1429" spans="1:20" hidden="1" x14ac:dyDescent="0.35">
      <c r="A1429" s="432"/>
      <c r="B1429" s="442" t="s">
        <v>1779</v>
      </c>
      <c r="C1429" s="443">
        <v>45062</v>
      </c>
      <c r="D1429" s="443">
        <v>45062</v>
      </c>
      <c r="E1429" s="443" t="s">
        <v>1938</v>
      </c>
      <c r="F1429" s="453" t="s">
        <v>4970</v>
      </c>
      <c r="G1429" s="438" t="s">
        <v>4840</v>
      </c>
      <c r="H1429" s="438" t="s">
        <v>4757</v>
      </c>
      <c r="I1429" s="362">
        <v>2836.0675000000001</v>
      </c>
      <c r="J1429" s="362">
        <v>261.06100000000004</v>
      </c>
      <c r="K1429" s="362">
        <v>261.06100000000004</v>
      </c>
      <c r="L1429" s="362">
        <v>52.21220000000001</v>
      </c>
      <c r="M1429" s="362" t="s">
        <v>6171</v>
      </c>
      <c r="N1429" s="432" t="s">
        <v>3785</v>
      </c>
      <c r="O1429" s="433" t="s">
        <v>4120</v>
      </c>
      <c r="P1429" s="430" t="s">
        <v>3659</v>
      </c>
      <c r="Q1429" s="431">
        <v>0.2</v>
      </c>
      <c r="R1429" s="459" t="s">
        <v>4971</v>
      </c>
      <c r="S1429" s="444" t="s">
        <v>1939</v>
      </c>
      <c r="T1429" s="2" t="s">
        <v>5915</v>
      </c>
    </row>
    <row r="1430" spans="1:20" hidden="1" x14ac:dyDescent="0.35">
      <c r="A1430" s="432"/>
      <c r="B1430" s="442" t="s">
        <v>1779</v>
      </c>
      <c r="C1430" s="443">
        <v>45062</v>
      </c>
      <c r="D1430" s="443">
        <v>45062</v>
      </c>
      <c r="E1430" s="443" t="s">
        <v>1940</v>
      </c>
      <c r="F1430" s="453" t="s">
        <v>4970</v>
      </c>
      <c r="G1430" s="438" t="s">
        <v>4840</v>
      </c>
      <c r="H1430" s="438" t="s">
        <v>4757</v>
      </c>
      <c r="I1430" s="362">
        <v>2836.0675000000001</v>
      </c>
      <c r="J1430" s="362">
        <v>261.06100000000004</v>
      </c>
      <c r="K1430" s="362">
        <v>261.06100000000004</v>
      </c>
      <c r="L1430" s="362">
        <v>52.21220000000001</v>
      </c>
      <c r="M1430" s="362" t="s">
        <v>6171</v>
      </c>
      <c r="N1430" s="432" t="s">
        <v>3785</v>
      </c>
      <c r="O1430" s="433" t="s">
        <v>4120</v>
      </c>
      <c r="P1430" s="430" t="s">
        <v>3659</v>
      </c>
      <c r="Q1430" s="431">
        <v>0.2</v>
      </c>
      <c r="R1430" s="459" t="s">
        <v>4971</v>
      </c>
      <c r="S1430" s="444" t="s">
        <v>1941</v>
      </c>
      <c r="T1430" s="2" t="s">
        <v>5915</v>
      </c>
    </row>
    <row r="1431" spans="1:20" hidden="1" x14ac:dyDescent="0.35">
      <c r="A1431" s="432"/>
      <c r="B1431" s="442" t="s">
        <v>1779</v>
      </c>
      <c r="C1431" s="443">
        <v>45062</v>
      </c>
      <c r="D1431" s="443">
        <v>45062</v>
      </c>
      <c r="E1431" s="443" t="s">
        <v>1942</v>
      </c>
      <c r="F1431" s="453" t="s">
        <v>4970</v>
      </c>
      <c r="G1431" s="438" t="s">
        <v>4840</v>
      </c>
      <c r="H1431" s="438" t="s">
        <v>4757</v>
      </c>
      <c r="I1431" s="362">
        <v>2836.0675000000001</v>
      </c>
      <c r="J1431" s="362">
        <v>261.06100000000004</v>
      </c>
      <c r="K1431" s="362">
        <v>261.06100000000004</v>
      </c>
      <c r="L1431" s="362">
        <v>52.21220000000001</v>
      </c>
      <c r="M1431" s="362" t="s">
        <v>6171</v>
      </c>
      <c r="N1431" s="432" t="s">
        <v>3785</v>
      </c>
      <c r="O1431" s="433" t="s">
        <v>4120</v>
      </c>
      <c r="P1431" s="430" t="s">
        <v>3659</v>
      </c>
      <c r="Q1431" s="431">
        <v>0.2</v>
      </c>
      <c r="R1431" s="459" t="s">
        <v>4971</v>
      </c>
      <c r="S1431" s="444" t="s">
        <v>1943</v>
      </c>
      <c r="T1431" s="2" t="s">
        <v>5915</v>
      </c>
    </row>
    <row r="1432" spans="1:20" hidden="1" x14ac:dyDescent="0.35">
      <c r="A1432" s="432"/>
      <c r="B1432" s="442" t="s">
        <v>1779</v>
      </c>
      <c r="C1432" s="443">
        <v>45062</v>
      </c>
      <c r="D1432" s="443">
        <v>45062</v>
      </c>
      <c r="E1432" s="443" t="s">
        <v>1944</v>
      </c>
      <c r="F1432" s="453" t="s">
        <v>4970</v>
      </c>
      <c r="G1432" s="438" t="s">
        <v>4840</v>
      </c>
      <c r="H1432" s="438" t="s">
        <v>4757</v>
      </c>
      <c r="I1432" s="362">
        <v>2836.0675000000001</v>
      </c>
      <c r="J1432" s="362">
        <v>261.06100000000004</v>
      </c>
      <c r="K1432" s="362">
        <v>261.06100000000004</v>
      </c>
      <c r="L1432" s="362">
        <v>52.21220000000001</v>
      </c>
      <c r="M1432" s="362" t="s">
        <v>6171</v>
      </c>
      <c r="N1432" s="432" t="s">
        <v>3785</v>
      </c>
      <c r="O1432" s="433" t="s">
        <v>4120</v>
      </c>
      <c r="P1432" s="430" t="s">
        <v>3659</v>
      </c>
      <c r="Q1432" s="431">
        <v>0.2</v>
      </c>
      <c r="R1432" s="459" t="s">
        <v>4971</v>
      </c>
      <c r="S1432" s="444" t="s">
        <v>1945</v>
      </c>
      <c r="T1432" s="2" t="s">
        <v>5915</v>
      </c>
    </row>
    <row r="1433" spans="1:20" hidden="1" x14ac:dyDescent="0.35">
      <c r="A1433" s="432"/>
      <c r="B1433" s="442" t="s">
        <v>1779</v>
      </c>
      <c r="C1433" s="443">
        <v>45062</v>
      </c>
      <c r="D1433" s="443">
        <v>45062</v>
      </c>
      <c r="E1433" s="443" t="s">
        <v>1946</v>
      </c>
      <c r="F1433" s="453" t="s">
        <v>4970</v>
      </c>
      <c r="G1433" s="438" t="s">
        <v>4840</v>
      </c>
      <c r="H1433" s="438" t="s">
        <v>4757</v>
      </c>
      <c r="I1433" s="362">
        <v>2836.0675000000001</v>
      </c>
      <c r="J1433" s="362">
        <v>261.06100000000004</v>
      </c>
      <c r="K1433" s="362">
        <v>261.06100000000004</v>
      </c>
      <c r="L1433" s="362">
        <v>52.21220000000001</v>
      </c>
      <c r="M1433" s="362" t="s">
        <v>6171</v>
      </c>
      <c r="N1433" s="432" t="s">
        <v>3785</v>
      </c>
      <c r="O1433" s="433" t="s">
        <v>4120</v>
      </c>
      <c r="P1433" s="430" t="s">
        <v>3659</v>
      </c>
      <c r="Q1433" s="431">
        <v>0.2</v>
      </c>
      <c r="R1433" s="459" t="s">
        <v>4971</v>
      </c>
      <c r="S1433" s="444" t="s">
        <v>1947</v>
      </c>
      <c r="T1433" s="2" t="s">
        <v>5915</v>
      </c>
    </row>
    <row r="1434" spans="1:20" hidden="1" x14ac:dyDescent="0.35">
      <c r="A1434" s="432"/>
      <c r="B1434" s="442" t="s">
        <v>1779</v>
      </c>
      <c r="C1434" s="443">
        <v>45062</v>
      </c>
      <c r="D1434" s="443">
        <v>45062</v>
      </c>
      <c r="E1434" s="443" t="s">
        <v>1948</v>
      </c>
      <c r="F1434" s="453" t="s">
        <v>4970</v>
      </c>
      <c r="G1434" s="438" t="s">
        <v>4840</v>
      </c>
      <c r="H1434" s="438" t="s">
        <v>4757</v>
      </c>
      <c r="I1434" s="362">
        <v>2836.0675000000001</v>
      </c>
      <c r="J1434" s="362">
        <v>261.06100000000004</v>
      </c>
      <c r="K1434" s="362">
        <v>261.06100000000004</v>
      </c>
      <c r="L1434" s="362">
        <v>52.21220000000001</v>
      </c>
      <c r="M1434" s="362" t="s">
        <v>6171</v>
      </c>
      <c r="N1434" s="432" t="s">
        <v>3785</v>
      </c>
      <c r="O1434" s="433" t="s">
        <v>4120</v>
      </c>
      <c r="P1434" s="430" t="s">
        <v>3659</v>
      </c>
      <c r="Q1434" s="431">
        <v>0.2</v>
      </c>
      <c r="R1434" s="459" t="s">
        <v>4971</v>
      </c>
      <c r="S1434" s="444" t="s">
        <v>1949</v>
      </c>
      <c r="T1434" s="2" t="s">
        <v>5915</v>
      </c>
    </row>
    <row r="1435" spans="1:20" hidden="1" x14ac:dyDescent="0.35">
      <c r="A1435" s="432"/>
      <c r="B1435" s="442" t="s">
        <v>1779</v>
      </c>
      <c r="C1435" s="443">
        <v>45062</v>
      </c>
      <c r="D1435" s="443">
        <v>45062</v>
      </c>
      <c r="E1435" s="443" t="s">
        <v>1950</v>
      </c>
      <c r="F1435" s="453" t="s">
        <v>4970</v>
      </c>
      <c r="G1435" s="438" t="s">
        <v>4840</v>
      </c>
      <c r="H1435" s="438" t="s">
        <v>4757</v>
      </c>
      <c r="I1435" s="362">
        <v>2836.0675000000001</v>
      </c>
      <c r="J1435" s="362">
        <v>261.06100000000004</v>
      </c>
      <c r="K1435" s="362">
        <v>261.06100000000004</v>
      </c>
      <c r="L1435" s="362">
        <v>52.21220000000001</v>
      </c>
      <c r="M1435" s="362" t="s">
        <v>6171</v>
      </c>
      <c r="N1435" s="432" t="s">
        <v>3785</v>
      </c>
      <c r="O1435" s="433" t="s">
        <v>4120</v>
      </c>
      <c r="P1435" s="430" t="s">
        <v>3659</v>
      </c>
      <c r="Q1435" s="431">
        <v>0.2</v>
      </c>
      <c r="R1435" s="459" t="s">
        <v>4971</v>
      </c>
      <c r="S1435" s="444" t="s">
        <v>630</v>
      </c>
      <c r="T1435" s="2" t="s">
        <v>5915</v>
      </c>
    </row>
    <row r="1436" spans="1:20" hidden="1" x14ac:dyDescent="0.35">
      <c r="A1436" s="432"/>
      <c r="B1436" s="442" t="s">
        <v>1779</v>
      </c>
      <c r="C1436" s="443">
        <v>45062</v>
      </c>
      <c r="D1436" s="443">
        <v>45062</v>
      </c>
      <c r="E1436" s="443" t="s">
        <v>1951</v>
      </c>
      <c r="F1436" s="453" t="s">
        <v>4970</v>
      </c>
      <c r="G1436" s="438" t="s">
        <v>4840</v>
      </c>
      <c r="H1436" s="438" t="s">
        <v>4757</v>
      </c>
      <c r="I1436" s="362">
        <v>2836.0675000000001</v>
      </c>
      <c r="J1436" s="362">
        <v>261.06100000000004</v>
      </c>
      <c r="K1436" s="362">
        <v>261.06100000000004</v>
      </c>
      <c r="L1436" s="362">
        <v>52.21220000000001</v>
      </c>
      <c r="M1436" s="362" t="s">
        <v>6171</v>
      </c>
      <c r="N1436" s="432" t="s">
        <v>3785</v>
      </c>
      <c r="O1436" s="433" t="s">
        <v>4120</v>
      </c>
      <c r="P1436" s="430" t="s">
        <v>3659</v>
      </c>
      <c r="Q1436" s="431">
        <v>0.2</v>
      </c>
      <c r="R1436" s="459" t="s">
        <v>4971</v>
      </c>
      <c r="S1436" s="444" t="s">
        <v>421</v>
      </c>
      <c r="T1436" s="2" t="s">
        <v>5915</v>
      </c>
    </row>
    <row r="1437" spans="1:20" hidden="1" x14ac:dyDescent="0.35">
      <c r="A1437" s="432"/>
      <c r="B1437" s="442" t="s">
        <v>1779</v>
      </c>
      <c r="C1437" s="443">
        <v>45062</v>
      </c>
      <c r="D1437" s="443">
        <v>45062</v>
      </c>
      <c r="E1437" s="443" t="s">
        <v>1952</v>
      </c>
      <c r="F1437" s="453" t="s">
        <v>4970</v>
      </c>
      <c r="G1437" s="438" t="s">
        <v>4840</v>
      </c>
      <c r="H1437" s="438" t="s">
        <v>4757</v>
      </c>
      <c r="I1437" s="362">
        <v>2836.0675000000001</v>
      </c>
      <c r="J1437" s="362">
        <v>261.06100000000004</v>
      </c>
      <c r="K1437" s="362">
        <v>261.06100000000004</v>
      </c>
      <c r="L1437" s="362">
        <v>52.21220000000001</v>
      </c>
      <c r="M1437" s="362" t="s">
        <v>6171</v>
      </c>
      <c r="N1437" s="432" t="s">
        <v>3785</v>
      </c>
      <c r="O1437" s="433" t="s">
        <v>4120</v>
      </c>
      <c r="P1437" s="430" t="s">
        <v>3659</v>
      </c>
      <c r="Q1437" s="431">
        <v>0.2</v>
      </c>
      <c r="R1437" s="459" t="s">
        <v>4971</v>
      </c>
      <c r="S1437" s="444" t="s">
        <v>1164</v>
      </c>
      <c r="T1437" s="2" t="s">
        <v>5915</v>
      </c>
    </row>
    <row r="1438" spans="1:20" hidden="1" x14ac:dyDescent="0.35">
      <c r="A1438" s="432"/>
      <c r="B1438" s="442" t="s">
        <v>1779</v>
      </c>
      <c r="C1438" s="443">
        <v>45062</v>
      </c>
      <c r="D1438" s="443">
        <v>45062</v>
      </c>
      <c r="E1438" s="443" t="s">
        <v>1953</v>
      </c>
      <c r="F1438" s="453" t="s">
        <v>4970</v>
      </c>
      <c r="G1438" s="438" t="s">
        <v>4840</v>
      </c>
      <c r="H1438" s="438" t="s">
        <v>4757</v>
      </c>
      <c r="I1438" s="362">
        <v>2836.0675000000001</v>
      </c>
      <c r="J1438" s="362">
        <v>261.06100000000004</v>
      </c>
      <c r="K1438" s="362">
        <v>261.06100000000004</v>
      </c>
      <c r="L1438" s="362">
        <v>52.21220000000001</v>
      </c>
      <c r="M1438" s="362" t="s">
        <v>6171</v>
      </c>
      <c r="N1438" s="432" t="s">
        <v>3785</v>
      </c>
      <c r="O1438" s="433" t="s">
        <v>4120</v>
      </c>
      <c r="P1438" s="430" t="s">
        <v>3659</v>
      </c>
      <c r="Q1438" s="431">
        <v>0.2</v>
      </c>
      <c r="R1438" s="459" t="s">
        <v>4971</v>
      </c>
      <c r="S1438" s="444" t="s">
        <v>752</v>
      </c>
      <c r="T1438" s="2" t="s">
        <v>5915</v>
      </c>
    </row>
    <row r="1439" spans="1:20" hidden="1" x14ac:dyDescent="0.35">
      <c r="A1439" s="432"/>
      <c r="B1439" s="442" t="s">
        <v>1779</v>
      </c>
      <c r="C1439" s="443">
        <v>45062</v>
      </c>
      <c r="D1439" s="443">
        <v>45062</v>
      </c>
      <c r="E1439" s="443" t="s">
        <v>1954</v>
      </c>
      <c r="F1439" s="453" t="s">
        <v>4970</v>
      </c>
      <c r="G1439" s="438" t="s">
        <v>4840</v>
      </c>
      <c r="H1439" s="438" t="s">
        <v>4757</v>
      </c>
      <c r="I1439" s="362">
        <v>2836.0675000000001</v>
      </c>
      <c r="J1439" s="362">
        <v>261.06100000000004</v>
      </c>
      <c r="K1439" s="362">
        <v>261.06100000000004</v>
      </c>
      <c r="L1439" s="362">
        <v>52.21220000000001</v>
      </c>
      <c r="M1439" s="362" t="s">
        <v>6171</v>
      </c>
      <c r="N1439" s="432" t="s">
        <v>3785</v>
      </c>
      <c r="O1439" s="433" t="s">
        <v>4120</v>
      </c>
      <c r="P1439" s="430" t="s">
        <v>3659</v>
      </c>
      <c r="Q1439" s="431">
        <v>0.2</v>
      </c>
      <c r="R1439" s="459" t="s">
        <v>4971</v>
      </c>
      <c r="S1439" s="444" t="s">
        <v>756</v>
      </c>
      <c r="T1439" s="2" t="s">
        <v>5915</v>
      </c>
    </row>
    <row r="1440" spans="1:20" hidden="1" x14ac:dyDescent="0.35">
      <c r="A1440" s="432"/>
      <c r="B1440" s="442" t="s">
        <v>1779</v>
      </c>
      <c r="C1440" s="443">
        <v>45062</v>
      </c>
      <c r="D1440" s="443">
        <v>45062</v>
      </c>
      <c r="E1440" s="443" t="s">
        <v>1955</v>
      </c>
      <c r="F1440" s="453" t="s">
        <v>4970</v>
      </c>
      <c r="G1440" s="438" t="s">
        <v>4840</v>
      </c>
      <c r="H1440" s="438" t="s">
        <v>4757</v>
      </c>
      <c r="I1440" s="362">
        <v>2836.0675000000001</v>
      </c>
      <c r="J1440" s="362">
        <v>261.06100000000004</v>
      </c>
      <c r="K1440" s="362">
        <v>261.06100000000004</v>
      </c>
      <c r="L1440" s="362">
        <v>52.21220000000001</v>
      </c>
      <c r="M1440" s="362" t="s">
        <v>6171</v>
      </c>
      <c r="N1440" s="432" t="s">
        <v>3785</v>
      </c>
      <c r="O1440" s="433" t="s">
        <v>4120</v>
      </c>
      <c r="P1440" s="430" t="s">
        <v>3659</v>
      </c>
      <c r="Q1440" s="431">
        <v>0.2</v>
      </c>
      <c r="R1440" s="459" t="s">
        <v>4971</v>
      </c>
      <c r="S1440" s="444" t="s">
        <v>765</v>
      </c>
      <c r="T1440" s="2" t="s">
        <v>5915</v>
      </c>
    </row>
    <row r="1441" spans="1:20" hidden="1" x14ac:dyDescent="0.35">
      <c r="A1441" s="432"/>
      <c r="B1441" s="442" t="s">
        <v>1779</v>
      </c>
      <c r="C1441" s="443">
        <v>45062</v>
      </c>
      <c r="D1441" s="443">
        <v>45062</v>
      </c>
      <c r="E1441" s="443" t="s">
        <v>1956</v>
      </c>
      <c r="F1441" s="453" t="s">
        <v>4970</v>
      </c>
      <c r="G1441" s="438" t="s">
        <v>4840</v>
      </c>
      <c r="H1441" s="438" t="s">
        <v>4757</v>
      </c>
      <c r="I1441" s="362">
        <v>2836.0675000000001</v>
      </c>
      <c r="J1441" s="362">
        <v>261.06100000000004</v>
      </c>
      <c r="K1441" s="362">
        <v>261.06100000000004</v>
      </c>
      <c r="L1441" s="362">
        <v>52.21220000000001</v>
      </c>
      <c r="M1441" s="362" t="s">
        <v>6171</v>
      </c>
      <c r="N1441" s="432" t="s">
        <v>3785</v>
      </c>
      <c r="O1441" s="433" t="s">
        <v>4120</v>
      </c>
      <c r="P1441" s="430" t="s">
        <v>3659</v>
      </c>
      <c r="Q1441" s="431">
        <v>0.2</v>
      </c>
      <c r="R1441" s="459" t="s">
        <v>4971</v>
      </c>
      <c r="S1441" s="444" t="s">
        <v>394</v>
      </c>
      <c r="T1441" s="2" t="s">
        <v>5915</v>
      </c>
    </row>
    <row r="1442" spans="1:20" hidden="1" x14ac:dyDescent="0.35">
      <c r="A1442" s="432"/>
      <c r="B1442" s="442" t="s">
        <v>1779</v>
      </c>
      <c r="C1442" s="443">
        <v>45062</v>
      </c>
      <c r="D1442" s="443">
        <v>45062</v>
      </c>
      <c r="E1442" s="443" t="s">
        <v>1957</v>
      </c>
      <c r="F1442" s="453" t="s">
        <v>4970</v>
      </c>
      <c r="G1442" s="438" t="s">
        <v>4840</v>
      </c>
      <c r="H1442" s="438" t="s">
        <v>4757</v>
      </c>
      <c r="I1442" s="362">
        <v>2836.0675000000001</v>
      </c>
      <c r="J1442" s="362">
        <v>261.06100000000004</v>
      </c>
      <c r="K1442" s="362">
        <v>261.06100000000004</v>
      </c>
      <c r="L1442" s="362">
        <v>52.21220000000001</v>
      </c>
      <c r="M1442" s="362" t="s">
        <v>6171</v>
      </c>
      <c r="N1442" s="432" t="s">
        <v>3785</v>
      </c>
      <c r="O1442" s="433" t="s">
        <v>4120</v>
      </c>
      <c r="P1442" s="430" t="s">
        <v>3659</v>
      </c>
      <c r="Q1442" s="431">
        <v>0.2</v>
      </c>
      <c r="R1442" s="459" t="s">
        <v>4971</v>
      </c>
      <c r="S1442" s="444" t="s">
        <v>938</v>
      </c>
      <c r="T1442" s="2" t="s">
        <v>5915</v>
      </c>
    </row>
    <row r="1443" spans="1:20" hidden="1" x14ac:dyDescent="0.35">
      <c r="A1443" s="432"/>
      <c r="B1443" s="442" t="s">
        <v>1779</v>
      </c>
      <c r="C1443" s="443">
        <v>45062</v>
      </c>
      <c r="D1443" s="443">
        <v>45062</v>
      </c>
      <c r="E1443" s="443" t="s">
        <v>1958</v>
      </c>
      <c r="F1443" s="453" t="s">
        <v>4970</v>
      </c>
      <c r="G1443" s="438" t="s">
        <v>4840</v>
      </c>
      <c r="H1443" s="438" t="s">
        <v>4757</v>
      </c>
      <c r="I1443" s="362">
        <v>2836.0675000000001</v>
      </c>
      <c r="J1443" s="362">
        <v>261.06100000000004</v>
      </c>
      <c r="K1443" s="362">
        <v>261.06100000000004</v>
      </c>
      <c r="L1443" s="362">
        <v>52.21220000000001</v>
      </c>
      <c r="M1443" s="362" t="s">
        <v>6171</v>
      </c>
      <c r="N1443" s="432" t="s">
        <v>3785</v>
      </c>
      <c r="O1443" s="433" t="s">
        <v>4120</v>
      </c>
      <c r="P1443" s="430" t="s">
        <v>3659</v>
      </c>
      <c r="Q1443" s="431">
        <v>0.2</v>
      </c>
      <c r="R1443" s="459" t="s">
        <v>4971</v>
      </c>
      <c r="S1443" s="444" t="s">
        <v>683</v>
      </c>
      <c r="T1443" s="2" t="s">
        <v>5915</v>
      </c>
    </row>
    <row r="1444" spans="1:20" hidden="1" x14ac:dyDescent="0.35">
      <c r="A1444" s="432"/>
      <c r="B1444" s="442" t="s">
        <v>1779</v>
      </c>
      <c r="C1444" s="443">
        <v>45062</v>
      </c>
      <c r="D1444" s="443">
        <v>45062</v>
      </c>
      <c r="E1444" s="443" t="s">
        <v>1959</v>
      </c>
      <c r="F1444" s="453" t="s">
        <v>4970</v>
      </c>
      <c r="G1444" s="438" t="s">
        <v>4840</v>
      </c>
      <c r="H1444" s="438" t="s">
        <v>4757</v>
      </c>
      <c r="I1444" s="362">
        <v>2836.0675000000001</v>
      </c>
      <c r="J1444" s="362">
        <v>261.06100000000004</v>
      </c>
      <c r="K1444" s="362">
        <v>261.06100000000004</v>
      </c>
      <c r="L1444" s="362">
        <v>52.21220000000001</v>
      </c>
      <c r="M1444" s="362" t="s">
        <v>6171</v>
      </c>
      <c r="N1444" s="432" t="s">
        <v>3785</v>
      </c>
      <c r="O1444" s="433" t="s">
        <v>4120</v>
      </c>
      <c r="P1444" s="430" t="s">
        <v>3659</v>
      </c>
      <c r="Q1444" s="431">
        <v>0.2</v>
      </c>
      <c r="R1444" s="459" t="s">
        <v>4971</v>
      </c>
      <c r="S1444" s="444" t="s">
        <v>1960</v>
      </c>
      <c r="T1444" s="2" t="s">
        <v>5915</v>
      </c>
    </row>
    <row r="1445" spans="1:20" hidden="1" x14ac:dyDescent="0.35">
      <c r="A1445" s="432"/>
      <c r="B1445" s="442" t="s">
        <v>1779</v>
      </c>
      <c r="C1445" s="443">
        <v>45062</v>
      </c>
      <c r="D1445" s="443">
        <v>45062</v>
      </c>
      <c r="E1445" s="443" t="s">
        <v>1961</v>
      </c>
      <c r="F1445" s="453" t="s">
        <v>4970</v>
      </c>
      <c r="G1445" s="438" t="s">
        <v>4840</v>
      </c>
      <c r="H1445" s="438" t="s">
        <v>4757</v>
      </c>
      <c r="I1445" s="362">
        <v>2836.0675000000001</v>
      </c>
      <c r="J1445" s="362">
        <v>261.06100000000004</v>
      </c>
      <c r="K1445" s="362">
        <v>261.06100000000004</v>
      </c>
      <c r="L1445" s="362">
        <v>52.21220000000001</v>
      </c>
      <c r="M1445" s="362" t="s">
        <v>6171</v>
      </c>
      <c r="N1445" s="432" t="s">
        <v>3785</v>
      </c>
      <c r="O1445" s="433" t="s">
        <v>4120</v>
      </c>
      <c r="P1445" s="430" t="s">
        <v>3659</v>
      </c>
      <c r="Q1445" s="431">
        <v>0.2</v>
      </c>
      <c r="R1445" s="459" t="s">
        <v>4971</v>
      </c>
      <c r="S1445" s="444" t="s">
        <v>927</v>
      </c>
      <c r="T1445" s="2" t="s">
        <v>5915</v>
      </c>
    </row>
    <row r="1446" spans="1:20" hidden="1" x14ac:dyDescent="0.35">
      <c r="A1446" s="432"/>
      <c r="B1446" s="442" t="s">
        <v>1779</v>
      </c>
      <c r="C1446" s="443">
        <v>45062</v>
      </c>
      <c r="D1446" s="443">
        <v>45062</v>
      </c>
      <c r="E1446" s="443" t="s">
        <v>1962</v>
      </c>
      <c r="F1446" s="453" t="s">
        <v>4970</v>
      </c>
      <c r="G1446" s="438" t="s">
        <v>4840</v>
      </c>
      <c r="H1446" s="438" t="s">
        <v>4757</v>
      </c>
      <c r="I1446" s="362">
        <v>2836.0675000000001</v>
      </c>
      <c r="J1446" s="362">
        <v>261.06100000000004</v>
      </c>
      <c r="K1446" s="362">
        <v>261.06100000000004</v>
      </c>
      <c r="L1446" s="362">
        <v>52.21220000000001</v>
      </c>
      <c r="M1446" s="362" t="s">
        <v>6171</v>
      </c>
      <c r="N1446" s="432" t="s">
        <v>3785</v>
      </c>
      <c r="O1446" s="433" t="s">
        <v>4120</v>
      </c>
      <c r="P1446" s="430" t="s">
        <v>3659</v>
      </c>
      <c r="Q1446" s="431">
        <v>0.2</v>
      </c>
      <c r="R1446" s="459" t="s">
        <v>4971</v>
      </c>
      <c r="S1446" s="444" t="s">
        <v>712</v>
      </c>
      <c r="T1446" s="2" t="s">
        <v>5915</v>
      </c>
    </row>
    <row r="1447" spans="1:20" hidden="1" x14ac:dyDescent="0.35">
      <c r="A1447" s="432"/>
      <c r="B1447" s="442" t="s">
        <v>1779</v>
      </c>
      <c r="C1447" s="443">
        <v>45062</v>
      </c>
      <c r="D1447" s="443">
        <v>45062</v>
      </c>
      <c r="E1447" s="443" t="s">
        <v>1963</v>
      </c>
      <c r="F1447" s="453" t="s">
        <v>4970</v>
      </c>
      <c r="G1447" s="438" t="s">
        <v>4840</v>
      </c>
      <c r="H1447" s="438" t="s">
        <v>4757</v>
      </c>
      <c r="I1447" s="362">
        <v>2836.0675000000001</v>
      </c>
      <c r="J1447" s="362">
        <v>261.06100000000004</v>
      </c>
      <c r="K1447" s="362">
        <v>261.06100000000004</v>
      </c>
      <c r="L1447" s="362">
        <v>52.21220000000001</v>
      </c>
      <c r="M1447" s="362" t="s">
        <v>6171</v>
      </c>
      <c r="N1447" s="432" t="s">
        <v>3785</v>
      </c>
      <c r="O1447" s="433" t="s">
        <v>4120</v>
      </c>
      <c r="P1447" s="430" t="s">
        <v>3659</v>
      </c>
      <c r="Q1447" s="431">
        <v>0.2</v>
      </c>
      <c r="R1447" s="459" t="s">
        <v>4971</v>
      </c>
      <c r="S1447" s="444" t="s">
        <v>935</v>
      </c>
      <c r="T1447" s="2" t="s">
        <v>5915</v>
      </c>
    </row>
    <row r="1448" spans="1:20" hidden="1" x14ac:dyDescent="0.35">
      <c r="A1448" s="432"/>
      <c r="B1448" s="442" t="s">
        <v>1779</v>
      </c>
      <c r="C1448" s="443">
        <v>45062</v>
      </c>
      <c r="D1448" s="443">
        <v>45062</v>
      </c>
      <c r="E1448" s="443" t="s">
        <v>1964</v>
      </c>
      <c r="F1448" s="453" t="s">
        <v>4970</v>
      </c>
      <c r="G1448" s="438" t="s">
        <v>4840</v>
      </c>
      <c r="H1448" s="438" t="s">
        <v>4757</v>
      </c>
      <c r="I1448" s="362">
        <v>2836.0675000000001</v>
      </c>
      <c r="J1448" s="362">
        <v>261.06100000000004</v>
      </c>
      <c r="K1448" s="362">
        <v>261.06100000000004</v>
      </c>
      <c r="L1448" s="362">
        <v>52.21220000000001</v>
      </c>
      <c r="M1448" s="362" t="s">
        <v>6171</v>
      </c>
      <c r="N1448" s="432" t="s">
        <v>3785</v>
      </c>
      <c r="O1448" s="433" t="s">
        <v>4120</v>
      </c>
      <c r="P1448" s="430" t="s">
        <v>3659</v>
      </c>
      <c r="Q1448" s="431">
        <v>0.2</v>
      </c>
      <c r="R1448" s="459" t="s">
        <v>4971</v>
      </c>
      <c r="S1448" s="444" t="s">
        <v>465</v>
      </c>
      <c r="T1448" s="2" t="s">
        <v>5915</v>
      </c>
    </row>
    <row r="1449" spans="1:20" hidden="1" x14ac:dyDescent="0.35">
      <c r="A1449" s="432"/>
      <c r="B1449" s="442" t="s">
        <v>1779</v>
      </c>
      <c r="C1449" s="443">
        <v>45062</v>
      </c>
      <c r="D1449" s="443">
        <v>45062</v>
      </c>
      <c r="E1449" s="443" t="s">
        <v>3477</v>
      </c>
      <c r="F1449" s="453" t="s">
        <v>4970</v>
      </c>
      <c r="G1449" s="438" t="s">
        <v>4840</v>
      </c>
      <c r="H1449" s="438" t="s">
        <v>4757</v>
      </c>
      <c r="I1449" s="362">
        <v>2836.0675000000001</v>
      </c>
      <c r="J1449" s="362">
        <v>261.06100000000004</v>
      </c>
      <c r="K1449" s="362">
        <v>261.06100000000004</v>
      </c>
      <c r="L1449" s="362">
        <v>52.21220000000001</v>
      </c>
      <c r="M1449" s="362" t="s">
        <v>6171</v>
      </c>
      <c r="N1449" s="432" t="s">
        <v>3785</v>
      </c>
      <c r="O1449" s="433" t="s">
        <v>4120</v>
      </c>
      <c r="P1449" s="430" t="s">
        <v>3659</v>
      </c>
      <c r="Q1449" s="431">
        <v>0.2</v>
      </c>
      <c r="R1449" s="459" t="s">
        <v>4971</v>
      </c>
      <c r="S1449" s="444" t="s">
        <v>1965</v>
      </c>
      <c r="T1449" s="2" t="s">
        <v>5915</v>
      </c>
    </row>
    <row r="1450" spans="1:20" hidden="1" x14ac:dyDescent="0.35">
      <c r="A1450" s="432"/>
      <c r="B1450" s="442" t="s">
        <v>1779</v>
      </c>
      <c r="C1450" s="443">
        <v>45062</v>
      </c>
      <c r="D1450" s="443">
        <v>45062</v>
      </c>
      <c r="E1450" s="443" t="s">
        <v>1966</v>
      </c>
      <c r="F1450" s="453" t="s">
        <v>4970</v>
      </c>
      <c r="G1450" s="438" t="s">
        <v>4840</v>
      </c>
      <c r="H1450" s="438" t="s">
        <v>4757</v>
      </c>
      <c r="I1450" s="362">
        <v>2836.0675000000001</v>
      </c>
      <c r="J1450" s="362">
        <v>261.06100000000004</v>
      </c>
      <c r="K1450" s="362">
        <v>261.06100000000004</v>
      </c>
      <c r="L1450" s="362">
        <v>52.21220000000001</v>
      </c>
      <c r="M1450" s="362" t="s">
        <v>6171</v>
      </c>
      <c r="N1450" s="432" t="s">
        <v>3785</v>
      </c>
      <c r="O1450" s="433" t="s">
        <v>4120</v>
      </c>
      <c r="P1450" s="430" t="s">
        <v>3659</v>
      </c>
      <c r="Q1450" s="431">
        <v>0.2</v>
      </c>
      <c r="R1450" s="459" t="s">
        <v>4971</v>
      </c>
      <c r="S1450" s="444" t="s">
        <v>1967</v>
      </c>
      <c r="T1450" s="2" t="s">
        <v>5915</v>
      </c>
    </row>
    <row r="1451" spans="1:20" hidden="1" x14ac:dyDescent="0.35">
      <c r="A1451" s="432"/>
      <c r="B1451" s="442" t="s">
        <v>1779</v>
      </c>
      <c r="C1451" s="443">
        <v>45062</v>
      </c>
      <c r="D1451" s="443">
        <v>45062</v>
      </c>
      <c r="E1451" s="443" t="s">
        <v>1968</v>
      </c>
      <c r="F1451" s="453" t="s">
        <v>4970</v>
      </c>
      <c r="G1451" s="438" t="s">
        <v>4840</v>
      </c>
      <c r="H1451" s="438" t="s">
        <v>4757</v>
      </c>
      <c r="I1451" s="362">
        <v>2836.0675000000001</v>
      </c>
      <c r="J1451" s="362">
        <v>261.06100000000004</v>
      </c>
      <c r="K1451" s="362">
        <v>261.06100000000004</v>
      </c>
      <c r="L1451" s="362">
        <v>52.21220000000001</v>
      </c>
      <c r="M1451" s="362" t="s">
        <v>6171</v>
      </c>
      <c r="N1451" s="432" t="s">
        <v>3785</v>
      </c>
      <c r="O1451" s="433" t="s">
        <v>4120</v>
      </c>
      <c r="P1451" s="430" t="s">
        <v>3659</v>
      </c>
      <c r="Q1451" s="431">
        <v>0.2</v>
      </c>
      <c r="R1451" s="459" t="s">
        <v>4971</v>
      </c>
      <c r="S1451" s="444" t="s">
        <v>6282</v>
      </c>
      <c r="T1451" s="2" t="s">
        <v>5915</v>
      </c>
    </row>
    <row r="1452" spans="1:20" hidden="1" x14ac:dyDescent="0.35">
      <c r="A1452" s="432"/>
      <c r="B1452" s="442" t="s">
        <v>1779</v>
      </c>
      <c r="C1452" s="443">
        <v>45062</v>
      </c>
      <c r="D1452" s="443">
        <v>45062</v>
      </c>
      <c r="E1452" s="443" t="s">
        <v>1969</v>
      </c>
      <c r="F1452" s="453" t="s">
        <v>4970</v>
      </c>
      <c r="G1452" s="438" t="s">
        <v>4840</v>
      </c>
      <c r="H1452" s="438" t="s">
        <v>4757</v>
      </c>
      <c r="I1452" s="362">
        <v>2836.0675000000001</v>
      </c>
      <c r="J1452" s="362">
        <v>261.06100000000004</v>
      </c>
      <c r="K1452" s="362">
        <v>261.06100000000004</v>
      </c>
      <c r="L1452" s="362">
        <v>52.21220000000001</v>
      </c>
      <c r="M1452" s="362" t="s">
        <v>6171</v>
      </c>
      <c r="N1452" s="432" t="s">
        <v>3785</v>
      </c>
      <c r="O1452" s="433" t="s">
        <v>4120</v>
      </c>
      <c r="P1452" s="430" t="s">
        <v>3659</v>
      </c>
      <c r="Q1452" s="431">
        <v>0.2</v>
      </c>
      <c r="R1452" s="459" t="s">
        <v>4971</v>
      </c>
      <c r="S1452" s="444" t="s">
        <v>509</v>
      </c>
      <c r="T1452" s="2" t="s">
        <v>5915</v>
      </c>
    </row>
    <row r="1453" spans="1:20" hidden="1" x14ac:dyDescent="0.35">
      <c r="A1453" s="432"/>
      <c r="B1453" s="442" t="s">
        <v>1779</v>
      </c>
      <c r="C1453" s="443">
        <v>45062</v>
      </c>
      <c r="D1453" s="443">
        <v>45062</v>
      </c>
      <c r="E1453" s="443" t="s">
        <v>1970</v>
      </c>
      <c r="F1453" s="453" t="s">
        <v>4970</v>
      </c>
      <c r="G1453" s="438" t="s">
        <v>4840</v>
      </c>
      <c r="H1453" s="438" t="s">
        <v>4757</v>
      </c>
      <c r="I1453" s="362">
        <v>2836.0675000000001</v>
      </c>
      <c r="J1453" s="362">
        <v>261.06100000000004</v>
      </c>
      <c r="K1453" s="362">
        <v>261.06100000000004</v>
      </c>
      <c r="L1453" s="362">
        <v>52.21220000000001</v>
      </c>
      <c r="M1453" s="362" t="s">
        <v>6171</v>
      </c>
      <c r="N1453" s="432" t="s">
        <v>3785</v>
      </c>
      <c r="O1453" s="433" t="s">
        <v>4120</v>
      </c>
      <c r="P1453" s="430" t="s">
        <v>3659</v>
      </c>
      <c r="Q1453" s="431">
        <v>0.2</v>
      </c>
      <c r="R1453" s="459" t="s">
        <v>4971</v>
      </c>
      <c r="S1453" s="444" t="s">
        <v>6211</v>
      </c>
      <c r="T1453" s="2" t="s">
        <v>5915</v>
      </c>
    </row>
    <row r="1454" spans="1:20" hidden="1" x14ac:dyDescent="0.35">
      <c r="A1454" s="432" t="s">
        <v>4973</v>
      </c>
      <c r="B1454" s="442" t="s">
        <v>1779</v>
      </c>
      <c r="C1454" s="443" t="s">
        <v>4974</v>
      </c>
      <c r="D1454" s="443" t="s">
        <v>4974</v>
      </c>
      <c r="E1454" s="443" t="s">
        <v>1780</v>
      </c>
      <c r="F1454" s="453">
        <v>2024300104</v>
      </c>
      <c r="G1454" s="453" t="s">
        <v>4840</v>
      </c>
      <c r="H1454" s="442" t="s">
        <v>4757</v>
      </c>
      <c r="I1454" s="362">
        <f>+J1454*13.04</f>
        <v>3404.2354400000004</v>
      </c>
      <c r="J1454" s="362">
        <f>20884.88/80</f>
        <v>261.06100000000004</v>
      </c>
      <c r="K1454" s="362">
        <v>261.06100000000004</v>
      </c>
      <c r="L1454" s="362">
        <f>+K1454*Q1454</f>
        <v>52.21220000000001</v>
      </c>
      <c r="M1454" s="362" t="s">
        <v>6171</v>
      </c>
      <c r="N1454" s="432" t="s">
        <v>3785</v>
      </c>
      <c r="O1454" s="433" t="s">
        <v>4120</v>
      </c>
      <c r="P1454" s="430" t="s">
        <v>3659</v>
      </c>
      <c r="Q1454" s="431">
        <v>0.2</v>
      </c>
      <c r="R1454" s="433">
        <v>1900001630</v>
      </c>
      <c r="S1454" s="444" t="s">
        <v>542</v>
      </c>
      <c r="T1454" s="2" t="s">
        <v>5915</v>
      </c>
    </row>
    <row r="1455" spans="1:20" hidden="1" x14ac:dyDescent="0.35">
      <c r="A1455" s="432" t="s">
        <v>4975</v>
      </c>
      <c r="B1455" s="442" t="s">
        <v>1779</v>
      </c>
      <c r="C1455" s="443" t="s">
        <v>4974</v>
      </c>
      <c r="D1455" s="443" t="s">
        <v>4974</v>
      </c>
      <c r="E1455" s="443" t="s">
        <v>1781</v>
      </c>
      <c r="F1455" s="453">
        <v>2024300104</v>
      </c>
      <c r="G1455" s="453" t="s">
        <v>4840</v>
      </c>
      <c r="H1455" s="442" t="s">
        <v>4757</v>
      </c>
      <c r="I1455" s="362">
        <v>3404.2354400000004</v>
      </c>
      <c r="J1455" s="362">
        <f t="shared" ref="J1455:J1518" si="110">20884.88/80</f>
        <v>261.06100000000004</v>
      </c>
      <c r="K1455" s="362">
        <v>261.06100000000004</v>
      </c>
      <c r="L1455" s="362">
        <f t="shared" ref="L1455:L1518" si="111">+K1455*Q1455</f>
        <v>52.21220000000001</v>
      </c>
      <c r="M1455" s="362" t="s">
        <v>6171</v>
      </c>
      <c r="N1455" s="432" t="s">
        <v>3785</v>
      </c>
      <c r="O1455" s="433" t="s">
        <v>4120</v>
      </c>
      <c r="P1455" s="430" t="s">
        <v>3659</v>
      </c>
      <c r="Q1455" s="431">
        <v>0.2</v>
      </c>
      <c r="R1455" s="433">
        <v>1900001630</v>
      </c>
      <c r="S1455" s="444" t="s">
        <v>1094</v>
      </c>
      <c r="T1455" s="2" t="s">
        <v>5915</v>
      </c>
    </row>
    <row r="1456" spans="1:20" hidden="1" x14ac:dyDescent="0.35">
      <c r="A1456" s="432" t="s">
        <v>4976</v>
      </c>
      <c r="B1456" s="442" t="s">
        <v>1779</v>
      </c>
      <c r="C1456" s="443" t="s">
        <v>4974</v>
      </c>
      <c r="D1456" s="443" t="s">
        <v>4974</v>
      </c>
      <c r="E1456" s="443" t="s">
        <v>1782</v>
      </c>
      <c r="F1456" s="453">
        <v>2024300104</v>
      </c>
      <c r="G1456" s="453" t="s">
        <v>4840</v>
      </c>
      <c r="H1456" s="442" t="s">
        <v>4757</v>
      </c>
      <c r="I1456" s="362">
        <v>3404.2354400000004</v>
      </c>
      <c r="J1456" s="362">
        <f t="shared" si="110"/>
        <v>261.06100000000004</v>
      </c>
      <c r="K1456" s="362">
        <v>261.06100000000004</v>
      </c>
      <c r="L1456" s="362">
        <f t="shared" si="111"/>
        <v>52.21220000000001</v>
      </c>
      <c r="M1456" s="362" t="s">
        <v>6171</v>
      </c>
      <c r="N1456" s="432" t="s">
        <v>3785</v>
      </c>
      <c r="O1456" s="433" t="s">
        <v>4120</v>
      </c>
      <c r="P1456" s="430" t="s">
        <v>3659</v>
      </c>
      <c r="Q1456" s="431">
        <v>0.2</v>
      </c>
      <c r="R1456" s="433">
        <v>1900001630</v>
      </c>
      <c r="S1456" s="444" t="s">
        <v>648</v>
      </c>
      <c r="T1456" s="2" t="s">
        <v>5915</v>
      </c>
    </row>
    <row r="1457" spans="1:20" hidden="1" x14ac:dyDescent="0.35">
      <c r="A1457" s="432" t="s">
        <v>4977</v>
      </c>
      <c r="B1457" s="442" t="s">
        <v>1779</v>
      </c>
      <c r="C1457" s="443" t="s">
        <v>4974</v>
      </c>
      <c r="D1457" s="443" t="s">
        <v>4974</v>
      </c>
      <c r="E1457" s="443" t="s">
        <v>1783</v>
      </c>
      <c r="F1457" s="453">
        <v>2024300104</v>
      </c>
      <c r="G1457" s="453" t="s">
        <v>4840</v>
      </c>
      <c r="H1457" s="442" t="s">
        <v>4757</v>
      </c>
      <c r="I1457" s="362">
        <v>3404.2354400000004</v>
      </c>
      <c r="J1457" s="362">
        <f t="shared" si="110"/>
        <v>261.06100000000004</v>
      </c>
      <c r="K1457" s="362">
        <v>261.06100000000004</v>
      </c>
      <c r="L1457" s="362">
        <f t="shared" si="111"/>
        <v>52.21220000000001</v>
      </c>
      <c r="M1457" s="362" t="s">
        <v>6171</v>
      </c>
      <c r="N1457" s="432" t="s">
        <v>3785</v>
      </c>
      <c r="O1457" s="433" t="s">
        <v>4120</v>
      </c>
      <c r="P1457" s="430" t="s">
        <v>3659</v>
      </c>
      <c r="Q1457" s="431">
        <v>0.2</v>
      </c>
      <c r="R1457" s="433">
        <v>1900001630</v>
      </c>
      <c r="S1457" s="444" t="s">
        <v>691</v>
      </c>
      <c r="T1457" s="2" t="s">
        <v>5915</v>
      </c>
    </row>
    <row r="1458" spans="1:20" hidden="1" x14ac:dyDescent="0.35">
      <c r="A1458" s="432" t="s">
        <v>4978</v>
      </c>
      <c r="B1458" s="442" t="s">
        <v>1779</v>
      </c>
      <c r="C1458" s="443" t="s">
        <v>4974</v>
      </c>
      <c r="D1458" s="443" t="s">
        <v>4974</v>
      </c>
      <c r="E1458" s="443" t="s">
        <v>1784</v>
      </c>
      <c r="F1458" s="453">
        <v>2024300104</v>
      </c>
      <c r="G1458" s="453" t="s">
        <v>4840</v>
      </c>
      <c r="H1458" s="442" t="s">
        <v>4757</v>
      </c>
      <c r="I1458" s="362">
        <v>3404.2354400000004</v>
      </c>
      <c r="J1458" s="362">
        <f t="shared" si="110"/>
        <v>261.06100000000004</v>
      </c>
      <c r="K1458" s="362">
        <v>261.06100000000004</v>
      </c>
      <c r="L1458" s="362">
        <f t="shared" si="111"/>
        <v>52.21220000000001</v>
      </c>
      <c r="M1458" s="362" t="s">
        <v>6171</v>
      </c>
      <c r="N1458" s="432" t="s">
        <v>3785</v>
      </c>
      <c r="O1458" s="433" t="s">
        <v>4120</v>
      </c>
      <c r="P1458" s="430" t="s">
        <v>3659</v>
      </c>
      <c r="Q1458" s="431">
        <v>0.2</v>
      </c>
      <c r="R1458" s="433">
        <v>1900001630</v>
      </c>
      <c r="S1458" s="444" t="s">
        <v>768</v>
      </c>
      <c r="T1458" s="2" t="s">
        <v>5915</v>
      </c>
    </row>
    <row r="1459" spans="1:20" hidden="1" x14ac:dyDescent="0.35">
      <c r="A1459" s="432" t="s">
        <v>4979</v>
      </c>
      <c r="B1459" s="442" t="s">
        <v>1779</v>
      </c>
      <c r="C1459" s="443" t="s">
        <v>4974</v>
      </c>
      <c r="D1459" s="443" t="s">
        <v>4974</v>
      </c>
      <c r="E1459" s="443" t="s">
        <v>1785</v>
      </c>
      <c r="F1459" s="453">
        <v>2024300104</v>
      </c>
      <c r="G1459" s="453" t="s">
        <v>4840</v>
      </c>
      <c r="H1459" s="442" t="s">
        <v>4757</v>
      </c>
      <c r="I1459" s="362">
        <v>3404.2354400000004</v>
      </c>
      <c r="J1459" s="362">
        <f t="shared" si="110"/>
        <v>261.06100000000004</v>
      </c>
      <c r="K1459" s="362">
        <v>261.06100000000004</v>
      </c>
      <c r="L1459" s="362">
        <f t="shared" si="111"/>
        <v>52.21220000000001</v>
      </c>
      <c r="M1459" s="362" t="s">
        <v>6171</v>
      </c>
      <c r="N1459" s="432" t="s">
        <v>3785</v>
      </c>
      <c r="O1459" s="433" t="s">
        <v>4120</v>
      </c>
      <c r="P1459" s="430" t="s">
        <v>3659</v>
      </c>
      <c r="Q1459" s="431">
        <v>0.2</v>
      </c>
      <c r="R1459" s="433">
        <v>1900001630</v>
      </c>
      <c r="S1459" s="444" t="s">
        <v>1786</v>
      </c>
      <c r="T1459" s="2" t="s">
        <v>5915</v>
      </c>
    </row>
    <row r="1460" spans="1:20" hidden="1" x14ac:dyDescent="0.35">
      <c r="A1460" s="432" t="s">
        <v>4980</v>
      </c>
      <c r="B1460" s="442" t="s">
        <v>1779</v>
      </c>
      <c r="C1460" s="443" t="s">
        <v>4974</v>
      </c>
      <c r="D1460" s="443" t="s">
        <v>4974</v>
      </c>
      <c r="E1460" s="443" t="s">
        <v>1787</v>
      </c>
      <c r="F1460" s="453">
        <v>2024300104</v>
      </c>
      <c r="G1460" s="453" t="s">
        <v>4840</v>
      </c>
      <c r="H1460" s="442" t="s">
        <v>4757</v>
      </c>
      <c r="I1460" s="362">
        <v>3404.2354400000004</v>
      </c>
      <c r="J1460" s="362">
        <f t="shared" si="110"/>
        <v>261.06100000000004</v>
      </c>
      <c r="K1460" s="362">
        <v>261.06100000000004</v>
      </c>
      <c r="L1460" s="362">
        <f t="shared" si="111"/>
        <v>52.21220000000001</v>
      </c>
      <c r="M1460" s="362" t="s">
        <v>6171</v>
      </c>
      <c r="N1460" s="432" t="s">
        <v>3785</v>
      </c>
      <c r="O1460" s="433" t="s">
        <v>4120</v>
      </c>
      <c r="P1460" s="430" t="s">
        <v>3659</v>
      </c>
      <c r="Q1460" s="431">
        <v>0.2</v>
      </c>
      <c r="R1460" s="433">
        <v>1900001630</v>
      </c>
      <c r="S1460" s="444" t="s">
        <v>1788</v>
      </c>
      <c r="T1460" s="2" t="s">
        <v>5915</v>
      </c>
    </row>
    <row r="1461" spans="1:20" hidden="1" x14ac:dyDescent="0.35">
      <c r="A1461" s="432" t="s">
        <v>4981</v>
      </c>
      <c r="B1461" s="442" t="s">
        <v>1779</v>
      </c>
      <c r="C1461" s="443" t="s">
        <v>4974</v>
      </c>
      <c r="D1461" s="443" t="s">
        <v>4974</v>
      </c>
      <c r="E1461" s="443" t="s">
        <v>1789</v>
      </c>
      <c r="F1461" s="453">
        <v>2024300104</v>
      </c>
      <c r="G1461" s="453" t="s">
        <v>4840</v>
      </c>
      <c r="H1461" s="442" t="s">
        <v>4757</v>
      </c>
      <c r="I1461" s="362">
        <v>3404.2354400000004</v>
      </c>
      <c r="J1461" s="362">
        <f t="shared" si="110"/>
        <v>261.06100000000004</v>
      </c>
      <c r="K1461" s="362">
        <v>261.06100000000004</v>
      </c>
      <c r="L1461" s="362">
        <f t="shared" si="111"/>
        <v>52.21220000000001</v>
      </c>
      <c r="M1461" s="362" t="s">
        <v>6171</v>
      </c>
      <c r="N1461" s="432" t="s">
        <v>3785</v>
      </c>
      <c r="O1461" s="433" t="s">
        <v>4120</v>
      </c>
      <c r="P1461" s="430" t="s">
        <v>3659</v>
      </c>
      <c r="Q1461" s="431">
        <v>0.2</v>
      </c>
      <c r="R1461" s="433">
        <v>1900001630</v>
      </c>
      <c r="S1461" s="444" t="s">
        <v>311</v>
      </c>
      <c r="T1461" s="2" t="s">
        <v>5915</v>
      </c>
    </row>
    <row r="1462" spans="1:20" hidden="1" x14ac:dyDescent="0.35">
      <c r="A1462" s="432" t="s">
        <v>4982</v>
      </c>
      <c r="B1462" s="442" t="s">
        <v>1779</v>
      </c>
      <c r="C1462" s="443" t="s">
        <v>4974</v>
      </c>
      <c r="D1462" s="443" t="s">
        <v>4974</v>
      </c>
      <c r="E1462" s="443" t="s">
        <v>1790</v>
      </c>
      <c r="F1462" s="453">
        <v>2024300104</v>
      </c>
      <c r="G1462" s="453" t="s">
        <v>4840</v>
      </c>
      <c r="H1462" s="442" t="s">
        <v>4757</v>
      </c>
      <c r="I1462" s="362">
        <v>3404.2354400000004</v>
      </c>
      <c r="J1462" s="362">
        <f t="shared" si="110"/>
        <v>261.06100000000004</v>
      </c>
      <c r="K1462" s="362">
        <v>261.06100000000004</v>
      </c>
      <c r="L1462" s="362">
        <f t="shared" si="111"/>
        <v>52.21220000000001</v>
      </c>
      <c r="M1462" s="362" t="s">
        <v>6171</v>
      </c>
      <c r="N1462" s="432" t="s">
        <v>3785</v>
      </c>
      <c r="O1462" s="433" t="s">
        <v>4120</v>
      </c>
      <c r="P1462" s="430" t="s">
        <v>3659</v>
      </c>
      <c r="Q1462" s="431">
        <v>0.2</v>
      </c>
      <c r="R1462" s="433">
        <v>1900001630</v>
      </c>
      <c r="S1462" s="444" t="s">
        <v>1791</v>
      </c>
      <c r="T1462" s="2" t="s">
        <v>5915</v>
      </c>
    </row>
    <row r="1463" spans="1:20" hidden="1" x14ac:dyDescent="0.35">
      <c r="A1463" s="432" t="s">
        <v>4983</v>
      </c>
      <c r="B1463" s="442" t="s">
        <v>1779</v>
      </c>
      <c r="C1463" s="443" t="s">
        <v>4974</v>
      </c>
      <c r="D1463" s="443" t="s">
        <v>4974</v>
      </c>
      <c r="E1463" s="443" t="s">
        <v>1792</v>
      </c>
      <c r="F1463" s="453">
        <v>2024300104</v>
      </c>
      <c r="G1463" s="453" t="s">
        <v>4840</v>
      </c>
      <c r="H1463" s="442" t="s">
        <v>4757</v>
      </c>
      <c r="I1463" s="362">
        <v>3404.2354400000004</v>
      </c>
      <c r="J1463" s="362">
        <f t="shared" si="110"/>
        <v>261.06100000000004</v>
      </c>
      <c r="K1463" s="362">
        <v>261.06100000000004</v>
      </c>
      <c r="L1463" s="362">
        <f t="shared" si="111"/>
        <v>52.21220000000001</v>
      </c>
      <c r="M1463" s="362" t="s">
        <v>6171</v>
      </c>
      <c r="N1463" s="432" t="s">
        <v>3785</v>
      </c>
      <c r="O1463" s="433" t="s">
        <v>4120</v>
      </c>
      <c r="P1463" s="430" t="s">
        <v>3659</v>
      </c>
      <c r="Q1463" s="431">
        <v>0.2</v>
      </c>
      <c r="R1463" s="433">
        <v>1900001630</v>
      </c>
      <c r="S1463" s="444" t="s">
        <v>731</v>
      </c>
      <c r="T1463" s="2" t="s">
        <v>5915</v>
      </c>
    </row>
    <row r="1464" spans="1:20" hidden="1" x14ac:dyDescent="0.35">
      <c r="A1464" s="432" t="s">
        <v>4984</v>
      </c>
      <c r="B1464" s="442" t="s">
        <v>1779</v>
      </c>
      <c r="C1464" s="443" t="s">
        <v>4974</v>
      </c>
      <c r="D1464" s="443" t="s">
        <v>4974</v>
      </c>
      <c r="E1464" s="443" t="s">
        <v>1793</v>
      </c>
      <c r="F1464" s="453">
        <v>2024300104</v>
      </c>
      <c r="G1464" s="453" t="s">
        <v>4840</v>
      </c>
      <c r="H1464" s="442" t="s">
        <v>4757</v>
      </c>
      <c r="I1464" s="362">
        <v>3404.2354400000004</v>
      </c>
      <c r="J1464" s="362">
        <f t="shared" si="110"/>
        <v>261.06100000000004</v>
      </c>
      <c r="K1464" s="362">
        <v>261.06100000000004</v>
      </c>
      <c r="L1464" s="362">
        <f t="shared" si="111"/>
        <v>52.21220000000001</v>
      </c>
      <c r="M1464" s="362" t="s">
        <v>6171</v>
      </c>
      <c r="N1464" s="432" t="s">
        <v>3785</v>
      </c>
      <c r="O1464" s="433" t="s">
        <v>4120</v>
      </c>
      <c r="P1464" s="430" t="s">
        <v>3659</v>
      </c>
      <c r="Q1464" s="431">
        <v>0.2</v>
      </c>
      <c r="R1464" s="433">
        <v>1900001630</v>
      </c>
      <c r="S1464" s="444" t="s">
        <v>677</v>
      </c>
      <c r="T1464" s="2" t="s">
        <v>5915</v>
      </c>
    </row>
    <row r="1465" spans="1:20" hidden="1" x14ac:dyDescent="0.35">
      <c r="A1465" s="432" t="s">
        <v>4985</v>
      </c>
      <c r="B1465" s="442" t="s">
        <v>1779</v>
      </c>
      <c r="C1465" s="443" t="s">
        <v>4974</v>
      </c>
      <c r="D1465" s="443" t="s">
        <v>4974</v>
      </c>
      <c r="E1465" s="443" t="s">
        <v>1794</v>
      </c>
      <c r="F1465" s="453">
        <v>2024300104</v>
      </c>
      <c r="G1465" s="453" t="s">
        <v>4840</v>
      </c>
      <c r="H1465" s="442" t="s">
        <v>4757</v>
      </c>
      <c r="I1465" s="362">
        <v>3404.2354400000004</v>
      </c>
      <c r="J1465" s="362">
        <f t="shared" si="110"/>
        <v>261.06100000000004</v>
      </c>
      <c r="K1465" s="362">
        <v>261.06100000000004</v>
      </c>
      <c r="L1465" s="362">
        <f t="shared" si="111"/>
        <v>52.21220000000001</v>
      </c>
      <c r="M1465" s="362" t="s">
        <v>6171</v>
      </c>
      <c r="N1465" s="432" t="s">
        <v>3785</v>
      </c>
      <c r="O1465" s="433" t="s">
        <v>4120</v>
      </c>
      <c r="P1465" s="430" t="s">
        <v>3659</v>
      </c>
      <c r="Q1465" s="431">
        <v>0.2</v>
      </c>
      <c r="R1465" s="433">
        <v>1900001630</v>
      </c>
      <c r="S1465" s="444" t="s">
        <v>1795</v>
      </c>
      <c r="T1465" s="2" t="s">
        <v>5915</v>
      </c>
    </row>
    <row r="1466" spans="1:20" hidden="1" x14ac:dyDescent="0.35">
      <c r="A1466" s="432" t="s">
        <v>4986</v>
      </c>
      <c r="B1466" s="442" t="s">
        <v>1779</v>
      </c>
      <c r="C1466" s="443" t="s">
        <v>4974</v>
      </c>
      <c r="D1466" s="443" t="s">
        <v>4974</v>
      </c>
      <c r="E1466" s="443" t="s">
        <v>1796</v>
      </c>
      <c r="F1466" s="453">
        <v>2024300104</v>
      </c>
      <c r="G1466" s="453" t="s">
        <v>4840</v>
      </c>
      <c r="H1466" s="442" t="s">
        <v>4757</v>
      </c>
      <c r="I1466" s="362">
        <v>3404.2354400000004</v>
      </c>
      <c r="J1466" s="362">
        <f t="shared" si="110"/>
        <v>261.06100000000004</v>
      </c>
      <c r="K1466" s="362">
        <v>261.06100000000004</v>
      </c>
      <c r="L1466" s="362">
        <f t="shared" si="111"/>
        <v>52.21220000000001</v>
      </c>
      <c r="M1466" s="362" t="s">
        <v>6171</v>
      </c>
      <c r="N1466" s="432" t="s">
        <v>3785</v>
      </c>
      <c r="O1466" s="433" t="s">
        <v>4120</v>
      </c>
      <c r="P1466" s="430" t="s">
        <v>3659</v>
      </c>
      <c r="Q1466" s="431">
        <v>0.2</v>
      </c>
      <c r="R1466" s="433">
        <v>1900001630</v>
      </c>
      <c r="S1466" s="444" t="s">
        <v>1797</v>
      </c>
      <c r="T1466" s="2" t="s">
        <v>5915</v>
      </c>
    </row>
    <row r="1467" spans="1:20" hidden="1" x14ac:dyDescent="0.35">
      <c r="A1467" s="432" t="s">
        <v>4987</v>
      </c>
      <c r="B1467" s="442" t="s">
        <v>1779</v>
      </c>
      <c r="C1467" s="443" t="s">
        <v>4974</v>
      </c>
      <c r="D1467" s="443" t="s">
        <v>4974</v>
      </c>
      <c r="E1467" s="443" t="s">
        <v>1798</v>
      </c>
      <c r="F1467" s="453">
        <v>2024300104</v>
      </c>
      <c r="G1467" s="453" t="s">
        <v>4840</v>
      </c>
      <c r="H1467" s="442" t="s">
        <v>4757</v>
      </c>
      <c r="I1467" s="362">
        <v>3404.2354400000004</v>
      </c>
      <c r="J1467" s="362">
        <f t="shared" si="110"/>
        <v>261.06100000000004</v>
      </c>
      <c r="K1467" s="362">
        <v>261.06100000000004</v>
      </c>
      <c r="L1467" s="362">
        <f t="shared" si="111"/>
        <v>52.21220000000001</v>
      </c>
      <c r="M1467" s="362" t="s">
        <v>6171</v>
      </c>
      <c r="N1467" s="432" t="s">
        <v>3785</v>
      </c>
      <c r="O1467" s="433" t="s">
        <v>4120</v>
      </c>
      <c r="P1467" s="430" t="s">
        <v>3659</v>
      </c>
      <c r="Q1467" s="431">
        <v>0.2</v>
      </c>
      <c r="R1467" s="433">
        <v>1900001630</v>
      </c>
      <c r="S1467" s="444" t="s">
        <v>613</v>
      </c>
      <c r="T1467" s="2" t="s">
        <v>5915</v>
      </c>
    </row>
    <row r="1468" spans="1:20" hidden="1" x14ac:dyDescent="0.35">
      <c r="A1468" s="432" t="s">
        <v>4988</v>
      </c>
      <c r="B1468" s="442" t="s">
        <v>1779</v>
      </c>
      <c r="C1468" s="443" t="s">
        <v>4974</v>
      </c>
      <c r="D1468" s="443" t="s">
        <v>4974</v>
      </c>
      <c r="E1468" s="443" t="s">
        <v>1799</v>
      </c>
      <c r="F1468" s="453">
        <v>2024300104</v>
      </c>
      <c r="G1468" s="453" t="s">
        <v>4840</v>
      </c>
      <c r="H1468" s="442" t="s">
        <v>4757</v>
      </c>
      <c r="I1468" s="362">
        <v>3404.2354400000004</v>
      </c>
      <c r="J1468" s="362">
        <f t="shared" si="110"/>
        <v>261.06100000000004</v>
      </c>
      <c r="K1468" s="362">
        <v>261.06100000000004</v>
      </c>
      <c r="L1468" s="362">
        <f t="shared" si="111"/>
        <v>52.21220000000001</v>
      </c>
      <c r="M1468" s="362" t="s">
        <v>6171</v>
      </c>
      <c r="N1468" s="432" t="s">
        <v>3785</v>
      </c>
      <c r="O1468" s="433" t="s">
        <v>4120</v>
      </c>
      <c r="P1468" s="430" t="s">
        <v>3659</v>
      </c>
      <c r="Q1468" s="431">
        <v>0.2</v>
      </c>
      <c r="R1468" s="433">
        <v>1900001630</v>
      </c>
      <c r="S1468" s="444" t="s">
        <v>1800</v>
      </c>
      <c r="T1468" s="2" t="s">
        <v>5915</v>
      </c>
    </row>
    <row r="1469" spans="1:20" hidden="1" x14ac:dyDescent="0.35">
      <c r="A1469" s="432" t="s">
        <v>4989</v>
      </c>
      <c r="B1469" s="442" t="s">
        <v>1779</v>
      </c>
      <c r="C1469" s="443" t="s">
        <v>4974</v>
      </c>
      <c r="D1469" s="443" t="s">
        <v>4974</v>
      </c>
      <c r="E1469" s="443" t="s">
        <v>1801</v>
      </c>
      <c r="F1469" s="453">
        <v>2024300104</v>
      </c>
      <c r="G1469" s="453" t="s">
        <v>4840</v>
      </c>
      <c r="H1469" s="442" t="s">
        <v>4757</v>
      </c>
      <c r="I1469" s="362">
        <v>3404.2354400000004</v>
      </c>
      <c r="J1469" s="362">
        <f t="shared" si="110"/>
        <v>261.06100000000004</v>
      </c>
      <c r="K1469" s="362">
        <v>261.06100000000004</v>
      </c>
      <c r="L1469" s="362">
        <f t="shared" si="111"/>
        <v>52.21220000000001</v>
      </c>
      <c r="M1469" s="362" t="s">
        <v>6171</v>
      </c>
      <c r="N1469" s="432" t="s">
        <v>3785</v>
      </c>
      <c r="O1469" s="433" t="s">
        <v>4120</v>
      </c>
      <c r="P1469" s="430" t="s">
        <v>3659</v>
      </c>
      <c r="Q1469" s="431">
        <v>0.2</v>
      </c>
      <c r="R1469" s="433">
        <v>1900001630</v>
      </c>
      <c r="S1469" s="444" t="s">
        <v>264</v>
      </c>
      <c r="T1469" s="2" t="s">
        <v>5915</v>
      </c>
    </row>
    <row r="1470" spans="1:20" hidden="1" x14ac:dyDescent="0.35">
      <c r="A1470" s="432" t="s">
        <v>4990</v>
      </c>
      <c r="B1470" s="442" t="s">
        <v>1779</v>
      </c>
      <c r="C1470" s="443" t="s">
        <v>4974</v>
      </c>
      <c r="D1470" s="443" t="s">
        <v>4974</v>
      </c>
      <c r="E1470" s="443" t="s">
        <v>1802</v>
      </c>
      <c r="F1470" s="453">
        <v>2024300104</v>
      </c>
      <c r="G1470" s="453" t="s">
        <v>4840</v>
      </c>
      <c r="H1470" s="442" t="s">
        <v>4757</v>
      </c>
      <c r="I1470" s="362">
        <v>3404.2354400000004</v>
      </c>
      <c r="J1470" s="362">
        <f t="shared" si="110"/>
        <v>261.06100000000004</v>
      </c>
      <c r="K1470" s="362">
        <v>261.06100000000004</v>
      </c>
      <c r="L1470" s="362">
        <f t="shared" si="111"/>
        <v>52.21220000000001</v>
      </c>
      <c r="M1470" s="362" t="s">
        <v>6171</v>
      </c>
      <c r="N1470" s="432" t="s">
        <v>3785</v>
      </c>
      <c r="O1470" s="433" t="s">
        <v>4120</v>
      </c>
      <c r="P1470" s="430" t="s">
        <v>3659</v>
      </c>
      <c r="Q1470" s="431">
        <v>0.2</v>
      </c>
      <c r="R1470" s="433">
        <v>1900001630</v>
      </c>
      <c r="S1470" s="444" t="s">
        <v>477</v>
      </c>
      <c r="T1470" s="2" t="s">
        <v>5915</v>
      </c>
    </row>
    <row r="1471" spans="1:20" hidden="1" x14ac:dyDescent="0.35">
      <c r="A1471" s="432" t="s">
        <v>4991</v>
      </c>
      <c r="B1471" s="442" t="s">
        <v>1779</v>
      </c>
      <c r="C1471" s="443" t="s">
        <v>4974</v>
      </c>
      <c r="D1471" s="443" t="s">
        <v>4974</v>
      </c>
      <c r="E1471" s="443" t="s">
        <v>1803</v>
      </c>
      <c r="F1471" s="453">
        <v>2024300104</v>
      </c>
      <c r="G1471" s="453" t="s">
        <v>4840</v>
      </c>
      <c r="H1471" s="442" t="s">
        <v>4757</v>
      </c>
      <c r="I1471" s="362">
        <v>3404.2354400000004</v>
      </c>
      <c r="J1471" s="362">
        <f t="shared" si="110"/>
        <v>261.06100000000004</v>
      </c>
      <c r="K1471" s="362">
        <v>261.06100000000004</v>
      </c>
      <c r="L1471" s="362">
        <f t="shared" si="111"/>
        <v>52.21220000000001</v>
      </c>
      <c r="M1471" s="362" t="s">
        <v>6171</v>
      </c>
      <c r="N1471" s="432" t="s">
        <v>3785</v>
      </c>
      <c r="O1471" s="433" t="s">
        <v>4120</v>
      </c>
      <c r="P1471" s="430" t="s">
        <v>3659</v>
      </c>
      <c r="Q1471" s="431">
        <v>0.2</v>
      </c>
      <c r="R1471" s="433">
        <v>1900001630</v>
      </c>
      <c r="S1471" s="444" t="s">
        <v>1804</v>
      </c>
      <c r="T1471" s="2" t="s">
        <v>5915</v>
      </c>
    </row>
    <row r="1472" spans="1:20" hidden="1" x14ac:dyDescent="0.35">
      <c r="A1472" s="432" t="s">
        <v>4992</v>
      </c>
      <c r="B1472" s="442" t="s">
        <v>1779</v>
      </c>
      <c r="C1472" s="443" t="s">
        <v>4974</v>
      </c>
      <c r="D1472" s="443" t="s">
        <v>4974</v>
      </c>
      <c r="E1472" s="443" t="s">
        <v>1805</v>
      </c>
      <c r="F1472" s="453">
        <v>2024300104</v>
      </c>
      <c r="G1472" s="453" t="s">
        <v>4840</v>
      </c>
      <c r="H1472" s="442" t="s">
        <v>4757</v>
      </c>
      <c r="I1472" s="362">
        <v>3404.2354400000004</v>
      </c>
      <c r="J1472" s="362">
        <f t="shared" si="110"/>
        <v>261.06100000000004</v>
      </c>
      <c r="K1472" s="362">
        <v>261.06100000000004</v>
      </c>
      <c r="L1472" s="362">
        <f t="shared" si="111"/>
        <v>52.21220000000001</v>
      </c>
      <c r="M1472" s="362" t="s">
        <v>6171</v>
      </c>
      <c r="N1472" s="432" t="s">
        <v>3785</v>
      </c>
      <c r="O1472" s="433" t="s">
        <v>4120</v>
      </c>
      <c r="P1472" s="430" t="s">
        <v>3659</v>
      </c>
      <c r="Q1472" s="431">
        <v>0.2</v>
      </c>
      <c r="R1472" s="433">
        <v>1900001630</v>
      </c>
      <c r="S1472" s="444" t="s">
        <v>1168</v>
      </c>
      <c r="T1472" s="2" t="s">
        <v>5915</v>
      </c>
    </row>
    <row r="1473" spans="1:20" hidden="1" x14ac:dyDescent="0.35">
      <c r="A1473" s="432" t="s">
        <v>4993</v>
      </c>
      <c r="B1473" s="442" t="s">
        <v>1779</v>
      </c>
      <c r="C1473" s="443" t="s">
        <v>4974</v>
      </c>
      <c r="D1473" s="443" t="s">
        <v>4974</v>
      </c>
      <c r="E1473" s="443" t="s">
        <v>1806</v>
      </c>
      <c r="F1473" s="453">
        <v>2024300104</v>
      </c>
      <c r="G1473" s="453" t="s">
        <v>4840</v>
      </c>
      <c r="H1473" s="442" t="s">
        <v>4757</v>
      </c>
      <c r="I1473" s="362">
        <v>3404.2354400000004</v>
      </c>
      <c r="J1473" s="362">
        <f t="shared" si="110"/>
        <v>261.06100000000004</v>
      </c>
      <c r="K1473" s="362">
        <v>261.06100000000004</v>
      </c>
      <c r="L1473" s="362">
        <f t="shared" si="111"/>
        <v>52.21220000000001</v>
      </c>
      <c r="M1473" s="362" t="s">
        <v>6171</v>
      </c>
      <c r="N1473" s="432" t="s">
        <v>3785</v>
      </c>
      <c r="O1473" s="433" t="s">
        <v>4120</v>
      </c>
      <c r="P1473" s="430" t="s">
        <v>3659</v>
      </c>
      <c r="Q1473" s="431">
        <v>0.2</v>
      </c>
      <c r="R1473" s="433">
        <v>1900001630</v>
      </c>
      <c r="S1473" s="444" t="s">
        <v>1807</v>
      </c>
      <c r="T1473" s="2" t="s">
        <v>5915</v>
      </c>
    </row>
    <row r="1474" spans="1:20" hidden="1" x14ac:dyDescent="0.35">
      <c r="A1474" s="432" t="s">
        <v>4994</v>
      </c>
      <c r="B1474" s="442" t="s">
        <v>1779</v>
      </c>
      <c r="C1474" s="443" t="s">
        <v>4974</v>
      </c>
      <c r="D1474" s="443" t="s">
        <v>4974</v>
      </c>
      <c r="E1474" s="443" t="s">
        <v>1808</v>
      </c>
      <c r="F1474" s="453">
        <v>2024300104</v>
      </c>
      <c r="G1474" s="453" t="s">
        <v>4840</v>
      </c>
      <c r="H1474" s="442" t="s">
        <v>4757</v>
      </c>
      <c r="I1474" s="362">
        <v>3404.2354400000004</v>
      </c>
      <c r="J1474" s="362">
        <f t="shared" si="110"/>
        <v>261.06100000000004</v>
      </c>
      <c r="K1474" s="362">
        <v>261.06100000000004</v>
      </c>
      <c r="L1474" s="362">
        <f t="shared" si="111"/>
        <v>52.21220000000001</v>
      </c>
      <c r="M1474" s="362" t="s">
        <v>6171</v>
      </c>
      <c r="N1474" s="432" t="s">
        <v>3785</v>
      </c>
      <c r="O1474" s="433" t="s">
        <v>4120</v>
      </c>
      <c r="P1474" s="430" t="s">
        <v>3659</v>
      </c>
      <c r="Q1474" s="431">
        <v>0.2</v>
      </c>
      <c r="R1474" s="433">
        <v>1900001630</v>
      </c>
      <c r="S1474" s="444" t="s">
        <v>1073</v>
      </c>
      <c r="T1474" s="2" t="s">
        <v>5915</v>
      </c>
    </row>
    <row r="1475" spans="1:20" hidden="1" x14ac:dyDescent="0.35">
      <c r="A1475" s="432" t="s">
        <v>4995</v>
      </c>
      <c r="B1475" s="442" t="s">
        <v>1779</v>
      </c>
      <c r="C1475" s="443" t="s">
        <v>4974</v>
      </c>
      <c r="D1475" s="443" t="s">
        <v>4974</v>
      </c>
      <c r="E1475" s="443" t="s">
        <v>1809</v>
      </c>
      <c r="F1475" s="453">
        <v>2024300104</v>
      </c>
      <c r="G1475" s="453" t="s">
        <v>4840</v>
      </c>
      <c r="H1475" s="442" t="s">
        <v>4757</v>
      </c>
      <c r="I1475" s="362">
        <v>3404.2354400000004</v>
      </c>
      <c r="J1475" s="362">
        <f t="shared" si="110"/>
        <v>261.06100000000004</v>
      </c>
      <c r="K1475" s="362">
        <v>261.06100000000004</v>
      </c>
      <c r="L1475" s="362">
        <f t="shared" si="111"/>
        <v>52.21220000000001</v>
      </c>
      <c r="M1475" s="362" t="s">
        <v>6171</v>
      </c>
      <c r="N1475" s="432" t="s">
        <v>3785</v>
      </c>
      <c r="O1475" s="433" t="s">
        <v>4120</v>
      </c>
      <c r="P1475" s="430" t="s">
        <v>3659</v>
      </c>
      <c r="Q1475" s="431">
        <v>0.2</v>
      </c>
      <c r="R1475" s="433">
        <v>1900001630</v>
      </c>
      <c r="S1475" s="444" t="s">
        <v>1177</v>
      </c>
      <c r="T1475" s="2" t="s">
        <v>5915</v>
      </c>
    </row>
    <row r="1476" spans="1:20" hidden="1" x14ac:dyDescent="0.35">
      <c r="A1476" s="432" t="s">
        <v>4996</v>
      </c>
      <c r="B1476" s="442" t="s">
        <v>1779</v>
      </c>
      <c r="C1476" s="443" t="s">
        <v>4974</v>
      </c>
      <c r="D1476" s="443" t="s">
        <v>4974</v>
      </c>
      <c r="E1476" s="443" t="s">
        <v>1810</v>
      </c>
      <c r="F1476" s="453">
        <v>2024300104</v>
      </c>
      <c r="G1476" s="453" t="s">
        <v>4840</v>
      </c>
      <c r="H1476" s="442" t="s">
        <v>4757</v>
      </c>
      <c r="I1476" s="362">
        <v>3404.2354400000004</v>
      </c>
      <c r="J1476" s="362">
        <f t="shared" si="110"/>
        <v>261.06100000000004</v>
      </c>
      <c r="K1476" s="362">
        <v>261.06100000000004</v>
      </c>
      <c r="L1476" s="362">
        <f t="shared" si="111"/>
        <v>52.21220000000001</v>
      </c>
      <c r="M1476" s="362" t="s">
        <v>6171</v>
      </c>
      <c r="N1476" s="432" t="s">
        <v>3785</v>
      </c>
      <c r="O1476" s="433" t="s">
        <v>4120</v>
      </c>
      <c r="P1476" s="430" t="s">
        <v>3659</v>
      </c>
      <c r="Q1476" s="431">
        <v>0.2</v>
      </c>
      <c r="R1476" s="433">
        <v>1900001630</v>
      </c>
      <c r="S1476" s="444" t="s">
        <v>190</v>
      </c>
      <c r="T1476" s="2" t="s">
        <v>5915</v>
      </c>
    </row>
    <row r="1477" spans="1:20" hidden="1" x14ac:dyDescent="0.35">
      <c r="A1477" s="432" t="s">
        <v>4997</v>
      </c>
      <c r="B1477" s="442" t="s">
        <v>1779</v>
      </c>
      <c r="C1477" s="443" t="s">
        <v>4974</v>
      </c>
      <c r="D1477" s="443" t="s">
        <v>4974</v>
      </c>
      <c r="E1477" s="443" t="s">
        <v>1811</v>
      </c>
      <c r="F1477" s="453">
        <v>2024300104</v>
      </c>
      <c r="G1477" s="453" t="s">
        <v>4840</v>
      </c>
      <c r="H1477" s="442" t="s">
        <v>4757</v>
      </c>
      <c r="I1477" s="362">
        <v>3404.2354400000004</v>
      </c>
      <c r="J1477" s="362">
        <f t="shared" si="110"/>
        <v>261.06100000000004</v>
      </c>
      <c r="K1477" s="362">
        <v>261.06100000000004</v>
      </c>
      <c r="L1477" s="362">
        <f t="shared" si="111"/>
        <v>52.21220000000001</v>
      </c>
      <c r="M1477" s="362" t="s">
        <v>6171</v>
      </c>
      <c r="N1477" s="432" t="s">
        <v>3785</v>
      </c>
      <c r="O1477" s="433" t="s">
        <v>4120</v>
      </c>
      <c r="P1477" s="430" t="s">
        <v>3659</v>
      </c>
      <c r="Q1477" s="431">
        <v>0.2</v>
      </c>
      <c r="R1477" s="433">
        <v>1900001630</v>
      </c>
      <c r="S1477" s="444" t="s">
        <v>856</v>
      </c>
      <c r="T1477" s="2" t="s">
        <v>5915</v>
      </c>
    </row>
    <row r="1478" spans="1:20" hidden="1" x14ac:dyDescent="0.35">
      <c r="A1478" s="432" t="s">
        <v>4998</v>
      </c>
      <c r="B1478" s="442" t="s">
        <v>1779</v>
      </c>
      <c r="C1478" s="443" t="s">
        <v>4974</v>
      </c>
      <c r="D1478" s="443" t="s">
        <v>4974</v>
      </c>
      <c r="E1478" s="443" t="s">
        <v>1812</v>
      </c>
      <c r="F1478" s="453">
        <v>2024300104</v>
      </c>
      <c r="G1478" s="453" t="s">
        <v>4840</v>
      </c>
      <c r="H1478" s="442" t="s">
        <v>4757</v>
      </c>
      <c r="I1478" s="362">
        <v>3404.2354400000004</v>
      </c>
      <c r="J1478" s="362">
        <f t="shared" si="110"/>
        <v>261.06100000000004</v>
      </c>
      <c r="K1478" s="362">
        <v>261.06100000000004</v>
      </c>
      <c r="L1478" s="362">
        <f t="shared" si="111"/>
        <v>52.21220000000001</v>
      </c>
      <c r="M1478" s="362" t="s">
        <v>6171</v>
      </c>
      <c r="N1478" s="432" t="s">
        <v>3785</v>
      </c>
      <c r="O1478" s="433" t="s">
        <v>4120</v>
      </c>
      <c r="P1478" s="430" t="s">
        <v>3659</v>
      </c>
      <c r="Q1478" s="431">
        <v>0.2</v>
      </c>
      <c r="R1478" s="433">
        <v>1900001630</v>
      </c>
      <c r="S1478" s="444" t="s">
        <v>482</v>
      </c>
      <c r="T1478" s="2" t="s">
        <v>5915</v>
      </c>
    </row>
    <row r="1479" spans="1:20" hidden="1" x14ac:dyDescent="0.35">
      <c r="A1479" s="432" t="s">
        <v>4999</v>
      </c>
      <c r="B1479" s="442" t="s">
        <v>1779</v>
      </c>
      <c r="C1479" s="443" t="s">
        <v>4974</v>
      </c>
      <c r="D1479" s="443" t="s">
        <v>4974</v>
      </c>
      <c r="E1479" s="443" t="s">
        <v>1813</v>
      </c>
      <c r="F1479" s="453">
        <v>2024300104</v>
      </c>
      <c r="G1479" s="453" t="s">
        <v>4840</v>
      </c>
      <c r="H1479" s="442" t="s">
        <v>4757</v>
      </c>
      <c r="I1479" s="362">
        <v>3404.2354400000004</v>
      </c>
      <c r="J1479" s="362">
        <f t="shared" si="110"/>
        <v>261.06100000000004</v>
      </c>
      <c r="K1479" s="362">
        <v>261.06100000000004</v>
      </c>
      <c r="L1479" s="362">
        <f t="shared" si="111"/>
        <v>52.21220000000001</v>
      </c>
      <c r="M1479" s="362" t="s">
        <v>6171</v>
      </c>
      <c r="N1479" s="432" t="s">
        <v>3785</v>
      </c>
      <c r="O1479" s="433" t="s">
        <v>4120</v>
      </c>
      <c r="P1479" s="430" t="s">
        <v>3659</v>
      </c>
      <c r="Q1479" s="431">
        <v>0.2</v>
      </c>
      <c r="R1479" s="433">
        <v>1900001630</v>
      </c>
      <c r="S1479" s="444" t="s">
        <v>666</v>
      </c>
      <c r="T1479" s="2" t="s">
        <v>5915</v>
      </c>
    </row>
    <row r="1480" spans="1:20" hidden="1" x14ac:dyDescent="0.35">
      <c r="A1480" s="432" t="s">
        <v>5000</v>
      </c>
      <c r="B1480" s="442" t="s">
        <v>1779</v>
      </c>
      <c r="C1480" s="443" t="s">
        <v>4974</v>
      </c>
      <c r="D1480" s="443" t="s">
        <v>4974</v>
      </c>
      <c r="E1480" s="443" t="s">
        <v>1814</v>
      </c>
      <c r="F1480" s="453">
        <v>2024300104</v>
      </c>
      <c r="G1480" s="453" t="s">
        <v>4840</v>
      </c>
      <c r="H1480" s="442" t="s">
        <v>4757</v>
      </c>
      <c r="I1480" s="362">
        <v>3404.2354400000004</v>
      </c>
      <c r="J1480" s="362">
        <f t="shared" si="110"/>
        <v>261.06100000000004</v>
      </c>
      <c r="K1480" s="362">
        <v>261.06100000000004</v>
      </c>
      <c r="L1480" s="362">
        <f t="shared" si="111"/>
        <v>52.21220000000001</v>
      </c>
      <c r="M1480" s="362" t="s">
        <v>6171</v>
      </c>
      <c r="N1480" s="432" t="s">
        <v>3785</v>
      </c>
      <c r="O1480" s="433" t="s">
        <v>4120</v>
      </c>
      <c r="P1480" s="430" t="s">
        <v>3659</v>
      </c>
      <c r="Q1480" s="431">
        <v>0.2</v>
      </c>
      <c r="R1480" s="433">
        <v>1900001630</v>
      </c>
      <c r="S1480" s="444" t="s">
        <v>1035</v>
      </c>
      <c r="T1480" s="2" t="s">
        <v>5915</v>
      </c>
    </row>
    <row r="1481" spans="1:20" hidden="1" x14ac:dyDescent="0.35">
      <c r="A1481" s="432" t="s">
        <v>5001</v>
      </c>
      <c r="B1481" s="442" t="s">
        <v>1779</v>
      </c>
      <c r="C1481" s="443" t="s">
        <v>4974</v>
      </c>
      <c r="D1481" s="443" t="s">
        <v>4974</v>
      </c>
      <c r="E1481" s="443" t="s">
        <v>1815</v>
      </c>
      <c r="F1481" s="453">
        <v>2024300104</v>
      </c>
      <c r="G1481" s="453" t="s">
        <v>4840</v>
      </c>
      <c r="H1481" s="442" t="s">
        <v>4757</v>
      </c>
      <c r="I1481" s="362">
        <v>3404.2354400000004</v>
      </c>
      <c r="J1481" s="362">
        <f t="shared" si="110"/>
        <v>261.06100000000004</v>
      </c>
      <c r="K1481" s="362">
        <v>261.06100000000004</v>
      </c>
      <c r="L1481" s="362">
        <f t="shared" si="111"/>
        <v>52.21220000000001</v>
      </c>
      <c r="M1481" s="362" t="s">
        <v>6171</v>
      </c>
      <c r="N1481" s="432" t="s">
        <v>3785</v>
      </c>
      <c r="O1481" s="433" t="s">
        <v>4120</v>
      </c>
      <c r="P1481" s="430" t="s">
        <v>3659</v>
      </c>
      <c r="Q1481" s="431">
        <v>0.2</v>
      </c>
      <c r="R1481" s="433">
        <v>1900001630</v>
      </c>
      <c r="S1481" s="444" t="s">
        <v>652</v>
      </c>
      <c r="T1481" s="2" t="s">
        <v>5915</v>
      </c>
    </row>
    <row r="1482" spans="1:20" hidden="1" x14ac:dyDescent="0.35">
      <c r="A1482" s="432" t="s">
        <v>5002</v>
      </c>
      <c r="B1482" s="442" t="s">
        <v>1779</v>
      </c>
      <c r="C1482" s="443" t="s">
        <v>4974</v>
      </c>
      <c r="D1482" s="443" t="s">
        <v>4974</v>
      </c>
      <c r="E1482" s="443" t="s">
        <v>1816</v>
      </c>
      <c r="F1482" s="453">
        <v>2024300104</v>
      </c>
      <c r="G1482" s="453" t="s">
        <v>4840</v>
      </c>
      <c r="H1482" s="442" t="s">
        <v>4757</v>
      </c>
      <c r="I1482" s="362">
        <v>3404.2354400000004</v>
      </c>
      <c r="J1482" s="362">
        <f t="shared" si="110"/>
        <v>261.06100000000004</v>
      </c>
      <c r="K1482" s="362">
        <v>261.06100000000004</v>
      </c>
      <c r="L1482" s="362">
        <f t="shared" si="111"/>
        <v>52.21220000000001</v>
      </c>
      <c r="M1482" s="362" t="s">
        <v>6171</v>
      </c>
      <c r="N1482" s="432" t="s">
        <v>3785</v>
      </c>
      <c r="O1482" s="433" t="s">
        <v>4120</v>
      </c>
      <c r="P1482" s="430" t="s">
        <v>3659</v>
      </c>
      <c r="Q1482" s="431">
        <v>0.2</v>
      </c>
      <c r="R1482" s="433">
        <v>1900001630</v>
      </c>
      <c r="S1482" s="444" t="s">
        <v>654</v>
      </c>
      <c r="T1482" s="2" t="s">
        <v>5915</v>
      </c>
    </row>
    <row r="1483" spans="1:20" hidden="1" x14ac:dyDescent="0.35">
      <c r="A1483" s="432" t="s">
        <v>5003</v>
      </c>
      <c r="B1483" s="442" t="s">
        <v>1779</v>
      </c>
      <c r="C1483" s="443" t="s">
        <v>4974</v>
      </c>
      <c r="D1483" s="443" t="s">
        <v>4974</v>
      </c>
      <c r="E1483" s="443" t="s">
        <v>1817</v>
      </c>
      <c r="F1483" s="453">
        <v>2024300104</v>
      </c>
      <c r="G1483" s="453" t="s">
        <v>4840</v>
      </c>
      <c r="H1483" s="442" t="s">
        <v>4757</v>
      </c>
      <c r="I1483" s="362">
        <v>3404.2354400000004</v>
      </c>
      <c r="J1483" s="362">
        <f t="shared" si="110"/>
        <v>261.06100000000004</v>
      </c>
      <c r="K1483" s="362">
        <v>261.06100000000004</v>
      </c>
      <c r="L1483" s="362">
        <f t="shared" si="111"/>
        <v>52.21220000000001</v>
      </c>
      <c r="M1483" s="362" t="s">
        <v>6171</v>
      </c>
      <c r="N1483" s="432" t="s">
        <v>3785</v>
      </c>
      <c r="O1483" s="433" t="s">
        <v>4120</v>
      </c>
      <c r="P1483" s="430" t="s">
        <v>3659</v>
      </c>
      <c r="Q1483" s="431">
        <v>0.2</v>
      </c>
      <c r="R1483" s="433">
        <v>1900001630</v>
      </c>
      <c r="S1483" s="444" t="s">
        <v>646</v>
      </c>
      <c r="T1483" s="2" t="s">
        <v>5915</v>
      </c>
    </row>
    <row r="1484" spans="1:20" hidden="1" x14ac:dyDescent="0.35">
      <c r="A1484" s="432" t="s">
        <v>5004</v>
      </c>
      <c r="B1484" s="442" t="s">
        <v>1779</v>
      </c>
      <c r="C1484" s="443" t="s">
        <v>4974</v>
      </c>
      <c r="D1484" s="443" t="s">
        <v>4974</v>
      </c>
      <c r="E1484" s="443" t="s">
        <v>1818</v>
      </c>
      <c r="F1484" s="453">
        <v>2024300104</v>
      </c>
      <c r="G1484" s="453" t="s">
        <v>4840</v>
      </c>
      <c r="H1484" s="442" t="s">
        <v>4757</v>
      </c>
      <c r="I1484" s="362">
        <v>3404.2354400000004</v>
      </c>
      <c r="J1484" s="362">
        <f t="shared" si="110"/>
        <v>261.06100000000004</v>
      </c>
      <c r="K1484" s="362">
        <v>261.06100000000004</v>
      </c>
      <c r="L1484" s="362">
        <f t="shared" si="111"/>
        <v>52.21220000000001</v>
      </c>
      <c r="M1484" s="362" t="s">
        <v>6171</v>
      </c>
      <c r="N1484" s="432" t="s">
        <v>3785</v>
      </c>
      <c r="O1484" s="433" t="s">
        <v>4120</v>
      </c>
      <c r="P1484" s="430" t="s">
        <v>3659</v>
      </c>
      <c r="Q1484" s="431">
        <v>0.2</v>
      </c>
      <c r="R1484" s="433">
        <v>1900001630</v>
      </c>
      <c r="S1484" s="444" t="s">
        <v>636</v>
      </c>
      <c r="T1484" s="2" t="s">
        <v>5915</v>
      </c>
    </row>
    <row r="1485" spans="1:20" hidden="1" x14ac:dyDescent="0.35">
      <c r="A1485" s="432" t="s">
        <v>5005</v>
      </c>
      <c r="B1485" s="442" t="s">
        <v>1779</v>
      </c>
      <c r="C1485" s="443" t="s">
        <v>4974</v>
      </c>
      <c r="D1485" s="443" t="s">
        <v>4974</v>
      </c>
      <c r="E1485" s="443" t="s">
        <v>1819</v>
      </c>
      <c r="F1485" s="453">
        <v>2024300104</v>
      </c>
      <c r="G1485" s="453" t="s">
        <v>4840</v>
      </c>
      <c r="H1485" s="442" t="s">
        <v>4757</v>
      </c>
      <c r="I1485" s="362">
        <v>3404.2354400000004</v>
      </c>
      <c r="J1485" s="362">
        <f t="shared" si="110"/>
        <v>261.06100000000004</v>
      </c>
      <c r="K1485" s="362">
        <v>261.06100000000004</v>
      </c>
      <c r="L1485" s="362">
        <f t="shared" si="111"/>
        <v>52.21220000000001</v>
      </c>
      <c r="M1485" s="362" t="s">
        <v>6171</v>
      </c>
      <c r="N1485" s="432" t="s">
        <v>3785</v>
      </c>
      <c r="O1485" s="433" t="s">
        <v>4120</v>
      </c>
      <c r="P1485" s="430" t="s">
        <v>3659</v>
      </c>
      <c r="Q1485" s="431">
        <v>0.2</v>
      </c>
      <c r="R1485" s="433">
        <v>1900001630</v>
      </c>
      <c r="S1485" s="444" t="s">
        <v>1045</v>
      </c>
      <c r="T1485" s="2" t="s">
        <v>5915</v>
      </c>
    </row>
    <row r="1486" spans="1:20" hidden="1" x14ac:dyDescent="0.35">
      <c r="A1486" s="432" t="s">
        <v>5006</v>
      </c>
      <c r="B1486" s="442" t="s">
        <v>1779</v>
      </c>
      <c r="C1486" s="443" t="s">
        <v>4974</v>
      </c>
      <c r="D1486" s="443" t="s">
        <v>4974</v>
      </c>
      <c r="E1486" s="443" t="s">
        <v>1820</v>
      </c>
      <c r="F1486" s="453">
        <v>2024300104</v>
      </c>
      <c r="G1486" s="453" t="s">
        <v>4840</v>
      </c>
      <c r="H1486" s="442" t="s">
        <v>4757</v>
      </c>
      <c r="I1486" s="362">
        <v>3404.2354400000004</v>
      </c>
      <c r="J1486" s="362">
        <f t="shared" si="110"/>
        <v>261.06100000000004</v>
      </c>
      <c r="K1486" s="362">
        <v>261.06100000000004</v>
      </c>
      <c r="L1486" s="362">
        <f t="shared" si="111"/>
        <v>52.21220000000001</v>
      </c>
      <c r="M1486" s="362" t="s">
        <v>6171</v>
      </c>
      <c r="N1486" s="432" t="s">
        <v>3785</v>
      </c>
      <c r="O1486" s="433" t="s">
        <v>4120</v>
      </c>
      <c r="P1486" s="430" t="s">
        <v>3659</v>
      </c>
      <c r="Q1486" s="431">
        <v>0.2</v>
      </c>
      <c r="R1486" s="433">
        <v>1900001630</v>
      </c>
      <c r="S1486" s="444" t="s">
        <v>650</v>
      </c>
      <c r="T1486" s="2" t="s">
        <v>5915</v>
      </c>
    </row>
    <row r="1487" spans="1:20" hidden="1" x14ac:dyDescent="0.35">
      <c r="A1487" s="432" t="s">
        <v>5007</v>
      </c>
      <c r="B1487" s="442" t="s">
        <v>1779</v>
      </c>
      <c r="C1487" s="443" t="s">
        <v>4974</v>
      </c>
      <c r="D1487" s="443" t="s">
        <v>4974</v>
      </c>
      <c r="E1487" s="443" t="s">
        <v>1821</v>
      </c>
      <c r="F1487" s="453">
        <v>2024300104</v>
      </c>
      <c r="G1487" s="453" t="s">
        <v>4840</v>
      </c>
      <c r="H1487" s="442" t="s">
        <v>4757</v>
      </c>
      <c r="I1487" s="362">
        <v>3404.2354400000004</v>
      </c>
      <c r="J1487" s="362">
        <f t="shared" si="110"/>
        <v>261.06100000000004</v>
      </c>
      <c r="K1487" s="362">
        <v>261.06100000000004</v>
      </c>
      <c r="L1487" s="362">
        <f t="shared" si="111"/>
        <v>52.21220000000001</v>
      </c>
      <c r="M1487" s="362" t="s">
        <v>6171</v>
      </c>
      <c r="N1487" s="432" t="s">
        <v>3785</v>
      </c>
      <c r="O1487" s="433" t="s">
        <v>4120</v>
      </c>
      <c r="P1487" s="430" t="s">
        <v>3659</v>
      </c>
      <c r="Q1487" s="431">
        <v>0.2</v>
      </c>
      <c r="R1487" s="433">
        <v>1900001630</v>
      </c>
      <c r="S1487" s="444" t="s">
        <v>609</v>
      </c>
      <c r="T1487" s="2" t="s">
        <v>5915</v>
      </c>
    </row>
    <row r="1488" spans="1:20" hidden="1" x14ac:dyDescent="0.35">
      <c r="A1488" s="432" t="s">
        <v>5008</v>
      </c>
      <c r="B1488" s="442" t="s">
        <v>1779</v>
      </c>
      <c r="C1488" s="443" t="s">
        <v>4974</v>
      </c>
      <c r="D1488" s="443" t="s">
        <v>4974</v>
      </c>
      <c r="E1488" s="443" t="s">
        <v>1822</v>
      </c>
      <c r="F1488" s="453">
        <v>2024300104</v>
      </c>
      <c r="G1488" s="453" t="s">
        <v>4840</v>
      </c>
      <c r="H1488" s="442" t="s">
        <v>4757</v>
      </c>
      <c r="I1488" s="362">
        <v>3404.2354400000004</v>
      </c>
      <c r="J1488" s="362">
        <f t="shared" si="110"/>
        <v>261.06100000000004</v>
      </c>
      <c r="K1488" s="362">
        <v>261.06100000000004</v>
      </c>
      <c r="L1488" s="362">
        <f t="shared" si="111"/>
        <v>52.21220000000001</v>
      </c>
      <c r="M1488" s="362" t="s">
        <v>6171</v>
      </c>
      <c r="N1488" s="432" t="s">
        <v>3785</v>
      </c>
      <c r="O1488" s="433" t="s">
        <v>4120</v>
      </c>
      <c r="P1488" s="430" t="s">
        <v>3659</v>
      </c>
      <c r="Q1488" s="431">
        <v>0.2</v>
      </c>
      <c r="R1488" s="433">
        <v>1900001630</v>
      </c>
      <c r="S1488" s="444" t="s">
        <v>664</v>
      </c>
      <c r="T1488" s="2" t="s">
        <v>5915</v>
      </c>
    </row>
    <row r="1489" spans="1:20" hidden="1" x14ac:dyDescent="0.35">
      <c r="A1489" s="432" t="s">
        <v>5009</v>
      </c>
      <c r="B1489" s="442" t="s">
        <v>1779</v>
      </c>
      <c r="C1489" s="443" t="s">
        <v>4974</v>
      </c>
      <c r="D1489" s="443" t="s">
        <v>4974</v>
      </c>
      <c r="E1489" s="443" t="s">
        <v>1823</v>
      </c>
      <c r="F1489" s="453">
        <v>2024300104</v>
      </c>
      <c r="G1489" s="453" t="s">
        <v>4840</v>
      </c>
      <c r="H1489" s="442" t="s">
        <v>4757</v>
      </c>
      <c r="I1489" s="362">
        <v>3404.2354400000004</v>
      </c>
      <c r="J1489" s="362">
        <f t="shared" si="110"/>
        <v>261.06100000000004</v>
      </c>
      <c r="K1489" s="362">
        <v>261.06100000000004</v>
      </c>
      <c r="L1489" s="362">
        <f t="shared" si="111"/>
        <v>52.21220000000001</v>
      </c>
      <c r="M1489" s="362" t="s">
        <v>6171</v>
      </c>
      <c r="N1489" s="432" t="s">
        <v>3785</v>
      </c>
      <c r="O1489" s="433" t="s">
        <v>4120</v>
      </c>
      <c r="P1489" s="430" t="s">
        <v>3659</v>
      </c>
      <c r="Q1489" s="431">
        <v>0.2</v>
      </c>
      <c r="R1489" s="433">
        <v>1900001630</v>
      </c>
      <c r="S1489" s="444" t="s">
        <v>640</v>
      </c>
      <c r="T1489" s="2" t="s">
        <v>5915</v>
      </c>
    </row>
    <row r="1490" spans="1:20" hidden="1" x14ac:dyDescent="0.35">
      <c r="A1490" s="432" t="s">
        <v>5010</v>
      </c>
      <c r="B1490" s="442" t="s">
        <v>1779</v>
      </c>
      <c r="C1490" s="443" t="s">
        <v>4974</v>
      </c>
      <c r="D1490" s="443" t="s">
        <v>4974</v>
      </c>
      <c r="E1490" s="443" t="s">
        <v>1824</v>
      </c>
      <c r="F1490" s="453">
        <v>2024300104</v>
      </c>
      <c r="G1490" s="453" t="s">
        <v>4840</v>
      </c>
      <c r="H1490" s="442" t="s">
        <v>4757</v>
      </c>
      <c r="I1490" s="362">
        <v>3404.2354400000004</v>
      </c>
      <c r="J1490" s="362">
        <f t="shared" si="110"/>
        <v>261.06100000000004</v>
      </c>
      <c r="K1490" s="362">
        <v>261.06100000000004</v>
      </c>
      <c r="L1490" s="362">
        <f t="shared" si="111"/>
        <v>52.21220000000001</v>
      </c>
      <c r="M1490" s="362" t="s">
        <v>6171</v>
      </c>
      <c r="N1490" s="432" t="s">
        <v>3785</v>
      </c>
      <c r="O1490" s="433" t="s">
        <v>4120</v>
      </c>
      <c r="P1490" s="430" t="s">
        <v>3659</v>
      </c>
      <c r="Q1490" s="431">
        <v>0.2</v>
      </c>
      <c r="R1490" s="433">
        <v>1900001630</v>
      </c>
      <c r="S1490" s="444" t="s">
        <v>1825</v>
      </c>
      <c r="T1490" s="2" t="s">
        <v>5915</v>
      </c>
    </row>
    <row r="1491" spans="1:20" hidden="1" x14ac:dyDescent="0.35">
      <c r="A1491" s="432" t="s">
        <v>5011</v>
      </c>
      <c r="B1491" s="442" t="s">
        <v>1779</v>
      </c>
      <c r="C1491" s="443" t="s">
        <v>4974</v>
      </c>
      <c r="D1491" s="443" t="s">
        <v>4974</v>
      </c>
      <c r="E1491" s="443" t="s">
        <v>1826</v>
      </c>
      <c r="F1491" s="453">
        <v>2024300104</v>
      </c>
      <c r="G1491" s="453" t="s">
        <v>4840</v>
      </c>
      <c r="H1491" s="442" t="s">
        <v>4757</v>
      </c>
      <c r="I1491" s="362">
        <v>3404.2354400000004</v>
      </c>
      <c r="J1491" s="362">
        <f t="shared" si="110"/>
        <v>261.06100000000004</v>
      </c>
      <c r="K1491" s="362">
        <v>261.06100000000004</v>
      </c>
      <c r="L1491" s="362">
        <f t="shared" si="111"/>
        <v>52.21220000000001</v>
      </c>
      <c r="M1491" s="362" t="s">
        <v>6171</v>
      </c>
      <c r="N1491" s="432" t="s">
        <v>3785</v>
      </c>
      <c r="O1491" s="433" t="s">
        <v>4120</v>
      </c>
      <c r="P1491" s="430" t="s">
        <v>3659</v>
      </c>
      <c r="Q1491" s="431">
        <v>0.2</v>
      </c>
      <c r="R1491" s="433">
        <v>1900001630</v>
      </c>
      <c r="S1491" s="444" t="s">
        <v>602</v>
      </c>
      <c r="T1491" s="2" t="s">
        <v>5915</v>
      </c>
    </row>
    <row r="1492" spans="1:20" hidden="1" x14ac:dyDescent="0.35">
      <c r="A1492" s="432" t="s">
        <v>5012</v>
      </c>
      <c r="B1492" s="442" t="s">
        <v>1779</v>
      </c>
      <c r="C1492" s="443" t="s">
        <v>4974</v>
      </c>
      <c r="D1492" s="443" t="s">
        <v>4974</v>
      </c>
      <c r="E1492" s="443" t="s">
        <v>1827</v>
      </c>
      <c r="F1492" s="453">
        <v>2024300104</v>
      </c>
      <c r="G1492" s="453" t="s">
        <v>4840</v>
      </c>
      <c r="H1492" s="442" t="s">
        <v>4757</v>
      </c>
      <c r="I1492" s="362">
        <v>3404.2354400000004</v>
      </c>
      <c r="J1492" s="362">
        <f t="shared" si="110"/>
        <v>261.06100000000004</v>
      </c>
      <c r="K1492" s="362">
        <v>261.06100000000004</v>
      </c>
      <c r="L1492" s="362">
        <f t="shared" si="111"/>
        <v>52.21220000000001</v>
      </c>
      <c r="M1492" s="362" t="s">
        <v>6171</v>
      </c>
      <c r="N1492" s="432" t="s">
        <v>3785</v>
      </c>
      <c r="O1492" s="433" t="s">
        <v>4120</v>
      </c>
      <c r="P1492" s="430" t="s">
        <v>3659</v>
      </c>
      <c r="Q1492" s="431">
        <v>0.2</v>
      </c>
      <c r="R1492" s="433">
        <v>1900001630</v>
      </c>
      <c r="S1492" s="444" t="s">
        <v>417</v>
      </c>
      <c r="T1492" s="2" t="s">
        <v>5915</v>
      </c>
    </row>
    <row r="1493" spans="1:20" hidden="1" x14ac:dyDescent="0.35">
      <c r="A1493" s="432" t="s">
        <v>5013</v>
      </c>
      <c r="B1493" s="442" t="s">
        <v>1779</v>
      </c>
      <c r="C1493" s="443" t="s">
        <v>4974</v>
      </c>
      <c r="D1493" s="443" t="s">
        <v>4974</v>
      </c>
      <c r="E1493" s="443" t="s">
        <v>1828</v>
      </c>
      <c r="F1493" s="453">
        <v>2024300104</v>
      </c>
      <c r="G1493" s="453" t="s">
        <v>4840</v>
      </c>
      <c r="H1493" s="442" t="s">
        <v>4757</v>
      </c>
      <c r="I1493" s="362">
        <v>3404.2354400000004</v>
      </c>
      <c r="J1493" s="362">
        <f t="shared" si="110"/>
        <v>261.06100000000004</v>
      </c>
      <c r="K1493" s="362">
        <v>261.06100000000004</v>
      </c>
      <c r="L1493" s="362">
        <f t="shared" si="111"/>
        <v>52.21220000000001</v>
      </c>
      <c r="M1493" s="362" t="s">
        <v>6171</v>
      </c>
      <c r="N1493" s="432" t="s">
        <v>3785</v>
      </c>
      <c r="O1493" s="433" t="s">
        <v>4120</v>
      </c>
      <c r="P1493" s="430" t="s">
        <v>3659</v>
      </c>
      <c r="Q1493" s="431">
        <v>0.2</v>
      </c>
      <c r="R1493" s="433">
        <v>1900001630</v>
      </c>
      <c r="S1493" s="444" t="s">
        <v>525</v>
      </c>
      <c r="T1493" s="2" t="s">
        <v>5915</v>
      </c>
    </row>
    <row r="1494" spans="1:20" hidden="1" x14ac:dyDescent="0.35">
      <c r="A1494" s="432" t="s">
        <v>5014</v>
      </c>
      <c r="B1494" s="442" t="s">
        <v>1779</v>
      </c>
      <c r="C1494" s="443" t="s">
        <v>4974</v>
      </c>
      <c r="D1494" s="443" t="s">
        <v>4974</v>
      </c>
      <c r="E1494" s="443" t="s">
        <v>1829</v>
      </c>
      <c r="F1494" s="453">
        <v>2024300104</v>
      </c>
      <c r="G1494" s="453" t="s">
        <v>4840</v>
      </c>
      <c r="H1494" s="442" t="s">
        <v>4757</v>
      </c>
      <c r="I1494" s="362">
        <v>3404.2354400000004</v>
      </c>
      <c r="J1494" s="362">
        <f t="shared" si="110"/>
        <v>261.06100000000004</v>
      </c>
      <c r="K1494" s="362">
        <v>261.06100000000004</v>
      </c>
      <c r="L1494" s="362">
        <f t="shared" si="111"/>
        <v>52.21220000000001</v>
      </c>
      <c r="M1494" s="362" t="s">
        <v>6171</v>
      </c>
      <c r="N1494" s="432" t="s">
        <v>3785</v>
      </c>
      <c r="O1494" s="433" t="s">
        <v>4120</v>
      </c>
      <c r="P1494" s="430" t="s">
        <v>3659</v>
      </c>
      <c r="Q1494" s="431">
        <v>0.2</v>
      </c>
      <c r="R1494" s="433">
        <v>1900001630</v>
      </c>
      <c r="S1494" s="444" t="s">
        <v>1830</v>
      </c>
      <c r="T1494" s="2" t="s">
        <v>5915</v>
      </c>
    </row>
    <row r="1495" spans="1:20" hidden="1" x14ac:dyDescent="0.35">
      <c r="A1495" s="432" t="s">
        <v>5015</v>
      </c>
      <c r="B1495" s="442" t="s">
        <v>1779</v>
      </c>
      <c r="C1495" s="443" t="s">
        <v>4974</v>
      </c>
      <c r="D1495" s="443" t="s">
        <v>4974</v>
      </c>
      <c r="E1495" s="443" t="s">
        <v>1831</v>
      </c>
      <c r="F1495" s="453">
        <v>2024300104</v>
      </c>
      <c r="G1495" s="453" t="s">
        <v>4840</v>
      </c>
      <c r="H1495" s="442" t="s">
        <v>4757</v>
      </c>
      <c r="I1495" s="362">
        <v>3404.2354400000004</v>
      </c>
      <c r="J1495" s="362">
        <f t="shared" si="110"/>
        <v>261.06100000000004</v>
      </c>
      <c r="K1495" s="362">
        <v>261.06100000000004</v>
      </c>
      <c r="L1495" s="362">
        <f t="shared" si="111"/>
        <v>52.21220000000001</v>
      </c>
      <c r="M1495" s="362" t="s">
        <v>6171</v>
      </c>
      <c r="N1495" s="432" t="s">
        <v>3785</v>
      </c>
      <c r="O1495" s="433" t="s">
        <v>4120</v>
      </c>
      <c r="P1495" s="430" t="s">
        <v>3659</v>
      </c>
      <c r="Q1495" s="431">
        <v>0.2</v>
      </c>
      <c r="R1495" s="433">
        <v>1900001630</v>
      </c>
      <c r="S1495" s="444" t="s">
        <v>1832</v>
      </c>
      <c r="T1495" s="2" t="s">
        <v>5915</v>
      </c>
    </row>
    <row r="1496" spans="1:20" hidden="1" x14ac:dyDescent="0.35">
      <c r="A1496" s="432" t="s">
        <v>5016</v>
      </c>
      <c r="B1496" s="442" t="s">
        <v>1779</v>
      </c>
      <c r="C1496" s="443" t="s">
        <v>4974</v>
      </c>
      <c r="D1496" s="443" t="s">
        <v>4974</v>
      </c>
      <c r="E1496" s="443" t="s">
        <v>1833</v>
      </c>
      <c r="F1496" s="453">
        <v>2024300104</v>
      </c>
      <c r="G1496" s="453" t="s">
        <v>4840</v>
      </c>
      <c r="H1496" s="442" t="s">
        <v>4757</v>
      </c>
      <c r="I1496" s="362">
        <v>3404.2354400000004</v>
      </c>
      <c r="J1496" s="362">
        <f t="shared" si="110"/>
        <v>261.06100000000004</v>
      </c>
      <c r="K1496" s="362">
        <v>261.06100000000004</v>
      </c>
      <c r="L1496" s="362">
        <f t="shared" si="111"/>
        <v>52.21220000000001</v>
      </c>
      <c r="M1496" s="362" t="s">
        <v>6171</v>
      </c>
      <c r="N1496" s="432" t="s">
        <v>3785</v>
      </c>
      <c r="O1496" s="433" t="s">
        <v>4120</v>
      </c>
      <c r="P1496" s="430" t="s">
        <v>3659</v>
      </c>
      <c r="Q1496" s="431">
        <v>0.2</v>
      </c>
      <c r="R1496" s="433">
        <v>1900001630</v>
      </c>
      <c r="S1496" s="444" t="s">
        <v>1310</v>
      </c>
      <c r="T1496" s="2" t="s">
        <v>5915</v>
      </c>
    </row>
    <row r="1497" spans="1:20" hidden="1" x14ac:dyDescent="0.35">
      <c r="A1497" s="432" t="s">
        <v>5017</v>
      </c>
      <c r="B1497" s="442" t="s">
        <v>1779</v>
      </c>
      <c r="C1497" s="443" t="s">
        <v>4974</v>
      </c>
      <c r="D1497" s="443" t="s">
        <v>4974</v>
      </c>
      <c r="E1497" s="443" t="s">
        <v>1834</v>
      </c>
      <c r="F1497" s="453">
        <v>2024300104</v>
      </c>
      <c r="G1497" s="453" t="s">
        <v>4840</v>
      </c>
      <c r="H1497" s="442" t="s">
        <v>4757</v>
      </c>
      <c r="I1497" s="362">
        <v>3404.2354400000004</v>
      </c>
      <c r="J1497" s="362">
        <f t="shared" si="110"/>
        <v>261.06100000000004</v>
      </c>
      <c r="K1497" s="362">
        <v>261.06100000000004</v>
      </c>
      <c r="L1497" s="362">
        <f t="shared" si="111"/>
        <v>52.21220000000001</v>
      </c>
      <c r="M1497" s="362" t="s">
        <v>6171</v>
      </c>
      <c r="N1497" s="432" t="s">
        <v>3785</v>
      </c>
      <c r="O1497" s="433" t="s">
        <v>4120</v>
      </c>
      <c r="P1497" s="430" t="s">
        <v>3659</v>
      </c>
      <c r="Q1497" s="431">
        <v>0.2</v>
      </c>
      <c r="R1497" s="433">
        <v>1900001630</v>
      </c>
      <c r="S1497" s="444" t="s">
        <v>1835</v>
      </c>
      <c r="T1497" s="2" t="s">
        <v>5915</v>
      </c>
    </row>
    <row r="1498" spans="1:20" hidden="1" x14ac:dyDescent="0.35">
      <c r="A1498" s="432" t="s">
        <v>5018</v>
      </c>
      <c r="B1498" s="442" t="s">
        <v>1779</v>
      </c>
      <c r="C1498" s="443" t="s">
        <v>4974</v>
      </c>
      <c r="D1498" s="443" t="s">
        <v>4974</v>
      </c>
      <c r="E1498" s="443" t="s">
        <v>1836</v>
      </c>
      <c r="F1498" s="453">
        <v>2024300104</v>
      </c>
      <c r="G1498" s="453" t="s">
        <v>4840</v>
      </c>
      <c r="H1498" s="442" t="s">
        <v>4757</v>
      </c>
      <c r="I1498" s="362">
        <v>3404.2354400000004</v>
      </c>
      <c r="J1498" s="362">
        <f t="shared" si="110"/>
        <v>261.06100000000004</v>
      </c>
      <c r="K1498" s="362">
        <v>261.06100000000004</v>
      </c>
      <c r="L1498" s="362">
        <f t="shared" si="111"/>
        <v>52.21220000000001</v>
      </c>
      <c r="M1498" s="362" t="s">
        <v>6171</v>
      </c>
      <c r="N1498" s="432" t="s">
        <v>3785</v>
      </c>
      <c r="O1498" s="433" t="s">
        <v>4120</v>
      </c>
      <c r="P1498" s="430" t="s">
        <v>3659</v>
      </c>
      <c r="Q1498" s="431">
        <v>0.2</v>
      </c>
      <c r="R1498" s="433">
        <v>1900001630</v>
      </c>
      <c r="S1498" s="444" t="s">
        <v>1837</v>
      </c>
      <c r="T1498" s="2" t="s">
        <v>5915</v>
      </c>
    </row>
    <row r="1499" spans="1:20" hidden="1" x14ac:dyDescent="0.35">
      <c r="A1499" s="432" t="s">
        <v>5019</v>
      </c>
      <c r="B1499" s="442" t="s">
        <v>1779</v>
      </c>
      <c r="C1499" s="443" t="s">
        <v>4974</v>
      </c>
      <c r="D1499" s="443" t="s">
        <v>4974</v>
      </c>
      <c r="E1499" s="443" t="s">
        <v>1838</v>
      </c>
      <c r="F1499" s="453">
        <v>2024300104</v>
      </c>
      <c r="G1499" s="453" t="s">
        <v>4840</v>
      </c>
      <c r="H1499" s="442" t="s">
        <v>4757</v>
      </c>
      <c r="I1499" s="362">
        <v>3404.2354400000004</v>
      </c>
      <c r="J1499" s="362">
        <f t="shared" si="110"/>
        <v>261.06100000000004</v>
      </c>
      <c r="K1499" s="362">
        <v>261.06100000000004</v>
      </c>
      <c r="L1499" s="362">
        <f t="shared" si="111"/>
        <v>52.21220000000001</v>
      </c>
      <c r="M1499" s="362" t="s">
        <v>6171</v>
      </c>
      <c r="N1499" s="432" t="s">
        <v>3785</v>
      </c>
      <c r="O1499" s="433" t="s">
        <v>4120</v>
      </c>
      <c r="P1499" s="430" t="s">
        <v>3659</v>
      </c>
      <c r="Q1499" s="431">
        <v>0.2</v>
      </c>
      <c r="R1499" s="433">
        <v>1900001630</v>
      </c>
      <c r="S1499" s="444" t="s">
        <v>1839</v>
      </c>
      <c r="T1499" s="2" t="s">
        <v>5915</v>
      </c>
    </row>
    <row r="1500" spans="1:20" hidden="1" x14ac:dyDescent="0.35">
      <c r="A1500" s="432" t="s">
        <v>5020</v>
      </c>
      <c r="B1500" s="442" t="s">
        <v>1779</v>
      </c>
      <c r="C1500" s="443" t="s">
        <v>4974</v>
      </c>
      <c r="D1500" s="443" t="s">
        <v>4974</v>
      </c>
      <c r="E1500" s="443" t="s">
        <v>1840</v>
      </c>
      <c r="F1500" s="453">
        <v>2024300104</v>
      </c>
      <c r="G1500" s="453" t="s">
        <v>4840</v>
      </c>
      <c r="H1500" s="442" t="s">
        <v>4757</v>
      </c>
      <c r="I1500" s="362">
        <v>3404.2354400000004</v>
      </c>
      <c r="J1500" s="362">
        <f t="shared" si="110"/>
        <v>261.06100000000004</v>
      </c>
      <c r="K1500" s="362">
        <v>261.06100000000004</v>
      </c>
      <c r="L1500" s="362">
        <f t="shared" si="111"/>
        <v>52.21220000000001</v>
      </c>
      <c r="M1500" s="362" t="s">
        <v>6171</v>
      </c>
      <c r="N1500" s="432" t="s">
        <v>3785</v>
      </c>
      <c r="O1500" s="433" t="s">
        <v>4120</v>
      </c>
      <c r="P1500" s="430" t="s">
        <v>3659</v>
      </c>
      <c r="Q1500" s="431">
        <v>0.2</v>
      </c>
      <c r="R1500" s="433">
        <v>1900001630</v>
      </c>
      <c r="S1500" s="444" t="s">
        <v>1841</v>
      </c>
      <c r="T1500" s="2" t="s">
        <v>5915</v>
      </c>
    </row>
    <row r="1501" spans="1:20" hidden="1" x14ac:dyDescent="0.35">
      <c r="A1501" s="432" t="s">
        <v>5021</v>
      </c>
      <c r="B1501" s="442" t="s">
        <v>1779</v>
      </c>
      <c r="C1501" s="443" t="s">
        <v>4974</v>
      </c>
      <c r="D1501" s="443" t="s">
        <v>4974</v>
      </c>
      <c r="E1501" s="443" t="s">
        <v>1842</v>
      </c>
      <c r="F1501" s="453">
        <v>2024300104</v>
      </c>
      <c r="G1501" s="453" t="s">
        <v>4840</v>
      </c>
      <c r="H1501" s="442" t="s">
        <v>4757</v>
      </c>
      <c r="I1501" s="362">
        <v>3404.2354400000004</v>
      </c>
      <c r="J1501" s="362">
        <f t="shared" si="110"/>
        <v>261.06100000000004</v>
      </c>
      <c r="K1501" s="362">
        <v>261.06100000000004</v>
      </c>
      <c r="L1501" s="362">
        <f t="shared" si="111"/>
        <v>52.21220000000001</v>
      </c>
      <c r="M1501" s="362" t="s">
        <v>6171</v>
      </c>
      <c r="N1501" s="432" t="s">
        <v>3785</v>
      </c>
      <c r="O1501" s="433" t="s">
        <v>4120</v>
      </c>
      <c r="P1501" s="430" t="s">
        <v>3659</v>
      </c>
      <c r="Q1501" s="431">
        <v>0.2</v>
      </c>
      <c r="R1501" s="433">
        <v>1900001630</v>
      </c>
      <c r="S1501" s="444" t="s">
        <v>432</v>
      </c>
      <c r="T1501" s="2" t="s">
        <v>5915</v>
      </c>
    </row>
    <row r="1502" spans="1:20" hidden="1" x14ac:dyDescent="0.35">
      <c r="A1502" s="432" t="s">
        <v>5022</v>
      </c>
      <c r="B1502" s="442" t="s">
        <v>1779</v>
      </c>
      <c r="C1502" s="443" t="s">
        <v>4974</v>
      </c>
      <c r="D1502" s="443" t="s">
        <v>4974</v>
      </c>
      <c r="E1502" s="443" t="s">
        <v>1843</v>
      </c>
      <c r="F1502" s="453">
        <v>2024300104</v>
      </c>
      <c r="G1502" s="453" t="s">
        <v>4840</v>
      </c>
      <c r="H1502" s="442" t="s">
        <v>4757</v>
      </c>
      <c r="I1502" s="362">
        <v>3404.2354400000004</v>
      </c>
      <c r="J1502" s="362">
        <f t="shared" si="110"/>
        <v>261.06100000000004</v>
      </c>
      <c r="K1502" s="362">
        <v>261.06100000000004</v>
      </c>
      <c r="L1502" s="362">
        <f t="shared" si="111"/>
        <v>52.21220000000001</v>
      </c>
      <c r="M1502" s="362" t="s">
        <v>6171</v>
      </c>
      <c r="N1502" s="432" t="s">
        <v>3785</v>
      </c>
      <c r="O1502" s="433" t="s">
        <v>4120</v>
      </c>
      <c r="P1502" s="430" t="s">
        <v>3659</v>
      </c>
      <c r="Q1502" s="431">
        <v>0.2</v>
      </c>
      <c r="R1502" s="433">
        <v>1900001630</v>
      </c>
      <c r="S1502" s="444" t="s">
        <v>611</v>
      </c>
      <c r="T1502" s="2" t="s">
        <v>5915</v>
      </c>
    </row>
    <row r="1503" spans="1:20" hidden="1" x14ac:dyDescent="0.35">
      <c r="A1503" s="432" t="s">
        <v>5023</v>
      </c>
      <c r="B1503" s="442" t="s">
        <v>1779</v>
      </c>
      <c r="C1503" s="443" t="s">
        <v>4974</v>
      </c>
      <c r="D1503" s="443" t="s">
        <v>4974</v>
      </c>
      <c r="E1503" s="443" t="s">
        <v>1844</v>
      </c>
      <c r="F1503" s="453">
        <v>2024300104</v>
      </c>
      <c r="G1503" s="453" t="s">
        <v>4840</v>
      </c>
      <c r="H1503" s="442" t="s">
        <v>4757</v>
      </c>
      <c r="I1503" s="362">
        <v>3404.2354400000004</v>
      </c>
      <c r="J1503" s="362">
        <f t="shared" si="110"/>
        <v>261.06100000000004</v>
      </c>
      <c r="K1503" s="362">
        <v>261.06100000000004</v>
      </c>
      <c r="L1503" s="362">
        <f t="shared" si="111"/>
        <v>52.21220000000001</v>
      </c>
      <c r="M1503" s="362" t="s">
        <v>6171</v>
      </c>
      <c r="N1503" s="432" t="s">
        <v>3785</v>
      </c>
      <c r="O1503" s="433" t="s">
        <v>4120</v>
      </c>
      <c r="P1503" s="430" t="s">
        <v>3659</v>
      </c>
      <c r="Q1503" s="431">
        <v>0.2</v>
      </c>
      <c r="R1503" s="433">
        <v>1900001630</v>
      </c>
      <c r="S1503" s="444" t="s">
        <v>625</v>
      </c>
      <c r="T1503" s="2" t="s">
        <v>5915</v>
      </c>
    </row>
    <row r="1504" spans="1:20" hidden="1" x14ac:dyDescent="0.35">
      <c r="A1504" s="432" t="s">
        <v>5024</v>
      </c>
      <c r="B1504" s="442" t="s">
        <v>1779</v>
      </c>
      <c r="C1504" s="443" t="s">
        <v>4974</v>
      </c>
      <c r="D1504" s="443" t="s">
        <v>4974</v>
      </c>
      <c r="E1504" s="443" t="s">
        <v>1845</v>
      </c>
      <c r="F1504" s="453">
        <v>2024300104</v>
      </c>
      <c r="G1504" s="453" t="s">
        <v>4840</v>
      </c>
      <c r="H1504" s="442" t="s">
        <v>4757</v>
      </c>
      <c r="I1504" s="362">
        <v>3404.2354400000004</v>
      </c>
      <c r="J1504" s="362">
        <f t="shared" si="110"/>
        <v>261.06100000000004</v>
      </c>
      <c r="K1504" s="362">
        <v>261.06100000000004</v>
      </c>
      <c r="L1504" s="362">
        <f t="shared" si="111"/>
        <v>52.21220000000001</v>
      </c>
      <c r="M1504" s="362" t="s">
        <v>6171</v>
      </c>
      <c r="N1504" s="432" t="s">
        <v>3785</v>
      </c>
      <c r="O1504" s="433" t="s">
        <v>4120</v>
      </c>
      <c r="P1504" s="430" t="s">
        <v>3659</v>
      </c>
      <c r="Q1504" s="431">
        <v>0.2</v>
      </c>
      <c r="R1504" s="433">
        <v>1900001630</v>
      </c>
      <c r="S1504" s="444" t="s">
        <v>623</v>
      </c>
      <c r="T1504" s="2" t="s">
        <v>5915</v>
      </c>
    </row>
    <row r="1505" spans="1:20" hidden="1" x14ac:dyDescent="0.35">
      <c r="A1505" s="432" t="s">
        <v>5025</v>
      </c>
      <c r="B1505" s="442" t="s">
        <v>1779</v>
      </c>
      <c r="C1505" s="443" t="s">
        <v>4974</v>
      </c>
      <c r="D1505" s="443" t="s">
        <v>4974</v>
      </c>
      <c r="E1505" s="443" t="s">
        <v>1846</v>
      </c>
      <c r="F1505" s="453">
        <v>2024300104</v>
      </c>
      <c r="G1505" s="453" t="s">
        <v>4840</v>
      </c>
      <c r="H1505" s="442" t="s">
        <v>4757</v>
      </c>
      <c r="I1505" s="362">
        <v>3404.2354400000004</v>
      </c>
      <c r="J1505" s="362">
        <f t="shared" si="110"/>
        <v>261.06100000000004</v>
      </c>
      <c r="K1505" s="362">
        <v>261.06100000000004</v>
      </c>
      <c r="L1505" s="362">
        <f t="shared" si="111"/>
        <v>52.21220000000001</v>
      </c>
      <c r="M1505" s="362" t="s">
        <v>6171</v>
      </c>
      <c r="N1505" s="432" t="s">
        <v>3785</v>
      </c>
      <c r="O1505" s="433" t="s">
        <v>4120</v>
      </c>
      <c r="P1505" s="430" t="s">
        <v>3659</v>
      </c>
      <c r="Q1505" s="431">
        <v>0.2</v>
      </c>
      <c r="R1505" s="433">
        <v>1900001630</v>
      </c>
      <c r="S1505" s="444" t="s">
        <v>1847</v>
      </c>
      <c r="T1505" s="2" t="s">
        <v>5915</v>
      </c>
    </row>
    <row r="1506" spans="1:20" hidden="1" x14ac:dyDescent="0.35">
      <c r="A1506" s="432" t="s">
        <v>5026</v>
      </c>
      <c r="B1506" s="442" t="s">
        <v>1779</v>
      </c>
      <c r="C1506" s="443" t="s">
        <v>4974</v>
      </c>
      <c r="D1506" s="443" t="s">
        <v>4974</v>
      </c>
      <c r="E1506" s="443" t="s">
        <v>1848</v>
      </c>
      <c r="F1506" s="453">
        <v>2024300104</v>
      </c>
      <c r="G1506" s="453" t="s">
        <v>4840</v>
      </c>
      <c r="H1506" s="442" t="s">
        <v>4757</v>
      </c>
      <c r="I1506" s="362">
        <v>3404.2354400000004</v>
      </c>
      <c r="J1506" s="362">
        <f t="shared" si="110"/>
        <v>261.06100000000004</v>
      </c>
      <c r="K1506" s="362">
        <v>261.06100000000004</v>
      </c>
      <c r="L1506" s="362">
        <f t="shared" si="111"/>
        <v>52.21220000000001</v>
      </c>
      <c r="M1506" s="362" t="s">
        <v>6171</v>
      </c>
      <c r="N1506" s="432" t="s">
        <v>3785</v>
      </c>
      <c r="O1506" s="433" t="s">
        <v>4120</v>
      </c>
      <c r="P1506" s="430" t="s">
        <v>3659</v>
      </c>
      <c r="Q1506" s="431">
        <v>0.2</v>
      </c>
      <c r="R1506" s="433">
        <v>1900001630</v>
      </c>
      <c r="S1506" s="444" t="s">
        <v>480</v>
      </c>
      <c r="T1506" s="2" t="s">
        <v>5915</v>
      </c>
    </row>
    <row r="1507" spans="1:20" hidden="1" x14ac:dyDescent="0.35">
      <c r="A1507" s="432" t="s">
        <v>5027</v>
      </c>
      <c r="B1507" s="442" t="s">
        <v>1779</v>
      </c>
      <c r="C1507" s="443" t="s">
        <v>4974</v>
      </c>
      <c r="D1507" s="443" t="s">
        <v>4974</v>
      </c>
      <c r="E1507" s="443" t="s">
        <v>1849</v>
      </c>
      <c r="F1507" s="453">
        <v>2024300104</v>
      </c>
      <c r="G1507" s="453" t="s">
        <v>4840</v>
      </c>
      <c r="H1507" s="442" t="s">
        <v>4757</v>
      </c>
      <c r="I1507" s="362">
        <v>3404.2354400000004</v>
      </c>
      <c r="J1507" s="362">
        <f t="shared" si="110"/>
        <v>261.06100000000004</v>
      </c>
      <c r="K1507" s="362">
        <v>261.06100000000004</v>
      </c>
      <c r="L1507" s="362">
        <f t="shared" si="111"/>
        <v>52.21220000000001</v>
      </c>
      <c r="M1507" s="362" t="s">
        <v>6171</v>
      </c>
      <c r="N1507" s="432" t="s">
        <v>3785</v>
      </c>
      <c r="O1507" s="433" t="s">
        <v>4120</v>
      </c>
      <c r="P1507" s="430" t="s">
        <v>3659</v>
      </c>
      <c r="Q1507" s="431">
        <v>0.2</v>
      </c>
      <c r="R1507" s="433">
        <v>1900001630</v>
      </c>
      <c r="S1507" s="444" t="s">
        <v>1850</v>
      </c>
      <c r="T1507" s="2" t="s">
        <v>5915</v>
      </c>
    </row>
    <row r="1508" spans="1:20" hidden="1" x14ac:dyDescent="0.35">
      <c r="A1508" s="432" t="s">
        <v>5028</v>
      </c>
      <c r="B1508" s="442" t="s">
        <v>1779</v>
      </c>
      <c r="C1508" s="443" t="s">
        <v>4974</v>
      </c>
      <c r="D1508" s="443" t="s">
        <v>4974</v>
      </c>
      <c r="E1508" s="443" t="s">
        <v>1851</v>
      </c>
      <c r="F1508" s="453">
        <v>2024300104</v>
      </c>
      <c r="G1508" s="453" t="s">
        <v>4840</v>
      </c>
      <c r="H1508" s="442" t="s">
        <v>4757</v>
      </c>
      <c r="I1508" s="362">
        <v>3404.2354400000004</v>
      </c>
      <c r="J1508" s="362">
        <f t="shared" si="110"/>
        <v>261.06100000000004</v>
      </c>
      <c r="K1508" s="362">
        <v>261.06100000000004</v>
      </c>
      <c r="L1508" s="362">
        <f t="shared" si="111"/>
        <v>52.21220000000001</v>
      </c>
      <c r="M1508" s="362" t="s">
        <v>6171</v>
      </c>
      <c r="N1508" s="432" t="s">
        <v>3785</v>
      </c>
      <c r="O1508" s="433" t="s">
        <v>4120</v>
      </c>
      <c r="P1508" s="430" t="s">
        <v>3659</v>
      </c>
      <c r="Q1508" s="431">
        <v>0.2</v>
      </c>
      <c r="R1508" s="433">
        <v>1900001630</v>
      </c>
      <c r="S1508" s="444" t="s">
        <v>1341</v>
      </c>
      <c r="T1508" s="2" t="s">
        <v>5915</v>
      </c>
    </row>
    <row r="1509" spans="1:20" hidden="1" x14ac:dyDescent="0.35">
      <c r="A1509" s="432" t="s">
        <v>5029</v>
      </c>
      <c r="B1509" s="442" t="s">
        <v>1779</v>
      </c>
      <c r="C1509" s="443" t="s">
        <v>4974</v>
      </c>
      <c r="D1509" s="443" t="s">
        <v>4974</v>
      </c>
      <c r="E1509" s="443" t="s">
        <v>1852</v>
      </c>
      <c r="F1509" s="453">
        <v>2024300104</v>
      </c>
      <c r="G1509" s="453" t="s">
        <v>4840</v>
      </c>
      <c r="H1509" s="442" t="s">
        <v>4757</v>
      </c>
      <c r="I1509" s="362">
        <v>3404.2354400000004</v>
      </c>
      <c r="J1509" s="362">
        <f t="shared" si="110"/>
        <v>261.06100000000004</v>
      </c>
      <c r="K1509" s="362">
        <v>261.06100000000004</v>
      </c>
      <c r="L1509" s="362">
        <f t="shared" si="111"/>
        <v>52.21220000000001</v>
      </c>
      <c r="M1509" s="362" t="s">
        <v>6171</v>
      </c>
      <c r="N1509" s="432" t="s">
        <v>3785</v>
      </c>
      <c r="O1509" s="433" t="s">
        <v>4120</v>
      </c>
      <c r="P1509" s="430" t="s">
        <v>3659</v>
      </c>
      <c r="Q1509" s="431">
        <v>0.2</v>
      </c>
      <c r="R1509" s="433">
        <v>1900001630</v>
      </c>
      <c r="S1509" s="444" t="s">
        <v>644</v>
      </c>
      <c r="T1509" s="2" t="s">
        <v>5915</v>
      </c>
    </row>
    <row r="1510" spans="1:20" hidden="1" x14ac:dyDescent="0.35">
      <c r="A1510" s="432" t="s">
        <v>5030</v>
      </c>
      <c r="B1510" s="442" t="s">
        <v>1779</v>
      </c>
      <c r="C1510" s="443" t="s">
        <v>4974</v>
      </c>
      <c r="D1510" s="443" t="s">
        <v>4974</v>
      </c>
      <c r="E1510" s="443" t="s">
        <v>1853</v>
      </c>
      <c r="F1510" s="453">
        <v>2024300104</v>
      </c>
      <c r="G1510" s="453" t="s">
        <v>4840</v>
      </c>
      <c r="H1510" s="442" t="s">
        <v>4757</v>
      </c>
      <c r="I1510" s="362">
        <v>3404.2354400000004</v>
      </c>
      <c r="J1510" s="362">
        <f t="shared" si="110"/>
        <v>261.06100000000004</v>
      </c>
      <c r="K1510" s="362">
        <v>261.06100000000004</v>
      </c>
      <c r="L1510" s="362">
        <f t="shared" si="111"/>
        <v>52.21220000000001</v>
      </c>
      <c r="M1510" s="362" t="s">
        <v>6171</v>
      </c>
      <c r="N1510" s="432" t="s">
        <v>3785</v>
      </c>
      <c r="O1510" s="433" t="s">
        <v>4120</v>
      </c>
      <c r="P1510" s="430" t="s">
        <v>3659</v>
      </c>
      <c r="Q1510" s="431">
        <v>0.2</v>
      </c>
      <c r="R1510" s="433">
        <v>1900001630</v>
      </c>
      <c r="S1510" s="444" t="s">
        <v>693</v>
      </c>
      <c r="T1510" s="2" t="s">
        <v>5915</v>
      </c>
    </row>
    <row r="1511" spans="1:20" hidden="1" x14ac:dyDescent="0.35">
      <c r="A1511" s="432" t="s">
        <v>5031</v>
      </c>
      <c r="B1511" s="442" t="s">
        <v>1779</v>
      </c>
      <c r="C1511" s="443" t="s">
        <v>4974</v>
      </c>
      <c r="D1511" s="443" t="s">
        <v>4974</v>
      </c>
      <c r="E1511" s="443" t="s">
        <v>1854</v>
      </c>
      <c r="F1511" s="453">
        <v>2024300104</v>
      </c>
      <c r="G1511" s="453" t="s">
        <v>4840</v>
      </c>
      <c r="H1511" s="442" t="s">
        <v>4757</v>
      </c>
      <c r="I1511" s="362">
        <v>3404.2354400000004</v>
      </c>
      <c r="J1511" s="362">
        <f t="shared" si="110"/>
        <v>261.06100000000004</v>
      </c>
      <c r="K1511" s="362">
        <v>261.06100000000004</v>
      </c>
      <c r="L1511" s="362">
        <f t="shared" si="111"/>
        <v>52.21220000000001</v>
      </c>
      <c r="M1511" s="362" t="s">
        <v>6171</v>
      </c>
      <c r="N1511" s="432" t="s">
        <v>3785</v>
      </c>
      <c r="O1511" s="433" t="s">
        <v>4120</v>
      </c>
      <c r="P1511" s="430" t="s">
        <v>3659</v>
      </c>
      <c r="Q1511" s="431">
        <v>0.2</v>
      </c>
      <c r="R1511" s="433">
        <v>1900001630</v>
      </c>
      <c r="S1511" s="444" t="s">
        <v>1855</v>
      </c>
      <c r="T1511" s="2" t="s">
        <v>5915</v>
      </c>
    </row>
    <row r="1512" spans="1:20" hidden="1" x14ac:dyDescent="0.35">
      <c r="A1512" s="432" t="s">
        <v>5032</v>
      </c>
      <c r="B1512" s="442" t="s">
        <v>1779</v>
      </c>
      <c r="C1512" s="443" t="s">
        <v>4974</v>
      </c>
      <c r="D1512" s="443" t="s">
        <v>4974</v>
      </c>
      <c r="E1512" s="443" t="s">
        <v>1856</v>
      </c>
      <c r="F1512" s="453">
        <v>2024300104</v>
      </c>
      <c r="G1512" s="453" t="s">
        <v>4840</v>
      </c>
      <c r="H1512" s="442" t="s">
        <v>4757</v>
      </c>
      <c r="I1512" s="362">
        <v>3404.2354400000004</v>
      </c>
      <c r="J1512" s="362">
        <f t="shared" si="110"/>
        <v>261.06100000000004</v>
      </c>
      <c r="K1512" s="362">
        <v>261.06100000000004</v>
      </c>
      <c r="L1512" s="362">
        <f t="shared" si="111"/>
        <v>52.21220000000001</v>
      </c>
      <c r="M1512" s="362" t="s">
        <v>6171</v>
      </c>
      <c r="N1512" s="432" t="s">
        <v>3785</v>
      </c>
      <c r="O1512" s="433" t="s">
        <v>4120</v>
      </c>
      <c r="P1512" s="430" t="s">
        <v>3659</v>
      </c>
      <c r="Q1512" s="431">
        <v>0.2</v>
      </c>
      <c r="R1512" s="433">
        <v>1900001630</v>
      </c>
      <c r="S1512" s="444" t="s">
        <v>359</v>
      </c>
      <c r="T1512" s="2" t="s">
        <v>5915</v>
      </c>
    </row>
    <row r="1513" spans="1:20" hidden="1" x14ac:dyDescent="0.35">
      <c r="A1513" s="432" t="s">
        <v>5033</v>
      </c>
      <c r="B1513" s="442" t="s">
        <v>1779</v>
      </c>
      <c r="C1513" s="443" t="s">
        <v>4974</v>
      </c>
      <c r="D1513" s="443" t="s">
        <v>4974</v>
      </c>
      <c r="E1513" s="443" t="s">
        <v>1857</v>
      </c>
      <c r="F1513" s="453">
        <v>2024300104</v>
      </c>
      <c r="G1513" s="453" t="s">
        <v>4840</v>
      </c>
      <c r="H1513" s="442" t="s">
        <v>4757</v>
      </c>
      <c r="I1513" s="362">
        <v>3404.2354400000004</v>
      </c>
      <c r="J1513" s="362">
        <f t="shared" si="110"/>
        <v>261.06100000000004</v>
      </c>
      <c r="K1513" s="362">
        <v>261.06100000000004</v>
      </c>
      <c r="L1513" s="362">
        <f t="shared" si="111"/>
        <v>52.21220000000001</v>
      </c>
      <c r="M1513" s="362" t="s">
        <v>6171</v>
      </c>
      <c r="N1513" s="432" t="s">
        <v>3785</v>
      </c>
      <c r="O1513" s="433" t="s">
        <v>4120</v>
      </c>
      <c r="P1513" s="430" t="s">
        <v>3659</v>
      </c>
      <c r="Q1513" s="431">
        <v>0.2</v>
      </c>
      <c r="R1513" s="433">
        <v>1900001630</v>
      </c>
      <c r="S1513" s="444" t="s">
        <v>1223</v>
      </c>
      <c r="T1513" s="2" t="s">
        <v>5915</v>
      </c>
    </row>
    <row r="1514" spans="1:20" hidden="1" x14ac:dyDescent="0.35">
      <c r="A1514" s="432" t="s">
        <v>5034</v>
      </c>
      <c r="B1514" s="442" t="s">
        <v>1779</v>
      </c>
      <c r="C1514" s="443" t="s">
        <v>4974</v>
      </c>
      <c r="D1514" s="443" t="s">
        <v>4974</v>
      </c>
      <c r="E1514" s="443" t="s">
        <v>1858</v>
      </c>
      <c r="F1514" s="453">
        <v>2024300104</v>
      </c>
      <c r="G1514" s="453" t="s">
        <v>4840</v>
      </c>
      <c r="H1514" s="442" t="s">
        <v>4757</v>
      </c>
      <c r="I1514" s="362">
        <v>3404.2354400000004</v>
      </c>
      <c r="J1514" s="362">
        <f t="shared" si="110"/>
        <v>261.06100000000004</v>
      </c>
      <c r="K1514" s="362">
        <v>261.06100000000004</v>
      </c>
      <c r="L1514" s="362">
        <f t="shared" si="111"/>
        <v>52.21220000000001</v>
      </c>
      <c r="M1514" s="362" t="s">
        <v>6171</v>
      </c>
      <c r="N1514" s="432" t="s">
        <v>3785</v>
      </c>
      <c r="O1514" s="433" t="s">
        <v>4120</v>
      </c>
      <c r="P1514" s="430" t="s">
        <v>3659</v>
      </c>
      <c r="Q1514" s="431">
        <v>0.2</v>
      </c>
      <c r="R1514" s="433">
        <v>1900001630</v>
      </c>
      <c r="S1514" s="444" t="s">
        <v>6213</v>
      </c>
      <c r="T1514" s="2" t="s">
        <v>5915</v>
      </c>
    </row>
    <row r="1515" spans="1:20" hidden="1" x14ac:dyDescent="0.35">
      <c r="A1515" s="432" t="s">
        <v>5035</v>
      </c>
      <c r="B1515" s="442" t="s">
        <v>1779</v>
      </c>
      <c r="C1515" s="443" t="s">
        <v>4974</v>
      </c>
      <c r="D1515" s="443" t="s">
        <v>4974</v>
      </c>
      <c r="E1515" s="443" t="s">
        <v>1859</v>
      </c>
      <c r="F1515" s="453">
        <v>2024300104</v>
      </c>
      <c r="G1515" s="453" t="s">
        <v>4840</v>
      </c>
      <c r="H1515" s="442" t="s">
        <v>4757</v>
      </c>
      <c r="I1515" s="362">
        <v>3404.2354400000004</v>
      </c>
      <c r="J1515" s="362">
        <f t="shared" si="110"/>
        <v>261.06100000000004</v>
      </c>
      <c r="K1515" s="362">
        <v>261.06100000000004</v>
      </c>
      <c r="L1515" s="362">
        <f t="shared" si="111"/>
        <v>52.21220000000001</v>
      </c>
      <c r="M1515" s="362" t="s">
        <v>6171</v>
      </c>
      <c r="N1515" s="432" t="s">
        <v>3785</v>
      </c>
      <c r="O1515" s="433" t="s">
        <v>4120</v>
      </c>
      <c r="P1515" s="430" t="s">
        <v>3659</v>
      </c>
      <c r="Q1515" s="431">
        <v>0.2</v>
      </c>
      <c r="R1515" s="433">
        <v>1900001630</v>
      </c>
      <c r="S1515" s="444" t="s">
        <v>775</v>
      </c>
      <c r="T1515" s="2" t="s">
        <v>5915</v>
      </c>
    </row>
    <row r="1516" spans="1:20" hidden="1" x14ac:dyDescent="0.35">
      <c r="A1516" s="432" t="s">
        <v>5036</v>
      </c>
      <c r="B1516" s="442" t="s">
        <v>1779</v>
      </c>
      <c r="C1516" s="443" t="s">
        <v>4974</v>
      </c>
      <c r="D1516" s="443" t="s">
        <v>4974</v>
      </c>
      <c r="E1516" s="443" t="s">
        <v>1860</v>
      </c>
      <c r="F1516" s="453">
        <v>2024300104</v>
      </c>
      <c r="G1516" s="453" t="s">
        <v>4840</v>
      </c>
      <c r="H1516" s="442" t="s">
        <v>4757</v>
      </c>
      <c r="I1516" s="362">
        <v>3404.2354400000004</v>
      </c>
      <c r="J1516" s="362">
        <f t="shared" si="110"/>
        <v>261.06100000000004</v>
      </c>
      <c r="K1516" s="362">
        <v>261.06100000000004</v>
      </c>
      <c r="L1516" s="362">
        <f t="shared" si="111"/>
        <v>52.21220000000001</v>
      </c>
      <c r="M1516" s="362" t="s">
        <v>6171</v>
      </c>
      <c r="N1516" s="432" t="s">
        <v>3785</v>
      </c>
      <c r="O1516" s="433" t="s">
        <v>4120</v>
      </c>
      <c r="P1516" s="430" t="s">
        <v>3659</v>
      </c>
      <c r="Q1516" s="431">
        <v>0.2</v>
      </c>
      <c r="R1516" s="433">
        <v>1900001630</v>
      </c>
      <c r="S1516" s="866" t="s">
        <v>598</v>
      </c>
      <c r="T1516" s="2" t="s">
        <v>5915</v>
      </c>
    </row>
    <row r="1517" spans="1:20" hidden="1" x14ac:dyDescent="0.35">
      <c r="A1517" s="432" t="s">
        <v>5037</v>
      </c>
      <c r="B1517" s="442" t="s">
        <v>1779</v>
      </c>
      <c r="C1517" s="443" t="s">
        <v>4974</v>
      </c>
      <c r="D1517" s="443" t="s">
        <v>4974</v>
      </c>
      <c r="E1517" s="443" t="s">
        <v>1861</v>
      </c>
      <c r="F1517" s="453">
        <v>2024300104</v>
      </c>
      <c r="G1517" s="453" t="s">
        <v>4840</v>
      </c>
      <c r="H1517" s="442" t="s">
        <v>4757</v>
      </c>
      <c r="I1517" s="362">
        <v>3404.2354400000004</v>
      </c>
      <c r="J1517" s="362">
        <f t="shared" si="110"/>
        <v>261.06100000000004</v>
      </c>
      <c r="K1517" s="362">
        <v>261.06100000000004</v>
      </c>
      <c r="L1517" s="362">
        <f t="shared" si="111"/>
        <v>52.21220000000001</v>
      </c>
      <c r="M1517" s="362" t="s">
        <v>6171</v>
      </c>
      <c r="N1517" s="432" t="s">
        <v>3785</v>
      </c>
      <c r="O1517" s="433" t="s">
        <v>4120</v>
      </c>
      <c r="P1517" s="430" t="s">
        <v>3659</v>
      </c>
      <c r="Q1517" s="431">
        <v>0.2</v>
      </c>
      <c r="R1517" s="433">
        <v>1900001630</v>
      </c>
      <c r="S1517" s="444" t="s">
        <v>6335</v>
      </c>
      <c r="T1517" s="2" t="s">
        <v>5915</v>
      </c>
    </row>
    <row r="1518" spans="1:20" hidden="1" x14ac:dyDescent="0.35">
      <c r="A1518" s="432" t="s">
        <v>5038</v>
      </c>
      <c r="B1518" s="442" t="s">
        <v>1779</v>
      </c>
      <c r="C1518" s="443" t="s">
        <v>4974</v>
      </c>
      <c r="D1518" s="443" t="s">
        <v>4974</v>
      </c>
      <c r="E1518" s="443" t="s">
        <v>1862</v>
      </c>
      <c r="F1518" s="453">
        <v>2024300104</v>
      </c>
      <c r="G1518" s="453" t="s">
        <v>4840</v>
      </c>
      <c r="H1518" s="442" t="s">
        <v>4757</v>
      </c>
      <c r="I1518" s="362">
        <v>3404.2354400000004</v>
      </c>
      <c r="J1518" s="362">
        <f t="shared" si="110"/>
        <v>261.06100000000004</v>
      </c>
      <c r="K1518" s="362">
        <v>261.06100000000004</v>
      </c>
      <c r="L1518" s="362">
        <f t="shared" si="111"/>
        <v>52.21220000000001</v>
      </c>
      <c r="M1518" s="362" t="s">
        <v>6171</v>
      </c>
      <c r="N1518" s="432" t="s">
        <v>3785</v>
      </c>
      <c r="O1518" s="433" t="s">
        <v>4120</v>
      </c>
      <c r="P1518" s="430" t="s">
        <v>3659</v>
      </c>
      <c r="Q1518" s="431">
        <v>0.2</v>
      </c>
      <c r="R1518" s="433">
        <v>1900001630</v>
      </c>
      <c r="S1518" s="444" t="s">
        <v>6216</v>
      </c>
      <c r="T1518" s="2" t="s">
        <v>5915</v>
      </c>
    </row>
    <row r="1519" spans="1:20" hidden="1" x14ac:dyDescent="0.35">
      <c r="A1519" s="432" t="s">
        <v>5039</v>
      </c>
      <c r="B1519" s="442" t="s">
        <v>1779</v>
      </c>
      <c r="C1519" s="443" t="s">
        <v>4974</v>
      </c>
      <c r="D1519" s="443" t="s">
        <v>4974</v>
      </c>
      <c r="E1519" s="443" t="s">
        <v>1863</v>
      </c>
      <c r="F1519" s="453">
        <v>2024300104</v>
      </c>
      <c r="G1519" s="453" t="s">
        <v>4840</v>
      </c>
      <c r="H1519" s="442" t="s">
        <v>4757</v>
      </c>
      <c r="I1519" s="362">
        <v>3404.2354400000004</v>
      </c>
      <c r="J1519" s="362">
        <f t="shared" ref="J1519:J1533" si="112">20884.88/80</f>
        <v>261.06100000000004</v>
      </c>
      <c r="K1519" s="362">
        <v>261.06100000000004</v>
      </c>
      <c r="L1519" s="362">
        <f t="shared" ref="L1519:L1632" si="113">+K1519*Q1519</f>
        <v>52.21220000000001</v>
      </c>
      <c r="M1519" s="362" t="s">
        <v>6171</v>
      </c>
      <c r="N1519" s="432" t="s">
        <v>3785</v>
      </c>
      <c r="O1519" s="433" t="s">
        <v>4120</v>
      </c>
      <c r="P1519" s="430" t="s">
        <v>3659</v>
      </c>
      <c r="Q1519" s="431">
        <v>0.2</v>
      </c>
      <c r="R1519" s="433">
        <v>1900001630</v>
      </c>
      <c r="S1519" s="444" t="s">
        <v>634</v>
      </c>
      <c r="T1519" s="2" t="s">
        <v>5915</v>
      </c>
    </row>
    <row r="1520" spans="1:20" hidden="1" x14ac:dyDescent="0.35">
      <c r="A1520" s="432" t="s">
        <v>5040</v>
      </c>
      <c r="B1520" s="442" t="s">
        <v>1779</v>
      </c>
      <c r="C1520" s="443" t="s">
        <v>4974</v>
      </c>
      <c r="D1520" s="443" t="s">
        <v>4974</v>
      </c>
      <c r="E1520" s="443" t="s">
        <v>1864</v>
      </c>
      <c r="F1520" s="453">
        <v>2024300104</v>
      </c>
      <c r="G1520" s="453" t="s">
        <v>4840</v>
      </c>
      <c r="H1520" s="442" t="s">
        <v>4757</v>
      </c>
      <c r="I1520" s="362">
        <v>3404.2354400000004</v>
      </c>
      <c r="J1520" s="362">
        <f t="shared" si="112"/>
        <v>261.06100000000004</v>
      </c>
      <c r="K1520" s="362">
        <v>261.06100000000004</v>
      </c>
      <c r="L1520" s="362">
        <f t="shared" si="113"/>
        <v>52.21220000000001</v>
      </c>
      <c r="M1520" s="362" t="s">
        <v>6171</v>
      </c>
      <c r="N1520" s="432" t="s">
        <v>3785</v>
      </c>
      <c r="O1520" s="433" t="s">
        <v>4120</v>
      </c>
      <c r="P1520" s="430" t="s">
        <v>3659</v>
      </c>
      <c r="Q1520" s="431">
        <v>0.2</v>
      </c>
      <c r="R1520" s="433">
        <v>1900001630</v>
      </c>
      <c r="S1520" s="444" t="s">
        <v>509</v>
      </c>
      <c r="T1520" s="2" t="s">
        <v>5915</v>
      </c>
    </row>
    <row r="1521" spans="1:20" hidden="1" x14ac:dyDescent="0.35">
      <c r="A1521" s="432" t="s">
        <v>5041</v>
      </c>
      <c r="B1521" s="442" t="s">
        <v>1779</v>
      </c>
      <c r="C1521" s="443" t="s">
        <v>4974</v>
      </c>
      <c r="D1521" s="443" t="s">
        <v>4974</v>
      </c>
      <c r="E1521" s="443" t="s">
        <v>1865</v>
      </c>
      <c r="F1521" s="453">
        <v>2024300104</v>
      </c>
      <c r="G1521" s="453" t="s">
        <v>4840</v>
      </c>
      <c r="H1521" s="442" t="s">
        <v>4757</v>
      </c>
      <c r="I1521" s="362">
        <v>3404.2354400000004</v>
      </c>
      <c r="J1521" s="362">
        <f t="shared" si="112"/>
        <v>261.06100000000004</v>
      </c>
      <c r="K1521" s="362">
        <v>261.06100000000004</v>
      </c>
      <c r="L1521" s="362">
        <f t="shared" si="113"/>
        <v>52.21220000000001</v>
      </c>
      <c r="M1521" s="362" t="s">
        <v>6171</v>
      </c>
      <c r="N1521" s="432" t="s">
        <v>3785</v>
      </c>
      <c r="O1521" s="433" t="s">
        <v>4120</v>
      </c>
      <c r="P1521" s="430" t="s">
        <v>3659</v>
      </c>
      <c r="Q1521" s="431">
        <v>0.2</v>
      </c>
      <c r="R1521" s="433">
        <v>1900001630</v>
      </c>
      <c r="S1521" s="444" t="s">
        <v>509</v>
      </c>
      <c r="T1521" s="2" t="s">
        <v>5915</v>
      </c>
    </row>
    <row r="1522" spans="1:20" hidden="1" x14ac:dyDescent="0.35">
      <c r="A1522" s="432" t="s">
        <v>5042</v>
      </c>
      <c r="B1522" s="442" t="s">
        <v>1779</v>
      </c>
      <c r="C1522" s="443" t="s">
        <v>4974</v>
      </c>
      <c r="D1522" s="443" t="s">
        <v>4974</v>
      </c>
      <c r="E1522" s="443" t="s">
        <v>1866</v>
      </c>
      <c r="F1522" s="453">
        <v>2024300104</v>
      </c>
      <c r="G1522" s="453" t="s">
        <v>4840</v>
      </c>
      <c r="H1522" s="442" t="s">
        <v>4757</v>
      </c>
      <c r="I1522" s="362">
        <v>3404.2354400000004</v>
      </c>
      <c r="J1522" s="362">
        <f t="shared" si="112"/>
        <v>261.06100000000004</v>
      </c>
      <c r="K1522" s="362">
        <v>261.06100000000004</v>
      </c>
      <c r="L1522" s="362">
        <f t="shared" si="113"/>
        <v>52.21220000000001</v>
      </c>
      <c r="M1522" s="362" t="s">
        <v>6171</v>
      </c>
      <c r="N1522" s="432" t="s">
        <v>3785</v>
      </c>
      <c r="O1522" s="433" t="s">
        <v>4120</v>
      </c>
      <c r="P1522" s="430" t="s">
        <v>3659</v>
      </c>
      <c r="Q1522" s="431">
        <v>0.2</v>
      </c>
      <c r="R1522" s="433">
        <v>1900001630</v>
      </c>
      <c r="S1522" s="444" t="s">
        <v>6220</v>
      </c>
      <c r="T1522" s="2" t="s">
        <v>5915</v>
      </c>
    </row>
    <row r="1523" spans="1:20" hidden="1" x14ac:dyDescent="0.35">
      <c r="A1523" s="432" t="s">
        <v>5043</v>
      </c>
      <c r="B1523" s="442" t="s">
        <v>1779</v>
      </c>
      <c r="C1523" s="443" t="s">
        <v>4974</v>
      </c>
      <c r="D1523" s="443" t="s">
        <v>4974</v>
      </c>
      <c r="E1523" s="443" t="s">
        <v>1867</v>
      </c>
      <c r="F1523" s="453">
        <v>2024300104</v>
      </c>
      <c r="G1523" s="453" t="s">
        <v>4840</v>
      </c>
      <c r="H1523" s="442" t="s">
        <v>4757</v>
      </c>
      <c r="I1523" s="362">
        <v>3404.2354400000004</v>
      </c>
      <c r="J1523" s="362">
        <f t="shared" si="112"/>
        <v>261.06100000000004</v>
      </c>
      <c r="K1523" s="362">
        <v>261.06100000000004</v>
      </c>
      <c r="L1523" s="362">
        <f t="shared" si="113"/>
        <v>52.21220000000001</v>
      </c>
      <c r="M1523" s="362" t="s">
        <v>6171</v>
      </c>
      <c r="N1523" s="432" t="s">
        <v>3785</v>
      </c>
      <c r="O1523" s="433" t="s">
        <v>4120</v>
      </c>
      <c r="P1523" s="430" t="s">
        <v>3659</v>
      </c>
      <c r="Q1523" s="431">
        <v>0.2</v>
      </c>
      <c r="R1523" s="433">
        <v>1900001630</v>
      </c>
      <c r="S1523" s="92" t="s">
        <v>658</v>
      </c>
      <c r="T1523" s="2" t="s">
        <v>5915</v>
      </c>
    </row>
    <row r="1524" spans="1:20" hidden="1" x14ac:dyDescent="0.35">
      <c r="A1524" s="432" t="s">
        <v>5044</v>
      </c>
      <c r="B1524" s="442" t="s">
        <v>1779</v>
      </c>
      <c r="C1524" s="443" t="s">
        <v>4974</v>
      </c>
      <c r="D1524" s="443" t="s">
        <v>4974</v>
      </c>
      <c r="E1524" s="443" t="s">
        <v>1868</v>
      </c>
      <c r="F1524" s="453">
        <v>2024300104</v>
      </c>
      <c r="G1524" s="453" t="s">
        <v>4840</v>
      </c>
      <c r="H1524" s="442" t="s">
        <v>4757</v>
      </c>
      <c r="I1524" s="362">
        <v>3404.2354400000004</v>
      </c>
      <c r="J1524" s="362">
        <f t="shared" si="112"/>
        <v>261.06100000000004</v>
      </c>
      <c r="K1524" s="362">
        <v>261.06100000000004</v>
      </c>
      <c r="L1524" s="362">
        <f t="shared" si="113"/>
        <v>52.21220000000001</v>
      </c>
      <c r="M1524" s="362" t="s">
        <v>6171</v>
      </c>
      <c r="N1524" s="432" t="s">
        <v>3785</v>
      </c>
      <c r="O1524" s="433" t="s">
        <v>4120</v>
      </c>
      <c r="P1524" s="430" t="s">
        <v>3659</v>
      </c>
      <c r="Q1524" s="431">
        <v>0.2</v>
      </c>
      <c r="R1524" s="433">
        <v>1900001630</v>
      </c>
      <c r="S1524" s="867" t="s">
        <v>6337</v>
      </c>
      <c r="T1524" s="2" t="s">
        <v>5915</v>
      </c>
    </row>
    <row r="1525" spans="1:20" hidden="1" x14ac:dyDescent="0.35">
      <c r="A1525" s="432" t="s">
        <v>5045</v>
      </c>
      <c r="B1525" s="442" t="s">
        <v>1779</v>
      </c>
      <c r="C1525" s="443" t="s">
        <v>4974</v>
      </c>
      <c r="D1525" s="443" t="s">
        <v>4974</v>
      </c>
      <c r="E1525" s="443" t="s">
        <v>1869</v>
      </c>
      <c r="F1525" s="453">
        <v>2024300104</v>
      </c>
      <c r="G1525" s="453" t="s">
        <v>4840</v>
      </c>
      <c r="H1525" s="442" t="s">
        <v>4757</v>
      </c>
      <c r="I1525" s="362">
        <v>3404.2354400000004</v>
      </c>
      <c r="J1525" s="362">
        <f t="shared" si="112"/>
        <v>261.06100000000004</v>
      </c>
      <c r="K1525" s="362">
        <v>261.06100000000004</v>
      </c>
      <c r="L1525" s="362">
        <f t="shared" si="113"/>
        <v>52.21220000000001</v>
      </c>
      <c r="M1525" s="362" t="s">
        <v>6171</v>
      </c>
      <c r="N1525" s="432" t="s">
        <v>3785</v>
      </c>
      <c r="O1525" s="433" t="s">
        <v>4120</v>
      </c>
      <c r="P1525" s="430" t="s">
        <v>3659</v>
      </c>
      <c r="Q1525" s="431">
        <v>0.2</v>
      </c>
      <c r="R1525" s="433">
        <v>1900001630</v>
      </c>
      <c r="S1525" s="444" t="s">
        <v>1313</v>
      </c>
      <c r="T1525" s="2" t="s">
        <v>5915</v>
      </c>
    </row>
    <row r="1526" spans="1:20" hidden="1" x14ac:dyDescent="0.35">
      <c r="A1526" s="432" t="s">
        <v>5046</v>
      </c>
      <c r="B1526" s="442" t="s">
        <v>1779</v>
      </c>
      <c r="C1526" s="443" t="s">
        <v>4974</v>
      </c>
      <c r="D1526" s="443" t="s">
        <v>4974</v>
      </c>
      <c r="E1526" s="443" t="s">
        <v>1870</v>
      </c>
      <c r="F1526" s="453">
        <v>2024300104</v>
      </c>
      <c r="G1526" s="453" t="s">
        <v>4840</v>
      </c>
      <c r="H1526" s="442" t="s">
        <v>4757</v>
      </c>
      <c r="I1526" s="362">
        <v>3404.2354400000004</v>
      </c>
      <c r="J1526" s="362">
        <f t="shared" si="112"/>
        <v>261.06100000000004</v>
      </c>
      <c r="K1526" s="362">
        <v>261.06100000000004</v>
      </c>
      <c r="L1526" s="362">
        <f t="shared" si="113"/>
        <v>52.21220000000001</v>
      </c>
      <c r="M1526" s="362" t="s">
        <v>6171</v>
      </c>
      <c r="N1526" s="432" t="s">
        <v>3785</v>
      </c>
      <c r="O1526" s="433" t="s">
        <v>4120</v>
      </c>
      <c r="P1526" s="430" t="s">
        <v>3659</v>
      </c>
      <c r="Q1526" s="431">
        <v>0.2</v>
      </c>
      <c r="R1526" s="433">
        <v>1900001630</v>
      </c>
      <c r="S1526" s="444" t="s">
        <v>6333</v>
      </c>
      <c r="T1526" s="2" t="s">
        <v>5915</v>
      </c>
    </row>
    <row r="1527" spans="1:20" hidden="1" x14ac:dyDescent="0.35">
      <c r="A1527" s="432" t="s">
        <v>5047</v>
      </c>
      <c r="B1527" s="442" t="s">
        <v>1779</v>
      </c>
      <c r="C1527" s="443" t="s">
        <v>4974</v>
      </c>
      <c r="D1527" s="443" t="s">
        <v>4974</v>
      </c>
      <c r="E1527" s="443" t="s">
        <v>1871</v>
      </c>
      <c r="F1527" s="453">
        <v>2024300104</v>
      </c>
      <c r="G1527" s="453" t="s">
        <v>4840</v>
      </c>
      <c r="H1527" s="442" t="s">
        <v>4757</v>
      </c>
      <c r="I1527" s="362">
        <v>3404.2354400000004</v>
      </c>
      <c r="J1527" s="362">
        <f t="shared" si="112"/>
        <v>261.06100000000004</v>
      </c>
      <c r="K1527" s="362">
        <v>261.06100000000004</v>
      </c>
      <c r="L1527" s="362">
        <f t="shared" si="113"/>
        <v>52.21220000000001</v>
      </c>
      <c r="M1527" s="362" t="s">
        <v>6171</v>
      </c>
      <c r="N1527" s="432" t="s">
        <v>3785</v>
      </c>
      <c r="O1527" s="433" t="s">
        <v>4120</v>
      </c>
      <c r="P1527" s="430" t="s">
        <v>3659</v>
      </c>
      <c r="Q1527" s="431">
        <v>0.2</v>
      </c>
      <c r="R1527" s="433">
        <v>1900001630</v>
      </c>
      <c r="S1527" s="444" t="s">
        <v>2675</v>
      </c>
      <c r="T1527" s="2" t="s">
        <v>5915</v>
      </c>
    </row>
    <row r="1528" spans="1:20" hidden="1" x14ac:dyDescent="0.35">
      <c r="A1528" s="432" t="s">
        <v>5048</v>
      </c>
      <c r="B1528" s="442" t="s">
        <v>1779</v>
      </c>
      <c r="C1528" s="443" t="s">
        <v>4974</v>
      </c>
      <c r="D1528" s="443" t="s">
        <v>4974</v>
      </c>
      <c r="E1528" s="443" t="s">
        <v>1872</v>
      </c>
      <c r="F1528" s="453">
        <v>2024300104</v>
      </c>
      <c r="G1528" s="453" t="s">
        <v>4840</v>
      </c>
      <c r="H1528" s="442" t="s">
        <v>4757</v>
      </c>
      <c r="I1528" s="362">
        <v>3404.2354400000004</v>
      </c>
      <c r="J1528" s="362">
        <f t="shared" si="112"/>
        <v>261.06100000000004</v>
      </c>
      <c r="K1528" s="362">
        <v>261.06100000000004</v>
      </c>
      <c r="L1528" s="362">
        <f t="shared" si="113"/>
        <v>52.21220000000001</v>
      </c>
      <c r="M1528" s="362" t="s">
        <v>6171</v>
      </c>
      <c r="N1528" s="432" t="s">
        <v>3785</v>
      </c>
      <c r="O1528" s="433" t="s">
        <v>4120</v>
      </c>
      <c r="P1528" s="430" t="s">
        <v>3659</v>
      </c>
      <c r="Q1528" s="431">
        <v>0.2</v>
      </c>
      <c r="R1528" s="433">
        <v>1900001630</v>
      </c>
      <c r="S1528" s="865" t="s">
        <v>1620</v>
      </c>
      <c r="T1528" s="2" t="s">
        <v>5915</v>
      </c>
    </row>
    <row r="1529" spans="1:20" hidden="1" x14ac:dyDescent="0.35">
      <c r="A1529" s="432" t="s">
        <v>5049</v>
      </c>
      <c r="B1529" s="442" t="s">
        <v>1779</v>
      </c>
      <c r="C1529" s="443" t="s">
        <v>4974</v>
      </c>
      <c r="D1529" s="443" t="s">
        <v>4974</v>
      </c>
      <c r="E1529" s="443" t="s">
        <v>6336</v>
      </c>
      <c r="F1529" s="453">
        <v>2024300104</v>
      </c>
      <c r="G1529" s="453" t="s">
        <v>4840</v>
      </c>
      <c r="H1529" s="442" t="s">
        <v>4757</v>
      </c>
      <c r="I1529" s="362">
        <v>3404.2354400000004</v>
      </c>
      <c r="J1529" s="362">
        <f t="shared" si="112"/>
        <v>261.06100000000004</v>
      </c>
      <c r="K1529" s="362">
        <v>261.06100000000004</v>
      </c>
      <c r="L1529" s="362">
        <f t="shared" si="113"/>
        <v>52.21220000000001</v>
      </c>
      <c r="M1529" s="362" t="s">
        <v>6171</v>
      </c>
      <c r="N1529" s="432" t="s">
        <v>3785</v>
      </c>
      <c r="O1529" s="433" t="s">
        <v>4120</v>
      </c>
      <c r="P1529" s="430" t="s">
        <v>3659</v>
      </c>
      <c r="Q1529" s="431">
        <v>0.2</v>
      </c>
      <c r="R1529" s="433">
        <v>1900001630</v>
      </c>
      <c r="S1529" s="444" t="s">
        <v>1620</v>
      </c>
      <c r="T1529" s="2" t="s">
        <v>5915</v>
      </c>
    </row>
    <row r="1530" spans="1:20" hidden="1" x14ac:dyDescent="0.35">
      <c r="A1530" s="432" t="s">
        <v>5050</v>
      </c>
      <c r="B1530" s="442" t="s">
        <v>1779</v>
      </c>
      <c r="C1530" s="443" t="s">
        <v>4974</v>
      </c>
      <c r="D1530" s="443" t="s">
        <v>4974</v>
      </c>
      <c r="E1530" s="443" t="s">
        <v>1873</v>
      </c>
      <c r="F1530" s="453">
        <v>2024300104</v>
      </c>
      <c r="G1530" s="453" t="s">
        <v>4840</v>
      </c>
      <c r="H1530" s="442" t="s">
        <v>4757</v>
      </c>
      <c r="I1530" s="362">
        <v>3404.2354400000004</v>
      </c>
      <c r="J1530" s="362">
        <f t="shared" si="112"/>
        <v>261.06100000000004</v>
      </c>
      <c r="K1530" s="362">
        <v>261.06100000000004</v>
      </c>
      <c r="L1530" s="362">
        <f t="shared" si="113"/>
        <v>52.21220000000001</v>
      </c>
      <c r="M1530" s="362" t="s">
        <v>6171</v>
      </c>
      <c r="N1530" s="432" t="s">
        <v>3785</v>
      </c>
      <c r="O1530" s="433" t="s">
        <v>4120</v>
      </c>
      <c r="P1530" s="430" t="s">
        <v>3659</v>
      </c>
      <c r="Q1530" s="431">
        <v>0.2</v>
      </c>
      <c r="R1530" s="433">
        <v>1900001630</v>
      </c>
      <c r="S1530" s="865" t="s">
        <v>886</v>
      </c>
      <c r="T1530" s="2" t="s">
        <v>5915</v>
      </c>
    </row>
    <row r="1531" spans="1:20" hidden="1" x14ac:dyDescent="0.35">
      <c r="A1531" s="432" t="s">
        <v>5051</v>
      </c>
      <c r="B1531" s="442" t="s">
        <v>1779</v>
      </c>
      <c r="C1531" s="443" t="s">
        <v>4974</v>
      </c>
      <c r="D1531" s="443" t="s">
        <v>4974</v>
      </c>
      <c r="E1531" s="443" t="s">
        <v>1874</v>
      </c>
      <c r="F1531" s="453">
        <v>2024300104</v>
      </c>
      <c r="G1531" s="453" t="s">
        <v>4840</v>
      </c>
      <c r="H1531" s="442" t="s">
        <v>4757</v>
      </c>
      <c r="I1531" s="362">
        <v>3404.2354400000004</v>
      </c>
      <c r="J1531" s="362">
        <f t="shared" si="112"/>
        <v>261.06100000000004</v>
      </c>
      <c r="K1531" s="362">
        <v>261.06100000000004</v>
      </c>
      <c r="L1531" s="362">
        <f t="shared" si="113"/>
        <v>52.21220000000001</v>
      </c>
      <c r="M1531" s="362" t="s">
        <v>6171</v>
      </c>
      <c r="N1531" s="432" t="s">
        <v>3785</v>
      </c>
      <c r="O1531" s="433" t="s">
        <v>4120</v>
      </c>
      <c r="P1531" s="430" t="s">
        <v>3659</v>
      </c>
      <c r="Q1531" s="431">
        <v>0.2</v>
      </c>
      <c r="R1531" s="433">
        <v>1900001630</v>
      </c>
      <c r="S1531" s="444" t="s">
        <v>3095</v>
      </c>
      <c r="T1531" s="2" t="s">
        <v>5915</v>
      </c>
    </row>
    <row r="1532" spans="1:20" hidden="1" x14ac:dyDescent="0.35">
      <c r="A1532" s="432" t="s">
        <v>5052</v>
      </c>
      <c r="B1532" s="442" t="s">
        <v>1779</v>
      </c>
      <c r="C1532" s="443" t="s">
        <v>4974</v>
      </c>
      <c r="D1532" s="443" t="s">
        <v>4974</v>
      </c>
      <c r="E1532" s="443" t="s">
        <v>1875</v>
      </c>
      <c r="F1532" s="453">
        <v>2024300104</v>
      </c>
      <c r="G1532" s="453" t="s">
        <v>4840</v>
      </c>
      <c r="H1532" s="442" t="s">
        <v>4757</v>
      </c>
      <c r="I1532" s="362">
        <v>3404.2354400000004</v>
      </c>
      <c r="J1532" s="362">
        <f t="shared" si="112"/>
        <v>261.06100000000004</v>
      </c>
      <c r="K1532" s="362">
        <v>261.06100000000004</v>
      </c>
      <c r="L1532" s="362">
        <f t="shared" si="113"/>
        <v>52.21220000000001</v>
      </c>
      <c r="M1532" s="362" t="s">
        <v>6171</v>
      </c>
      <c r="N1532" s="432" t="s">
        <v>3785</v>
      </c>
      <c r="O1532" s="433" t="s">
        <v>4120</v>
      </c>
      <c r="P1532" s="430" t="s">
        <v>3659</v>
      </c>
      <c r="Q1532" s="431">
        <v>0.2</v>
      </c>
      <c r="R1532" s="433">
        <v>1900001630</v>
      </c>
      <c r="S1532" s="444" t="s">
        <v>6334</v>
      </c>
      <c r="T1532" s="2" t="s">
        <v>5915</v>
      </c>
    </row>
    <row r="1533" spans="1:20" hidden="1" x14ac:dyDescent="0.35">
      <c r="A1533" s="432" t="s">
        <v>5053</v>
      </c>
      <c r="B1533" s="442" t="s">
        <v>1779</v>
      </c>
      <c r="C1533" s="443" t="s">
        <v>4974</v>
      </c>
      <c r="D1533" s="443" t="s">
        <v>4974</v>
      </c>
      <c r="E1533" s="443" t="s">
        <v>1876</v>
      </c>
      <c r="F1533" s="453">
        <v>2024300104</v>
      </c>
      <c r="G1533" s="453" t="s">
        <v>4840</v>
      </c>
      <c r="H1533" s="442" t="s">
        <v>4757</v>
      </c>
      <c r="I1533" s="362">
        <v>3404.2354400000004</v>
      </c>
      <c r="J1533" s="362">
        <f t="shared" si="112"/>
        <v>261.06100000000004</v>
      </c>
      <c r="K1533" s="362">
        <v>261.06100000000004</v>
      </c>
      <c r="L1533" s="362">
        <f t="shared" si="113"/>
        <v>52.21220000000001</v>
      </c>
      <c r="M1533" s="362" t="s">
        <v>6171</v>
      </c>
      <c r="N1533" s="432" t="s">
        <v>3785</v>
      </c>
      <c r="O1533" s="433" t="s">
        <v>4120</v>
      </c>
      <c r="P1533" s="430" t="s">
        <v>3659</v>
      </c>
      <c r="Q1533" s="431">
        <v>0.2</v>
      </c>
      <c r="R1533" s="433">
        <v>1900001630</v>
      </c>
      <c r="S1533" s="444" t="s">
        <v>723</v>
      </c>
      <c r="T1533" s="2" t="s">
        <v>5915</v>
      </c>
    </row>
    <row r="1534" spans="1:20" hidden="1" x14ac:dyDescent="0.35">
      <c r="A1534" s="432"/>
      <c r="B1534" s="442" t="s">
        <v>5054</v>
      </c>
      <c r="C1534" s="443" t="s">
        <v>4974</v>
      </c>
      <c r="D1534" s="443" t="s">
        <v>4974</v>
      </c>
      <c r="E1534" s="443" t="s">
        <v>749</v>
      </c>
      <c r="F1534" s="453">
        <v>2024300104</v>
      </c>
      <c r="G1534" s="453" t="s">
        <v>3784</v>
      </c>
      <c r="H1534" s="442" t="s">
        <v>4757</v>
      </c>
      <c r="I1534" s="362">
        <f>+J1534*13.04</f>
        <v>3661.4285759999998</v>
      </c>
      <c r="J1534" s="362">
        <f>14039.22/50</f>
        <v>280.78440000000001</v>
      </c>
      <c r="K1534" s="362">
        <f t="shared" ref="K1534:K1583" si="114">14039.22/50</f>
        <v>280.78440000000001</v>
      </c>
      <c r="L1534" s="362">
        <f t="shared" si="113"/>
        <v>56.156880000000001</v>
      </c>
      <c r="M1534" s="362" t="s">
        <v>6171</v>
      </c>
      <c r="N1534" s="432" t="s">
        <v>3785</v>
      </c>
      <c r="O1534" s="433" t="s">
        <v>4120</v>
      </c>
      <c r="P1534" s="430" t="s">
        <v>3659</v>
      </c>
      <c r="Q1534" s="431">
        <v>0.2</v>
      </c>
      <c r="R1534" s="433">
        <v>1900001630</v>
      </c>
      <c r="S1534" s="444" t="s">
        <v>5055</v>
      </c>
      <c r="T1534" s="2" t="s">
        <v>5915</v>
      </c>
    </row>
    <row r="1535" spans="1:20" hidden="1" x14ac:dyDescent="0.35">
      <c r="A1535" s="432"/>
      <c r="B1535" s="442" t="s">
        <v>5054</v>
      </c>
      <c r="C1535" s="443" t="s">
        <v>4974</v>
      </c>
      <c r="D1535" s="443" t="s">
        <v>4974</v>
      </c>
      <c r="E1535" s="443" t="s">
        <v>751</v>
      </c>
      <c r="F1535" s="453">
        <v>2024300104</v>
      </c>
      <c r="G1535" s="453" t="s">
        <v>3784</v>
      </c>
      <c r="H1535" s="442" t="s">
        <v>4757</v>
      </c>
      <c r="I1535" s="362">
        <f t="shared" ref="I1535:I1583" si="115">+J1535*13.04</f>
        <v>3661.4285759999998</v>
      </c>
      <c r="J1535" s="362">
        <f t="shared" ref="J1535:J1583" si="116">14039.22/50</f>
        <v>280.78440000000001</v>
      </c>
      <c r="K1535" s="362">
        <f t="shared" si="114"/>
        <v>280.78440000000001</v>
      </c>
      <c r="L1535" s="362">
        <f t="shared" si="113"/>
        <v>56.156880000000001</v>
      </c>
      <c r="M1535" s="362" t="s">
        <v>6171</v>
      </c>
      <c r="N1535" s="432" t="s">
        <v>3785</v>
      </c>
      <c r="O1535" s="433" t="s">
        <v>4120</v>
      </c>
      <c r="P1535" s="430" t="s">
        <v>3659</v>
      </c>
      <c r="Q1535" s="431">
        <v>0.2</v>
      </c>
      <c r="R1535" s="433">
        <v>1900001630</v>
      </c>
      <c r="S1535" s="444" t="s">
        <v>5055</v>
      </c>
      <c r="T1535" s="2" t="s">
        <v>5915</v>
      </c>
    </row>
    <row r="1536" spans="1:20" hidden="1" x14ac:dyDescent="0.35">
      <c r="A1536" s="432"/>
      <c r="B1536" s="442" t="s">
        <v>5054</v>
      </c>
      <c r="C1536" s="443" t="s">
        <v>4974</v>
      </c>
      <c r="D1536" s="443" t="s">
        <v>4974</v>
      </c>
      <c r="E1536" s="443" t="s">
        <v>788</v>
      </c>
      <c r="F1536" s="453">
        <v>2024300104</v>
      </c>
      <c r="G1536" s="453" t="s">
        <v>3784</v>
      </c>
      <c r="H1536" s="442" t="s">
        <v>4757</v>
      </c>
      <c r="I1536" s="362">
        <f t="shared" si="115"/>
        <v>3661.4285759999998</v>
      </c>
      <c r="J1536" s="362">
        <f t="shared" si="116"/>
        <v>280.78440000000001</v>
      </c>
      <c r="K1536" s="362">
        <f t="shared" si="114"/>
        <v>280.78440000000001</v>
      </c>
      <c r="L1536" s="362">
        <f t="shared" si="113"/>
        <v>56.156880000000001</v>
      </c>
      <c r="M1536" s="362" t="s">
        <v>6171</v>
      </c>
      <c r="N1536" s="432" t="s">
        <v>3785</v>
      </c>
      <c r="O1536" s="433" t="s">
        <v>4120</v>
      </c>
      <c r="P1536" s="430" t="s">
        <v>3659</v>
      </c>
      <c r="Q1536" s="431">
        <v>0.2</v>
      </c>
      <c r="R1536" s="433">
        <v>1900001630</v>
      </c>
      <c r="S1536" s="444" t="s">
        <v>787</v>
      </c>
      <c r="T1536" s="2" t="s">
        <v>5915</v>
      </c>
    </row>
    <row r="1537" spans="1:20" hidden="1" x14ac:dyDescent="0.35">
      <c r="A1537" s="432"/>
      <c r="B1537" s="442" t="s">
        <v>5054</v>
      </c>
      <c r="C1537" s="443" t="s">
        <v>4974</v>
      </c>
      <c r="D1537" s="443" t="s">
        <v>4974</v>
      </c>
      <c r="E1537" s="443" t="s">
        <v>807</v>
      </c>
      <c r="F1537" s="453">
        <v>2024300104</v>
      </c>
      <c r="G1537" s="453" t="s">
        <v>3784</v>
      </c>
      <c r="H1537" s="442" t="s">
        <v>4757</v>
      </c>
      <c r="I1537" s="362">
        <f t="shared" si="115"/>
        <v>3661.4285759999998</v>
      </c>
      <c r="J1537" s="362">
        <f t="shared" si="116"/>
        <v>280.78440000000001</v>
      </c>
      <c r="K1537" s="362">
        <f t="shared" si="114"/>
        <v>280.78440000000001</v>
      </c>
      <c r="L1537" s="362">
        <f t="shared" si="113"/>
        <v>56.156880000000001</v>
      </c>
      <c r="M1537" s="362" t="s">
        <v>6171</v>
      </c>
      <c r="N1537" s="432" t="s">
        <v>3785</v>
      </c>
      <c r="O1537" s="433" t="s">
        <v>4120</v>
      </c>
      <c r="P1537" s="430" t="s">
        <v>3659</v>
      </c>
      <c r="Q1537" s="431">
        <v>0.2</v>
      </c>
      <c r="R1537" s="433">
        <v>1900001630</v>
      </c>
      <c r="S1537" s="444" t="s">
        <v>806</v>
      </c>
      <c r="T1537" s="2" t="s">
        <v>5915</v>
      </c>
    </row>
    <row r="1538" spans="1:20" hidden="1" x14ac:dyDescent="0.35">
      <c r="A1538" s="432"/>
      <c r="B1538" s="442" t="s">
        <v>5054</v>
      </c>
      <c r="C1538" s="443" t="s">
        <v>4974</v>
      </c>
      <c r="D1538" s="443" t="s">
        <v>4974</v>
      </c>
      <c r="E1538" s="443" t="s">
        <v>808</v>
      </c>
      <c r="F1538" s="453">
        <v>2024300104</v>
      </c>
      <c r="G1538" s="453" t="s">
        <v>3784</v>
      </c>
      <c r="H1538" s="442" t="s">
        <v>4757</v>
      </c>
      <c r="I1538" s="362">
        <f t="shared" si="115"/>
        <v>3661.4285759999998</v>
      </c>
      <c r="J1538" s="362">
        <f t="shared" si="116"/>
        <v>280.78440000000001</v>
      </c>
      <c r="K1538" s="362">
        <f t="shared" si="114"/>
        <v>280.78440000000001</v>
      </c>
      <c r="L1538" s="362">
        <f t="shared" si="113"/>
        <v>56.156880000000001</v>
      </c>
      <c r="M1538" s="362" t="s">
        <v>6171</v>
      </c>
      <c r="N1538" s="432" t="s">
        <v>3785</v>
      </c>
      <c r="O1538" s="433" t="s">
        <v>4120</v>
      </c>
      <c r="P1538" s="430" t="s">
        <v>3659</v>
      </c>
      <c r="Q1538" s="431">
        <v>0.2</v>
      </c>
      <c r="R1538" s="433">
        <v>1900001630</v>
      </c>
      <c r="S1538" s="444" t="s">
        <v>383</v>
      </c>
      <c r="T1538" s="2" t="s">
        <v>5915</v>
      </c>
    </row>
    <row r="1539" spans="1:20" hidden="1" x14ac:dyDescent="0.35">
      <c r="A1539" s="432"/>
      <c r="B1539" s="442" t="s">
        <v>5054</v>
      </c>
      <c r="C1539" s="443" t="s">
        <v>4974</v>
      </c>
      <c r="D1539" s="443" t="s">
        <v>4974</v>
      </c>
      <c r="E1539" s="443" t="s">
        <v>825</v>
      </c>
      <c r="F1539" s="453">
        <v>2024300104</v>
      </c>
      <c r="G1539" s="453" t="s">
        <v>3784</v>
      </c>
      <c r="H1539" s="442" t="s">
        <v>4757</v>
      </c>
      <c r="I1539" s="362">
        <f t="shared" si="115"/>
        <v>3661.4285759999998</v>
      </c>
      <c r="J1539" s="362">
        <f t="shared" si="116"/>
        <v>280.78440000000001</v>
      </c>
      <c r="K1539" s="362">
        <f t="shared" si="114"/>
        <v>280.78440000000001</v>
      </c>
      <c r="L1539" s="362">
        <f t="shared" si="113"/>
        <v>56.156880000000001</v>
      </c>
      <c r="M1539" s="362" t="s">
        <v>6171</v>
      </c>
      <c r="N1539" s="432" t="s">
        <v>3785</v>
      </c>
      <c r="O1539" s="433" t="s">
        <v>4120</v>
      </c>
      <c r="P1539" s="430" t="s">
        <v>3659</v>
      </c>
      <c r="Q1539" s="431">
        <v>0.2</v>
      </c>
      <c r="R1539" s="433">
        <v>1900001630</v>
      </c>
      <c r="S1539" s="444" t="s">
        <v>823</v>
      </c>
      <c r="T1539" s="2" t="s">
        <v>5915</v>
      </c>
    </row>
    <row r="1540" spans="1:20" hidden="1" x14ac:dyDescent="0.35">
      <c r="A1540" s="432"/>
      <c r="B1540" s="442" t="s">
        <v>5054</v>
      </c>
      <c r="C1540" s="443" t="s">
        <v>4974</v>
      </c>
      <c r="D1540" s="443" t="s">
        <v>4974</v>
      </c>
      <c r="E1540" s="443" t="s">
        <v>857</v>
      </c>
      <c r="F1540" s="453">
        <v>2024300104</v>
      </c>
      <c r="G1540" s="453" t="s">
        <v>3784</v>
      </c>
      <c r="H1540" s="442" t="s">
        <v>4757</v>
      </c>
      <c r="I1540" s="362">
        <f t="shared" si="115"/>
        <v>3661.4285759999998</v>
      </c>
      <c r="J1540" s="362">
        <f t="shared" si="116"/>
        <v>280.78440000000001</v>
      </c>
      <c r="K1540" s="362">
        <f t="shared" si="114"/>
        <v>280.78440000000001</v>
      </c>
      <c r="L1540" s="362">
        <f t="shared" si="113"/>
        <v>56.156880000000001</v>
      </c>
      <c r="M1540" s="362" t="s">
        <v>6171</v>
      </c>
      <c r="N1540" s="432" t="s">
        <v>3785</v>
      </c>
      <c r="O1540" s="433" t="s">
        <v>4120</v>
      </c>
      <c r="P1540" s="430" t="s">
        <v>3659</v>
      </c>
      <c r="Q1540" s="431">
        <v>0.2</v>
      </c>
      <c r="R1540" s="433">
        <v>1900001630</v>
      </c>
      <c r="S1540" s="444" t="s">
        <v>600</v>
      </c>
      <c r="T1540" s="2" t="s">
        <v>5915</v>
      </c>
    </row>
    <row r="1541" spans="1:20" hidden="1" x14ac:dyDescent="0.35">
      <c r="A1541" s="432"/>
      <c r="B1541" s="442" t="s">
        <v>5054</v>
      </c>
      <c r="C1541" s="443" t="s">
        <v>4974</v>
      </c>
      <c r="D1541" s="443" t="s">
        <v>4974</v>
      </c>
      <c r="E1541" s="443" t="s">
        <v>926</v>
      </c>
      <c r="F1541" s="453">
        <v>2024300104</v>
      </c>
      <c r="G1541" s="453" t="s">
        <v>3784</v>
      </c>
      <c r="H1541" s="442" t="s">
        <v>4757</v>
      </c>
      <c r="I1541" s="362">
        <f t="shared" si="115"/>
        <v>3661.4285759999998</v>
      </c>
      <c r="J1541" s="362">
        <f t="shared" si="116"/>
        <v>280.78440000000001</v>
      </c>
      <c r="K1541" s="362">
        <f t="shared" si="114"/>
        <v>280.78440000000001</v>
      </c>
      <c r="L1541" s="362">
        <f t="shared" si="113"/>
        <v>56.156880000000001</v>
      </c>
      <c r="M1541" s="362" t="s">
        <v>6171</v>
      </c>
      <c r="N1541" s="432" t="s">
        <v>3785</v>
      </c>
      <c r="O1541" s="433" t="s">
        <v>4120</v>
      </c>
      <c r="P1541" s="430" t="s">
        <v>3659</v>
      </c>
      <c r="Q1541" s="431">
        <v>0.2</v>
      </c>
      <c r="R1541" s="433">
        <v>1900001630</v>
      </c>
      <c r="S1541" s="444" t="s">
        <v>925</v>
      </c>
      <c r="T1541" s="2" t="s">
        <v>5915</v>
      </c>
    </row>
    <row r="1542" spans="1:20" hidden="1" x14ac:dyDescent="0.35">
      <c r="A1542" s="432"/>
      <c r="B1542" s="442" t="s">
        <v>5054</v>
      </c>
      <c r="C1542" s="443" t="s">
        <v>4974</v>
      </c>
      <c r="D1542" s="443" t="s">
        <v>4974</v>
      </c>
      <c r="E1542" s="443" t="s">
        <v>1058</v>
      </c>
      <c r="F1542" s="453">
        <v>2024300104</v>
      </c>
      <c r="G1542" s="453" t="s">
        <v>3784</v>
      </c>
      <c r="H1542" s="442" t="s">
        <v>4757</v>
      </c>
      <c r="I1542" s="362">
        <f t="shared" si="115"/>
        <v>3661.4285759999998</v>
      </c>
      <c r="J1542" s="362">
        <f t="shared" si="116"/>
        <v>280.78440000000001</v>
      </c>
      <c r="K1542" s="362">
        <f t="shared" si="114"/>
        <v>280.78440000000001</v>
      </c>
      <c r="L1542" s="362">
        <f t="shared" si="113"/>
        <v>56.156880000000001</v>
      </c>
      <c r="M1542" s="362" t="s">
        <v>6171</v>
      </c>
      <c r="N1542" s="432" t="s">
        <v>3785</v>
      </c>
      <c r="O1542" s="433" t="s">
        <v>4120</v>
      </c>
      <c r="P1542" s="430" t="s">
        <v>3659</v>
      </c>
      <c r="Q1542" s="431">
        <v>0.2</v>
      </c>
      <c r="R1542" s="433">
        <v>1900001630</v>
      </c>
      <c r="S1542" s="444" t="s">
        <v>1055</v>
      </c>
      <c r="T1542" s="2" t="s">
        <v>5915</v>
      </c>
    </row>
    <row r="1543" spans="1:20" hidden="1" x14ac:dyDescent="0.35">
      <c r="A1543" s="432"/>
      <c r="B1543" s="442" t="s">
        <v>5054</v>
      </c>
      <c r="C1543" s="443" t="s">
        <v>4974</v>
      </c>
      <c r="D1543" s="443" t="s">
        <v>4974</v>
      </c>
      <c r="E1543" s="443" t="s">
        <v>1064</v>
      </c>
      <c r="F1543" s="453">
        <v>2024300104</v>
      </c>
      <c r="G1543" s="453" t="s">
        <v>3784</v>
      </c>
      <c r="H1543" s="442" t="s">
        <v>4757</v>
      </c>
      <c r="I1543" s="362">
        <f t="shared" si="115"/>
        <v>3661.4285759999998</v>
      </c>
      <c r="J1543" s="362">
        <f t="shared" si="116"/>
        <v>280.78440000000001</v>
      </c>
      <c r="K1543" s="362">
        <f t="shared" si="114"/>
        <v>280.78440000000001</v>
      </c>
      <c r="L1543" s="362">
        <f t="shared" si="113"/>
        <v>56.156880000000001</v>
      </c>
      <c r="M1543" s="362" t="s">
        <v>6171</v>
      </c>
      <c r="N1543" s="432" t="s">
        <v>3785</v>
      </c>
      <c r="O1543" s="433" t="s">
        <v>4120</v>
      </c>
      <c r="P1543" s="430" t="s">
        <v>3659</v>
      </c>
      <c r="Q1543" s="431">
        <v>0.2</v>
      </c>
      <c r="R1543" s="433">
        <v>1900001630</v>
      </c>
      <c r="S1543" s="444" t="s">
        <v>400</v>
      </c>
      <c r="T1543" s="2" t="s">
        <v>5915</v>
      </c>
    </row>
    <row r="1544" spans="1:20" hidden="1" x14ac:dyDescent="0.35">
      <c r="A1544" s="432"/>
      <c r="B1544" s="442" t="s">
        <v>5054</v>
      </c>
      <c r="C1544" s="443" t="s">
        <v>4974</v>
      </c>
      <c r="D1544" s="443" t="s">
        <v>4974</v>
      </c>
      <c r="E1544" s="443" t="s">
        <v>1074</v>
      </c>
      <c r="F1544" s="453">
        <v>2024300104</v>
      </c>
      <c r="G1544" s="453" t="s">
        <v>3784</v>
      </c>
      <c r="H1544" s="442" t="s">
        <v>4757</v>
      </c>
      <c r="I1544" s="362">
        <f t="shared" si="115"/>
        <v>3661.4285759999998</v>
      </c>
      <c r="J1544" s="362">
        <f t="shared" si="116"/>
        <v>280.78440000000001</v>
      </c>
      <c r="K1544" s="362">
        <f t="shared" si="114"/>
        <v>280.78440000000001</v>
      </c>
      <c r="L1544" s="362">
        <f t="shared" si="113"/>
        <v>56.156880000000001</v>
      </c>
      <c r="M1544" s="362" t="s">
        <v>6171</v>
      </c>
      <c r="N1544" s="432" t="s">
        <v>3785</v>
      </c>
      <c r="O1544" s="433" t="s">
        <v>4120</v>
      </c>
      <c r="P1544" s="430" t="s">
        <v>3659</v>
      </c>
      <c r="Q1544" s="431">
        <v>0.2</v>
      </c>
      <c r="R1544" s="433">
        <v>1900001630</v>
      </c>
      <c r="S1544" s="444" t="s">
        <v>1061</v>
      </c>
      <c r="T1544" s="2" t="s">
        <v>5915</v>
      </c>
    </row>
    <row r="1545" spans="1:20" hidden="1" x14ac:dyDescent="0.35">
      <c r="A1545" s="432"/>
      <c r="B1545" s="442" t="s">
        <v>5054</v>
      </c>
      <c r="C1545" s="443" t="s">
        <v>4974</v>
      </c>
      <c r="D1545" s="443" t="s">
        <v>4974</v>
      </c>
      <c r="E1545" s="443" t="s">
        <v>1107</v>
      </c>
      <c r="F1545" s="453">
        <v>2024300104</v>
      </c>
      <c r="G1545" s="453" t="s">
        <v>3784</v>
      </c>
      <c r="H1545" s="442" t="s">
        <v>4757</v>
      </c>
      <c r="I1545" s="362">
        <f t="shared" si="115"/>
        <v>3661.4285759999998</v>
      </c>
      <c r="J1545" s="362">
        <f t="shared" si="116"/>
        <v>280.78440000000001</v>
      </c>
      <c r="K1545" s="362">
        <f t="shared" si="114"/>
        <v>280.78440000000001</v>
      </c>
      <c r="L1545" s="362">
        <f t="shared" si="113"/>
        <v>56.156880000000001</v>
      </c>
      <c r="M1545" s="362" t="s">
        <v>6171</v>
      </c>
      <c r="N1545" s="432" t="s">
        <v>3785</v>
      </c>
      <c r="O1545" s="433" t="s">
        <v>4120</v>
      </c>
      <c r="P1545" s="430" t="s">
        <v>3659</v>
      </c>
      <c r="Q1545" s="431">
        <v>0.2</v>
      </c>
      <c r="R1545" s="433">
        <v>1900001630</v>
      </c>
      <c r="S1545" s="444" t="s">
        <v>1106</v>
      </c>
      <c r="T1545" s="2" t="s">
        <v>5915</v>
      </c>
    </row>
    <row r="1546" spans="1:20" hidden="1" x14ac:dyDescent="0.35">
      <c r="A1546" s="432"/>
      <c r="B1546" s="442" t="s">
        <v>5054</v>
      </c>
      <c r="C1546" s="443" t="s">
        <v>4974</v>
      </c>
      <c r="D1546" s="443" t="s">
        <v>4974</v>
      </c>
      <c r="E1546" s="443" t="s">
        <v>1108</v>
      </c>
      <c r="F1546" s="453">
        <v>2024300104</v>
      </c>
      <c r="G1546" s="453" t="s">
        <v>3784</v>
      </c>
      <c r="H1546" s="442" t="s">
        <v>4757</v>
      </c>
      <c r="I1546" s="362">
        <f t="shared" si="115"/>
        <v>3661.4285759999998</v>
      </c>
      <c r="J1546" s="362">
        <f t="shared" si="116"/>
        <v>280.78440000000001</v>
      </c>
      <c r="K1546" s="362">
        <f t="shared" si="114"/>
        <v>280.78440000000001</v>
      </c>
      <c r="L1546" s="362">
        <f t="shared" si="113"/>
        <v>56.156880000000001</v>
      </c>
      <c r="M1546" s="362" t="s">
        <v>6171</v>
      </c>
      <c r="N1546" s="432" t="s">
        <v>3785</v>
      </c>
      <c r="O1546" s="433" t="s">
        <v>4120</v>
      </c>
      <c r="P1546" s="430" t="s">
        <v>3659</v>
      </c>
      <c r="Q1546" s="431">
        <v>0.2</v>
      </c>
      <c r="R1546" s="433">
        <v>1900001630</v>
      </c>
      <c r="S1546" s="444" t="s">
        <v>1106</v>
      </c>
      <c r="T1546" s="2" t="s">
        <v>5915</v>
      </c>
    </row>
    <row r="1547" spans="1:20" hidden="1" x14ac:dyDescent="0.35">
      <c r="A1547" s="432"/>
      <c r="B1547" s="442" t="s">
        <v>5054</v>
      </c>
      <c r="C1547" s="443" t="s">
        <v>4974</v>
      </c>
      <c r="D1547" s="443" t="s">
        <v>4974</v>
      </c>
      <c r="E1547" s="443" t="s">
        <v>1120</v>
      </c>
      <c r="F1547" s="453">
        <v>2024300104</v>
      </c>
      <c r="G1547" s="453" t="s">
        <v>3784</v>
      </c>
      <c r="H1547" s="442" t="s">
        <v>4757</v>
      </c>
      <c r="I1547" s="362">
        <f t="shared" si="115"/>
        <v>3661.4285759999998</v>
      </c>
      <c r="J1547" s="362">
        <f t="shared" si="116"/>
        <v>280.78440000000001</v>
      </c>
      <c r="K1547" s="362">
        <f t="shared" si="114"/>
        <v>280.78440000000001</v>
      </c>
      <c r="L1547" s="362">
        <f t="shared" si="113"/>
        <v>56.156880000000001</v>
      </c>
      <c r="M1547" s="362" t="s">
        <v>6171</v>
      </c>
      <c r="N1547" s="432" t="s">
        <v>3785</v>
      </c>
      <c r="O1547" s="433" t="s">
        <v>4120</v>
      </c>
      <c r="P1547" s="430" t="s">
        <v>3659</v>
      </c>
      <c r="Q1547" s="431">
        <v>0.2</v>
      </c>
      <c r="R1547" s="433">
        <v>1900001630</v>
      </c>
      <c r="S1547" s="444" t="s">
        <v>1118</v>
      </c>
      <c r="T1547" s="2" t="s">
        <v>5915</v>
      </c>
    </row>
    <row r="1548" spans="1:20" hidden="1" x14ac:dyDescent="0.35">
      <c r="A1548" s="432"/>
      <c r="B1548" s="442" t="s">
        <v>5054</v>
      </c>
      <c r="C1548" s="443" t="s">
        <v>4974</v>
      </c>
      <c r="D1548" s="443" t="s">
        <v>4974</v>
      </c>
      <c r="E1548" s="443" t="s">
        <v>1123</v>
      </c>
      <c r="F1548" s="453">
        <v>2024300104</v>
      </c>
      <c r="G1548" s="453" t="s">
        <v>3784</v>
      </c>
      <c r="H1548" s="442" t="s">
        <v>4757</v>
      </c>
      <c r="I1548" s="362">
        <f t="shared" si="115"/>
        <v>3661.4285759999998</v>
      </c>
      <c r="J1548" s="362">
        <f t="shared" si="116"/>
        <v>280.78440000000001</v>
      </c>
      <c r="K1548" s="362">
        <f t="shared" si="114"/>
        <v>280.78440000000001</v>
      </c>
      <c r="L1548" s="362">
        <f t="shared" si="113"/>
        <v>56.156880000000001</v>
      </c>
      <c r="M1548" s="362" t="s">
        <v>6171</v>
      </c>
      <c r="N1548" s="432" t="s">
        <v>3785</v>
      </c>
      <c r="O1548" s="433" t="s">
        <v>4120</v>
      </c>
      <c r="P1548" s="430" t="s">
        <v>3659</v>
      </c>
      <c r="Q1548" s="431">
        <v>0.2</v>
      </c>
      <c r="R1548" s="433">
        <v>1900001630</v>
      </c>
      <c r="S1548" s="444" t="s">
        <v>1121</v>
      </c>
      <c r="T1548" s="2" t="s">
        <v>5915</v>
      </c>
    </row>
    <row r="1549" spans="1:20" hidden="1" x14ac:dyDescent="0.35">
      <c r="A1549" s="432"/>
      <c r="B1549" s="442" t="s">
        <v>5054</v>
      </c>
      <c r="C1549" s="443" t="s">
        <v>4974</v>
      </c>
      <c r="D1549" s="443" t="s">
        <v>4974</v>
      </c>
      <c r="E1549" s="443" t="s">
        <v>1128</v>
      </c>
      <c r="F1549" s="453">
        <v>2024300104</v>
      </c>
      <c r="G1549" s="453" t="s">
        <v>3784</v>
      </c>
      <c r="H1549" s="442" t="s">
        <v>4757</v>
      </c>
      <c r="I1549" s="362">
        <f t="shared" si="115"/>
        <v>3661.4285759999998</v>
      </c>
      <c r="J1549" s="362">
        <f t="shared" si="116"/>
        <v>280.78440000000001</v>
      </c>
      <c r="K1549" s="362">
        <f t="shared" si="114"/>
        <v>280.78440000000001</v>
      </c>
      <c r="L1549" s="362">
        <f t="shared" si="113"/>
        <v>56.156880000000001</v>
      </c>
      <c r="M1549" s="362" t="s">
        <v>6171</v>
      </c>
      <c r="N1549" s="432" t="s">
        <v>3785</v>
      </c>
      <c r="O1549" s="433" t="s">
        <v>4120</v>
      </c>
      <c r="P1549" s="430" t="s">
        <v>3659</v>
      </c>
      <c r="Q1549" s="431">
        <v>0.2</v>
      </c>
      <c r="R1549" s="433">
        <v>1900001630</v>
      </c>
      <c r="S1549" s="444" t="s">
        <v>3663</v>
      </c>
      <c r="T1549" s="2" t="s">
        <v>5915</v>
      </c>
    </row>
    <row r="1550" spans="1:20" hidden="1" x14ac:dyDescent="0.35">
      <c r="A1550" s="432"/>
      <c r="B1550" s="442" t="s">
        <v>5054</v>
      </c>
      <c r="C1550" s="443" t="s">
        <v>4974</v>
      </c>
      <c r="D1550" s="443" t="s">
        <v>4974</v>
      </c>
      <c r="E1550" s="443" t="s">
        <v>1129</v>
      </c>
      <c r="F1550" s="453">
        <v>2024300104</v>
      </c>
      <c r="G1550" s="453" t="s">
        <v>3784</v>
      </c>
      <c r="H1550" s="442" t="s">
        <v>4757</v>
      </c>
      <c r="I1550" s="362">
        <f t="shared" si="115"/>
        <v>3661.4285759999998</v>
      </c>
      <c r="J1550" s="362">
        <f t="shared" si="116"/>
        <v>280.78440000000001</v>
      </c>
      <c r="K1550" s="362">
        <f t="shared" si="114"/>
        <v>280.78440000000001</v>
      </c>
      <c r="L1550" s="362">
        <f t="shared" si="113"/>
        <v>56.156880000000001</v>
      </c>
      <c r="M1550" s="362" t="s">
        <v>6171</v>
      </c>
      <c r="N1550" s="432" t="s">
        <v>3785</v>
      </c>
      <c r="O1550" s="433" t="s">
        <v>4120</v>
      </c>
      <c r="P1550" s="430" t="s">
        <v>3659</v>
      </c>
      <c r="Q1550" s="431">
        <v>0.2</v>
      </c>
      <c r="R1550" s="433">
        <v>1900001630</v>
      </c>
      <c r="S1550" s="444" t="s">
        <v>3663</v>
      </c>
      <c r="T1550" s="2" t="s">
        <v>5915</v>
      </c>
    </row>
    <row r="1551" spans="1:20" hidden="1" x14ac:dyDescent="0.35">
      <c r="A1551" s="432"/>
      <c r="B1551" s="442" t="s">
        <v>5054</v>
      </c>
      <c r="C1551" s="443" t="s">
        <v>4974</v>
      </c>
      <c r="D1551" s="443" t="s">
        <v>4974</v>
      </c>
      <c r="E1551" s="445" t="s">
        <v>1147</v>
      </c>
      <c r="F1551" s="453">
        <v>2024300104</v>
      </c>
      <c r="G1551" s="453" t="s">
        <v>3784</v>
      </c>
      <c r="H1551" s="442" t="s">
        <v>4757</v>
      </c>
      <c r="I1551" s="362">
        <f t="shared" si="115"/>
        <v>3661.4285759999998</v>
      </c>
      <c r="J1551" s="362">
        <f t="shared" si="116"/>
        <v>280.78440000000001</v>
      </c>
      <c r="K1551" s="362">
        <f t="shared" si="114"/>
        <v>280.78440000000001</v>
      </c>
      <c r="L1551" s="362">
        <f t="shared" si="113"/>
        <v>56.156880000000001</v>
      </c>
      <c r="M1551" s="362" t="s">
        <v>6171</v>
      </c>
      <c r="N1551" s="432" t="s">
        <v>3785</v>
      </c>
      <c r="O1551" s="433" t="s">
        <v>4120</v>
      </c>
      <c r="P1551" s="430" t="s">
        <v>3659</v>
      </c>
      <c r="Q1551" s="431">
        <v>0.2</v>
      </c>
      <c r="R1551" s="433">
        <v>1900001630</v>
      </c>
      <c r="S1551" s="444" t="s">
        <v>1145</v>
      </c>
      <c r="T1551" s="2" t="s">
        <v>5915</v>
      </c>
    </row>
    <row r="1552" spans="1:20" hidden="1" x14ac:dyDescent="0.35">
      <c r="A1552" s="432"/>
      <c r="B1552" s="442" t="s">
        <v>5054</v>
      </c>
      <c r="C1552" s="443" t="s">
        <v>4974</v>
      </c>
      <c r="D1552" s="443" t="s">
        <v>4974</v>
      </c>
      <c r="E1552" s="443" t="s">
        <v>1154</v>
      </c>
      <c r="F1552" s="453">
        <v>2024300104</v>
      </c>
      <c r="G1552" s="453" t="s">
        <v>3784</v>
      </c>
      <c r="H1552" s="442" t="s">
        <v>4757</v>
      </c>
      <c r="I1552" s="362">
        <f t="shared" si="115"/>
        <v>3661.4285759999998</v>
      </c>
      <c r="J1552" s="362">
        <f t="shared" si="116"/>
        <v>280.78440000000001</v>
      </c>
      <c r="K1552" s="362">
        <f t="shared" si="114"/>
        <v>280.78440000000001</v>
      </c>
      <c r="L1552" s="362">
        <f t="shared" si="113"/>
        <v>56.156880000000001</v>
      </c>
      <c r="M1552" s="362" t="s">
        <v>6171</v>
      </c>
      <c r="N1552" s="432" t="s">
        <v>3785</v>
      </c>
      <c r="O1552" s="433" t="s">
        <v>4120</v>
      </c>
      <c r="P1552" s="430" t="s">
        <v>3659</v>
      </c>
      <c r="Q1552" s="431">
        <v>0.2</v>
      </c>
      <c r="R1552" s="433">
        <v>1900001630</v>
      </c>
      <c r="S1552" s="444" t="s">
        <v>1153</v>
      </c>
      <c r="T1552" s="2" t="s">
        <v>5915</v>
      </c>
    </row>
    <row r="1553" spans="1:20" hidden="1" x14ac:dyDescent="0.35">
      <c r="A1553" s="432"/>
      <c r="B1553" s="442" t="s">
        <v>5054</v>
      </c>
      <c r="C1553" s="443" t="s">
        <v>4974</v>
      </c>
      <c r="D1553" s="443" t="s">
        <v>4974</v>
      </c>
      <c r="E1553" s="443" t="s">
        <v>1188</v>
      </c>
      <c r="F1553" s="453">
        <v>2024300104</v>
      </c>
      <c r="G1553" s="453" t="s">
        <v>3784</v>
      </c>
      <c r="H1553" s="442" t="s">
        <v>4757</v>
      </c>
      <c r="I1553" s="362">
        <f t="shared" si="115"/>
        <v>3661.4285759999998</v>
      </c>
      <c r="J1553" s="362">
        <f t="shared" si="116"/>
        <v>280.78440000000001</v>
      </c>
      <c r="K1553" s="362">
        <f t="shared" si="114"/>
        <v>280.78440000000001</v>
      </c>
      <c r="L1553" s="362">
        <f t="shared" si="113"/>
        <v>56.156880000000001</v>
      </c>
      <c r="M1553" s="362" t="s">
        <v>6171</v>
      </c>
      <c r="N1553" s="432" t="s">
        <v>3785</v>
      </c>
      <c r="O1553" s="433" t="s">
        <v>4120</v>
      </c>
      <c r="P1553" s="430" t="s">
        <v>3659</v>
      </c>
      <c r="Q1553" s="431">
        <v>0.2</v>
      </c>
      <c r="R1553" s="433">
        <v>1900001630</v>
      </c>
      <c r="S1553" s="444" t="s">
        <v>5056</v>
      </c>
      <c r="T1553" s="2" t="s">
        <v>5915</v>
      </c>
    </row>
    <row r="1554" spans="1:20" hidden="1" x14ac:dyDescent="0.35">
      <c r="A1554" s="432"/>
      <c r="B1554" s="442" t="s">
        <v>5054</v>
      </c>
      <c r="C1554" s="443" t="s">
        <v>4974</v>
      </c>
      <c r="D1554" s="443" t="s">
        <v>4974</v>
      </c>
      <c r="E1554" s="443" t="s">
        <v>1241</v>
      </c>
      <c r="F1554" s="453">
        <v>2024300104</v>
      </c>
      <c r="G1554" s="453" t="s">
        <v>3784</v>
      </c>
      <c r="H1554" s="442" t="s">
        <v>4757</v>
      </c>
      <c r="I1554" s="362">
        <f t="shared" si="115"/>
        <v>3661.4285759999998</v>
      </c>
      <c r="J1554" s="362">
        <f t="shared" si="116"/>
        <v>280.78440000000001</v>
      </c>
      <c r="K1554" s="362">
        <f t="shared" si="114"/>
        <v>280.78440000000001</v>
      </c>
      <c r="L1554" s="362">
        <f t="shared" si="113"/>
        <v>56.156880000000001</v>
      </c>
      <c r="M1554" s="362" t="s">
        <v>6171</v>
      </c>
      <c r="N1554" s="432" t="s">
        <v>3785</v>
      </c>
      <c r="O1554" s="433" t="s">
        <v>4120</v>
      </c>
      <c r="P1554" s="430" t="s">
        <v>3659</v>
      </c>
      <c r="Q1554" s="431">
        <v>0.2</v>
      </c>
      <c r="R1554" s="433">
        <v>1900001630</v>
      </c>
      <c r="S1554" s="444" t="s">
        <v>1242</v>
      </c>
      <c r="T1554" s="2" t="s">
        <v>5915</v>
      </c>
    </row>
    <row r="1555" spans="1:20" hidden="1" x14ac:dyDescent="0.35">
      <c r="A1555" s="432"/>
      <c r="B1555" s="442" t="s">
        <v>5054</v>
      </c>
      <c r="C1555" s="443" t="s">
        <v>4974</v>
      </c>
      <c r="D1555" s="443" t="s">
        <v>4974</v>
      </c>
      <c r="E1555" s="443" t="s">
        <v>1243</v>
      </c>
      <c r="F1555" s="453">
        <v>2024300104</v>
      </c>
      <c r="G1555" s="453" t="s">
        <v>3784</v>
      </c>
      <c r="H1555" s="442" t="s">
        <v>4757</v>
      </c>
      <c r="I1555" s="362">
        <f t="shared" si="115"/>
        <v>3661.4285759999998</v>
      </c>
      <c r="J1555" s="362">
        <f t="shared" si="116"/>
        <v>280.78440000000001</v>
      </c>
      <c r="K1555" s="362">
        <f t="shared" si="114"/>
        <v>280.78440000000001</v>
      </c>
      <c r="L1555" s="362">
        <f t="shared" si="113"/>
        <v>56.156880000000001</v>
      </c>
      <c r="M1555" s="362" t="s">
        <v>6171</v>
      </c>
      <c r="N1555" s="432" t="s">
        <v>3785</v>
      </c>
      <c r="O1555" s="433" t="s">
        <v>4120</v>
      </c>
      <c r="P1555" s="430" t="s">
        <v>3659</v>
      </c>
      <c r="Q1555" s="431">
        <v>0.2</v>
      </c>
      <c r="R1555" s="433">
        <v>1900001630</v>
      </c>
      <c r="S1555" s="444" t="s">
        <v>1242</v>
      </c>
      <c r="T1555" s="2" t="s">
        <v>5915</v>
      </c>
    </row>
    <row r="1556" spans="1:20" hidden="1" x14ac:dyDescent="0.35">
      <c r="A1556" s="432"/>
      <c r="B1556" s="442" t="s">
        <v>5054</v>
      </c>
      <c r="C1556" s="443" t="s">
        <v>4974</v>
      </c>
      <c r="D1556" s="443" t="s">
        <v>4974</v>
      </c>
      <c r="E1556" s="443" t="s">
        <v>1261</v>
      </c>
      <c r="F1556" s="453">
        <v>2024300104</v>
      </c>
      <c r="G1556" s="453" t="s">
        <v>3784</v>
      </c>
      <c r="H1556" s="442" t="s">
        <v>4757</v>
      </c>
      <c r="I1556" s="362">
        <f t="shared" si="115"/>
        <v>3661.4285759999998</v>
      </c>
      <c r="J1556" s="362">
        <f t="shared" si="116"/>
        <v>280.78440000000001</v>
      </c>
      <c r="K1556" s="362">
        <f t="shared" si="114"/>
        <v>280.78440000000001</v>
      </c>
      <c r="L1556" s="362">
        <f t="shared" si="113"/>
        <v>56.156880000000001</v>
      </c>
      <c r="M1556" s="362" t="s">
        <v>6171</v>
      </c>
      <c r="N1556" s="432" t="s">
        <v>3785</v>
      </c>
      <c r="O1556" s="433" t="s">
        <v>4120</v>
      </c>
      <c r="P1556" s="430" t="s">
        <v>3659</v>
      </c>
      <c r="Q1556" s="431">
        <v>0.2</v>
      </c>
      <c r="R1556" s="433">
        <v>1900001630</v>
      </c>
      <c r="S1556" s="444" t="s">
        <v>672</v>
      </c>
      <c r="T1556" s="2" t="s">
        <v>5915</v>
      </c>
    </row>
    <row r="1557" spans="1:20" hidden="1" x14ac:dyDescent="0.35">
      <c r="A1557" s="432"/>
      <c r="B1557" s="442" t="s">
        <v>5054</v>
      </c>
      <c r="C1557" s="443" t="s">
        <v>4974</v>
      </c>
      <c r="D1557" s="443" t="s">
        <v>4974</v>
      </c>
      <c r="E1557" s="443" t="s">
        <v>1262</v>
      </c>
      <c r="F1557" s="453">
        <v>2024300104</v>
      </c>
      <c r="G1557" s="453" t="s">
        <v>3784</v>
      </c>
      <c r="H1557" s="442" t="s">
        <v>4757</v>
      </c>
      <c r="I1557" s="362">
        <f t="shared" si="115"/>
        <v>3661.4285759999998</v>
      </c>
      <c r="J1557" s="362">
        <f t="shared" si="116"/>
        <v>280.78440000000001</v>
      </c>
      <c r="K1557" s="362">
        <f t="shared" si="114"/>
        <v>280.78440000000001</v>
      </c>
      <c r="L1557" s="362">
        <f t="shared" si="113"/>
        <v>56.156880000000001</v>
      </c>
      <c r="M1557" s="362" t="s">
        <v>6171</v>
      </c>
      <c r="N1557" s="432" t="s">
        <v>3785</v>
      </c>
      <c r="O1557" s="433" t="s">
        <v>4120</v>
      </c>
      <c r="P1557" s="430" t="s">
        <v>3659</v>
      </c>
      <c r="Q1557" s="431">
        <v>0.2</v>
      </c>
      <c r="R1557" s="433">
        <v>1900001630</v>
      </c>
      <c r="S1557" s="444" t="s">
        <v>672</v>
      </c>
      <c r="T1557" s="2" t="s">
        <v>5915</v>
      </c>
    </row>
    <row r="1558" spans="1:20" hidden="1" x14ac:dyDescent="0.35">
      <c r="A1558" s="432"/>
      <c r="B1558" s="442" t="s">
        <v>5054</v>
      </c>
      <c r="C1558" s="443" t="s">
        <v>4974</v>
      </c>
      <c r="D1558" s="443" t="s">
        <v>4974</v>
      </c>
      <c r="E1558" s="443" t="s">
        <v>1286</v>
      </c>
      <c r="F1558" s="453">
        <v>2024300104</v>
      </c>
      <c r="G1558" s="453" t="s">
        <v>3784</v>
      </c>
      <c r="H1558" s="442" t="s">
        <v>4757</v>
      </c>
      <c r="I1558" s="362">
        <f t="shared" si="115"/>
        <v>3661.4285759999998</v>
      </c>
      <c r="J1558" s="362">
        <f t="shared" si="116"/>
        <v>280.78440000000001</v>
      </c>
      <c r="K1558" s="362">
        <f t="shared" si="114"/>
        <v>280.78440000000001</v>
      </c>
      <c r="L1558" s="362">
        <f t="shared" si="113"/>
        <v>56.156880000000001</v>
      </c>
      <c r="M1558" s="362" t="s">
        <v>6171</v>
      </c>
      <c r="N1558" s="432" t="s">
        <v>3785</v>
      </c>
      <c r="O1558" s="433" t="s">
        <v>4120</v>
      </c>
      <c r="P1558" s="430" t="s">
        <v>3659</v>
      </c>
      <c r="Q1558" s="431">
        <v>0.2</v>
      </c>
      <c r="R1558" s="433">
        <v>1900001630</v>
      </c>
      <c r="S1558" s="444" t="s">
        <v>6213</v>
      </c>
      <c r="T1558" s="2" t="s">
        <v>5915</v>
      </c>
    </row>
    <row r="1559" spans="1:20" hidden="1" x14ac:dyDescent="0.35">
      <c r="A1559" s="432"/>
      <c r="B1559" s="442" t="s">
        <v>5054</v>
      </c>
      <c r="C1559" s="443" t="s">
        <v>4974</v>
      </c>
      <c r="D1559" s="443" t="s">
        <v>4974</v>
      </c>
      <c r="E1559" s="443" t="s">
        <v>1312</v>
      </c>
      <c r="F1559" s="453">
        <v>2024300104</v>
      </c>
      <c r="G1559" s="453" t="s">
        <v>3784</v>
      </c>
      <c r="H1559" s="442" t="s">
        <v>4757</v>
      </c>
      <c r="I1559" s="362">
        <f t="shared" si="115"/>
        <v>3661.4285759999998</v>
      </c>
      <c r="J1559" s="362">
        <f t="shared" si="116"/>
        <v>280.78440000000001</v>
      </c>
      <c r="K1559" s="362">
        <f t="shared" si="114"/>
        <v>280.78440000000001</v>
      </c>
      <c r="L1559" s="362">
        <f t="shared" si="113"/>
        <v>56.156880000000001</v>
      </c>
      <c r="M1559" s="362" t="s">
        <v>6171</v>
      </c>
      <c r="N1559" s="432" t="s">
        <v>3785</v>
      </c>
      <c r="O1559" s="433" t="s">
        <v>4120</v>
      </c>
      <c r="P1559" s="430" t="s">
        <v>3659</v>
      </c>
      <c r="Q1559" s="431">
        <v>0.2</v>
      </c>
      <c r="R1559" s="433">
        <v>1900001630</v>
      </c>
      <c r="S1559" s="444" t="s">
        <v>1310</v>
      </c>
      <c r="T1559" s="2" t="s">
        <v>5915</v>
      </c>
    </row>
    <row r="1560" spans="1:20" hidden="1" x14ac:dyDescent="0.35">
      <c r="A1560" s="432"/>
      <c r="B1560" s="442" t="s">
        <v>5054</v>
      </c>
      <c r="C1560" s="443" t="s">
        <v>4974</v>
      </c>
      <c r="D1560" s="443" t="s">
        <v>4974</v>
      </c>
      <c r="E1560" s="443" t="s">
        <v>1320</v>
      </c>
      <c r="F1560" s="453">
        <v>2024300104</v>
      </c>
      <c r="G1560" s="453" t="s">
        <v>3784</v>
      </c>
      <c r="H1560" s="442" t="s">
        <v>4757</v>
      </c>
      <c r="I1560" s="362">
        <f t="shared" si="115"/>
        <v>3661.4285759999998</v>
      </c>
      <c r="J1560" s="362">
        <f t="shared" si="116"/>
        <v>280.78440000000001</v>
      </c>
      <c r="K1560" s="362">
        <f t="shared" si="114"/>
        <v>280.78440000000001</v>
      </c>
      <c r="L1560" s="362">
        <f t="shared" si="113"/>
        <v>56.156880000000001</v>
      </c>
      <c r="M1560" s="362" t="s">
        <v>6171</v>
      </c>
      <c r="N1560" s="432" t="s">
        <v>3785</v>
      </c>
      <c r="O1560" s="433" t="s">
        <v>4120</v>
      </c>
      <c r="P1560" s="430" t="s">
        <v>3659</v>
      </c>
      <c r="Q1560" s="431">
        <v>0.2</v>
      </c>
      <c r="R1560" s="433">
        <v>1900001630</v>
      </c>
      <c r="S1560" s="444" t="s">
        <v>1319</v>
      </c>
      <c r="T1560" s="2" t="s">
        <v>5915</v>
      </c>
    </row>
    <row r="1561" spans="1:20" hidden="1" x14ac:dyDescent="0.35">
      <c r="A1561" s="432"/>
      <c r="B1561" s="442" t="s">
        <v>5054</v>
      </c>
      <c r="C1561" s="443" t="s">
        <v>4974</v>
      </c>
      <c r="D1561" s="443" t="s">
        <v>4974</v>
      </c>
      <c r="E1561" s="443" t="s">
        <v>1323</v>
      </c>
      <c r="F1561" s="453">
        <v>2024300104</v>
      </c>
      <c r="G1561" s="453" t="s">
        <v>3784</v>
      </c>
      <c r="H1561" s="442" t="s">
        <v>4757</v>
      </c>
      <c r="I1561" s="362">
        <f t="shared" si="115"/>
        <v>3661.4285759999998</v>
      </c>
      <c r="J1561" s="362">
        <f t="shared" si="116"/>
        <v>280.78440000000001</v>
      </c>
      <c r="K1561" s="362">
        <f t="shared" si="114"/>
        <v>280.78440000000001</v>
      </c>
      <c r="L1561" s="362">
        <f t="shared" si="113"/>
        <v>56.156880000000001</v>
      </c>
      <c r="M1561" s="362" t="s">
        <v>6171</v>
      </c>
      <c r="N1561" s="432" t="s">
        <v>3785</v>
      </c>
      <c r="O1561" s="433" t="s">
        <v>4120</v>
      </c>
      <c r="P1561" s="430" t="s">
        <v>3659</v>
      </c>
      <c r="Q1561" s="431">
        <v>0.2</v>
      </c>
      <c r="R1561" s="433">
        <v>1900001630</v>
      </c>
      <c r="S1561" s="444" t="s">
        <v>1324</v>
      </c>
      <c r="T1561" s="2" t="s">
        <v>5915</v>
      </c>
    </row>
    <row r="1562" spans="1:20" hidden="1" x14ac:dyDescent="0.35">
      <c r="A1562" s="432"/>
      <c r="B1562" s="442" t="s">
        <v>5054</v>
      </c>
      <c r="C1562" s="443" t="s">
        <v>4974</v>
      </c>
      <c r="D1562" s="443" t="s">
        <v>4974</v>
      </c>
      <c r="E1562" s="443" t="s">
        <v>1332</v>
      </c>
      <c r="F1562" s="453">
        <v>2024300104</v>
      </c>
      <c r="G1562" s="453" t="s">
        <v>3784</v>
      </c>
      <c r="H1562" s="442" t="s">
        <v>4757</v>
      </c>
      <c r="I1562" s="362">
        <f t="shared" si="115"/>
        <v>3661.4285759999998</v>
      </c>
      <c r="J1562" s="362">
        <f t="shared" si="116"/>
        <v>280.78440000000001</v>
      </c>
      <c r="K1562" s="362">
        <f t="shared" si="114"/>
        <v>280.78440000000001</v>
      </c>
      <c r="L1562" s="362">
        <f t="shared" si="113"/>
        <v>56.156880000000001</v>
      </c>
      <c r="M1562" s="362" t="s">
        <v>6171</v>
      </c>
      <c r="N1562" s="432" t="s">
        <v>3785</v>
      </c>
      <c r="O1562" s="433" t="s">
        <v>4120</v>
      </c>
      <c r="P1562" s="430" t="s">
        <v>3659</v>
      </c>
      <c r="Q1562" s="431">
        <v>0.2</v>
      </c>
      <c r="R1562" s="433">
        <v>1900001630</v>
      </c>
      <c r="S1562" s="444" t="s">
        <v>1331</v>
      </c>
      <c r="T1562" s="2" t="s">
        <v>5915</v>
      </c>
    </row>
    <row r="1563" spans="1:20" hidden="1" x14ac:dyDescent="0.35">
      <c r="A1563" s="432"/>
      <c r="B1563" s="442" t="s">
        <v>5054</v>
      </c>
      <c r="C1563" s="443" t="s">
        <v>4974</v>
      </c>
      <c r="D1563" s="443" t="s">
        <v>4974</v>
      </c>
      <c r="E1563" s="443" t="s">
        <v>1340</v>
      </c>
      <c r="F1563" s="453">
        <v>2024300104</v>
      </c>
      <c r="G1563" s="453" t="s">
        <v>3784</v>
      </c>
      <c r="H1563" s="442" t="s">
        <v>4757</v>
      </c>
      <c r="I1563" s="362">
        <f t="shared" si="115"/>
        <v>3661.4285759999998</v>
      </c>
      <c r="J1563" s="362">
        <f t="shared" si="116"/>
        <v>280.78440000000001</v>
      </c>
      <c r="K1563" s="362">
        <f t="shared" si="114"/>
        <v>280.78440000000001</v>
      </c>
      <c r="L1563" s="362">
        <f t="shared" si="113"/>
        <v>56.156880000000001</v>
      </c>
      <c r="M1563" s="362" t="s">
        <v>6171</v>
      </c>
      <c r="N1563" s="432" t="s">
        <v>3785</v>
      </c>
      <c r="O1563" s="433" t="s">
        <v>4120</v>
      </c>
      <c r="P1563" s="430" t="s">
        <v>3659</v>
      </c>
      <c r="Q1563" s="431">
        <v>0.2</v>
      </c>
      <c r="R1563" s="433">
        <v>1900001630</v>
      </c>
      <c r="S1563" s="444" t="s">
        <v>611</v>
      </c>
      <c r="T1563" s="2" t="s">
        <v>5915</v>
      </c>
    </row>
    <row r="1564" spans="1:20" hidden="1" x14ac:dyDescent="0.35">
      <c r="A1564" s="432"/>
      <c r="B1564" s="442" t="s">
        <v>5054</v>
      </c>
      <c r="C1564" s="443" t="s">
        <v>4974</v>
      </c>
      <c r="D1564" s="443" t="s">
        <v>4974</v>
      </c>
      <c r="E1564" s="443" t="s">
        <v>1350</v>
      </c>
      <c r="F1564" s="453">
        <v>2024300104</v>
      </c>
      <c r="G1564" s="453" t="s">
        <v>3784</v>
      </c>
      <c r="H1564" s="442" t="s">
        <v>4757</v>
      </c>
      <c r="I1564" s="362">
        <f t="shared" si="115"/>
        <v>3661.4285759999998</v>
      </c>
      <c r="J1564" s="362">
        <f t="shared" si="116"/>
        <v>280.78440000000001</v>
      </c>
      <c r="K1564" s="362">
        <f t="shared" si="114"/>
        <v>280.78440000000001</v>
      </c>
      <c r="L1564" s="362">
        <f t="shared" si="113"/>
        <v>56.156880000000001</v>
      </c>
      <c r="M1564" s="362" t="s">
        <v>6171</v>
      </c>
      <c r="N1564" s="432" t="s">
        <v>3785</v>
      </c>
      <c r="O1564" s="433" t="s">
        <v>4120</v>
      </c>
      <c r="P1564" s="430" t="s">
        <v>3659</v>
      </c>
      <c r="Q1564" s="431">
        <v>0.2</v>
      </c>
      <c r="R1564" s="433">
        <v>1900001630</v>
      </c>
      <c r="S1564" s="444" t="s">
        <v>1349</v>
      </c>
      <c r="T1564" s="2" t="s">
        <v>5915</v>
      </c>
    </row>
    <row r="1565" spans="1:20" hidden="1" x14ac:dyDescent="0.35">
      <c r="A1565" s="432"/>
      <c r="B1565" s="442" t="s">
        <v>5054</v>
      </c>
      <c r="C1565" s="443" t="s">
        <v>4974</v>
      </c>
      <c r="D1565" s="443" t="s">
        <v>4974</v>
      </c>
      <c r="E1565" s="443" t="s">
        <v>1352</v>
      </c>
      <c r="F1565" s="453">
        <v>2024300104</v>
      </c>
      <c r="G1565" s="453" t="s">
        <v>3784</v>
      </c>
      <c r="H1565" s="442" t="s">
        <v>4757</v>
      </c>
      <c r="I1565" s="362">
        <f t="shared" si="115"/>
        <v>3661.4285759999998</v>
      </c>
      <c r="J1565" s="362">
        <f t="shared" si="116"/>
        <v>280.78440000000001</v>
      </c>
      <c r="K1565" s="362">
        <f t="shared" si="114"/>
        <v>280.78440000000001</v>
      </c>
      <c r="L1565" s="362">
        <f t="shared" si="113"/>
        <v>56.156880000000001</v>
      </c>
      <c r="M1565" s="362" t="s">
        <v>6171</v>
      </c>
      <c r="N1565" s="432" t="s">
        <v>3785</v>
      </c>
      <c r="O1565" s="433" t="s">
        <v>4120</v>
      </c>
      <c r="P1565" s="430" t="s">
        <v>3659</v>
      </c>
      <c r="Q1565" s="431">
        <v>0.2</v>
      </c>
      <c r="R1565" s="433">
        <v>1900001630</v>
      </c>
      <c r="S1565" s="444" t="s">
        <v>1349</v>
      </c>
      <c r="T1565" s="2" t="s">
        <v>5915</v>
      </c>
    </row>
    <row r="1566" spans="1:20" hidden="1" x14ac:dyDescent="0.35">
      <c r="A1566" s="432"/>
      <c r="B1566" s="442" t="s">
        <v>5054</v>
      </c>
      <c r="C1566" s="443" t="s">
        <v>4974</v>
      </c>
      <c r="D1566" s="443" t="s">
        <v>4974</v>
      </c>
      <c r="E1566" s="443" t="s">
        <v>1386</v>
      </c>
      <c r="F1566" s="453">
        <v>2024300104</v>
      </c>
      <c r="G1566" s="453" t="s">
        <v>3784</v>
      </c>
      <c r="H1566" s="442" t="s">
        <v>4757</v>
      </c>
      <c r="I1566" s="362">
        <f t="shared" si="115"/>
        <v>3661.4285759999998</v>
      </c>
      <c r="J1566" s="362">
        <f t="shared" si="116"/>
        <v>280.78440000000001</v>
      </c>
      <c r="K1566" s="362">
        <f t="shared" si="114"/>
        <v>280.78440000000001</v>
      </c>
      <c r="L1566" s="362">
        <f t="shared" si="113"/>
        <v>56.156880000000001</v>
      </c>
      <c r="M1566" s="362" t="s">
        <v>6171</v>
      </c>
      <c r="N1566" s="432" t="s">
        <v>3785</v>
      </c>
      <c r="O1566" s="433" t="s">
        <v>4120</v>
      </c>
      <c r="P1566" s="430" t="s">
        <v>3659</v>
      </c>
      <c r="Q1566" s="431">
        <v>0.2</v>
      </c>
      <c r="R1566" s="433">
        <v>1900001630</v>
      </c>
      <c r="S1566" s="444" t="s">
        <v>1385</v>
      </c>
      <c r="T1566" s="2" t="s">
        <v>5915</v>
      </c>
    </row>
    <row r="1567" spans="1:20" hidden="1" x14ac:dyDescent="0.35">
      <c r="A1567" s="432"/>
      <c r="B1567" s="442" t="s">
        <v>5054</v>
      </c>
      <c r="C1567" s="443" t="s">
        <v>4974</v>
      </c>
      <c r="D1567" s="443" t="s">
        <v>4974</v>
      </c>
      <c r="E1567" s="443" t="s">
        <v>1467</v>
      </c>
      <c r="F1567" s="453">
        <v>2024300104</v>
      </c>
      <c r="G1567" s="453" t="s">
        <v>3784</v>
      </c>
      <c r="H1567" s="442" t="s">
        <v>4757</v>
      </c>
      <c r="I1567" s="362">
        <f t="shared" si="115"/>
        <v>3661.4285759999998</v>
      </c>
      <c r="J1567" s="362">
        <f t="shared" si="116"/>
        <v>280.78440000000001</v>
      </c>
      <c r="K1567" s="362">
        <f t="shared" si="114"/>
        <v>280.78440000000001</v>
      </c>
      <c r="L1567" s="362">
        <f t="shared" si="113"/>
        <v>56.156880000000001</v>
      </c>
      <c r="M1567" s="362" t="s">
        <v>6171</v>
      </c>
      <c r="N1567" s="432" t="s">
        <v>3785</v>
      </c>
      <c r="O1567" s="433" t="s">
        <v>4120</v>
      </c>
      <c r="P1567" s="430" t="s">
        <v>3659</v>
      </c>
      <c r="Q1567" s="431">
        <v>0.2</v>
      </c>
      <c r="R1567" s="433">
        <v>1900001630</v>
      </c>
      <c r="S1567" s="444" t="s">
        <v>1664</v>
      </c>
      <c r="T1567" s="2" t="s">
        <v>5915</v>
      </c>
    </row>
    <row r="1568" spans="1:20" hidden="1" x14ac:dyDescent="0.35">
      <c r="A1568" s="432"/>
      <c r="B1568" s="442" t="s">
        <v>5054</v>
      </c>
      <c r="C1568" s="443" t="s">
        <v>4974</v>
      </c>
      <c r="D1568" s="443" t="s">
        <v>4974</v>
      </c>
      <c r="E1568" s="443" t="s">
        <v>1468</v>
      </c>
      <c r="F1568" s="453">
        <v>2024300104</v>
      </c>
      <c r="G1568" s="453" t="s">
        <v>3784</v>
      </c>
      <c r="H1568" s="442" t="s">
        <v>4757</v>
      </c>
      <c r="I1568" s="362">
        <f t="shared" si="115"/>
        <v>3661.4285759999998</v>
      </c>
      <c r="J1568" s="362">
        <f t="shared" si="116"/>
        <v>280.78440000000001</v>
      </c>
      <c r="K1568" s="362">
        <f t="shared" si="114"/>
        <v>280.78440000000001</v>
      </c>
      <c r="L1568" s="362">
        <f t="shared" si="113"/>
        <v>56.156880000000001</v>
      </c>
      <c r="M1568" s="362" t="s">
        <v>6171</v>
      </c>
      <c r="N1568" s="432" t="s">
        <v>3785</v>
      </c>
      <c r="O1568" s="433" t="s">
        <v>4120</v>
      </c>
      <c r="P1568" s="430" t="s">
        <v>3659</v>
      </c>
      <c r="Q1568" s="431">
        <v>0.2</v>
      </c>
      <c r="R1568" s="433">
        <v>1900001630</v>
      </c>
      <c r="S1568" s="444" t="s">
        <v>1620</v>
      </c>
      <c r="T1568" s="2" t="s">
        <v>5915</v>
      </c>
    </row>
    <row r="1569" spans="1:21" hidden="1" x14ac:dyDescent="0.35">
      <c r="A1569" s="432"/>
      <c r="B1569" s="442" t="s">
        <v>5054</v>
      </c>
      <c r="C1569" s="443" t="s">
        <v>4974</v>
      </c>
      <c r="D1569" s="443" t="s">
        <v>4974</v>
      </c>
      <c r="E1569" s="443" t="s">
        <v>1469</v>
      </c>
      <c r="F1569" s="453">
        <v>2024300104</v>
      </c>
      <c r="G1569" s="453" t="s">
        <v>3784</v>
      </c>
      <c r="H1569" s="442" t="s">
        <v>4757</v>
      </c>
      <c r="I1569" s="362">
        <f t="shared" si="115"/>
        <v>3661.4285759999998</v>
      </c>
      <c r="J1569" s="362">
        <f t="shared" si="116"/>
        <v>280.78440000000001</v>
      </c>
      <c r="K1569" s="362">
        <f t="shared" si="114"/>
        <v>280.78440000000001</v>
      </c>
      <c r="L1569" s="362">
        <f t="shared" si="113"/>
        <v>56.156880000000001</v>
      </c>
      <c r="M1569" s="362" t="s">
        <v>6171</v>
      </c>
      <c r="N1569" s="432" t="s">
        <v>3785</v>
      </c>
      <c r="O1569" s="433" t="s">
        <v>4120</v>
      </c>
      <c r="P1569" s="430" t="s">
        <v>3659</v>
      </c>
      <c r="Q1569" s="431">
        <v>0.2</v>
      </c>
      <c r="R1569" s="433">
        <v>1900001630</v>
      </c>
      <c r="S1569" s="444" t="s">
        <v>1620</v>
      </c>
      <c r="T1569" s="2" t="s">
        <v>5915</v>
      </c>
    </row>
    <row r="1570" spans="1:21" hidden="1" x14ac:dyDescent="0.35">
      <c r="A1570" s="432"/>
      <c r="B1570" s="442" t="s">
        <v>5054</v>
      </c>
      <c r="C1570" s="443" t="s">
        <v>4974</v>
      </c>
      <c r="D1570" s="443" t="s">
        <v>4974</v>
      </c>
      <c r="E1570" s="443" t="s">
        <v>1470</v>
      </c>
      <c r="F1570" s="453">
        <v>2024300104</v>
      </c>
      <c r="G1570" s="453" t="s">
        <v>3784</v>
      </c>
      <c r="H1570" s="442" t="s">
        <v>4757</v>
      </c>
      <c r="I1570" s="362">
        <f t="shared" si="115"/>
        <v>3661.4285759999998</v>
      </c>
      <c r="J1570" s="362">
        <f t="shared" si="116"/>
        <v>280.78440000000001</v>
      </c>
      <c r="K1570" s="362">
        <f t="shared" si="114"/>
        <v>280.78440000000001</v>
      </c>
      <c r="L1570" s="362">
        <f t="shared" si="113"/>
        <v>56.156880000000001</v>
      </c>
      <c r="M1570" s="362" t="s">
        <v>6171</v>
      </c>
      <c r="N1570" s="432" t="s">
        <v>3785</v>
      </c>
      <c r="O1570" s="433" t="s">
        <v>4120</v>
      </c>
      <c r="P1570" s="430" t="s">
        <v>3659</v>
      </c>
      <c r="Q1570" s="431">
        <v>0.2</v>
      </c>
      <c r="R1570" s="433">
        <v>1900001630</v>
      </c>
      <c r="S1570" s="444" t="s">
        <v>1620</v>
      </c>
      <c r="T1570" s="2" t="s">
        <v>5915</v>
      </c>
    </row>
    <row r="1571" spans="1:21" hidden="1" x14ac:dyDescent="0.35">
      <c r="A1571" s="432"/>
      <c r="B1571" s="442" t="s">
        <v>5054</v>
      </c>
      <c r="C1571" s="443" t="s">
        <v>4974</v>
      </c>
      <c r="D1571" s="443" t="s">
        <v>4974</v>
      </c>
      <c r="E1571" s="443" t="s">
        <v>1471</v>
      </c>
      <c r="F1571" s="453">
        <v>2024300104</v>
      </c>
      <c r="G1571" s="453" t="s">
        <v>3784</v>
      </c>
      <c r="H1571" s="442" t="s">
        <v>4757</v>
      </c>
      <c r="I1571" s="362">
        <f t="shared" si="115"/>
        <v>3661.4285759999998</v>
      </c>
      <c r="J1571" s="362">
        <f t="shared" si="116"/>
        <v>280.78440000000001</v>
      </c>
      <c r="K1571" s="362">
        <f t="shared" si="114"/>
        <v>280.78440000000001</v>
      </c>
      <c r="L1571" s="362">
        <f t="shared" si="113"/>
        <v>56.156880000000001</v>
      </c>
      <c r="M1571" s="362" t="s">
        <v>6171</v>
      </c>
      <c r="N1571" s="432" t="s">
        <v>3785</v>
      </c>
      <c r="O1571" s="433" t="s">
        <v>4120</v>
      </c>
      <c r="P1571" s="430" t="s">
        <v>3659</v>
      </c>
      <c r="Q1571" s="431">
        <v>0.2</v>
      </c>
      <c r="R1571" s="433">
        <v>1900001630</v>
      </c>
      <c r="S1571" s="444" t="s">
        <v>6213</v>
      </c>
      <c r="T1571" s="2" t="s">
        <v>5915</v>
      </c>
    </row>
    <row r="1572" spans="1:21" hidden="1" x14ac:dyDescent="0.35">
      <c r="A1572" s="432"/>
      <c r="B1572" s="442" t="s">
        <v>5054</v>
      </c>
      <c r="C1572" s="443" t="s">
        <v>4974</v>
      </c>
      <c r="D1572" s="443" t="s">
        <v>4974</v>
      </c>
      <c r="E1572" s="443" t="s">
        <v>1472</v>
      </c>
      <c r="F1572" s="453">
        <v>2024300104</v>
      </c>
      <c r="G1572" s="453" t="s">
        <v>3784</v>
      </c>
      <c r="H1572" s="442" t="s">
        <v>4757</v>
      </c>
      <c r="I1572" s="362">
        <f t="shared" si="115"/>
        <v>3661.4285759999998</v>
      </c>
      <c r="J1572" s="362">
        <f t="shared" si="116"/>
        <v>280.78440000000001</v>
      </c>
      <c r="K1572" s="362">
        <f t="shared" si="114"/>
        <v>280.78440000000001</v>
      </c>
      <c r="L1572" s="362">
        <f t="shared" si="113"/>
        <v>56.156880000000001</v>
      </c>
      <c r="M1572" s="362" t="s">
        <v>6171</v>
      </c>
      <c r="N1572" s="432" t="s">
        <v>3785</v>
      </c>
      <c r="O1572" s="433" t="s">
        <v>4120</v>
      </c>
      <c r="P1572" s="430" t="s">
        <v>3659</v>
      </c>
      <c r="Q1572" s="431">
        <v>0.2</v>
      </c>
      <c r="R1572" s="433">
        <v>1900001630</v>
      </c>
      <c r="S1572" s="444" t="s">
        <v>6273</v>
      </c>
      <c r="T1572" s="2" t="s">
        <v>5915</v>
      </c>
    </row>
    <row r="1573" spans="1:21" hidden="1" x14ac:dyDescent="0.35">
      <c r="A1573" s="432"/>
      <c r="B1573" s="442" t="s">
        <v>5054</v>
      </c>
      <c r="C1573" s="443" t="s">
        <v>4974</v>
      </c>
      <c r="D1573" s="443" t="s">
        <v>4974</v>
      </c>
      <c r="E1573" s="443" t="s">
        <v>1473</v>
      </c>
      <c r="F1573" s="453">
        <v>2024300104</v>
      </c>
      <c r="G1573" s="453" t="s">
        <v>3784</v>
      </c>
      <c r="H1573" s="442" t="s">
        <v>4757</v>
      </c>
      <c r="I1573" s="362">
        <f t="shared" si="115"/>
        <v>3661.4285759999998</v>
      </c>
      <c r="J1573" s="362">
        <f t="shared" si="116"/>
        <v>280.78440000000001</v>
      </c>
      <c r="K1573" s="362">
        <f t="shared" si="114"/>
        <v>280.78440000000001</v>
      </c>
      <c r="L1573" s="362">
        <f t="shared" si="113"/>
        <v>56.156880000000001</v>
      </c>
      <c r="M1573" s="362" t="s">
        <v>6171</v>
      </c>
      <c r="N1573" s="432" t="s">
        <v>3785</v>
      </c>
      <c r="O1573" s="433" t="s">
        <v>4120</v>
      </c>
      <c r="P1573" s="430" t="s">
        <v>3659</v>
      </c>
      <c r="Q1573" s="431">
        <v>0.2</v>
      </c>
      <c r="R1573" s="433">
        <v>1900001630</v>
      </c>
      <c r="S1573" s="444" t="s">
        <v>6297</v>
      </c>
      <c r="T1573" s="2" t="s">
        <v>5915</v>
      </c>
    </row>
    <row r="1574" spans="1:21" hidden="1" x14ac:dyDescent="0.35">
      <c r="A1574" s="432"/>
      <c r="B1574" s="442" t="s">
        <v>5054</v>
      </c>
      <c r="C1574" s="443" t="s">
        <v>4974</v>
      </c>
      <c r="D1574" s="443" t="s">
        <v>4974</v>
      </c>
      <c r="E1574" s="18" t="s">
        <v>1472</v>
      </c>
      <c r="F1574" s="453">
        <v>2024300104</v>
      </c>
      <c r="G1574" s="453" t="s">
        <v>3784</v>
      </c>
      <c r="H1574" s="442" t="s">
        <v>4757</v>
      </c>
      <c r="I1574" s="362">
        <f t="shared" si="115"/>
        <v>3661.4285759999998</v>
      </c>
      <c r="J1574" s="362">
        <f t="shared" si="116"/>
        <v>280.78440000000001</v>
      </c>
      <c r="K1574" s="362">
        <f t="shared" si="114"/>
        <v>280.78440000000001</v>
      </c>
      <c r="L1574" s="362">
        <f t="shared" si="113"/>
        <v>56.156880000000001</v>
      </c>
      <c r="M1574" s="362" t="s">
        <v>6171</v>
      </c>
      <c r="N1574" s="432" t="s">
        <v>3785</v>
      </c>
      <c r="O1574" s="433" t="s">
        <v>4120</v>
      </c>
      <c r="P1574" s="430" t="s">
        <v>3659</v>
      </c>
      <c r="Q1574" s="431">
        <v>0.2</v>
      </c>
      <c r="R1574" s="433">
        <v>1900001630</v>
      </c>
      <c r="S1574" s="444" t="s">
        <v>6273</v>
      </c>
      <c r="T1574" s="2" t="s">
        <v>5915</v>
      </c>
    </row>
    <row r="1575" spans="1:21" hidden="1" x14ac:dyDescent="0.35">
      <c r="A1575" s="432"/>
      <c r="B1575" s="442" t="s">
        <v>5054</v>
      </c>
      <c r="C1575" s="443" t="s">
        <v>4974</v>
      </c>
      <c r="D1575" s="443" t="s">
        <v>4974</v>
      </c>
      <c r="E1575" s="443" t="s">
        <v>1474</v>
      </c>
      <c r="F1575" s="453">
        <v>2024300104</v>
      </c>
      <c r="G1575" s="453" t="s">
        <v>3784</v>
      </c>
      <c r="H1575" s="442" t="s">
        <v>4757</v>
      </c>
      <c r="I1575" s="362">
        <f t="shared" si="115"/>
        <v>3661.4285759999998</v>
      </c>
      <c r="J1575" s="362">
        <f t="shared" si="116"/>
        <v>280.78440000000001</v>
      </c>
      <c r="K1575" s="362">
        <f t="shared" si="114"/>
        <v>280.78440000000001</v>
      </c>
      <c r="L1575" s="362">
        <f t="shared" si="113"/>
        <v>56.156880000000001</v>
      </c>
      <c r="M1575" s="362" t="s">
        <v>6171</v>
      </c>
      <c r="N1575" s="432" t="s">
        <v>3785</v>
      </c>
      <c r="O1575" s="433" t="s">
        <v>4120</v>
      </c>
      <c r="P1575" s="430" t="s">
        <v>3659</v>
      </c>
      <c r="Q1575" s="431">
        <v>0.2</v>
      </c>
      <c r="R1575" s="433">
        <v>1900001630</v>
      </c>
      <c r="S1575" s="444" t="s">
        <v>1620</v>
      </c>
      <c r="T1575" s="2" t="s">
        <v>5915</v>
      </c>
    </row>
    <row r="1576" spans="1:21" hidden="1" x14ac:dyDescent="0.35">
      <c r="A1576" s="432"/>
      <c r="B1576" s="442" t="s">
        <v>5054</v>
      </c>
      <c r="C1576" s="443" t="s">
        <v>4974</v>
      </c>
      <c r="D1576" s="443" t="s">
        <v>4974</v>
      </c>
      <c r="E1576" s="443" t="s">
        <v>1475</v>
      </c>
      <c r="F1576" s="453">
        <v>2024300104</v>
      </c>
      <c r="G1576" s="453" t="s">
        <v>3784</v>
      </c>
      <c r="H1576" s="442" t="s">
        <v>4757</v>
      </c>
      <c r="I1576" s="362">
        <f t="shared" si="115"/>
        <v>3661.4285759999998</v>
      </c>
      <c r="J1576" s="362">
        <f t="shared" si="116"/>
        <v>280.78440000000001</v>
      </c>
      <c r="K1576" s="362">
        <f t="shared" si="114"/>
        <v>280.78440000000001</v>
      </c>
      <c r="L1576" s="362">
        <f t="shared" si="113"/>
        <v>56.156880000000001</v>
      </c>
      <c r="M1576" s="362" t="s">
        <v>6171</v>
      </c>
      <c r="N1576" s="432" t="s">
        <v>3785</v>
      </c>
      <c r="O1576" s="433" t="s">
        <v>4120</v>
      </c>
      <c r="P1576" s="430" t="s">
        <v>3659</v>
      </c>
      <c r="Q1576" s="431">
        <v>0.2</v>
      </c>
      <c r="R1576" s="433">
        <v>1900001630</v>
      </c>
      <c r="S1576" s="444" t="s">
        <v>6303</v>
      </c>
      <c r="T1576" s="2" t="s">
        <v>5915</v>
      </c>
    </row>
    <row r="1577" spans="1:21" hidden="1" x14ac:dyDescent="0.35">
      <c r="A1577" s="432"/>
      <c r="B1577" s="442" t="s">
        <v>5054</v>
      </c>
      <c r="C1577" s="443" t="s">
        <v>4974</v>
      </c>
      <c r="D1577" s="443" t="s">
        <v>4974</v>
      </c>
      <c r="E1577" s="443" t="s">
        <v>1476</v>
      </c>
      <c r="F1577" s="453">
        <v>2024300104</v>
      </c>
      <c r="G1577" s="453" t="s">
        <v>3784</v>
      </c>
      <c r="H1577" s="442" t="s">
        <v>4757</v>
      </c>
      <c r="I1577" s="362">
        <f t="shared" si="115"/>
        <v>3661.4285759999998</v>
      </c>
      <c r="J1577" s="362">
        <f t="shared" si="116"/>
        <v>280.78440000000001</v>
      </c>
      <c r="K1577" s="362">
        <f t="shared" si="114"/>
        <v>280.78440000000001</v>
      </c>
      <c r="L1577" s="362">
        <f t="shared" si="113"/>
        <v>56.156880000000001</v>
      </c>
      <c r="M1577" s="362" t="s">
        <v>6171</v>
      </c>
      <c r="N1577" s="432" t="s">
        <v>3785</v>
      </c>
      <c r="O1577" s="433" t="s">
        <v>4120</v>
      </c>
      <c r="P1577" s="430" t="s">
        <v>3659</v>
      </c>
      <c r="Q1577" s="431">
        <v>0.2</v>
      </c>
      <c r="R1577" s="433">
        <v>1900001630</v>
      </c>
      <c r="S1577" s="444" t="s">
        <v>1045</v>
      </c>
      <c r="T1577" s="2" t="s">
        <v>5915</v>
      </c>
    </row>
    <row r="1578" spans="1:21" hidden="1" x14ac:dyDescent="0.35">
      <c r="A1578" s="432"/>
      <c r="B1578" s="442" t="s">
        <v>5054</v>
      </c>
      <c r="C1578" s="443" t="s">
        <v>4974</v>
      </c>
      <c r="D1578" s="443" t="s">
        <v>4974</v>
      </c>
      <c r="E1578" s="443" t="s">
        <v>6299</v>
      </c>
      <c r="F1578" s="453">
        <v>2024300104</v>
      </c>
      <c r="G1578" s="453" t="s">
        <v>3784</v>
      </c>
      <c r="H1578" s="442" t="s">
        <v>4757</v>
      </c>
      <c r="I1578" s="362">
        <f t="shared" si="115"/>
        <v>3661.4285759999998</v>
      </c>
      <c r="J1578" s="362">
        <f t="shared" si="116"/>
        <v>280.78440000000001</v>
      </c>
      <c r="K1578" s="362">
        <f t="shared" si="114"/>
        <v>280.78440000000001</v>
      </c>
      <c r="L1578" s="362">
        <f t="shared" si="113"/>
        <v>56.156880000000001</v>
      </c>
      <c r="M1578" s="362" t="s">
        <v>6171</v>
      </c>
      <c r="N1578" s="432" t="s">
        <v>3785</v>
      </c>
      <c r="O1578" s="433" t="s">
        <v>4120</v>
      </c>
      <c r="P1578" s="430" t="s">
        <v>3659</v>
      </c>
      <c r="Q1578" s="431">
        <v>0.2</v>
      </c>
      <c r="R1578" s="433">
        <v>1900001630</v>
      </c>
      <c r="S1578" s="444" t="s">
        <v>509</v>
      </c>
      <c r="T1578" s="2" t="s">
        <v>5915</v>
      </c>
    </row>
    <row r="1579" spans="1:21" hidden="1" x14ac:dyDescent="0.35">
      <c r="A1579" s="432"/>
      <c r="B1579" s="442" t="s">
        <v>5054</v>
      </c>
      <c r="C1579" s="443" t="s">
        <v>4974</v>
      </c>
      <c r="D1579" s="443" t="s">
        <v>4974</v>
      </c>
      <c r="E1579" s="443" t="s">
        <v>1477</v>
      </c>
      <c r="F1579" s="453">
        <v>2024300104</v>
      </c>
      <c r="G1579" s="453" t="s">
        <v>3784</v>
      </c>
      <c r="H1579" s="442" t="s">
        <v>4757</v>
      </c>
      <c r="I1579" s="362">
        <f t="shared" si="115"/>
        <v>3661.4285759999998</v>
      </c>
      <c r="J1579" s="362">
        <f t="shared" si="116"/>
        <v>280.78440000000001</v>
      </c>
      <c r="K1579" s="362">
        <f t="shared" si="114"/>
        <v>280.78440000000001</v>
      </c>
      <c r="L1579" s="362">
        <f t="shared" si="113"/>
        <v>56.156880000000001</v>
      </c>
      <c r="M1579" s="362" t="s">
        <v>6171</v>
      </c>
      <c r="N1579" s="432" t="s">
        <v>3785</v>
      </c>
      <c r="O1579" s="433" t="s">
        <v>4120</v>
      </c>
      <c r="P1579" s="430" t="s">
        <v>3659</v>
      </c>
      <c r="Q1579" s="431">
        <v>0.2</v>
      </c>
      <c r="R1579" s="433">
        <v>1900001630</v>
      </c>
      <c r="S1579" s="444" t="s">
        <v>6288</v>
      </c>
      <c r="T1579" s="2" t="s">
        <v>5915</v>
      </c>
    </row>
    <row r="1580" spans="1:21" hidden="1" x14ac:dyDescent="0.35">
      <c r="A1580" s="432"/>
      <c r="B1580" s="442" t="s">
        <v>5054</v>
      </c>
      <c r="C1580" s="443" t="s">
        <v>4974</v>
      </c>
      <c r="D1580" s="443" t="s">
        <v>4974</v>
      </c>
      <c r="E1580" s="443" t="s">
        <v>1479</v>
      </c>
      <c r="F1580" s="453">
        <v>2024300104</v>
      </c>
      <c r="G1580" s="453" t="s">
        <v>3784</v>
      </c>
      <c r="H1580" s="442" t="s">
        <v>4757</v>
      </c>
      <c r="I1580" s="362">
        <f t="shared" si="115"/>
        <v>3661.4285759999998</v>
      </c>
      <c r="J1580" s="362">
        <f t="shared" si="116"/>
        <v>280.78440000000001</v>
      </c>
      <c r="K1580" s="362">
        <f t="shared" si="114"/>
        <v>280.78440000000001</v>
      </c>
      <c r="L1580" s="362">
        <f t="shared" si="113"/>
        <v>56.156880000000001</v>
      </c>
      <c r="M1580" s="362" t="s">
        <v>6171</v>
      </c>
      <c r="N1580" s="432" t="s">
        <v>3785</v>
      </c>
      <c r="O1580" s="433" t="s">
        <v>4120</v>
      </c>
      <c r="P1580" s="430" t="s">
        <v>3659</v>
      </c>
      <c r="Q1580" s="431">
        <v>0.2</v>
      </c>
      <c r="R1580" s="433">
        <v>1900001630</v>
      </c>
      <c r="S1580" s="444" t="s">
        <v>6247</v>
      </c>
      <c r="T1580" s="2" t="s">
        <v>5915</v>
      </c>
    </row>
    <row r="1581" spans="1:21" hidden="1" x14ac:dyDescent="0.35">
      <c r="A1581" s="432"/>
      <c r="B1581" s="442" t="s">
        <v>5054</v>
      </c>
      <c r="C1581" s="443" t="s">
        <v>4974</v>
      </c>
      <c r="D1581" s="443" t="s">
        <v>4974</v>
      </c>
      <c r="E1581" s="443" t="s">
        <v>1480</v>
      </c>
      <c r="F1581" s="453">
        <v>2024300104</v>
      </c>
      <c r="G1581" s="453" t="s">
        <v>3784</v>
      </c>
      <c r="H1581" s="442" t="s">
        <v>4757</v>
      </c>
      <c r="I1581" s="362">
        <f t="shared" si="115"/>
        <v>3661.4285759999998</v>
      </c>
      <c r="J1581" s="362">
        <f t="shared" si="116"/>
        <v>280.78440000000001</v>
      </c>
      <c r="K1581" s="362">
        <f t="shared" si="114"/>
        <v>280.78440000000001</v>
      </c>
      <c r="L1581" s="362">
        <f t="shared" si="113"/>
        <v>56.156880000000001</v>
      </c>
      <c r="M1581" s="362" t="s">
        <v>6171</v>
      </c>
      <c r="N1581" s="432" t="s">
        <v>3785</v>
      </c>
      <c r="O1581" s="433" t="s">
        <v>4120</v>
      </c>
      <c r="P1581" s="430" t="s">
        <v>3659</v>
      </c>
      <c r="Q1581" s="431">
        <v>0.2</v>
      </c>
      <c r="R1581" s="433">
        <v>1900001630</v>
      </c>
      <c r="S1581" s="444" t="s">
        <v>6247</v>
      </c>
      <c r="T1581" s="2" t="s">
        <v>5915</v>
      </c>
    </row>
    <row r="1582" spans="1:21" hidden="1" x14ac:dyDescent="0.35">
      <c r="A1582" s="432"/>
      <c r="B1582" s="442" t="s">
        <v>5054</v>
      </c>
      <c r="C1582" s="443" t="s">
        <v>4974</v>
      </c>
      <c r="D1582" s="443" t="s">
        <v>4974</v>
      </c>
      <c r="E1582" s="443" t="s">
        <v>1481</v>
      </c>
      <c r="F1582" s="453">
        <v>2024300104</v>
      </c>
      <c r="G1582" s="453" t="s">
        <v>3784</v>
      </c>
      <c r="H1582" s="442" t="s">
        <v>4757</v>
      </c>
      <c r="I1582" s="362">
        <f t="shared" si="115"/>
        <v>3661.4285759999998</v>
      </c>
      <c r="J1582" s="362">
        <f t="shared" si="116"/>
        <v>280.78440000000001</v>
      </c>
      <c r="K1582" s="362">
        <f t="shared" si="114"/>
        <v>280.78440000000001</v>
      </c>
      <c r="L1582" s="362">
        <f t="shared" si="113"/>
        <v>56.156880000000001</v>
      </c>
      <c r="M1582" s="362" t="s">
        <v>6171</v>
      </c>
      <c r="N1582" s="432" t="s">
        <v>3785</v>
      </c>
      <c r="O1582" s="433" t="s">
        <v>4120</v>
      </c>
      <c r="P1582" s="430" t="s">
        <v>3659</v>
      </c>
      <c r="Q1582" s="431">
        <v>0.2</v>
      </c>
      <c r="R1582" s="433">
        <v>1900001630</v>
      </c>
      <c r="S1582" s="444" t="s">
        <v>6247</v>
      </c>
      <c r="T1582" s="2" t="s">
        <v>5915</v>
      </c>
    </row>
    <row r="1583" spans="1:21" hidden="1" x14ac:dyDescent="0.35">
      <c r="A1583" s="432"/>
      <c r="B1583" s="442" t="s">
        <v>5054</v>
      </c>
      <c r="C1583" s="443" t="s">
        <v>5918</v>
      </c>
      <c r="D1583" s="443" t="s">
        <v>4974</v>
      </c>
      <c r="E1583" s="443"/>
      <c r="F1583" s="453">
        <v>2024300104</v>
      </c>
      <c r="G1583" s="545" t="s">
        <v>741</v>
      </c>
      <c r="H1583" s="442" t="s">
        <v>4757</v>
      </c>
      <c r="I1583" s="362">
        <f t="shared" si="115"/>
        <v>3661.4285759999998</v>
      </c>
      <c r="J1583" s="362">
        <f t="shared" si="116"/>
        <v>280.78440000000001</v>
      </c>
      <c r="K1583" s="362">
        <f t="shared" si="114"/>
        <v>280.78440000000001</v>
      </c>
      <c r="L1583" s="362">
        <f t="shared" si="113"/>
        <v>56.156880000000001</v>
      </c>
      <c r="M1583" s="362" t="s">
        <v>6171</v>
      </c>
      <c r="N1583" s="432" t="s">
        <v>3785</v>
      </c>
      <c r="O1583" s="433" t="s">
        <v>4120</v>
      </c>
      <c r="P1583" s="430" t="s">
        <v>3659</v>
      </c>
      <c r="Q1583" s="431">
        <v>0.2</v>
      </c>
      <c r="R1583" s="433">
        <v>1900001630</v>
      </c>
      <c r="S1583" s="444" t="s">
        <v>3475</v>
      </c>
      <c r="T1583" s="2" t="s">
        <v>5914</v>
      </c>
      <c r="U1583" s="444" t="s">
        <v>3475</v>
      </c>
    </row>
    <row r="1584" spans="1:21" s="619" customFormat="1" hidden="1" x14ac:dyDescent="0.35">
      <c r="A1584" s="613" t="s">
        <v>5057</v>
      </c>
      <c r="B1584" s="614" t="s">
        <v>593</v>
      </c>
      <c r="C1584" s="615" t="s">
        <v>5058</v>
      </c>
      <c r="D1584" s="443" t="s">
        <v>5058</v>
      </c>
      <c r="E1584" s="615" t="s">
        <v>594</v>
      </c>
      <c r="F1584" s="453">
        <v>2024300125</v>
      </c>
      <c r="G1584" s="616" t="s">
        <v>3655</v>
      </c>
      <c r="H1584" s="362" t="s">
        <v>4757</v>
      </c>
      <c r="I1584" s="362">
        <v>19732.079041165867</v>
      </c>
      <c r="J1584" s="362">
        <v>1241.52712</v>
      </c>
      <c r="K1584" s="362">
        <v>1241.52712</v>
      </c>
      <c r="L1584" s="362">
        <f t="shared" si="113"/>
        <v>248.30542400000002</v>
      </c>
      <c r="M1584" s="362" t="s">
        <v>6171</v>
      </c>
      <c r="N1584" s="432" t="s">
        <v>3785</v>
      </c>
      <c r="O1584" s="433" t="s">
        <v>4120</v>
      </c>
      <c r="P1584" s="430" t="s">
        <v>3659</v>
      </c>
      <c r="Q1584" s="431">
        <v>0.2</v>
      </c>
      <c r="R1584" s="462">
        <v>1900003135</v>
      </c>
      <c r="S1584" s="617" t="s">
        <v>596</v>
      </c>
      <c r="T1584" s="618" t="s">
        <v>5915</v>
      </c>
    </row>
    <row r="1585" spans="1:20" s="619" customFormat="1" hidden="1" x14ac:dyDescent="0.35">
      <c r="A1585" s="613" t="s">
        <v>5059</v>
      </c>
      <c r="B1585" s="614" t="s">
        <v>593</v>
      </c>
      <c r="C1585" s="615" t="s">
        <v>5058</v>
      </c>
      <c r="D1585" s="443" t="s">
        <v>5058</v>
      </c>
      <c r="E1585" s="615" t="s">
        <v>597</v>
      </c>
      <c r="F1585" s="453">
        <v>2024300125</v>
      </c>
      <c r="G1585" s="616" t="s">
        <v>3655</v>
      </c>
      <c r="H1585" s="362" t="s">
        <v>4757</v>
      </c>
      <c r="I1585" s="362">
        <v>19732.079041165867</v>
      </c>
      <c r="J1585" s="362">
        <v>1241.52712</v>
      </c>
      <c r="K1585" s="362">
        <v>1241.52712</v>
      </c>
      <c r="L1585" s="362">
        <f t="shared" si="113"/>
        <v>248.30542400000002</v>
      </c>
      <c r="M1585" s="362" t="s">
        <v>6171</v>
      </c>
      <c r="N1585" s="432" t="s">
        <v>3785</v>
      </c>
      <c r="O1585" s="433" t="s">
        <v>4120</v>
      </c>
      <c r="P1585" s="430" t="s">
        <v>3659</v>
      </c>
      <c r="Q1585" s="431">
        <v>0.2</v>
      </c>
      <c r="R1585" s="433">
        <v>1900003135</v>
      </c>
      <c r="S1585" s="617" t="s">
        <v>598</v>
      </c>
      <c r="T1585" s="618" t="s">
        <v>5915</v>
      </c>
    </row>
    <row r="1586" spans="1:20" s="619" customFormat="1" hidden="1" x14ac:dyDescent="0.35">
      <c r="A1586" s="613" t="s">
        <v>5060</v>
      </c>
      <c r="B1586" s="614" t="s">
        <v>593</v>
      </c>
      <c r="C1586" s="615" t="s">
        <v>5058</v>
      </c>
      <c r="D1586" s="443" t="s">
        <v>5058</v>
      </c>
      <c r="E1586" s="615" t="s">
        <v>599</v>
      </c>
      <c r="F1586" s="453">
        <v>2024300125</v>
      </c>
      <c r="G1586" s="616" t="s">
        <v>3655</v>
      </c>
      <c r="H1586" s="362" t="s">
        <v>4757</v>
      </c>
      <c r="I1586" s="362">
        <v>19732.079041165867</v>
      </c>
      <c r="J1586" s="362">
        <v>1241.52712</v>
      </c>
      <c r="K1586" s="362">
        <v>1241.52712</v>
      </c>
      <c r="L1586" s="362">
        <f t="shared" si="113"/>
        <v>248.30542400000002</v>
      </c>
      <c r="M1586" s="362" t="s">
        <v>6171</v>
      </c>
      <c r="N1586" s="613" t="s">
        <v>3785</v>
      </c>
      <c r="O1586" s="433" t="s">
        <v>4120</v>
      </c>
      <c r="P1586" s="430" t="s">
        <v>3659</v>
      </c>
      <c r="Q1586" s="431">
        <v>0.2</v>
      </c>
      <c r="R1586" s="433">
        <v>1900003135</v>
      </c>
      <c r="S1586" s="617" t="s">
        <v>6186</v>
      </c>
      <c r="T1586" s="618" t="s">
        <v>5915</v>
      </c>
    </row>
    <row r="1587" spans="1:20" s="619" customFormat="1" hidden="1" x14ac:dyDescent="0.35">
      <c r="A1587" s="613" t="s">
        <v>5061</v>
      </c>
      <c r="B1587" s="614" t="s">
        <v>593</v>
      </c>
      <c r="C1587" s="615" t="s">
        <v>5058</v>
      </c>
      <c r="D1587" s="443" t="s">
        <v>5058</v>
      </c>
      <c r="E1587" s="615" t="s">
        <v>601</v>
      </c>
      <c r="F1587" s="453">
        <v>2024300125</v>
      </c>
      <c r="G1587" s="616" t="s">
        <v>3655</v>
      </c>
      <c r="H1587" s="362" t="s">
        <v>4757</v>
      </c>
      <c r="I1587" s="362">
        <v>19732.079041165867</v>
      </c>
      <c r="J1587" s="362">
        <v>1241.52712</v>
      </c>
      <c r="K1587" s="362">
        <v>1241.52712</v>
      </c>
      <c r="L1587" s="362">
        <f t="shared" si="113"/>
        <v>248.30542400000002</v>
      </c>
      <c r="M1587" s="362" t="s">
        <v>6171</v>
      </c>
      <c r="N1587" s="432" t="s">
        <v>3785</v>
      </c>
      <c r="O1587" s="433" t="s">
        <v>4120</v>
      </c>
      <c r="P1587" s="430" t="s">
        <v>3659</v>
      </c>
      <c r="Q1587" s="431">
        <v>0.2</v>
      </c>
      <c r="R1587" s="433">
        <v>1900003135</v>
      </c>
      <c r="S1587" s="617" t="s">
        <v>602</v>
      </c>
      <c r="T1587" s="618" t="s">
        <v>5915</v>
      </c>
    </row>
    <row r="1588" spans="1:20" s="619" customFormat="1" hidden="1" x14ac:dyDescent="0.35">
      <c r="A1588" s="613" t="s">
        <v>5062</v>
      </c>
      <c r="B1588" s="614" t="s">
        <v>593</v>
      </c>
      <c r="C1588" s="615" t="s">
        <v>5058</v>
      </c>
      <c r="D1588" s="443" t="s">
        <v>5058</v>
      </c>
      <c r="E1588" s="615" t="s">
        <v>603</v>
      </c>
      <c r="F1588" s="453">
        <v>2024300125</v>
      </c>
      <c r="G1588" s="616" t="s">
        <v>3655</v>
      </c>
      <c r="H1588" s="362" t="s">
        <v>4757</v>
      </c>
      <c r="I1588" s="362">
        <v>19732.079041165867</v>
      </c>
      <c r="J1588" s="362">
        <v>1241.52712</v>
      </c>
      <c r="K1588" s="362">
        <v>1241.52712</v>
      </c>
      <c r="L1588" s="362">
        <f t="shared" si="113"/>
        <v>248.30542400000002</v>
      </c>
      <c r="M1588" s="362" t="s">
        <v>6171</v>
      </c>
      <c r="N1588" s="432" t="s">
        <v>3785</v>
      </c>
      <c r="O1588" s="433" t="s">
        <v>4120</v>
      </c>
      <c r="P1588" s="430" t="s">
        <v>3659</v>
      </c>
      <c r="Q1588" s="431">
        <v>0.2</v>
      </c>
      <c r="R1588" s="433">
        <v>1900003135</v>
      </c>
      <c r="S1588" s="617" t="s">
        <v>604</v>
      </c>
      <c r="T1588" s="618" t="s">
        <v>5915</v>
      </c>
    </row>
    <row r="1589" spans="1:20" s="619" customFormat="1" hidden="1" x14ac:dyDescent="0.35">
      <c r="A1589" s="613" t="s">
        <v>5063</v>
      </c>
      <c r="B1589" s="614" t="s">
        <v>593</v>
      </c>
      <c r="C1589" s="615" t="s">
        <v>5058</v>
      </c>
      <c r="D1589" s="443" t="s">
        <v>5058</v>
      </c>
      <c r="E1589" s="615" t="s">
        <v>605</v>
      </c>
      <c r="F1589" s="453">
        <v>2024300125</v>
      </c>
      <c r="G1589" s="616" t="s">
        <v>3655</v>
      </c>
      <c r="H1589" s="362" t="s">
        <v>4757</v>
      </c>
      <c r="I1589" s="362">
        <v>19732.079041165867</v>
      </c>
      <c r="J1589" s="362">
        <v>1241.52712</v>
      </c>
      <c r="K1589" s="362">
        <v>1241.52712</v>
      </c>
      <c r="L1589" s="362">
        <f t="shared" si="113"/>
        <v>248.30542400000002</v>
      </c>
      <c r="M1589" s="362" t="s">
        <v>6171</v>
      </c>
      <c r="N1589" s="432" t="s">
        <v>3785</v>
      </c>
      <c r="O1589" s="433" t="s">
        <v>4120</v>
      </c>
      <c r="P1589" s="430" t="s">
        <v>3659</v>
      </c>
      <c r="Q1589" s="431">
        <v>0.2</v>
      </c>
      <c r="R1589" s="433">
        <v>1900003135</v>
      </c>
      <c r="S1589" s="617" t="s">
        <v>606</v>
      </c>
      <c r="T1589" s="618" t="s">
        <v>5915</v>
      </c>
    </row>
    <row r="1590" spans="1:20" s="619" customFormat="1" hidden="1" x14ac:dyDescent="0.35">
      <c r="A1590" s="613" t="s">
        <v>5064</v>
      </c>
      <c r="B1590" s="614" t="s">
        <v>593</v>
      </c>
      <c r="C1590" s="615" t="s">
        <v>5058</v>
      </c>
      <c r="D1590" s="443" t="s">
        <v>5058</v>
      </c>
      <c r="E1590" s="615" t="s">
        <v>607</v>
      </c>
      <c r="F1590" s="453">
        <v>2024300125</v>
      </c>
      <c r="G1590" s="616" t="s">
        <v>3655</v>
      </c>
      <c r="H1590" s="362" t="s">
        <v>4757</v>
      </c>
      <c r="I1590" s="362">
        <v>19732.079041165867</v>
      </c>
      <c r="J1590" s="362">
        <v>1241.52712</v>
      </c>
      <c r="K1590" s="362">
        <v>1241.52712</v>
      </c>
      <c r="L1590" s="362">
        <f t="shared" si="113"/>
        <v>248.30542400000002</v>
      </c>
      <c r="M1590" s="362" t="s">
        <v>6171</v>
      </c>
      <c r="N1590" s="432" t="s">
        <v>3785</v>
      </c>
      <c r="O1590" s="433" t="s">
        <v>4120</v>
      </c>
      <c r="P1590" s="430" t="s">
        <v>3659</v>
      </c>
      <c r="Q1590" s="431">
        <v>0.2</v>
      </c>
      <c r="R1590" s="433">
        <v>1900003135</v>
      </c>
      <c r="S1590" s="617" t="s">
        <v>1177</v>
      </c>
      <c r="T1590" s="618" t="s">
        <v>5915</v>
      </c>
    </row>
    <row r="1591" spans="1:20" s="619" customFormat="1" hidden="1" x14ac:dyDescent="0.35">
      <c r="A1591" s="613" t="s">
        <v>5065</v>
      </c>
      <c r="B1591" s="614" t="s">
        <v>593</v>
      </c>
      <c r="C1591" s="615" t="s">
        <v>5058</v>
      </c>
      <c r="D1591" s="443" t="s">
        <v>5058</v>
      </c>
      <c r="E1591" s="615" t="s">
        <v>608</v>
      </c>
      <c r="F1591" s="453">
        <v>2024300125</v>
      </c>
      <c r="G1591" s="616" t="s">
        <v>3655</v>
      </c>
      <c r="H1591" s="362" t="s">
        <v>4757</v>
      </c>
      <c r="I1591" s="362">
        <v>19732.079041165867</v>
      </c>
      <c r="J1591" s="362">
        <v>1241.52712</v>
      </c>
      <c r="K1591" s="362">
        <v>1241.52712</v>
      </c>
      <c r="L1591" s="362">
        <f t="shared" si="113"/>
        <v>248.30542400000002</v>
      </c>
      <c r="M1591" s="362" t="s">
        <v>6171</v>
      </c>
      <c r="N1591" s="432" t="s">
        <v>3785</v>
      </c>
      <c r="O1591" s="433" t="s">
        <v>4120</v>
      </c>
      <c r="P1591" s="430" t="s">
        <v>3659</v>
      </c>
      <c r="Q1591" s="431">
        <v>0.2</v>
      </c>
      <c r="R1591" s="433">
        <v>1900003135</v>
      </c>
      <c r="S1591" s="617" t="s">
        <v>609</v>
      </c>
      <c r="T1591" s="618" t="s">
        <v>5915</v>
      </c>
    </row>
    <row r="1592" spans="1:20" s="619" customFormat="1" hidden="1" x14ac:dyDescent="0.35">
      <c r="A1592" s="613" t="s">
        <v>5066</v>
      </c>
      <c r="B1592" s="614" t="s">
        <v>593</v>
      </c>
      <c r="C1592" s="615" t="s">
        <v>5058</v>
      </c>
      <c r="D1592" s="443" t="s">
        <v>5058</v>
      </c>
      <c r="E1592" s="615" t="s">
        <v>610</v>
      </c>
      <c r="F1592" s="453">
        <v>2024300125</v>
      </c>
      <c r="G1592" s="616" t="s">
        <v>3655</v>
      </c>
      <c r="H1592" s="362" t="s">
        <v>4757</v>
      </c>
      <c r="I1592" s="362">
        <v>19732.079041165867</v>
      </c>
      <c r="J1592" s="362">
        <v>1241.52712</v>
      </c>
      <c r="K1592" s="362">
        <v>1241.52712</v>
      </c>
      <c r="L1592" s="362">
        <f t="shared" si="113"/>
        <v>248.30542400000002</v>
      </c>
      <c r="M1592" s="362" t="s">
        <v>6171</v>
      </c>
      <c r="N1592" s="432" t="s">
        <v>3785</v>
      </c>
      <c r="O1592" s="433" t="s">
        <v>4120</v>
      </c>
      <c r="P1592" s="430" t="s">
        <v>3659</v>
      </c>
      <c r="Q1592" s="431">
        <v>0.2</v>
      </c>
      <c r="R1592" s="433">
        <v>1900003135</v>
      </c>
      <c r="S1592" s="617" t="s">
        <v>611</v>
      </c>
      <c r="T1592" s="618" t="s">
        <v>5915</v>
      </c>
    </row>
    <row r="1593" spans="1:20" s="619" customFormat="1" hidden="1" x14ac:dyDescent="0.35">
      <c r="A1593" s="613" t="s">
        <v>5067</v>
      </c>
      <c r="B1593" s="614" t="s">
        <v>593</v>
      </c>
      <c r="C1593" s="615" t="s">
        <v>5058</v>
      </c>
      <c r="D1593" s="443" t="s">
        <v>5058</v>
      </c>
      <c r="E1593" s="615" t="s">
        <v>612</v>
      </c>
      <c r="F1593" s="453">
        <v>2024300125</v>
      </c>
      <c r="G1593" s="616" t="s">
        <v>3655</v>
      </c>
      <c r="H1593" s="362" t="s">
        <v>4757</v>
      </c>
      <c r="I1593" s="362">
        <v>19732.079041165867</v>
      </c>
      <c r="J1593" s="362">
        <v>1241.52712</v>
      </c>
      <c r="K1593" s="362">
        <v>1241.52712</v>
      </c>
      <c r="L1593" s="362">
        <f t="shared" si="113"/>
        <v>248.30542400000002</v>
      </c>
      <c r="M1593" s="362" t="s">
        <v>6171</v>
      </c>
      <c r="N1593" s="432" t="s">
        <v>3785</v>
      </c>
      <c r="O1593" s="433" t="s">
        <v>4120</v>
      </c>
      <c r="P1593" s="430" t="s">
        <v>3659</v>
      </c>
      <c r="Q1593" s="431">
        <v>0.2</v>
      </c>
      <c r="R1593" s="433">
        <v>1900003135</v>
      </c>
      <c r="S1593" s="617" t="s">
        <v>613</v>
      </c>
      <c r="T1593" s="618" t="s">
        <v>5915</v>
      </c>
    </row>
    <row r="1594" spans="1:20" s="619" customFormat="1" hidden="1" x14ac:dyDescent="0.35">
      <c r="A1594" s="613" t="s">
        <v>5068</v>
      </c>
      <c r="B1594" s="614" t="s">
        <v>593</v>
      </c>
      <c r="C1594" s="615" t="s">
        <v>5058</v>
      </c>
      <c r="D1594" s="443" t="s">
        <v>5058</v>
      </c>
      <c r="E1594" s="615" t="s">
        <v>614</v>
      </c>
      <c r="F1594" s="453">
        <v>2024300125</v>
      </c>
      <c r="G1594" s="616" t="s">
        <v>3655</v>
      </c>
      <c r="H1594" s="362" t="s">
        <v>4757</v>
      </c>
      <c r="I1594" s="362">
        <v>19732.079041165867</v>
      </c>
      <c r="J1594" s="362">
        <v>1241.52712</v>
      </c>
      <c r="K1594" s="362">
        <v>1241.52712</v>
      </c>
      <c r="L1594" s="362">
        <f t="shared" si="113"/>
        <v>248.30542400000002</v>
      </c>
      <c r="M1594" s="362" t="s">
        <v>6171</v>
      </c>
      <c r="N1594" s="432" t="s">
        <v>3785</v>
      </c>
      <c r="O1594" s="433" t="s">
        <v>4120</v>
      </c>
      <c r="P1594" s="430" t="s">
        <v>3659</v>
      </c>
      <c r="Q1594" s="431">
        <v>0.2</v>
      </c>
      <c r="R1594" s="433">
        <v>1900003135</v>
      </c>
      <c r="S1594" s="617" t="s">
        <v>615</v>
      </c>
      <c r="T1594" s="618" t="s">
        <v>5915</v>
      </c>
    </row>
    <row r="1595" spans="1:20" s="619" customFormat="1" hidden="1" x14ac:dyDescent="0.35">
      <c r="A1595" s="613" t="s">
        <v>5069</v>
      </c>
      <c r="B1595" s="614" t="s">
        <v>593</v>
      </c>
      <c r="C1595" s="615" t="s">
        <v>5058</v>
      </c>
      <c r="D1595" s="443" t="s">
        <v>5058</v>
      </c>
      <c r="E1595" s="615" t="s">
        <v>616</v>
      </c>
      <c r="F1595" s="453">
        <v>2024300125</v>
      </c>
      <c r="G1595" s="616" t="s">
        <v>3655</v>
      </c>
      <c r="H1595" s="362" t="s">
        <v>4757</v>
      </c>
      <c r="I1595" s="362">
        <v>19732.079041165867</v>
      </c>
      <c r="J1595" s="362">
        <v>1241.52712</v>
      </c>
      <c r="K1595" s="362">
        <v>1241.52712</v>
      </c>
      <c r="L1595" s="362">
        <f t="shared" si="113"/>
        <v>248.30542400000002</v>
      </c>
      <c r="M1595" s="362" t="s">
        <v>6171</v>
      </c>
      <c r="N1595" s="432" t="s">
        <v>3785</v>
      </c>
      <c r="O1595" s="433" t="s">
        <v>4120</v>
      </c>
      <c r="P1595" s="430" t="s">
        <v>3659</v>
      </c>
      <c r="Q1595" s="431">
        <v>0.2</v>
      </c>
      <c r="R1595" s="433">
        <v>1900003135</v>
      </c>
      <c r="S1595" s="617" t="s">
        <v>617</v>
      </c>
      <c r="T1595" s="618" t="s">
        <v>5915</v>
      </c>
    </row>
    <row r="1596" spans="1:20" s="619" customFormat="1" hidden="1" x14ac:dyDescent="0.35">
      <c r="A1596" s="613" t="s">
        <v>5070</v>
      </c>
      <c r="B1596" s="614" t="s">
        <v>593</v>
      </c>
      <c r="C1596" s="615" t="s">
        <v>5058</v>
      </c>
      <c r="D1596" s="443" t="s">
        <v>5058</v>
      </c>
      <c r="E1596" s="615" t="s">
        <v>618</v>
      </c>
      <c r="F1596" s="453">
        <v>2024300125</v>
      </c>
      <c r="G1596" s="616" t="s">
        <v>3655</v>
      </c>
      <c r="H1596" s="362" t="s">
        <v>4757</v>
      </c>
      <c r="I1596" s="362">
        <v>19732.079041165867</v>
      </c>
      <c r="J1596" s="362">
        <v>1241.52712</v>
      </c>
      <c r="K1596" s="362">
        <v>1241.52712</v>
      </c>
      <c r="L1596" s="362">
        <f t="shared" si="113"/>
        <v>248.30542400000002</v>
      </c>
      <c r="M1596" s="362" t="s">
        <v>6171</v>
      </c>
      <c r="N1596" s="432" t="s">
        <v>3785</v>
      </c>
      <c r="O1596" s="433" t="s">
        <v>4120</v>
      </c>
      <c r="P1596" s="430" t="s">
        <v>3659</v>
      </c>
      <c r="Q1596" s="431">
        <v>0.2</v>
      </c>
      <c r="R1596" s="433">
        <v>1900003135</v>
      </c>
      <c r="S1596" s="617" t="s">
        <v>619</v>
      </c>
      <c r="T1596" s="618" t="s">
        <v>5915</v>
      </c>
    </row>
    <row r="1597" spans="1:20" s="619" customFormat="1" hidden="1" x14ac:dyDescent="0.35">
      <c r="A1597" s="613" t="s">
        <v>5071</v>
      </c>
      <c r="B1597" s="614" t="s">
        <v>593</v>
      </c>
      <c r="C1597" s="615" t="s">
        <v>5058</v>
      </c>
      <c r="D1597" s="443" t="s">
        <v>5058</v>
      </c>
      <c r="E1597" s="615" t="s">
        <v>620</v>
      </c>
      <c r="F1597" s="453">
        <v>2024300125</v>
      </c>
      <c r="G1597" s="616" t="s">
        <v>3655</v>
      </c>
      <c r="H1597" s="362" t="s">
        <v>4757</v>
      </c>
      <c r="I1597" s="362">
        <v>19732.079041165867</v>
      </c>
      <c r="J1597" s="362">
        <v>1241.52712</v>
      </c>
      <c r="K1597" s="362">
        <v>1241.52712</v>
      </c>
      <c r="L1597" s="362">
        <f t="shared" si="113"/>
        <v>248.30542400000002</v>
      </c>
      <c r="M1597" s="362" t="s">
        <v>6171</v>
      </c>
      <c r="N1597" s="432" t="s">
        <v>3785</v>
      </c>
      <c r="O1597" s="433" t="s">
        <v>4120</v>
      </c>
      <c r="P1597" s="430" t="s">
        <v>3659</v>
      </c>
      <c r="Q1597" s="431">
        <v>0.2</v>
      </c>
      <c r="R1597" s="433">
        <v>1900003135</v>
      </c>
      <c r="S1597" s="617" t="s">
        <v>621</v>
      </c>
      <c r="T1597" s="618" t="s">
        <v>5915</v>
      </c>
    </row>
    <row r="1598" spans="1:20" s="619" customFormat="1" hidden="1" x14ac:dyDescent="0.35">
      <c r="A1598" s="613" t="s">
        <v>5072</v>
      </c>
      <c r="B1598" s="614" t="s">
        <v>593</v>
      </c>
      <c r="C1598" s="615" t="s">
        <v>5058</v>
      </c>
      <c r="D1598" s="443" t="s">
        <v>5058</v>
      </c>
      <c r="E1598" s="615" t="s">
        <v>622</v>
      </c>
      <c r="F1598" s="453">
        <v>2024300125</v>
      </c>
      <c r="G1598" s="616" t="s">
        <v>3655</v>
      </c>
      <c r="H1598" s="362" t="s">
        <v>4757</v>
      </c>
      <c r="I1598" s="362">
        <v>19732.079041165867</v>
      </c>
      <c r="J1598" s="362">
        <v>1241.52712</v>
      </c>
      <c r="K1598" s="362">
        <v>1241.52712</v>
      </c>
      <c r="L1598" s="362">
        <f t="shared" si="113"/>
        <v>248.30542400000002</v>
      </c>
      <c r="M1598" s="362" t="s">
        <v>6171</v>
      </c>
      <c r="N1598" s="432" t="s">
        <v>3785</v>
      </c>
      <c r="O1598" s="433" t="s">
        <v>4120</v>
      </c>
      <c r="P1598" s="430" t="s">
        <v>3659</v>
      </c>
      <c r="Q1598" s="431">
        <v>0.2</v>
      </c>
      <c r="R1598" s="433">
        <v>1900003135</v>
      </c>
      <c r="S1598" s="617" t="s">
        <v>623</v>
      </c>
      <c r="T1598" s="618" t="s">
        <v>5915</v>
      </c>
    </row>
    <row r="1599" spans="1:20" s="619" customFormat="1" hidden="1" x14ac:dyDescent="0.35">
      <c r="A1599" s="613" t="s">
        <v>5073</v>
      </c>
      <c r="B1599" s="614" t="s">
        <v>593</v>
      </c>
      <c r="C1599" s="615" t="s">
        <v>5058</v>
      </c>
      <c r="D1599" s="443" t="s">
        <v>5058</v>
      </c>
      <c r="E1599" s="615" t="s">
        <v>624</v>
      </c>
      <c r="F1599" s="453">
        <v>2024300125</v>
      </c>
      <c r="G1599" s="616" t="s">
        <v>3655</v>
      </c>
      <c r="H1599" s="362" t="s">
        <v>4757</v>
      </c>
      <c r="I1599" s="362">
        <v>19732.079041165867</v>
      </c>
      <c r="J1599" s="362">
        <v>1241.52712</v>
      </c>
      <c r="K1599" s="362">
        <v>1241.52712</v>
      </c>
      <c r="L1599" s="362">
        <f t="shared" si="113"/>
        <v>248.30542400000002</v>
      </c>
      <c r="M1599" s="362" t="s">
        <v>6171</v>
      </c>
      <c r="N1599" s="432" t="s">
        <v>3785</v>
      </c>
      <c r="O1599" s="433" t="s">
        <v>4120</v>
      </c>
      <c r="P1599" s="430" t="s">
        <v>3659</v>
      </c>
      <c r="Q1599" s="431">
        <v>0.2</v>
      </c>
      <c r="R1599" s="433">
        <v>1900003135</v>
      </c>
      <c r="S1599" s="617" t="s">
        <v>625</v>
      </c>
      <c r="T1599" s="618" t="s">
        <v>5915</v>
      </c>
    </row>
    <row r="1600" spans="1:20" s="619" customFormat="1" hidden="1" x14ac:dyDescent="0.35">
      <c r="A1600" s="613" t="s">
        <v>5074</v>
      </c>
      <c r="B1600" s="614" t="s">
        <v>593</v>
      </c>
      <c r="C1600" s="615" t="s">
        <v>5058</v>
      </c>
      <c r="D1600" s="443" t="s">
        <v>5058</v>
      </c>
      <c r="E1600" s="615" t="s">
        <v>626</v>
      </c>
      <c r="F1600" s="453">
        <v>2024300125</v>
      </c>
      <c r="G1600" s="616" t="s">
        <v>3655</v>
      </c>
      <c r="H1600" s="362" t="s">
        <v>4757</v>
      </c>
      <c r="I1600" s="362">
        <v>19732.079041165867</v>
      </c>
      <c r="J1600" s="362">
        <v>1241.52712</v>
      </c>
      <c r="K1600" s="362">
        <v>1241.52712</v>
      </c>
      <c r="L1600" s="362">
        <f t="shared" si="113"/>
        <v>248.30542400000002</v>
      </c>
      <c r="M1600" s="362" t="s">
        <v>6171</v>
      </c>
      <c r="N1600" s="432" t="s">
        <v>3785</v>
      </c>
      <c r="O1600" s="433" t="s">
        <v>4120</v>
      </c>
      <c r="P1600" s="430" t="s">
        <v>3659</v>
      </c>
      <c r="Q1600" s="431">
        <v>0.2</v>
      </c>
      <c r="R1600" s="433">
        <v>1900003135</v>
      </c>
      <c r="S1600" s="617" t="s">
        <v>6205</v>
      </c>
      <c r="T1600" s="618" t="s">
        <v>5915</v>
      </c>
    </row>
    <row r="1601" spans="1:20" s="619" customFormat="1" hidden="1" x14ac:dyDescent="0.35">
      <c r="A1601" s="613" t="s">
        <v>5075</v>
      </c>
      <c r="B1601" s="614" t="s">
        <v>593</v>
      </c>
      <c r="C1601" s="615" t="s">
        <v>5058</v>
      </c>
      <c r="D1601" s="443" t="s">
        <v>5058</v>
      </c>
      <c r="E1601" s="615" t="s">
        <v>627</v>
      </c>
      <c r="F1601" s="453">
        <v>2024300125</v>
      </c>
      <c r="G1601" s="616" t="s">
        <v>3655</v>
      </c>
      <c r="H1601" s="362" t="s">
        <v>4757</v>
      </c>
      <c r="I1601" s="362">
        <v>19732.079041165867</v>
      </c>
      <c r="J1601" s="362">
        <v>1241.52712</v>
      </c>
      <c r="K1601" s="362">
        <v>1241.52712</v>
      </c>
      <c r="L1601" s="362">
        <f t="shared" si="113"/>
        <v>248.30542400000002</v>
      </c>
      <c r="M1601" s="362" t="s">
        <v>6171</v>
      </c>
      <c r="N1601" s="432" t="s">
        <v>3785</v>
      </c>
      <c r="O1601" s="433" t="s">
        <v>4120</v>
      </c>
      <c r="P1601" s="430" t="s">
        <v>3659</v>
      </c>
      <c r="Q1601" s="431">
        <v>0.2</v>
      </c>
      <c r="R1601" s="433">
        <v>1900003135</v>
      </c>
      <c r="S1601" s="617" t="s">
        <v>628</v>
      </c>
      <c r="T1601" s="618" t="s">
        <v>5915</v>
      </c>
    </row>
    <row r="1602" spans="1:20" s="619" customFormat="1" hidden="1" x14ac:dyDescent="0.35">
      <c r="A1602" s="613" t="s">
        <v>5076</v>
      </c>
      <c r="B1602" s="614" t="s">
        <v>593</v>
      </c>
      <c r="C1602" s="615" t="s">
        <v>5058</v>
      </c>
      <c r="D1602" s="443" t="s">
        <v>5058</v>
      </c>
      <c r="E1602" s="615" t="s">
        <v>629</v>
      </c>
      <c r="F1602" s="453">
        <v>2024300125</v>
      </c>
      <c r="G1602" s="616" t="s">
        <v>3655</v>
      </c>
      <c r="H1602" s="362" t="s">
        <v>4757</v>
      </c>
      <c r="I1602" s="362">
        <v>19732.079041165867</v>
      </c>
      <c r="J1602" s="362">
        <v>1241.52712</v>
      </c>
      <c r="K1602" s="362">
        <v>1241.52712</v>
      </c>
      <c r="L1602" s="362">
        <f t="shared" si="113"/>
        <v>248.30542400000002</v>
      </c>
      <c r="M1602" s="362" t="s">
        <v>6171</v>
      </c>
      <c r="N1602" s="432" t="s">
        <v>3785</v>
      </c>
      <c r="O1602" s="433" t="s">
        <v>4120</v>
      </c>
      <c r="P1602" s="430" t="s">
        <v>3659</v>
      </c>
      <c r="Q1602" s="431">
        <v>0.2</v>
      </c>
      <c r="R1602" s="433">
        <v>1900003135</v>
      </c>
      <c r="S1602" s="617" t="s">
        <v>630</v>
      </c>
      <c r="T1602" s="618" t="s">
        <v>5915</v>
      </c>
    </row>
    <row r="1603" spans="1:20" s="619" customFormat="1" hidden="1" x14ac:dyDescent="0.35">
      <c r="A1603" s="613" t="s">
        <v>5077</v>
      </c>
      <c r="B1603" s="614" t="s">
        <v>593</v>
      </c>
      <c r="C1603" s="615" t="s">
        <v>5058</v>
      </c>
      <c r="D1603" s="443" t="s">
        <v>5058</v>
      </c>
      <c r="E1603" s="615" t="s">
        <v>631</v>
      </c>
      <c r="F1603" s="453">
        <v>2024300125</v>
      </c>
      <c r="G1603" s="616" t="s">
        <v>3655</v>
      </c>
      <c r="H1603" s="362" t="s">
        <v>4757</v>
      </c>
      <c r="I1603" s="362">
        <v>19732.079041165867</v>
      </c>
      <c r="J1603" s="362">
        <v>1241.52712</v>
      </c>
      <c r="K1603" s="362">
        <v>1241.52712</v>
      </c>
      <c r="L1603" s="362">
        <f t="shared" si="113"/>
        <v>248.30542400000002</v>
      </c>
      <c r="M1603" s="362" t="s">
        <v>6171</v>
      </c>
      <c r="N1603" s="432" t="s">
        <v>3785</v>
      </c>
      <c r="O1603" s="433" t="s">
        <v>4120</v>
      </c>
      <c r="P1603" s="430" t="s">
        <v>3659</v>
      </c>
      <c r="Q1603" s="431">
        <v>0.2</v>
      </c>
      <c r="R1603" s="433">
        <v>1900003135</v>
      </c>
      <c r="S1603" s="617" t="s">
        <v>632</v>
      </c>
      <c r="T1603" s="618" t="s">
        <v>5915</v>
      </c>
    </row>
    <row r="1604" spans="1:20" s="619" customFormat="1" hidden="1" x14ac:dyDescent="0.35">
      <c r="A1604" s="613" t="s">
        <v>5078</v>
      </c>
      <c r="B1604" s="614" t="s">
        <v>593</v>
      </c>
      <c r="C1604" s="615" t="s">
        <v>5058</v>
      </c>
      <c r="D1604" s="443" t="s">
        <v>5058</v>
      </c>
      <c r="E1604" s="615" t="s">
        <v>633</v>
      </c>
      <c r="F1604" s="453">
        <v>2024300125</v>
      </c>
      <c r="G1604" s="616" t="s">
        <v>3655</v>
      </c>
      <c r="H1604" s="362" t="s">
        <v>4757</v>
      </c>
      <c r="I1604" s="362">
        <v>19732.079041165867</v>
      </c>
      <c r="J1604" s="362">
        <v>1241.52712</v>
      </c>
      <c r="K1604" s="362">
        <v>1241.52712</v>
      </c>
      <c r="L1604" s="362">
        <f t="shared" si="113"/>
        <v>248.30542400000002</v>
      </c>
      <c r="M1604" s="362" t="s">
        <v>6171</v>
      </c>
      <c r="N1604" s="432" t="s">
        <v>3785</v>
      </c>
      <c r="O1604" s="433" t="s">
        <v>4120</v>
      </c>
      <c r="P1604" s="430" t="s">
        <v>3659</v>
      </c>
      <c r="Q1604" s="431">
        <v>0.2</v>
      </c>
      <c r="R1604" s="433">
        <v>1900003135</v>
      </c>
      <c r="S1604" s="617" t="s">
        <v>634</v>
      </c>
      <c r="T1604" s="618" t="s">
        <v>5915</v>
      </c>
    </row>
    <row r="1605" spans="1:20" s="619" customFormat="1" hidden="1" x14ac:dyDescent="0.35">
      <c r="A1605" s="613" t="s">
        <v>5079</v>
      </c>
      <c r="B1605" s="614" t="s">
        <v>593</v>
      </c>
      <c r="C1605" s="615" t="s">
        <v>5058</v>
      </c>
      <c r="D1605" s="443" t="s">
        <v>5058</v>
      </c>
      <c r="E1605" s="615" t="s">
        <v>635</v>
      </c>
      <c r="F1605" s="453">
        <v>2024300125</v>
      </c>
      <c r="G1605" s="616" t="s">
        <v>3655</v>
      </c>
      <c r="H1605" s="362" t="s">
        <v>4757</v>
      </c>
      <c r="I1605" s="362">
        <v>19732.079041165867</v>
      </c>
      <c r="J1605" s="362">
        <v>1241.52712</v>
      </c>
      <c r="K1605" s="362">
        <v>1241.52712</v>
      </c>
      <c r="L1605" s="362">
        <f t="shared" si="113"/>
        <v>248.30542400000002</v>
      </c>
      <c r="M1605" s="362" t="s">
        <v>6171</v>
      </c>
      <c r="N1605" s="432" t="s">
        <v>3785</v>
      </c>
      <c r="O1605" s="433" t="s">
        <v>4120</v>
      </c>
      <c r="P1605" s="430" t="s">
        <v>3659</v>
      </c>
      <c r="Q1605" s="431">
        <v>0.2</v>
      </c>
      <c r="R1605" s="433">
        <v>1900003135</v>
      </c>
      <c r="S1605" s="617" t="s">
        <v>636</v>
      </c>
      <c r="T1605" s="618" t="s">
        <v>5915</v>
      </c>
    </row>
    <row r="1606" spans="1:20" s="619" customFormat="1" hidden="1" x14ac:dyDescent="0.35">
      <c r="A1606" s="613" t="s">
        <v>5080</v>
      </c>
      <c r="B1606" s="614" t="s">
        <v>593</v>
      </c>
      <c r="C1606" s="615" t="s">
        <v>5058</v>
      </c>
      <c r="D1606" s="443" t="s">
        <v>5058</v>
      </c>
      <c r="E1606" s="615" t="s">
        <v>637</v>
      </c>
      <c r="F1606" s="453">
        <v>2024300125</v>
      </c>
      <c r="G1606" s="616" t="s">
        <v>3655</v>
      </c>
      <c r="H1606" s="362" t="s">
        <v>4757</v>
      </c>
      <c r="I1606" s="362">
        <v>19732.079041165867</v>
      </c>
      <c r="J1606" s="362">
        <v>1241.52712</v>
      </c>
      <c r="K1606" s="362">
        <v>1241.52712</v>
      </c>
      <c r="L1606" s="362">
        <f t="shared" si="113"/>
        <v>248.30542400000002</v>
      </c>
      <c r="M1606" s="362" t="s">
        <v>6171</v>
      </c>
      <c r="N1606" s="432" t="s">
        <v>3785</v>
      </c>
      <c r="O1606" s="433" t="s">
        <v>4120</v>
      </c>
      <c r="P1606" s="430" t="s">
        <v>3659</v>
      </c>
      <c r="Q1606" s="431">
        <v>0.2</v>
      </c>
      <c r="R1606" s="433">
        <v>1900003135</v>
      </c>
      <c r="S1606" s="617" t="s">
        <v>638</v>
      </c>
      <c r="T1606" s="618" t="s">
        <v>5915</v>
      </c>
    </row>
    <row r="1607" spans="1:20" s="619" customFormat="1" hidden="1" x14ac:dyDescent="0.35">
      <c r="A1607" s="613" t="s">
        <v>5081</v>
      </c>
      <c r="B1607" s="614" t="s">
        <v>593</v>
      </c>
      <c r="C1607" s="615" t="s">
        <v>5058</v>
      </c>
      <c r="D1607" s="443" t="s">
        <v>5058</v>
      </c>
      <c r="E1607" s="615" t="s">
        <v>639</v>
      </c>
      <c r="F1607" s="453">
        <v>2024300125</v>
      </c>
      <c r="G1607" s="616" t="s">
        <v>3655</v>
      </c>
      <c r="H1607" s="362" t="s">
        <v>4757</v>
      </c>
      <c r="I1607" s="362">
        <v>19732.079041165867</v>
      </c>
      <c r="J1607" s="362">
        <v>1241.52712</v>
      </c>
      <c r="K1607" s="362">
        <v>1241.52712</v>
      </c>
      <c r="L1607" s="362">
        <f t="shared" si="113"/>
        <v>248.30542400000002</v>
      </c>
      <c r="M1607" s="362" t="s">
        <v>6171</v>
      </c>
      <c r="N1607" s="432" t="s">
        <v>3785</v>
      </c>
      <c r="O1607" s="433" t="s">
        <v>4120</v>
      </c>
      <c r="P1607" s="430" t="s">
        <v>3659</v>
      </c>
      <c r="Q1607" s="431">
        <v>0.2</v>
      </c>
      <c r="R1607" s="433">
        <v>1900003135</v>
      </c>
      <c r="S1607" s="617" t="s">
        <v>640</v>
      </c>
      <c r="T1607" s="618" t="s">
        <v>5915</v>
      </c>
    </row>
    <row r="1608" spans="1:20" s="619" customFormat="1" hidden="1" x14ac:dyDescent="0.35">
      <c r="A1608" s="613" t="s">
        <v>5082</v>
      </c>
      <c r="B1608" s="614" t="s">
        <v>593</v>
      </c>
      <c r="C1608" s="615" t="s">
        <v>5058</v>
      </c>
      <c r="D1608" s="443" t="s">
        <v>5058</v>
      </c>
      <c r="E1608" s="615" t="s">
        <v>641</v>
      </c>
      <c r="F1608" s="453">
        <v>2024300125</v>
      </c>
      <c r="G1608" s="616" t="s">
        <v>3655</v>
      </c>
      <c r="H1608" s="362" t="s">
        <v>4757</v>
      </c>
      <c r="I1608" s="362">
        <v>19732.079041165867</v>
      </c>
      <c r="J1608" s="362">
        <v>1241.52712</v>
      </c>
      <c r="K1608" s="362">
        <v>1241.52712</v>
      </c>
      <c r="L1608" s="362">
        <f t="shared" si="113"/>
        <v>248.30542400000002</v>
      </c>
      <c r="M1608" s="362" t="s">
        <v>6171</v>
      </c>
      <c r="N1608" s="432" t="s">
        <v>3785</v>
      </c>
      <c r="O1608" s="433" t="s">
        <v>4120</v>
      </c>
      <c r="P1608" s="430" t="s">
        <v>3659</v>
      </c>
      <c r="Q1608" s="431">
        <v>0.2</v>
      </c>
      <c r="R1608" s="433">
        <v>1900003135</v>
      </c>
      <c r="S1608" s="617" t="s">
        <v>642</v>
      </c>
      <c r="T1608" s="618" t="s">
        <v>5915</v>
      </c>
    </row>
    <row r="1609" spans="1:20" s="619" customFormat="1" hidden="1" x14ac:dyDescent="0.35">
      <c r="A1609" s="613" t="s">
        <v>5083</v>
      </c>
      <c r="B1609" s="614" t="s">
        <v>593</v>
      </c>
      <c r="C1609" s="615" t="s">
        <v>5058</v>
      </c>
      <c r="D1609" s="443" t="s">
        <v>5058</v>
      </c>
      <c r="E1609" s="615" t="s">
        <v>643</v>
      </c>
      <c r="F1609" s="453">
        <v>2024300125</v>
      </c>
      <c r="G1609" s="616" t="s">
        <v>3655</v>
      </c>
      <c r="H1609" s="362" t="s">
        <v>4757</v>
      </c>
      <c r="I1609" s="362">
        <v>19732.079041165867</v>
      </c>
      <c r="J1609" s="362">
        <v>1241.52712</v>
      </c>
      <c r="K1609" s="362">
        <v>1241.52712</v>
      </c>
      <c r="L1609" s="362">
        <f t="shared" si="113"/>
        <v>248.30542400000002</v>
      </c>
      <c r="M1609" s="362" t="s">
        <v>6171</v>
      </c>
      <c r="N1609" s="432" t="s">
        <v>3785</v>
      </c>
      <c r="O1609" s="433" t="s">
        <v>4120</v>
      </c>
      <c r="P1609" s="430" t="s">
        <v>3659</v>
      </c>
      <c r="Q1609" s="431">
        <v>0.2</v>
      </c>
      <c r="R1609" s="433">
        <v>1900003135</v>
      </c>
      <c r="S1609" s="617" t="s">
        <v>644</v>
      </c>
      <c r="T1609" s="618" t="s">
        <v>5915</v>
      </c>
    </row>
    <row r="1610" spans="1:20" s="619" customFormat="1" hidden="1" x14ac:dyDescent="0.35">
      <c r="A1610" s="613" t="s">
        <v>5084</v>
      </c>
      <c r="B1610" s="614" t="s">
        <v>593</v>
      </c>
      <c r="C1610" s="615" t="s">
        <v>5058</v>
      </c>
      <c r="D1610" s="443" t="s">
        <v>5058</v>
      </c>
      <c r="E1610" s="615" t="s">
        <v>645</v>
      </c>
      <c r="F1610" s="453">
        <v>2024300125</v>
      </c>
      <c r="G1610" s="616" t="s">
        <v>3655</v>
      </c>
      <c r="H1610" s="362" t="s">
        <v>4757</v>
      </c>
      <c r="I1610" s="362">
        <v>19732.079041165867</v>
      </c>
      <c r="J1610" s="362">
        <v>1241.52712</v>
      </c>
      <c r="K1610" s="362">
        <v>1241.52712</v>
      </c>
      <c r="L1610" s="362">
        <f t="shared" si="113"/>
        <v>248.30542400000002</v>
      </c>
      <c r="M1610" s="362" t="s">
        <v>6171</v>
      </c>
      <c r="N1610" s="432" t="s">
        <v>3785</v>
      </c>
      <c r="O1610" s="433" t="s">
        <v>4120</v>
      </c>
      <c r="P1610" s="430" t="s">
        <v>3659</v>
      </c>
      <c r="Q1610" s="431">
        <v>0.2</v>
      </c>
      <c r="R1610" s="433">
        <v>1900003135</v>
      </c>
      <c r="S1610" s="617" t="s">
        <v>646</v>
      </c>
      <c r="T1610" s="618" t="s">
        <v>5915</v>
      </c>
    </row>
    <row r="1611" spans="1:20" s="619" customFormat="1" hidden="1" x14ac:dyDescent="0.35">
      <c r="A1611" s="613" t="s">
        <v>5085</v>
      </c>
      <c r="B1611" s="614" t="s">
        <v>593</v>
      </c>
      <c r="C1611" s="615" t="s">
        <v>5058</v>
      </c>
      <c r="D1611" s="443" t="s">
        <v>5058</v>
      </c>
      <c r="E1611" s="615" t="s">
        <v>647</v>
      </c>
      <c r="F1611" s="453">
        <v>2024300125</v>
      </c>
      <c r="G1611" s="616" t="s">
        <v>3655</v>
      </c>
      <c r="H1611" s="362" t="s">
        <v>4757</v>
      </c>
      <c r="I1611" s="362">
        <v>19732.079041165867</v>
      </c>
      <c r="J1611" s="362">
        <v>1241.52712</v>
      </c>
      <c r="K1611" s="362">
        <v>1241.52712</v>
      </c>
      <c r="L1611" s="362">
        <f t="shared" si="113"/>
        <v>248.30542400000002</v>
      </c>
      <c r="M1611" s="362" t="s">
        <v>6171</v>
      </c>
      <c r="N1611" s="432" t="s">
        <v>3785</v>
      </c>
      <c r="O1611" s="433" t="s">
        <v>4120</v>
      </c>
      <c r="P1611" s="430" t="s">
        <v>3659</v>
      </c>
      <c r="Q1611" s="431">
        <v>0.2</v>
      </c>
      <c r="R1611" s="433">
        <v>1900003135</v>
      </c>
      <c r="S1611" s="617" t="s">
        <v>648</v>
      </c>
      <c r="T1611" s="618" t="s">
        <v>5915</v>
      </c>
    </row>
    <row r="1612" spans="1:20" s="619" customFormat="1" hidden="1" x14ac:dyDescent="0.35">
      <c r="A1612" s="613" t="s">
        <v>5086</v>
      </c>
      <c r="B1612" s="614" t="s">
        <v>593</v>
      </c>
      <c r="C1612" s="615" t="s">
        <v>5058</v>
      </c>
      <c r="D1612" s="443" t="s">
        <v>5058</v>
      </c>
      <c r="E1612" s="615" t="s">
        <v>649</v>
      </c>
      <c r="F1612" s="453">
        <v>2024300125</v>
      </c>
      <c r="G1612" s="616" t="s">
        <v>3655</v>
      </c>
      <c r="H1612" s="362" t="s">
        <v>4757</v>
      </c>
      <c r="I1612" s="362">
        <v>19732.079041165867</v>
      </c>
      <c r="J1612" s="362">
        <v>1241.52712</v>
      </c>
      <c r="K1612" s="362">
        <v>1241.52712</v>
      </c>
      <c r="L1612" s="362">
        <f t="shared" si="113"/>
        <v>248.30542400000002</v>
      </c>
      <c r="M1612" s="362" t="s">
        <v>6171</v>
      </c>
      <c r="N1612" s="432" t="s">
        <v>3785</v>
      </c>
      <c r="O1612" s="433" t="s">
        <v>4120</v>
      </c>
      <c r="P1612" s="430" t="s">
        <v>3659</v>
      </c>
      <c r="Q1612" s="431">
        <v>0.2</v>
      </c>
      <c r="R1612" s="433">
        <v>1900003135</v>
      </c>
      <c r="S1612" s="617" t="s">
        <v>650</v>
      </c>
      <c r="T1612" s="618" t="s">
        <v>5915</v>
      </c>
    </row>
    <row r="1613" spans="1:20" s="619" customFormat="1" hidden="1" x14ac:dyDescent="0.35">
      <c r="A1613" s="613" t="s">
        <v>5087</v>
      </c>
      <c r="B1613" s="614" t="s">
        <v>593</v>
      </c>
      <c r="C1613" s="615" t="s">
        <v>5058</v>
      </c>
      <c r="D1613" s="443" t="s">
        <v>5058</v>
      </c>
      <c r="E1613" s="615" t="s">
        <v>651</v>
      </c>
      <c r="F1613" s="453">
        <v>2024300125</v>
      </c>
      <c r="G1613" s="616" t="s">
        <v>3655</v>
      </c>
      <c r="H1613" s="362" t="s">
        <v>4757</v>
      </c>
      <c r="I1613" s="362">
        <v>19732.079041165867</v>
      </c>
      <c r="J1613" s="362">
        <v>1241.52712</v>
      </c>
      <c r="K1613" s="362">
        <v>1241.52712</v>
      </c>
      <c r="L1613" s="362">
        <f t="shared" si="113"/>
        <v>248.30542400000002</v>
      </c>
      <c r="M1613" s="362" t="s">
        <v>6171</v>
      </c>
      <c r="N1613" s="432" t="s">
        <v>3785</v>
      </c>
      <c r="O1613" s="433" t="s">
        <v>4120</v>
      </c>
      <c r="P1613" s="430" t="s">
        <v>3659</v>
      </c>
      <c r="Q1613" s="431">
        <v>0.2</v>
      </c>
      <c r="R1613" s="433">
        <v>1900003135</v>
      </c>
      <c r="S1613" s="617" t="s">
        <v>869</v>
      </c>
      <c r="T1613" s="618" t="s">
        <v>5915</v>
      </c>
    </row>
    <row r="1614" spans="1:20" s="619" customFormat="1" hidden="1" x14ac:dyDescent="0.35">
      <c r="A1614" s="613" t="s">
        <v>5088</v>
      </c>
      <c r="B1614" s="614" t="s">
        <v>593</v>
      </c>
      <c r="C1614" s="615" t="s">
        <v>5058</v>
      </c>
      <c r="D1614" s="443" t="s">
        <v>5058</v>
      </c>
      <c r="E1614" s="615" t="s">
        <v>653</v>
      </c>
      <c r="F1614" s="453">
        <v>2024300125</v>
      </c>
      <c r="G1614" s="616" t="s">
        <v>3655</v>
      </c>
      <c r="H1614" s="362" t="s">
        <v>4757</v>
      </c>
      <c r="I1614" s="362">
        <v>19732.079041165867</v>
      </c>
      <c r="J1614" s="362">
        <v>1241.52712</v>
      </c>
      <c r="K1614" s="362">
        <v>1241.52712</v>
      </c>
      <c r="L1614" s="362">
        <f t="shared" si="113"/>
        <v>248.30542400000002</v>
      </c>
      <c r="M1614" s="362" t="s">
        <v>6171</v>
      </c>
      <c r="N1614" s="432" t="s">
        <v>3785</v>
      </c>
      <c r="O1614" s="433" t="s">
        <v>4120</v>
      </c>
      <c r="P1614" s="430" t="s">
        <v>3659</v>
      </c>
      <c r="Q1614" s="431">
        <v>0.2</v>
      </c>
      <c r="R1614" s="433">
        <v>1900003135</v>
      </c>
      <c r="S1614" s="617" t="s">
        <v>654</v>
      </c>
      <c r="T1614" s="618" t="s">
        <v>5915</v>
      </c>
    </row>
    <row r="1615" spans="1:20" s="619" customFormat="1" hidden="1" x14ac:dyDescent="0.35">
      <c r="A1615" s="613" t="s">
        <v>5089</v>
      </c>
      <c r="B1615" s="614" t="s">
        <v>593</v>
      </c>
      <c r="C1615" s="615" t="s">
        <v>5058</v>
      </c>
      <c r="D1615" s="443" t="s">
        <v>5058</v>
      </c>
      <c r="E1615" s="615" t="s">
        <v>655</v>
      </c>
      <c r="F1615" s="453">
        <v>2024300125</v>
      </c>
      <c r="G1615" s="616" t="s">
        <v>3655</v>
      </c>
      <c r="H1615" s="362" t="s">
        <v>4757</v>
      </c>
      <c r="I1615" s="362">
        <v>19732.079041165867</v>
      </c>
      <c r="J1615" s="362">
        <v>1241.52712</v>
      </c>
      <c r="K1615" s="362">
        <v>1241.52712</v>
      </c>
      <c r="L1615" s="362">
        <f t="shared" si="113"/>
        <v>248.30542400000002</v>
      </c>
      <c r="M1615" s="362" t="s">
        <v>6171</v>
      </c>
      <c r="N1615" s="432" t="s">
        <v>3785</v>
      </c>
      <c r="O1615" s="433" t="s">
        <v>4120</v>
      </c>
      <c r="P1615" s="430" t="s">
        <v>3659</v>
      </c>
      <c r="Q1615" s="431">
        <v>0.2</v>
      </c>
      <c r="R1615" s="433">
        <v>1900003135</v>
      </c>
      <c r="S1615" s="617" t="s">
        <v>656</v>
      </c>
      <c r="T1615" s="618" t="s">
        <v>5915</v>
      </c>
    </row>
    <row r="1616" spans="1:20" s="619" customFormat="1" hidden="1" x14ac:dyDescent="0.35">
      <c r="A1616" s="613" t="s">
        <v>5090</v>
      </c>
      <c r="B1616" s="614" t="s">
        <v>593</v>
      </c>
      <c r="C1616" s="615" t="s">
        <v>5058</v>
      </c>
      <c r="D1616" s="443" t="s">
        <v>5058</v>
      </c>
      <c r="E1616" s="615" t="s">
        <v>657</v>
      </c>
      <c r="F1616" s="453">
        <v>2024300125</v>
      </c>
      <c r="G1616" s="616" t="s">
        <v>3655</v>
      </c>
      <c r="H1616" s="362" t="s">
        <v>4757</v>
      </c>
      <c r="I1616" s="362">
        <v>19732.079041165867</v>
      </c>
      <c r="J1616" s="362">
        <v>1241.52712</v>
      </c>
      <c r="K1616" s="362">
        <v>1241.52712</v>
      </c>
      <c r="L1616" s="362">
        <f t="shared" si="113"/>
        <v>248.30542400000002</v>
      </c>
      <c r="M1616" s="362" t="s">
        <v>6171</v>
      </c>
      <c r="N1616" s="432" t="s">
        <v>3785</v>
      </c>
      <c r="O1616" s="433" t="s">
        <v>4120</v>
      </c>
      <c r="P1616" s="430" t="s">
        <v>3659</v>
      </c>
      <c r="Q1616" s="431">
        <v>0.2</v>
      </c>
      <c r="R1616" s="433">
        <v>1900003135</v>
      </c>
      <c r="S1616" s="617" t="s">
        <v>658</v>
      </c>
      <c r="T1616" s="618" t="s">
        <v>5915</v>
      </c>
    </row>
    <row r="1617" spans="1:20" s="619" customFormat="1" hidden="1" x14ac:dyDescent="0.35">
      <c r="A1617" s="613" t="s">
        <v>5091</v>
      </c>
      <c r="B1617" s="614" t="s">
        <v>593</v>
      </c>
      <c r="C1617" s="615" t="s">
        <v>5058</v>
      </c>
      <c r="D1617" s="443" t="s">
        <v>5058</v>
      </c>
      <c r="E1617" s="615" t="s">
        <v>659</v>
      </c>
      <c r="F1617" s="453">
        <v>2024300125</v>
      </c>
      <c r="G1617" s="616" t="s">
        <v>3655</v>
      </c>
      <c r="H1617" s="362" t="s">
        <v>4757</v>
      </c>
      <c r="I1617" s="362">
        <v>19732.079041165867</v>
      </c>
      <c r="J1617" s="362">
        <v>1241.52712</v>
      </c>
      <c r="K1617" s="362">
        <v>1241.52712</v>
      </c>
      <c r="L1617" s="362">
        <f t="shared" si="113"/>
        <v>248.30542400000002</v>
      </c>
      <c r="M1617" s="362" t="s">
        <v>6171</v>
      </c>
      <c r="N1617" s="432" t="s">
        <v>3785</v>
      </c>
      <c r="O1617" s="433" t="s">
        <v>4120</v>
      </c>
      <c r="P1617" s="430" t="s">
        <v>3659</v>
      </c>
      <c r="Q1617" s="431">
        <v>0.2</v>
      </c>
      <c r="R1617" s="433">
        <v>1900003135</v>
      </c>
      <c r="S1617" s="617" t="s">
        <v>660</v>
      </c>
      <c r="T1617" s="618" t="s">
        <v>5915</v>
      </c>
    </row>
    <row r="1618" spans="1:20" s="619" customFormat="1" hidden="1" x14ac:dyDescent="0.35">
      <c r="A1618" s="613" t="s">
        <v>5092</v>
      </c>
      <c r="B1618" s="614" t="s">
        <v>593</v>
      </c>
      <c r="C1618" s="615" t="s">
        <v>5058</v>
      </c>
      <c r="D1618" s="443" t="s">
        <v>5058</v>
      </c>
      <c r="E1618" s="615" t="s">
        <v>661</v>
      </c>
      <c r="F1618" s="453">
        <v>2024300125</v>
      </c>
      <c r="G1618" s="616" t="s">
        <v>3655</v>
      </c>
      <c r="H1618" s="362" t="s">
        <v>4757</v>
      </c>
      <c r="I1618" s="362">
        <v>19732.079041165867</v>
      </c>
      <c r="J1618" s="362">
        <v>1241.52712</v>
      </c>
      <c r="K1618" s="362">
        <v>1241.52712</v>
      </c>
      <c r="L1618" s="362">
        <f t="shared" si="113"/>
        <v>248.30542400000002</v>
      </c>
      <c r="M1618" s="362" t="s">
        <v>6171</v>
      </c>
      <c r="N1618" s="432" t="s">
        <v>3785</v>
      </c>
      <c r="O1618" s="433" t="s">
        <v>4120</v>
      </c>
      <c r="P1618" s="430" t="s">
        <v>3659</v>
      </c>
      <c r="Q1618" s="431">
        <v>0.2</v>
      </c>
      <c r="R1618" s="433">
        <v>1900003135</v>
      </c>
      <c r="S1618" s="617" t="s">
        <v>662</v>
      </c>
      <c r="T1618" s="618" t="s">
        <v>5915</v>
      </c>
    </row>
    <row r="1619" spans="1:20" s="619" customFormat="1" hidden="1" x14ac:dyDescent="0.35">
      <c r="A1619" s="613" t="s">
        <v>5093</v>
      </c>
      <c r="B1619" s="614" t="s">
        <v>593</v>
      </c>
      <c r="C1619" s="615" t="s">
        <v>5058</v>
      </c>
      <c r="D1619" s="443" t="s">
        <v>5058</v>
      </c>
      <c r="E1619" s="615" t="s">
        <v>663</v>
      </c>
      <c r="F1619" s="453">
        <v>2024300125</v>
      </c>
      <c r="G1619" s="616" t="s">
        <v>3655</v>
      </c>
      <c r="H1619" s="362" t="s">
        <v>4757</v>
      </c>
      <c r="I1619" s="362">
        <v>19732.079041165867</v>
      </c>
      <c r="J1619" s="362">
        <v>1241.52712</v>
      </c>
      <c r="K1619" s="362">
        <v>1241.52712</v>
      </c>
      <c r="L1619" s="362">
        <f t="shared" si="113"/>
        <v>248.30542400000002</v>
      </c>
      <c r="M1619" s="362" t="s">
        <v>6171</v>
      </c>
      <c r="N1619" s="432" t="s">
        <v>3785</v>
      </c>
      <c r="O1619" s="433" t="s">
        <v>4120</v>
      </c>
      <c r="P1619" s="430" t="s">
        <v>3659</v>
      </c>
      <c r="Q1619" s="431">
        <v>0.2</v>
      </c>
      <c r="R1619" s="433">
        <v>1900003135</v>
      </c>
      <c r="S1619" s="617" t="s">
        <v>664</v>
      </c>
      <c r="T1619" s="618" t="s">
        <v>5915</v>
      </c>
    </row>
    <row r="1620" spans="1:20" s="619" customFormat="1" hidden="1" x14ac:dyDescent="0.35">
      <c r="A1620" s="613" t="s">
        <v>5094</v>
      </c>
      <c r="B1620" s="614" t="s">
        <v>593</v>
      </c>
      <c r="C1620" s="615" t="s">
        <v>5058</v>
      </c>
      <c r="D1620" s="443" t="s">
        <v>5058</v>
      </c>
      <c r="E1620" s="615" t="s">
        <v>665</v>
      </c>
      <c r="F1620" s="453">
        <v>2024300125</v>
      </c>
      <c r="G1620" s="616" t="s">
        <v>3655</v>
      </c>
      <c r="H1620" s="362" t="s">
        <v>4757</v>
      </c>
      <c r="I1620" s="362">
        <v>19732.079041165867</v>
      </c>
      <c r="J1620" s="362">
        <v>1241.52712</v>
      </c>
      <c r="K1620" s="362">
        <v>1241.52712</v>
      </c>
      <c r="L1620" s="362">
        <f t="shared" si="113"/>
        <v>248.30542400000002</v>
      </c>
      <c r="M1620" s="362" t="s">
        <v>6171</v>
      </c>
      <c r="N1620" s="432" t="s">
        <v>3785</v>
      </c>
      <c r="O1620" s="433" t="s">
        <v>4120</v>
      </c>
      <c r="P1620" s="430" t="s">
        <v>3659</v>
      </c>
      <c r="Q1620" s="431">
        <v>0.2</v>
      </c>
      <c r="R1620" s="433">
        <v>1900003135</v>
      </c>
      <c r="S1620" s="617" t="s">
        <v>666</v>
      </c>
      <c r="T1620" s="618" t="s">
        <v>5915</v>
      </c>
    </row>
    <row r="1621" spans="1:20" s="619" customFormat="1" hidden="1" x14ac:dyDescent="0.35">
      <c r="A1621" s="613" t="s">
        <v>5095</v>
      </c>
      <c r="B1621" s="614" t="s">
        <v>593</v>
      </c>
      <c r="C1621" s="615" t="s">
        <v>5058</v>
      </c>
      <c r="D1621" s="443" t="s">
        <v>5058</v>
      </c>
      <c r="E1621" s="615" t="s">
        <v>667</v>
      </c>
      <c r="F1621" s="453">
        <v>2024300125</v>
      </c>
      <c r="G1621" s="616" t="s">
        <v>3655</v>
      </c>
      <c r="H1621" s="362" t="s">
        <v>4757</v>
      </c>
      <c r="I1621" s="362">
        <v>19732.079041165867</v>
      </c>
      <c r="J1621" s="362">
        <v>1241.52712</v>
      </c>
      <c r="K1621" s="362">
        <v>1241.52712</v>
      </c>
      <c r="L1621" s="362">
        <f t="shared" si="113"/>
        <v>248.30542400000002</v>
      </c>
      <c r="M1621" s="362" t="s">
        <v>6171</v>
      </c>
      <c r="N1621" s="432" t="s">
        <v>3785</v>
      </c>
      <c r="O1621" s="433" t="s">
        <v>4120</v>
      </c>
      <c r="P1621" s="430" t="s">
        <v>3659</v>
      </c>
      <c r="Q1621" s="431">
        <v>0.2</v>
      </c>
      <c r="R1621" s="433">
        <v>1900003135</v>
      </c>
      <c r="S1621" s="617" t="s">
        <v>668</v>
      </c>
      <c r="T1621" s="618" t="s">
        <v>5915</v>
      </c>
    </row>
    <row r="1622" spans="1:20" s="619" customFormat="1" hidden="1" x14ac:dyDescent="0.35">
      <c r="A1622" s="613" t="s">
        <v>5096</v>
      </c>
      <c r="B1622" s="614" t="s">
        <v>593</v>
      </c>
      <c r="C1622" s="615" t="s">
        <v>5058</v>
      </c>
      <c r="D1622" s="443" t="s">
        <v>5058</v>
      </c>
      <c r="E1622" s="615" t="s">
        <v>669</v>
      </c>
      <c r="F1622" s="453">
        <v>2024300125</v>
      </c>
      <c r="G1622" s="616" t="s">
        <v>3655</v>
      </c>
      <c r="H1622" s="362" t="s">
        <v>4757</v>
      </c>
      <c r="I1622" s="362">
        <v>19732.079041165867</v>
      </c>
      <c r="J1622" s="362">
        <v>1241.52712</v>
      </c>
      <c r="K1622" s="362">
        <v>1241.52712</v>
      </c>
      <c r="L1622" s="362">
        <f t="shared" si="113"/>
        <v>248.30542400000002</v>
      </c>
      <c r="M1622" s="362" t="s">
        <v>6171</v>
      </c>
      <c r="N1622" s="432" t="s">
        <v>3785</v>
      </c>
      <c r="O1622" s="433" t="s">
        <v>4120</v>
      </c>
      <c r="P1622" s="430" t="s">
        <v>3659</v>
      </c>
      <c r="Q1622" s="431">
        <v>0.2</v>
      </c>
      <c r="R1622" s="433">
        <v>1900003135</v>
      </c>
      <c r="S1622" s="617" t="s">
        <v>670</v>
      </c>
      <c r="T1622" s="618" t="s">
        <v>5915</v>
      </c>
    </row>
    <row r="1623" spans="1:20" s="619" customFormat="1" hidden="1" x14ac:dyDescent="0.35">
      <c r="A1623" s="613" t="s">
        <v>5097</v>
      </c>
      <c r="B1623" s="614" t="s">
        <v>593</v>
      </c>
      <c r="C1623" s="615" t="s">
        <v>5058</v>
      </c>
      <c r="D1623" s="443" t="s">
        <v>5058</v>
      </c>
      <c r="E1623" s="615" t="s">
        <v>671</v>
      </c>
      <c r="F1623" s="453">
        <v>2024300125</v>
      </c>
      <c r="G1623" s="616" t="s">
        <v>3655</v>
      </c>
      <c r="H1623" s="362" t="s">
        <v>4757</v>
      </c>
      <c r="I1623" s="362">
        <v>19732.079041165867</v>
      </c>
      <c r="J1623" s="362">
        <v>1241.52712</v>
      </c>
      <c r="K1623" s="362">
        <v>1241.52712</v>
      </c>
      <c r="L1623" s="362">
        <f t="shared" si="113"/>
        <v>248.30542400000002</v>
      </c>
      <c r="M1623" s="362" t="s">
        <v>6171</v>
      </c>
      <c r="N1623" s="432" t="s">
        <v>3785</v>
      </c>
      <c r="O1623" s="433" t="s">
        <v>4120</v>
      </c>
      <c r="P1623" s="430" t="s">
        <v>3659</v>
      </c>
      <c r="Q1623" s="431">
        <v>0.2</v>
      </c>
      <c r="R1623" s="433">
        <v>1900003135</v>
      </c>
      <c r="S1623" s="617" t="s">
        <v>672</v>
      </c>
      <c r="T1623" s="618" t="s">
        <v>5915</v>
      </c>
    </row>
    <row r="1624" spans="1:20" s="619" customFormat="1" hidden="1" x14ac:dyDescent="0.35">
      <c r="A1624" s="613" t="s">
        <v>5098</v>
      </c>
      <c r="B1624" s="614" t="s">
        <v>673</v>
      </c>
      <c r="C1624" s="615" t="s">
        <v>5099</v>
      </c>
      <c r="D1624" s="443" t="s">
        <v>5099</v>
      </c>
      <c r="E1624" s="615" t="s">
        <v>674</v>
      </c>
      <c r="F1624" s="453">
        <v>2024300125</v>
      </c>
      <c r="G1624" s="616" t="s">
        <v>3655</v>
      </c>
      <c r="H1624" s="362" t="s">
        <v>4757</v>
      </c>
      <c r="I1624" s="362">
        <f>20346.7934508894*1.15</f>
        <v>23398.812468522807</v>
      </c>
      <c r="J1624" s="362">
        <f>1280.2044*1.15</f>
        <v>1472.23506</v>
      </c>
      <c r="K1624" s="362">
        <v>1472.23506</v>
      </c>
      <c r="L1624" s="362">
        <f t="shared" si="113"/>
        <v>294.44701200000003</v>
      </c>
      <c r="M1624" s="362" t="s">
        <v>6171</v>
      </c>
      <c r="N1624" s="432" t="s">
        <v>3785</v>
      </c>
      <c r="O1624" s="433" t="s">
        <v>4120</v>
      </c>
      <c r="P1624" s="430" t="s">
        <v>3659</v>
      </c>
      <c r="Q1624" s="431">
        <v>0.2</v>
      </c>
      <c r="R1624" s="433">
        <v>1900003135</v>
      </c>
      <c r="S1624" s="617" t="s">
        <v>675</v>
      </c>
      <c r="T1624" s="618" t="s">
        <v>5915</v>
      </c>
    </row>
    <row r="1625" spans="1:20" s="619" customFormat="1" hidden="1" x14ac:dyDescent="0.35">
      <c r="A1625" s="613" t="s">
        <v>5100</v>
      </c>
      <c r="B1625" s="614" t="s">
        <v>673</v>
      </c>
      <c r="C1625" s="615" t="s">
        <v>5099</v>
      </c>
      <c r="D1625" s="443" t="s">
        <v>5099</v>
      </c>
      <c r="E1625" s="615" t="s">
        <v>676</v>
      </c>
      <c r="F1625" s="453">
        <v>2024300125</v>
      </c>
      <c r="G1625" s="616" t="s">
        <v>3655</v>
      </c>
      <c r="H1625" s="362" t="s">
        <v>4757</v>
      </c>
      <c r="I1625" s="362">
        <v>23398.812468522807</v>
      </c>
      <c r="J1625" s="362">
        <v>1472.23506</v>
      </c>
      <c r="K1625" s="362">
        <v>1472.23506</v>
      </c>
      <c r="L1625" s="362">
        <f t="shared" si="113"/>
        <v>294.44701200000003</v>
      </c>
      <c r="M1625" s="362" t="s">
        <v>6171</v>
      </c>
      <c r="N1625" s="432" t="s">
        <v>3785</v>
      </c>
      <c r="O1625" s="433" t="s">
        <v>4120</v>
      </c>
      <c r="P1625" s="430" t="s">
        <v>3659</v>
      </c>
      <c r="Q1625" s="431">
        <v>0.2</v>
      </c>
      <c r="R1625" s="433">
        <v>1900003135</v>
      </c>
      <c r="S1625" s="617" t="s">
        <v>677</v>
      </c>
      <c r="T1625" s="618" t="s">
        <v>5915</v>
      </c>
    </row>
    <row r="1626" spans="1:20" s="619" customFormat="1" hidden="1" x14ac:dyDescent="0.35">
      <c r="A1626" s="613" t="s">
        <v>5101</v>
      </c>
      <c r="B1626" s="614" t="s">
        <v>673</v>
      </c>
      <c r="C1626" s="615" t="s">
        <v>5099</v>
      </c>
      <c r="D1626" s="443" t="s">
        <v>5099</v>
      </c>
      <c r="E1626" s="615" t="s">
        <v>678</v>
      </c>
      <c r="F1626" s="453">
        <v>2024300125</v>
      </c>
      <c r="G1626" s="616" t="s">
        <v>3655</v>
      </c>
      <c r="H1626" s="362" t="s">
        <v>4757</v>
      </c>
      <c r="I1626" s="362">
        <v>23398.812468522807</v>
      </c>
      <c r="J1626" s="362">
        <v>1472.23506</v>
      </c>
      <c r="K1626" s="362">
        <v>1472.23506</v>
      </c>
      <c r="L1626" s="362">
        <f t="shared" si="113"/>
        <v>294.44701200000003</v>
      </c>
      <c r="M1626" s="362" t="s">
        <v>6171</v>
      </c>
      <c r="N1626" s="432" t="s">
        <v>3785</v>
      </c>
      <c r="O1626" s="433" t="s">
        <v>4120</v>
      </c>
      <c r="P1626" s="430" t="s">
        <v>3659</v>
      </c>
      <c r="Q1626" s="431">
        <v>0.2</v>
      </c>
      <c r="R1626" s="433">
        <v>1900003135</v>
      </c>
      <c r="S1626" s="617" t="s">
        <v>6206</v>
      </c>
      <c r="T1626" s="618" t="s">
        <v>5915</v>
      </c>
    </row>
    <row r="1627" spans="1:20" s="619" customFormat="1" hidden="1" x14ac:dyDescent="0.35">
      <c r="A1627" s="613" t="s">
        <v>5102</v>
      </c>
      <c r="B1627" s="614" t="s">
        <v>673</v>
      </c>
      <c r="C1627" s="615" t="s">
        <v>5099</v>
      </c>
      <c r="D1627" s="443" t="s">
        <v>5099</v>
      </c>
      <c r="E1627" s="615" t="s">
        <v>679</v>
      </c>
      <c r="F1627" s="453">
        <v>2024300125</v>
      </c>
      <c r="G1627" s="616" t="s">
        <v>3655</v>
      </c>
      <c r="H1627" s="362" t="s">
        <v>4757</v>
      </c>
      <c r="I1627" s="362">
        <v>23398.812468522807</v>
      </c>
      <c r="J1627" s="362">
        <v>1472.23506</v>
      </c>
      <c r="K1627" s="362">
        <v>1472.23506</v>
      </c>
      <c r="L1627" s="362">
        <f t="shared" si="113"/>
        <v>294.44701200000003</v>
      </c>
      <c r="M1627" s="362" t="s">
        <v>6171</v>
      </c>
      <c r="N1627" s="432" t="s">
        <v>3785</v>
      </c>
      <c r="O1627" s="433" t="s">
        <v>4120</v>
      </c>
      <c r="P1627" s="430" t="s">
        <v>3659</v>
      </c>
      <c r="Q1627" s="431">
        <v>0.2</v>
      </c>
      <c r="R1627" s="433">
        <v>1900003135</v>
      </c>
      <c r="S1627" s="617" t="s">
        <v>6207</v>
      </c>
      <c r="T1627" s="618" t="s">
        <v>5915</v>
      </c>
    </row>
    <row r="1628" spans="1:20" s="691" customFormat="1" hidden="1" x14ac:dyDescent="0.35">
      <c r="A1628" s="685" t="s">
        <v>5103</v>
      </c>
      <c r="B1628" s="686" t="s">
        <v>673</v>
      </c>
      <c r="C1628" s="687" t="s">
        <v>5099</v>
      </c>
      <c r="D1628" s="443" t="s">
        <v>5099</v>
      </c>
      <c r="E1628" s="687" t="s">
        <v>6208</v>
      </c>
      <c r="F1628" s="453">
        <v>2024300125</v>
      </c>
      <c r="G1628" s="688" t="s">
        <v>3655</v>
      </c>
      <c r="H1628" s="362" t="s">
        <v>4757</v>
      </c>
      <c r="I1628" s="362">
        <v>23398.812468522807</v>
      </c>
      <c r="J1628" s="362">
        <v>1472.23506</v>
      </c>
      <c r="K1628" s="362">
        <v>1472.23506</v>
      </c>
      <c r="L1628" s="362">
        <f t="shared" si="113"/>
        <v>294.44701200000003</v>
      </c>
      <c r="M1628" s="362" t="s">
        <v>6171</v>
      </c>
      <c r="N1628" s="432" t="s">
        <v>3785</v>
      </c>
      <c r="O1628" s="433" t="s">
        <v>4120</v>
      </c>
      <c r="P1628" s="430" t="s">
        <v>3659</v>
      </c>
      <c r="Q1628" s="431">
        <v>0.2</v>
      </c>
      <c r="R1628" s="433">
        <v>1900003135</v>
      </c>
      <c r="S1628" s="689" t="s">
        <v>509</v>
      </c>
      <c r="T1628" s="690" t="s">
        <v>5915</v>
      </c>
    </row>
    <row r="1629" spans="1:20" s="619" customFormat="1" hidden="1" x14ac:dyDescent="0.35">
      <c r="A1629" s="613" t="s">
        <v>5104</v>
      </c>
      <c r="B1629" s="614" t="s">
        <v>673</v>
      </c>
      <c r="C1629" s="615" t="s">
        <v>5099</v>
      </c>
      <c r="D1629" s="443" t="s">
        <v>5099</v>
      </c>
      <c r="E1629" s="615" t="s">
        <v>680</v>
      </c>
      <c r="F1629" s="453">
        <v>2024300125</v>
      </c>
      <c r="G1629" s="616" t="s">
        <v>3655</v>
      </c>
      <c r="H1629" s="362" t="s">
        <v>4757</v>
      </c>
      <c r="I1629" s="362">
        <v>23398.812468522807</v>
      </c>
      <c r="J1629" s="362">
        <v>1472.23506</v>
      </c>
      <c r="K1629" s="362">
        <v>1472.23506</v>
      </c>
      <c r="L1629" s="362">
        <f t="shared" si="113"/>
        <v>294.44701200000003</v>
      </c>
      <c r="M1629" s="362" t="s">
        <v>6171</v>
      </c>
      <c r="N1629" s="432" t="s">
        <v>3785</v>
      </c>
      <c r="O1629" s="433" t="s">
        <v>4120</v>
      </c>
      <c r="P1629" s="430" t="s">
        <v>3659</v>
      </c>
      <c r="Q1629" s="431">
        <v>0.2</v>
      </c>
      <c r="R1629" s="433">
        <v>1900003135</v>
      </c>
      <c r="S1629" s="617" t="s">
        <v>681</v>
      </c>
      <c r="T1629" s="618" t="s">
        <v>5915</v>
      </c>
    </row>
    <row r="1630" spans="1:20" s="619" customFormat="1" hidden="1" x14ac:dyDescent="0.35">
      <c r="A1630" s="613" t="s">
        <v>5105</v>
      </c>
      <c r="B1630" s="614" t="s">
        <v>673</v>
      </c>
      <c r="C1630" s="615" t="s">
        <v>5099</v>
      </c>
      <c r="D1630" s="443" t="s">
        <v>5099</v>
      </c>
      <c r="E1630" s="615" t="s">
        <v>682</v>
      </c>
      <c r="F1630" s="453">
        <v>2024300125</v>
      </c>
      <c r="G1630" s="616" t="s">
        <v>3655</v>
      </c>
      <c r="H1630" s="362" t="s">
        <v>4757</v>
      </c>
      <c r="I1630" s="362">
        <v>23398.812468522807</v>
      </c>
      <c r="J1630" s="362">
        <v>1472.23506</v>
      </c>
      <c r="K1630" s="362">
        <v>1472.23506</v>
      </c>
      <c r="L1630" s="362">
        <f t="shared" si="113"/>
        <v>294.44701200000003</v>
      </c>
      <c r="M1630" s="362" t="s">
        <v>6171</v>
      </c>
      <c r="N1630" s="432" t="s">
        <v>3785</v>
      </c>
      <c r="O1630" s="433" t="s">
        <v>4120</v>
      </c>
      <c r="P1630" s="430" t="s">
        <v>3659</v>
      </c>
      <c r="Q1630" s="431">
        <v>0.2</v>
      </c>
      <c r="R1630" s="433">
        <v>1900003135</v>
      </c>
      <c r="S1630" s="617" t="s">
        <v>683</v>
      </c>
      <c r="T1630" s="618" t="s">
        <v>5915</v>
      </c>
    </row>
    <row r="1631" spans="1:20" s="619" customFormat="1" hidden="1" x14ac:dyDescent="0.35">
      <c r="A1631" s="613" t="s">
        <v>5106</v>
      </c>
      <c r="B1631" s="614" t="s">
        <v>673</v>
      </c>
      <c r="C1631" s="615" t="s">
        <v>5099</v>
      </c>
      <c r="D1631" s="443" t="s">
        <v>5099</v>
      </c>
      <c r="E1631" s="615" t="s">
        <v>684</v>
      </c>
      <c r="F1631" s="453">
        <v>2024300125</v>
      </c>
      <c r="G1631" s="616" t="s">
        <v>3655</v>
      </c>
      <c r="H1631" s="362" t="s">
        <v>4757</v>
      </c>
      <c r="I1631" s="362">
        <v>23398.812468522807</v>
      </c>
      <c r="J1631" s="362">
        <v>1472.23506</v>
      </c>
      <c r="K1631" s="362">
        <v>1472.23506</v>
      </c>
      <c r="L1631" s="362">
        <f t="shared" si="113"/>
        <v>294.44701200000003</v>
      </c>
      <c r="M1631" s="362" t="s">
        <v>6171</v>
      </c>
      <c r="N1631" s="432" t="s">
        <v>3785</v>
      </c>
      <c r="O1631" s="433" t="s">
        <v>4120</v>
      </c>
      <c r="P1631" s="430" t="s">
        <v>3659</v>
      </c>
      <c r="Q1631" s="431">
        <v>0.2</v>
      </c>
      <c r="R1631" s="433">
        <v>1900003135</v>
      </c>
      <c r="S1631" s="617" t="s">
        <v>685</v>
      </c>
      <c r="T1631" s="618" t="s">
        <v>5915</v>
      </c>
    </row>
    <row r="1632" spans="1:20" s="619" customFormat="1" hidden="1" x14ac:dyDescent="0.35">
      <c r="A1632" s="613" t="s">
        <v>5107</v>
      </c>
      <c r="B1632" s="614" t="s">
        <v>673</v>
      </c>
      <c r="C1632" s="615" t="s">
        <v>5099</v>
      </c>
      <c r="D1632" s="443" t="s">
        <v>5099</v>
      </c>
      <c r="E1632" s="615" t="s">
        <v>686</v>
      </c>
      <c r="F1632" s="453">
        <v>2024300125</v>
      </c>
      <c r="G1632" s="616" t="s">
        <v>3655</v>
      </c>
      <c r="H1632" s="362" t="s">
        <v>4757</v>
      </c>
      <c r="I1632" s="362">
        <v>23398.812468522807</v>
      </c>
      <c r="J1632" s="362">
        <v>1472.23506</v>
      </c>
      <c r="K1632" s="362">
        <v>1472.23506</v>
      </c>
      <c r="L1632" s="362">
        <f t="shared" si="113"/>
        <v>294.44701200000003</v>
      </c>
      <c r="M1632" s="362" t="s">
        <v>6171</v>
      </c>
      <c r="N1632" s="432" t="s">
        <v>3785</v>
      </c>
      <c r="O1632" s="433" t="s">
        <v>4120</v>
      </c>
      <c r="P1632" s="430" t="s">
        <v>3659</v>
      </c>
      <c r="Q1632" s="431">
        <v>0.2</v>
      </c>
      <c r="R1632" s="433">
        <v>1900003135</v>
      </c>
      <c r="S1632" s="617" t="s">
        <v>6210</v>
      </c>
      <c r="T1632" s="618" t="s">
        <v>5915</v>
      </c>
    </row>
    <row r="1633" spans="1:20" s="619" customFormat="1" hidden="1" x14ac:dyDescent="0.35">
      <c r="A1633" s="613" t="s">
        <v>5108</v>
      </c>
      <c r="B1633" s="614" t="s">
        <v>673</v>
      </c>
      <c r="C1633" s="615" t="s">
        <v>5099</v>
      </c>
      <c r="D1633" s="443" t="s">
        <v>5099</v>
      </c>
      <c r="E1633" s="615" t="s">
        <v>687</v>
      </c>
      <c r="F1633" s="453">
        <v>2024300125</v>
      </c>
      <c r="G1633" s="616" t="s">
        <v>3655</v>
      </c>
      <c r="H1633" s="362" t="s">
        <v>4757</v>
      </c>
      <c r="I1633" s="362">
        <v>23398.812468522807</v>
      </c>
      <c r="J1633" s="362">
        <v>1472.23506</v>
      </c>
      <c r="K1633" s="362">
        <v>1472.23506</v>
      </c>
      <c r="L1633" s="362">
        <f t="shared" ref="L1633:L1683" si="117">+K1633*Q1633</f>
        <v>294.44701200000003</v>
      </c>
      <c r="M1633" s="362" t="s">
        <v>6171</v>
      </c>
      <c r="N1633" s="432" t="s">
        <v>3785</v>
      </c>
      <c r="O1633" s="433" t="s">
        <v>4120</v>
      </c>
      <c r="P1633" s="430" t="s">
        <v>3659</v>
      </c>
      <c r="Q1633" s="431">
        <v>0.2</v>
      </c>
      <c r="R1633" s="433">
        <v>1900003135</v>
      </c>
      <c r="S1633" s="617" t="s">
        <v>688</v>
      </c>
      <c r="T1633" s="618" t="s">
        <v>5915</v>
      </c>
    </row>
    <row r="1634" spans="1:20" s="619" customFormat="1" hidden="1" x14ac:dyDescent="0.35">
      <c r="A1634" s="613" t="s">
        <v>5109</v>
      </c>
      <c r="B1634" s="614" t="s">
        <v>673</v>
      </c>
      <c r="C1634" s="615" t="s">
        <v>5099</v>
      </c>
      <c r="D1634" s="443" t="s">
        <v>5099</v>
      </c>
      <c r="E1634" s="615" t="s">
        <v>689</v>
      </c>
      <c r="F1634" s="453">
        <v>2024300125</v>
      </c>
      <c r="G1634" s="616" t="s">
        <v>3655</v>
      </c>
      <c r="H1634" s="362" t="s">
        <v>4757</v>
      </c>
      <c r="I1634" s="362">
        <v>23398.812468522807</v>
      </c>
      <c r="J1634" s="362">
        <v>1472.23506</v>
      </c>
      <c r="K1634" s="362">
        <v>1472.23506</v>
      </c>
      <c r="L1634" s="362">
        <f t="shared" si="117"/>
        <v>294.44701200000003</v>
      </c>
      <c r="M1634" s="362" t="s">
        <v>6171</v>
      </c>
      <c r="N1634" s="432" t="s">
        <v>3785</v>
      </c>
      <c r="O1634" s="433" t="s">
        <v>4120</v>
      </c>
      <c r="P1634" s="430" t="s">
        <v>3659</v>
      </c>
      <c r="Q1634" s="431">
        <v>0.2</v>
      </c>
      <c r="R1634" s="433">
        <v>1900003135</v>
      </c>
      <c r="S1634" s="617" t="s">
        <v>6211</v>
      </c>
      <c r="T1634" s="618" t="s">
        <v>5915</v>
      </c>
    </row>
    <row r="1635" spans="1:20" s="619" customFormat="1" hidden="1" x14ac:dyDescent="0.35">
      <c r="A1635" s="613" t="s">
        <v>5110</v>
      </c>
      <c r="B1635" s="614" t="s">
        <v>673</v>
      </c>
      <c r="C1635" s="615" t="s">
        <v>5099</v>
      </c>
      <c r="D1635" s="443" t="s">
        <v>5099</v>
      </c>
      <c r="E1635" s="615" t="s">
        <v>690</v>
      </c>
      <c r="F1635" s="453">
        <v>2024300125</v>
      </c>
      <c r="G1635" s="616" t="s">
        <v>3655</v>
      </c>
      <c r="H1635" s="362" t="s">
        <v>4757</v>
      </c>
      <c r="I1635" s="362">
        <v>23398.812468522807</v>
      </c>
      <c r="J1635" s="362">
        <v>1472.23506</v>
      </c>
      <c r="K1635" s="362">
        <v>1472.23506</v>
      </c>
      <c r="L1635" s="362">
        <f t="shared" si="117"/>
        <v>294.44701200000003</v>
      </c>
      <c r="M1635" s="362" t="s">
        <v>6171</v>
      </c>
      <c r="N1635" s="432" t="s">
        <v>3785</v>
      </c>
      <c r="O1635" s="433" t="s">
        <v>4120</v>
      </c>
      <c r="P1635" s="430" t="s">
        <v>3659</v>
      </c>
      <c r="Q1635" s="431">
        <v>0.2</v>
      </c>
      <c r="R1635" s="433">
        <v>1900003135</v>
      </c>
      <c r="S1635" s="617" t="s">
        <v>691</v>
      </c>
      <c r="T1635" s="618" t="s">
        <v>5915</v>
      </c>
    </row>
    <row r="1636" spans="1:20" s="619" customFormat="1" hidden="1" x14ac:dyDescent="0.35">
      <c r="A1636" s="613" t="s">
        <v>5111</v>
      </c>
      <c r="B1636" s="614" t="s">
        <v>673</v>
      </c>
      <c r="C1636" s="615" t="s">
        <v>5099</v>
      </c>
      <c r="D1636" s="443" t="s">
        <v>5099</v>
      </c>
      <c r="E1636" s="615" t="s">
        <v>692</v>
      </c>
      <c r="F1636" s="453">
        <v>2024300125</v>
      </c>
      <c r="G1636" s="616" t="s">
        <v>3655</v>
      </c>
      <c r="H1636" s="362" t="s">
        <v>4757</v>
      </c>
      <c r="I1636" s="362">
        <v>23398.812468522807</v>
      </c>
      <c r="J1636" s="362">
        <v>1472.23506</v>
      </c>
      <c r="K1636" s="362">
        <v>1472.23506</v>
      </c>
      <c r="L1636" s="362">
        <f t="shared" si="117"/>
        <v>294.44701200000003</v>
      </c>
      <c r="M1636" s="362" t="s">
        <v>6171</v>
      </c>
      <c r="N1636" s="432" t="s">
        <v>3785</v>
      </c>
      <c r="O1636" s="433" t="s">
        <v>4120</v>
      </c>
      <c r="P1636" s="430" t="s">
        <v>3659</v>
      </c>
      <c r="Q1636" s="431">
        <v>0.2</v>
      </c>
      <c r="R1636" s="433">
        <v>1900003135</v>
      </c>
      <c r="S1636" s="617" t="s">
        <v>693</v>
      </c>
      <c r="T1636" s="618" t="s">
        <v>5915</v>
      </c>
    </row>
    <row r="1637" spans="1:20" s="691" customFormat="1" hidden="1" x14ac:dyDescent="0.35">
      <c r="A1637" s="685" t="s">
        <v>5112</v>
      </c>
      <c r="B1637" s="686" t="s">
        <v>673</v>
      </c>
      <c r="C1637" s="687" t="s">
        <v>5099</v>
      </c>
      <c r="D1637" s="443" t="s">
        <v>5099</v>
      </c>
      <c r="E1637" s="687" t="s">
        <v>694</v>
      </c>
      <c r="F1637" s="453">
        <v>2024300125</v>
      </c>
      <c r="G1637" s="688" t="s">
        <v>3655</v>
      </c>
      <c r="H1637" s="362" t="s">
        <v>4757</v>
      </c>
      <c r="I1637" s="362">
        <v>23398.812468522807</v>
      </c>
      <c r="J1637" s="362">
        <v>1472.23506</v>
      </c>
      <c r="K1637" s="362">
        <v>1472.23506</v>
      </c>
      <c r="L1637" s="362">
        <f t="shared" si="117"/>
        <v>294.44701200000003</v>
      </c>
      <c r="M1637" s="362" t="s">
        <v>6171</v>
      </c>
      <c r="N1637" s="432" t="s">
        <v>3785</v>
      </c>
      <c r="O1637" s="433" t="s">
        <v>4120</v>
      </c>
      <c r="P1637" s="430" t="s">
        <v>3659</v>
      </c>
      <c r="Q1637" s="431">
        <v>0.2</v>
      </c>
      <c r="R1637" s="433">
        <v>1900003135</v>
      </c>
      <c r="S1637" s="689" t="s">
        <v>509</v>
      </c>
      <c r="T1637" s="690" t="s">
        <v>5915</v>
      </c>
    </row>
    <row r="1638" spans="1:20" s="619" customFormat="1" hidden="1" x14ac:dyDescent="0.35">
      <c r="A1638" s="613" t="s">
        <v>5113</v>
      </c>
      <c r="B1638" s="614" t="s">
        <v>673</v>
      </c>
      <c r="C1638" s="615" t="s">
        <v>5099</v>
      </c>
      <c r="D1638" s="443" t="s">
        <v>5099</v>
      </c>
      <c r="E1638" s="615" t="s">
        <v>695</v>
      </c>
      <c r="F1638" s="453">
        <v>2024300125</v>
      </c>
      <c r="G1638" s="616" t="s">
        <v>3655</v>
      </c>
      <c r="H1638" s="362" t="s">
        <v>4757</v>
      </c>
      <c r="I1638" s="362">
        <v>23398.812468522807</v>
      </c>
      <c r="J1638" s="362">
        <v>1472.23506</v>
      </c>
      <c r="K1638" s="362">
        <v>1472.23506</v>
      </c>
      <c r="L1638" s="362">
        <f t="shared" si="117"/>
        <v>294.44701200000003</v>
      </c>
      <c r="M1638" s="362" t="s">
        <v>6171</v>
      </c>
      <c r="N1638" s="432" t="s">
        <v>3785</v>
      </c>
      <c r="O1638" s="433" t="s">
        <v>4120</v>
      </c>
      <c r="P1638" s="430" t="s">
        <v>3659</v>
      </c>
      <c r="Q1638" s="431">
        <v>0.2</v>
      </c>
      <c r="R1638" s="433">
        <v>1900003135</v>
      </c>
      <c r="S1638" s="617" t="s">
        <v>6231</v>
      </c>
      <c r="T1638" s="618" t="s">
        <v>5915</v>
      </c>
    </row>
    <row r="1639" spans="1:20" s="691" customFormat="1" hidden="1" x14ac:dyDescent="0.35">
      <c r="A1639" s="685" t="s">
        <v>5114</v>
      </c>
      <c r="B1639" s="686" t="s">
        <v>673</v>
      </c>
      <c r="C1639" s="687" t="s">
        <v>5099</v>
      </c>
      <c r="D1639" s="443" t="s">
        <v>5099</v>
      </c>
      <c r="E1639" s="687" t="s">
        <v>696</v>
      </c>
      <c r="F1639" s="453">
        <v>2024300125</v>
      </c>
      <c r="G1639" s="688" t="s">
        <v>3655</v>
      </c>
      <c r="H1639" s="362" t="s">
        <v>4757</v>
      </c>
      <c r="I1639" s="362">
        <v>23398.812468522807</v>
      </c>
      <c r="J1639" s="362">
        <v>1472.23506</v>
      </c>
      <c r="K1639" s="362">
        <v>1472.23506</v>
      </c>
      <c r="L1639" s="362">
        <f t="shared" si="117"/>
        <v>294.44701200000003</v>
      </c>
      <c r="M1639" s="362" t="s">
        <v>6171</v>
      </c>
      <c r="N1639" s="432" t="s">
        <v>3785</v>
      </c>
      <c r="O1639" s="433" t="s">
        <v>4120</v>
      </c>
      <c r="P1639" s="430" t="s">
        <v>3659</v>
      </c>
      <c r="Q1639" s="431">
        <v>0.2</v>
      </c>
      <c r="R1639" s="433">
        <v>1900003135</v>
      </c>
      <c r="S1639" s="689" t="s">
        <v>509</v>
      </c>
      <c r="T1639" s="690" t="s">
        <v>5915</v>
      </c>
    </row>
    <row r="1640" spans="1:20" s="619" customFormat="1" hidden="1" x14ac:dyDescent="0.35">
      <c r="A1640" s="613" t="s">
        <v>5115</v>
      </c>
      <c r="B1640" s="614" t="s">
        <v>673</v>
      </c>
      <c r="C1640" s="615" t="s">
        <v>5099</v>
      </c>
      <c r="D1640" s="443" t="s">
        <v>5099</v>
      </c>
      <c r="E1640" s="615" t="s">
        <v>697</v>
      </c>
      <c r="F1640" s="453">
        <v>2024300125</v>
      </c>
      <c r="G1640" s="616" t="s">
        <v>3655</v>
      </c>
      <c r="H1640" s="362" t="s">
        <v>4757</v>
      </c>
      <c r="I1640" s="362">
        <v>23398.812468522807</v>
      </c>
      <c r="J1640" s="362">
        <v>1472.23506</v>
      </c>
      <c r="K1640" s="362">
        <v>1472.23506</v>
      </c>
      <c r="L1640" s="362">
        <f t="shared" si="117"/>
        <v>294.44701200000003</v>
      </c>
      <c r="M1640" s="362" t="s">
        <v>6171</v>
      </c>
      <c r="N1640" s="432" t="s">
        <v>3785</v>
      </c>
      <c r="O1640" s="433" t="s">
        <v>4120</v>
      </c>
      <c r="P1640" s="430" t="s">
        <v>3659</v>
      </c>
      <c r="Q1640" s="431">
        <v>0.2</v>
      </c>
      <c r="R1640" s="433">
        <v>1900003135</v>
      </c>
      <c r="S1640" s="617" t="s">
        <v>698</v>
      </c>
      <c r="T1640" s="618" t="s">
        <v>5915</v>
      </c>
    </row>
    <row r="1641" spans="1:20" s="619" customFormat="1" hidden="1" x14ac:dyDescent="0.35">
      <c r="A1641" s="613" t="s">
        <v>5116</v>
      </c>
      <c r="B1641" s="614" t="s">
        <v>673</v>
      </c>
      <c r="C1641" s="615" t="s">
        <v>5099</v>
      </c>
      <c r="D1641" s="443" t="s">
        <v>5099</v>
      </c>
      <c r="E1641" s="615" t="s">
        <v>699</v>
      </c>
      <c r="F1641" s="453">
        <v>2024300125</v>
      </c>
      <c r="G1641" s="616" t="s">
        <v>3655</v>
      </c>
      <c r="H1641" s="362" t="s">
        <v>4757</v>
      </c>
      <c r="I1641" s="362">
        <v>23398.812468522807</v>
      </c>
      <c r="J1641" s="362">
        <v>1472.23506</v>
      </c>
      <c r="K1641" s="362">
        <v>1472.23506</v>
      </c>
      <c r="L1641" s="362">
        <f t="shared" si="117"/>
        <v>294.44701200000003</v>
      </c>
      <c r="M1641" s="362" t="s">
        <v>6171</v>
      </c>
      <c r="N1641" s="432" t="s">
        <v>3785</v>
      </c>
      <c r="O1641" s="433" t="s">
        <v>4120</v>
      </c>
      <c r="P1641" s="430" t="s">
        <v>3659</v>
      </c>
      <c r="Q1641" s="431">
        <v>0.2</v>
      </c>
      <c r="R1641" s="433">
        <v>1900003135</v>
      </c>
      <c r="S1641" s="617" t="s">
        <v>700</v>
      </c>
      <c r="T1641" s="618" t="s">
        <v>5915</v>
      </c>
    </row>
    <row r="1642" spans="1:20" s="619" customFormat="1" hidden="1" x14ac:dyDescent="0.35">
      <c r="A1642" s="613" t="s">
        <v>5117</v>
      </c>
      <c r="B1642" s="614" t="s">
        <v>673</v>
      </c>
      <c r="C1642" s="615" t="s">
        <v>5099</v>
      </c>
      <c r="D1642" s="443" t="s">
        <v>5099</v>
      </c>
      <c r="E1642" s="615" t="s">
        <v>6232</v>
      </c>
      <c r="F1642" s="453">
        <v>2024300125</v>
      </c>
      <c r="G1642" s="616" t="s">
        <v>3655</v>
      </c>
      <c r="H1642" s="362" t="s">
        <v>4757</v>
      </c>
      <c r="I1642" s="362">
        <v>23398.812468522807</v>
      </c>
      <c r="J1642" s="362">
        <v>1472.23506</v>
      </c>
      <c r="K1642" s="362">
        <v>1472.23506</v>
      </c>
      <c r="L1642" s="362">
        <f t="shared" si="117"/>
        <v>294.44701200000003</v>
      </c>
      <c r="M1642" s="362" t="s">
        <v>6171</v>
      </c>
      <c r="N1642" s="432" t="s">
        <v>3785</v>
      </c>
      <c r="O1642" s="433" t="s">
        <v>4120</v>
      </c>
      <c r="P1642" s="430" t="s">
        <v>3659</v>
      </c>
      <c r="Q1642" s="431">
        <v>0.2</v>
      </c>
      <c r="R1642" s="433">
        <v>1900003135</v>
      </c>
      <c r="S1642" s="617" t="s">
        <v>6213</v>
      </c>
      <c r="T1642" s="618" t="s">
        <v>5915</v>
      </c>
    </row>
    <row r="1643" spans="1:20" s="619" customFormat="1" hidden="1" x14ac:dyDescent="0.35">
      <c r="A1643" s="613" t="s">
        <v>5118</v>
      </c>
      <c r="B1643" s="614" t="s">
        <v>673</v>
      </c>
      <c r="C1643" s="615" t="s">
        <v>5099</v>
      </c>
      <c r="D1643" s="443" t="s">
        <v>5099</v>
      </c>
      <c r="E1643" s="615" t="s">
        <v>702</v>
      </c>
      <c r="F1643" s="453">
        <v>2024300125</v>
      </c>
      <c r="G1643" s="616" t="s">
        <v>3655</v>
      </c>
      <c r="H1643" s="362" t="s">
        <v>4757</v>
      </c>
      <c r="I1643" s="362">
        <v>23398.812468522807</v>
      </c>
      <c r="J1643" s="362">
        <v>1472.23506</v>
      </c>
      <c r="K1643" s="362">
        <v>1472.23506</v>
      </c>
      <c r="L1643" s="362">
        <f t="shared" si="117"/>
        <v>294.44701200000003</v>
      </c>
      <c r="M1643" s="362" t="s">
        <v>6171</v>
      </c>
      <c r="N1643" s="432" t="s">
        <v>3785</v>
      </c>
      <c r="O1643" s="433" t="s">
        <v>4120</v>
      </c>
      <c r="P1643" s="430" t="s">
        <v>3659</v>
      </c>
      <c r="Q1643" s="431">
        <v>0.2</v>
      </c>
      <c r="R1643" s="433">
        <v>1900003135</v>
      </c>
      <c r="S1643" s="617" t="s">
        <v>703</v>
      </c>
      <c r="T1643" s="618" t="s">
        <v>5915</v>
      </c>
    </row>
    <row r="1644" spans="1:20" s="619" customFormat="1" hidden="1" x14ac:dyDescent="0.35">
      <c r="A1644" s="613" t="s">
        <v>5119</v>
      </c>
      <c r="B1644" s="614" t="s">
        <v>673</v>
      </c>
      <c r="C1644" s="615" t="s">
        <v>5099</v>
      </c>
      <c r="D1644" s="443" t="s">
        <v>5099</v>
      </c>
      <c r="E1644" s="615" t="s">
        <v>704</v>
      </c>
      <c r="F1644" s="453">
        <v>2024300125</v>
      </c>
      <c r="G1644" s="616" t="s">
        <v>3655</v>
      </c>
      <c r="H1644" s="362" t="s">
        <v>4757</v>
      </c>
      <c r="I1644" s="362">
        <v>23398.812468522807</v>
      </c>
      <c r="J1644" s="362">
        <v>1472.23506</v>
      </c>
      <c r="K1644" s="362">
        <v>1472.23506</v>
      </c>
      <c r="L1644" s="362">
        <f t="shared" si="117"/>
        <v>294.44701200000003</v>
      </c>
      <c r="M1644" s="362" t="s">
        <v>6171</v>
      </c>
      <c r="N1644" s="432" t="s">
        <v>3785</v>
      </c>
      <c r="O1644" s="433" t="s">
        <v>4120</v>
      </c>
      <c r="P1644" s="430" t="s">
        <v>3659</v>
      </c>
      <c r="Q1644" s="431">
        <v>0.2</v>
      </c>
      <c r="R1644" s="433">
        <v>1900003135</v>
      </c>
      <c r="S1644" s="617" t="s">
        <v>705</v>
      </c>
      <c r="T1644" s="618" t="s">
        <v>5915</v>
      </c>
    </row>
    <row r="1645" spans="1:20" s="619" customFormat="1" hidden="1" x14ac:dyDescent="0.35">
      <c r="A1645" s="613" t="s">
        <v>5120</v>
      </c>
      <c r="B1645" s="614" t="s">
        <v>673</v>
      </c>
      <c r="C1645" s="615" t="s">
        <v>5099</v>
      </c>
      <c r="D1645" s="443" t="s">
        <v>5099</v>
      </c>
      <c r="E1645" s="615" t="s">
        <v>706</v>
      </c>
      <c r="F1645" s="453">
        <v>2024300125</v>
      </c>
      <c r="G1645" s="616" t="s">
        <v>3655</v>
      </c>
      <c r="H1645" s="362" t="s">
        <v>4757</v>
      </c>
      <c r="I1645" s="362">
        <v>23398.812468522807</v>
      </c>
      <c r="J1645" s="362">
        <v>1472.23506</v>
      </c>
      <c r="K1645" s="362">
        <v>1472.23506</v>
      </c>
      <c r="L1645" s="362">
        <f t="shared" si="117"/>
        <v>294.44701200000003</v>
      </c>
      <c r="M1645" s="362" t="s">
        <v>6171</v>
      </c>
      <c r="N1645" s="432" t="s">
        <v>3785</v>
      </c>
      <c r="O1645" s="433" t="s">
        <v>4120</v>
      </c>
      <c r="P1645" s="430" t="s">
        <v>3659</v>
      </c>
      <c r="Q1645" s="431">
        <v>0.2</v>
      </c>
      <c r="R1645" s="433">
        <v>1900003135</v>
      </c>
      <c r="S1645" s="617" t="s">
        <v>707</v>
      </c>
      <c r="T1645" s="618" t="s">
        <v>5915</v>
      </c>
    </row>
    <row r="1646" spans="1:20" s="619" customFormat="1" hidden="1" x14ac:dyDescent="0.35">
      <c r="A1646" s="613" t="s">
        <v>5121</v>
      </c>
      <c r="B1646" s="614" t="s">
        <v>673</v>
      </c>
      <c r="C1646" s="615" t="s">
        <v>5099</v>
      </c>
      <c r="D1646" s="443" t="s">
        <v>5099</v>
      </c>
      <c r="E1646" s="615" t="s">
        <v>708</v>
      </c>
      <c r="F1646" s="453">
        <v>2024300125</v>
      </c>
      <c r="G1646" s="616" t="s">
        <v>3655</v>
      </c>
      <c r="H1646" s="362" t="s">
        <v>4757</v>
      </c>
      <c r="I1646" s="362">
        <v>23398.812468522807</v>
      </c>
      <c r="J1646" s="362">
        <v>1472.23506</v>
      </c>
      <c r="K1646" s="362">
        <v>1472.23506</v>
      </c>
      <c r="L1646" s="362">
        <f t="shared" si="117"/>
        <v>294.44701200000003</v>
      </c>
      <c r="M1646" s="362" t="s">
        <v>6171</v>
      </c>
      <c r="N1646" s="432" t="s">
        <v>3785</v>
      </c>
      <c r="O1646" s="433" t="s">
        <v>4120</v>
      </c>
      <c r="P1646" s="430" t="s">
        <v>3659</v>
      </c>
      <c r="Q1646" s="431">
        <v>0.2</v>
      </c>
      <c r="R1646" s="433">
        <v>1900003135</v>
      </c>
      <c r="S1646" s="617" t="s">
        <v>6214</v>
      </c>
      <c r="T1646" s="618" t="s">
        <v>5915</v>
      </c>
    </row>
    <row r="1647" spans="1:20" s="619" customFormat="1" hidden="1" x14ac:dyDescent="0.35">
      <c r="A1647" s="613" t="s">
        <v>5122</v>
      </c>
      <c r="B1647" s="614" t="s">
        <v>673</v>
      </c>
      <c r="C1647" s="615" t="s">
        <v>5099</v>
      </c>
      <c r="D1647" s="443" t="s">
        <v>5099</v>
      </c>
      <c r="E1647" s="615" t="s">
        <v>709</v>
      </c>
      <c r="F1647" s="453">
        <v>2024300125</v>
      </c>
      <c r="G1647" s="616" t="s">
        <v>3655</v>
      </c>
      <c r="H1647" s="362" t="s">
        <v>4757</v>
      </c>
      <c r="I1647" s="362">
        <v>23398.812468522807</v>
      </c>
      <c r="J1647" s="362">
        <v>1472.23506</v>
      </c>
      <c r="K1647" s="362">
        <v>1472.23506</v>
      </c>
      <c r="L1647" s="362">
        <f t="shared" si="117"/>
        <v>294.44701200000003</v>
      </c>
      <c r="M1647" s="362" t="s">
        <v>6171</v>
      </c>
      <c r="N1647" s="432" t="s">
        <v>3785</v>
      </c>
      <c r="O1647" s="433" t="s">
        <v>4120</v>
      </c>
      <c r="P1647" s="430" t="s">
        <v>3659</v>
      </c>
      <c r="Q1647" s="431">
        <v>0.2</v>
      </c>
      <c r="R1647" s="433">
        <v>1900003135</v>
      </c>
      <c r="S1647" s="617" t="s">
        <v>710</v>
      </c>
      <c r="T1647" s="618" t="s">
        <v>5915</v>
      </c>
    </row>
    <row r="1648" spans="1:20" s="619" customFormat="1" hidden="1" x14ac:dyDescent="0.35">
      <c r="A1648" s="613" t="s">
        <v>5123</v>
      </c>
      <c r="B1648" s="614" t="s">
        <v>673</v>
      </c>
      <c r="C1648" s="615" t="s">
        <v>5099</v>
      </c>
      <c r="D1648" s="443" t="s">
        <v>5099</v>
      </c>
      <c r="E1648" s="615" t="s">
        <v>6215</v>
      </c>
      <c r="F1648" s="453">
        <v>2024300125</v>
      </c>
      <c r="G1648" s="616" t="s">
        <v>3655</v>
      </c>
      <c r="H1648" s="362" t="s">
        <v>4757</v>
      </c>
      <c r="I1648" s="362">
        <v>23398.812468522807</v>
      </c>
      <c r="J1648" s="362">
        <v>1472.23506</v>
      </c>
      <c r="K1648" s="362">
        <v>1472.23506</v>
      </c>
      <c r="L1648" s="362">
        <f t="shared" si="117"/>
        <v>294.44701200000003</v>
      </c>
      <c r="M1648" s="362" t="s">
        <v>6171</v>
      </c>
      <c r="N1648" s="432" t="s">
        <v>3785</v>
      </c>
      <c r="O1648" s="433" t="s">
        <v>4120</v>
      </c>
      <c r="P1648" s="430" t="s">
        <v>3659</v>
      </c>
      <c r="Q1648" s="431">
        <v>0.2</v>
      </c>
      <c r="R1648" s="433">
        <v>1900003135</v>
      </c>
      <c r="S1648" s="617" t="s">
        <v>6216</v>
      </c>
      <c r="T1648" s="618" t="s">
        <v>5915</v>
      </c>
    </row>
    <row r="1649" spans="1:20" s="619" customFormat="1" hidden="1" x14ac:dyDescent="0.35">
      <c r="A1649" s="613" t="s">
        <v>5124</v>
      </c>
      <c r="B1649" s="614" t="s">
        <v>673</v>
      </c>
      <c r="C1649" s="615" t="s">
        <v>5099</v>
      </c>
      <c r="D1649" s="443" t="s">
        <v>5099</v>
      </c>
      <c r="E1649" s="615" t="s">
        <v>711</v>
      </c>
      <c r="F1649" s="453">
        <v>2024300125</v>
      </c>
      <c r="G1649" s="616" t="s">
        <v>3655</v>
      </c>
      <c r="H1649" s="362" t="s">
        <v>4757</v>
      </c>
      <c r="I1649" s="362">
        <v>23398.812468522807</v>
      </c>
      <c r="J1649" s="362">
        <v>1472.23506</v>
      </c>
      <c r="K1649" s="362">
        <v>1472.23506</v>
      </c>
      <c r="L1649" s="362">
        <f t="shared" si="117"/>
        <v>294.44701200000003</v>
      </c>
      <c r="M1649" s="362" t="s">
        <v>6171</v>
      </c>
      <c r="N1649" s="432" t="s">
        <v>3785</v>
      </c>
      <c r="O1649" s="433" t="s">
        <v>4120</v>
      </c>
      <c r="P1649" s="430" t="s">
        <v>3659</v>
      </c>
      <c r="Q1649" s="431">
        <v>0.2</v>
      </c>
      <c r="R1649" s="433">
        <v>1900003135</v>
      </c>
      <c r="S1649" s="617" t="s">
        <v>712</v>
      </c>
      <c r="T1649" s="618" t="s">
        <v>5915</v>
      </c>
    </row>
    <row r="1650" spans="1:20" s="619" customFormat="1" hidden="1" x14ac:dyDescent="0.35">
      <c r="A1650" s="613" t="s">
        <v>5125</v>
      </c>
      <c r="B1650" s="614" t="s">
        <v>673</v>
      </c>
      <c r="C1650" s="615" t="s">
        <v>5099</v>
      </c>
      <c r="D1650" s="443" t="s">
        <v>5099</v>
      </c>
      <c r="E1650" s="615" t="s">
        <v>6217</v>
      </c>
      <c r="F1650" s="453">
        <v>2024300125</v>
      </c>
      <c r="G1650" s="616" t="s">
        <v>3655</v>
      </c>
      <c r="H1650" s="362" t="s">
        <v>4757</v>
      </c>
      <c r="I1650" s="362">
        <v>23398.812468522807</v>
      </c>
      <c r="J1650" s="362">
        <v>1472.23506</v>
      </c>
      <c r="K1650" s="362">
        <v>1472.23506</v>
      </c>
      <c r="L1650" s="362">
        <f t="shared" si="117"/>
        <v>294.44701200000003</v>
      </c>
      <c r="M1650" s="362" t="s">
        <v>6171</v>
      </c>
      <c r="N1650" s="432" t="s">
        <v>3785</v>
      </c>
      <c r="O1650" s="433" t="s">
        <v>4120</v>
      </c>
      <c r="P1650" s="430" t="s">
        <v>3659</v>
      </c>
      <c r="Q1650" s="431">
        <v>0.2</v>
      </c>
      <c r="R1650" s="433">
        <v>1900003135</v>
      </c>
      <c r="S1650" s="617" t="s">
        <v>886</v>
      </c>
      <c r="T1650" s="618" t="s">
        <v>5915</v>
      </c>
    </row>
    <row r="1651" spans="1:20" s="619" customFormat="1" hidden="1" x14ac:dyDescent="0.35">
      <c r="A1651" s="613" t="s">
        <v>5126</v>
      </c>
      <c r="B1651" s="614" t="s">
        <v>673</v>
      </c>
      <c r="C1651" s="615" t="s">
        <v>5099</v>
      </c>
      <c r="D1651" s="443" t="s">
        <v>5099</v>
      </c>
      <c r="E1651" s="615" t="s">
        <v>713</v>
      </c>
      <c r="F1651" s="453">
        <v>2024300125</v>
      </c>
      <c r="G1651" s="616" t="s">
        <v>3655</v>
      </c>
      <c r="H1651" s="362" t="s">
        <v>4757</v>
      </c>
      <c r="I1651" s="362">
        <v>23398.812468522807</v>
      </c>
      <c r="J1651" s="362">
        <v>1472.23506</v>
      </c>
      <c r="K1651" s="362">
        <v>1472.23506</v>
      </c>
      <c r="L1651" s="362">
        <f t="shared" si="117"/>
        <v>294.44701200000003</v>
      </c>
      <c r="M1651" s="362" t="s">
        <v>6171</v>
      </c>
      <c r="N1651" s="432" t="s">
        <v>3785</v>
      </c>
      <c r="O1651" s="433" t="s">
        <v>4120</v>
      </c>
      <c r="P1651" s="430" t="s">
        <v>3659</v>
      </c>
      <c r="Q1651" s="431">
        <v>0.2</v>
      </c>
      <c r="R1651" s="433">
        <v>1900003135</v>
      </c>
      <c r="S1651" s="617" t="s">
        <v>6218</v>
      </c>
      <c r="T1651" s="618" t="s">
        <v>5915</v>
      </c>
    </row>
    <row r="1652" spans="1:20" s="619" customFormat="1" hidden="1" x14ac:dyDescent="0.35">
      <c r="A1652" s="613" t="s">
        <v>5127</v>
      </c>
      <c r="B1652" s="614" t="s">
        <v>673</v>
      </c>
      <c r="C1652" s="615" t="s">
        <v>5099</v>
      </c>
      <c r="D1652" s="443" t="s">
        <v>5099</v>
      </c>
      <c r="E1652" s="615" t="s">
        <v>714</v>
      </c>
      <c r="F1652" s="453">
        <v>2024300125</v>
      </c>
      <c r="G1652" s="616" t="s">
        <v>3655</v>
      </c>
      <c r="H1652" s="362" t="s">
        <v>4757</v>
      </c>
      <c r="I1652" s="362">
        <v>23398.812468522807</v>
      </c>
      <c r="J1652" s="362">
        <v>1472.23506</v>
      </c>
      <c r="K1652" s="362">
        <v>1472.23506</v>
      </c>
      <c r="L1652" s="362">
        <f t="shared" si="117"/>
        <v>294.44701200000003</v>
      </c>
      <c r="M1652" s="362" t="s">
        <v>6171</v>
      </c>
      <c r="N1652" s="432" t="s">
        <v>3785</v>
      </c>
      <c r="O1652" s="433" t="s">
        <v>4120</v>
      </c>
      <c r="P1652" s="430" t="s">
        <v>3659</v>
      </c>
      <c r="Q1652" s="431">
        <v>0.2</v>
      </c>
      <c r="R1652" s="433">
        <v>1900003135</v>
      </c>
      <c r="S1652" s="617" t="s">
        <v>6219</v>
      </c>
      <c r="T1652" s="618" t="s">
        <v>5915</v>
      </c>
    </row>
    <row r="1653" spans="1:20" s="619" customFormat="1" hidden="1" x14ac:dyDescent="0.35">
      <c r="A1653" s="613" t="s">
        <v>5128</v>
      </c>
      <c r="B1653" s="614" t="s">
        <v>673</v>
      </c>
      <c r="C1653" s="615" t="s">
        <v>5099</v>
      </c>
      <c r="D1653" s="443" t="s">
        <v>5099</v>
      </c>
      <c r="E1653" s="615" t="s">
        <v>715</v>
      </c>
      <c r="F1653" s="453">
        <v>2024300125</v>
      </c>
      <c r="G1653" s="616" t="s">
        <v>3655</v>
      </c>
      <c r="H1653" s="362" t="s">
        <v>4757</v>
      </c>
      <c r="I1653" s="362">
        <v>23398.812468522807</v>
      </c>
      <c r="J1653" s="362">
        <v>1472.23506</v>
      </c>
      <c r="K1653" s="362">
        <v>1472.23506</v>
      </c>
      <c r="L1653" s="362">
        <f t="shared" si="117"/>
        <v>294.44701200000003</v>
      </c>
      <c r="M1653" s="362" t="s">
        <v>6171</v>
      </c>
      <c r="N1653" s="432" t="s">
        <v>3785</v>
      </c>
      <c r="O1653" s="433" t="s">
        <v>4120</v>
      </c>
      <c r="P1653" s="430" t="s">
        <v>3659</v>
      </c>
      <c r="Q1653" s="431">
        <v>0.2</v>
      </c>
      <c r="R1653" s="433">
        <v>1900003135</v>
      </c>
      <c r="S1653" s="617" t="s">
        <v>716</v>
      </c>
      <c r="T1653" s="618" t="s">
        <v>5915</v>
      </c>
    </row>
    <row r="1654" spans="1:20" s="619" customFormat="1" hidden="1" x14ac:dyDescent="0.35">
      <c r="A1654" s="613" t="s">
        <v>5129</v>
      </c>
      <c r="B1654" s="614" t="s">
        <v>673</v>
      </c>
      <c r="C1654" s="615" t="s">
        <v>5099</v>
      </c>
      <c r="D1654" s="443" t="s">
        <v>5099</v>
      </c>
      <c r="E1654" s="615" t="s">
        <v>717</v>
      </c>
      <c r="F1654" s="453">
        <v>2024300125</v>
      </c>
      <c r="G1654" s="616" t="s">
        <v>3655</v>
      </c>
      <c r="H1654" s="362" t="s">
        <v>4757</v>
      </c>
      <c r="I1654" s="362">
        <v>23398.812468522807</v>
      </c>
      <c r="J1654" s="362">
        <v>1472.23506</v>
      </c>
      <c r="K1654" s="362">
        <v>1472.23506</v>
      </c>
      <c r="L1654" s="362">
        <f t="shared" si="117"/>
        <v>294.44701200000003</v>
      </c>
      <c r="M1654" s="362" t="s">
        <v>6171</v>
      </c>
      <c r="N1654" s="432" t="s">
        <v>3785</v>
      </c>
      <c r="O1654" s="433" t="s">
        <v>4120</v>
      </c>
      <c r="P1654" s="430" t="s">
        <v>3659</v>
      </c>
      <c r="Q1654" s="431">
        <v>0.2</v>
      </c>
      <c r="R1654" s="433">
        <v>1900003135</v>
      </c>
      <c r="S1654" s="617" t="s">
        <v>718</v>
      </c>
      <c r="T1654" s="618" t="s">
        <v>5915</v>
      </c>
    </row>
    <row r="1655" spans="1:20" s="619" customFormat="1" hidden="1" x14ac:dyDescent="0.35">
      <c r="A1655" s="613" t="s">
        <v>5130</v>
      </c>
      <c r="B1655" s="614" t="s">
        <v>673</v>
      </c>
      <c r="C1655" s="615" t="s">
        <v>5099</v>
      </c>
      <c r="D1655" s="443" t="s">
        <v>5099</v>
      </c>
      <c r="E1655" s="615" t="s">
        <v>719</v>
      </c>
      <c r="F1655" s="453">
        <v>2024300125</v>
      </c>
      <c r="G1655" s="616" t="s">
        <v>3655</v>
      </c>
      <c r="H1655" s="362" t="s">
        <v>4757</v>
      </c>
      <c r="I1655" s="362">
        <v>23398.812468522807</v>
      </c>
      <c r="J1655" s="362">
        <v>1472.23506</v>
      </c>
      <c r="K1655" s="362">
        <v>1472.23506</v>
      </c>
      <c r="L1655" s="362">
        <f t="shared" si="117"/>
        <v>294.44701200000003</v>
      </c>
      <c r="M1655" s="362" t="s">
        <v>6171</v>
      </c>
      <c r="N1655" s="432" t="s">
        <v>3785</v>
      </c>
      <c r="O1655" s="433" t="s">
        <v>4120</v>
      </c>
      <c r="P1655" s="430" t="s">
        <v>3659</v>
      </c>
      <c r="Q1655" s="431">
        <v>0.2</v>
      </c>
      <c r="R1655" s="433">
        <v>1900003135</v>
      </c>
      <c r="S1655" s="617" t="s">
        <v>6220</v>
      </c>
      <c r="T1655" s="618" t="s">
        <v>5915</v>
      </c>
    </row>
    <row r="1656" spans="1:20" s="619" customFormat="1" hidden="1" x14ac:dyDescent="0.35">
      <c r="A1656" s="613" t="s">
        <v>5131</v>
      </c>
      <c r="B1656" s="614" t="s">
        <v>673</v>
      </c>
      <c r="C1656" s="615" t="s">
        <v>5099</v>
      </c>
      <c r="D1656" s="443" t="s">
        <v>5099</v>
      </c>
      <c r="E1656" s="615" t="s">
        <v>720</v>
      </c>
      <c r="F1656" s="453">
        <v>2024300125</v>
      </c>
      <c r="G1656" s="616" t="s">
        <v>3655</v>
      </c>
      <c r="H1656" s="362" t="s">
        <v>4757</v>
      </c>
      <c r="I1656" s="362">
        <v>23398.812468522807</v>
      </c>
      <c r="J1656" s="362">
        <v>1472.23506</v>
      </c>
      <c r="K1656" s="362">
        <v>1472.23506</v>
      </c>
      <c r="L1656" s="362">
        <f t="shared" si="117"/>
        <v>294.44701200000003</v>
      </c>
      <c r="M1656" s="362" t="s">
        <v>6171</v>
      </c>
      <c r="N1656" s="432" t="s">
        <v>3785</v>
      </c>
      <c r="O1656" s="433" t="s">
        <v>4120</v>
      </c>
      <c r="P1656" s="430" t="s">
        <v>3659</v>
      </c>
      <c r="Q1656" s="431">
        <v>0.2</v>
      </c>
      <c r="R1656" s="433">
        <v>1900003135</v>
      </c>
      <c r="S1656" s="617" t="s">
        <v>324</v>
      </c>
      <c r="T1656" s="618" t="s">
        <v>5915</v>
      </c>
    </row>
    <row r="1657" spans="1:20" s="619" customFormat="1" hidden="1" x14ac:dyDescent="0.35">
      <c r="A1657" s="613" t="s">
        <v>5132</v>
      </c>
      <c r="B1657" s="614" t="s">
        <v>673</v>
      </c>
      <c r="C1657" s="615" t="s">
        <v>5099</v>
      </c>
      <c r="D1657" s="443" t="s">
        <v>5099</v>
      </c>
      <c r="E1657" s="615" t="s">
        <v>721</v>
      </c>
      <c r="F1657" s="453">
        <v>2024300125</v>
      </c>
      <c r="G1657" s="616" t="s">
        <v>3655</v>
      </c>
      <c r="H1657" s="362" t="s">
        <v>4757</v>
      </c>
      <c r="I1657" s="362">
        <v>23398.812468522807</v>
      </c>
      <c r="J1657" s="362">
        <v>1472.23506</v>
      </c>
      <c r="K1657" s="362">
        <v>1472.23506</v>
      </c>
      <c r="L1657" s="362">
        <f t="shared" si="117"/>
        <v>294.44701200000003</v>
      </c>
      <c r="M1657" s="362" t="s">
        <v>6171</v>
      </c>
      <c r="N1657" s="432" t="s">
        <v>3785</v>
      </c>
      <c r="O1657" s="433" t="s">
        <v>4120</v>
      </c>
      <c r="P1657" s="430" t="s">
        <v>3659</v>
      </c>
      <c r="Q1657" s="431">
        <v>0.2</v>
      </c>
      <c r="R1657" s="433">
        <v>1900003135</v>
      </c>
      <c r="S1657" s="617" t="s">
        <v>2404</v>
      </c>
      <c r="T1657" s="618" t="s">
        <v>5915</v>
      </c>
    </row>
    <row r="1658" spans="1:20" s="619" customFormat="1" hidden="1" x14ac:dyDescent="0.35">
      <c r="A1658" s="613" t="s">
        <v>5133</v>
      </c>
      <c r="B1658" s="614" t="s">
        <v>673</v>
      </c>
      <c r="C1658" s="615" t="s">
        <v>5099</v>
      </c>
      <c r="D1658" s="443" t="s">
        <v>5099</v>
      </c>
      <c r="E1658" s="615" t="s">
        <v>722</v>
      </c>
      <c r="F1658" s="453">
        <v>2024300125</v>
      </c>
      <c r="G1658" s="616" t="s">
        <v>3655</v>
      </c>
      <c r="H1658" s="362" t="s">
        <v>4757</v>
      </c>
      <c r="I1658" s="362">
        <v>23398.812468522807</v>
      </c>
      <c r="J1658" s="362">
        <v>1472.23506</v>
      </c>
      <c r="K1658" s="362">
        <v>1472.23506</v>
      </c>
      <c r="L1658" s="362">
        <f t="shared" si="117"/>
        <v>294.44701200000003</v>
      </c>
      <c r="M1658" s="362" t="s">
        <v>6171</v>
      </c>
      <c r="N1658" s="432" t="s">
        <v>3785</v>
      </c>
      <c r="O1658" s="433" t="s">
        <v>4120</v>
      </c>
      <c r="P1658" s="430" t="s">
        <v>3659</v>
      </c>
      <c r="Q1658" s="431">
        <v>0.2</v>
      </c>
      <c r="R1658" s="433">
        <v>1900003135</v>
      </c>
      <c r="S1658" s="617" t="s">
        <v>723</v>
      </c>
      <c r="T1658" s="618" t="s">
        <v>5915</v>
      </c>
    </row>
    <row r="1659" spans="1:20" s="619" customFormat="1" hidden="1" x14ac:dyDescent="0.35">
      <c r="A1659" s="613" t="s">
        <v>5134</v>
      </c>
      <c r="B1659" s="614" t="s">
        <v>673</v>
      </c>
      <c r="C1659" s="615" t="s">
        <v>5099</v>
      </c>
      <c r="D1659" s="443" t="s">
        <v>5099</v>
      </c>
      <c r="E1659" s="615" t="s">
        <v>724</v>
      </c>
      <c r="F1659" s="453">
        <v>2024300125</v>
      </c>
      <c r="G1659" s="616" t="s">
        <v>3655</v>
      </c>
      <c r="H1659" s="362" t="s">
        <v>4757</v>
      </c>
      <c r="I1659" s="362">
        <v>23398.812468522807</v>
      </c>
      <c r="J1659" s="362">
        <v>1472.23506</v>
      </c>
      <c r="K1659" s="362">
        <v>1472.23506</v>
      </c>
      <c r="L1659" s="362">
        <f t="shared" si="117"/>
        <v>294.44701200000003</v>
      </c>
      <c r="M1659" s="362" t="s">
        <v>6171</v>
      </c>
      <c r="N1659" s="432" t="s">
        <v>3785</v>
      </c>
      <c r="O1659" s="433" t="s">
        <v>4120</v>
      </c>
      <c r="P1659" s="430" t="s">
        <v>3659</v>
      </c>
      <c r="Q1659" s="431">
        <v>0.2</v>
      </c>
      <c r="R1659" s="433">
        <v>1900003135</v>
      </c>
      <c r="S1659" s="617" t="s">
        <v>725</v>
      </c>
      <c r="T1659" s="618" t="s">
        <v>5915</v>
      </c>
    </row>
    <row r="1660" spans="1:20" s="619" customFormat="1" hidden="1" x14ac:dyDescent="0.35">
      <c r="A1660" s="613" t="s">
        <v>5135</v>
      </c>
      <c r="B1660" s="614" t="s">
        <v>673</v>
      </c>
      <c r="C1660" s="615" t="s">
        <v>5099</v>
      </c>
      <c r="D1660" s="443" t="s">
        <v>5099</v>
      </c>
      <c r="E1660" s="615" t="s">
        <v>726</v>
      </c>
      <c r="F1660" s="453">
        <v>2024300125</v>
      </c>
      <c r="G1660" s="616" t="s">
        <v>3655</v>
      </c>
      <c r="H1660" s="362" t="s">
        <v>4757</v>
      </c>
      <c r="I1660" s="362">
        <v>23398.812468522807</v>
      </c>
      <c r="J1660" s="362">
        <v>1472.23506</v>
      </c>
      <c r="K1660" s="362">
        <v>1472.23506</v>
      </c>
      <c r="L1660" s="362">
        <f t="shared" si="117"/>
        <v>294.44701200000003</v>
      </c>
      <c r="M1660" s="362" t="s">
        <v>6171</v>
      </c>
      <c r="N1660" s="432" t="s">
        <v>3785</v>
      </c>
      <c r="O1660" s="433" t="s">
        <v>4120</v>
      </c>
      <c r="P1660" s="430" t="s">
        <v>3659</v>
      </c>
      <c r="Q1660" s="431">
        <v>0.2</v>
      </c>
      <c r="R1660" s="433">
        <v>1900003135</v>
      </c>
      <c r="S1660" s="617" t="s">
        <v>727</v>
      </c>
      <c r="T1660" s="618" t="s">
        <v>5915</v>
      </c>
    </row>
    <row r="1661" spans="1:20" s="619" customFormat="1" hidden="1" x14ac:dyDescent="0.35">
      <c r="A1661" s="613" t="s">
        <v>5136</v>
      </c>
      <c r="B1661" s="614" t="s">
        <v>673</v>
      </c>
      <c r="C1661" s="615" t="s">
        <v>5099</v>
      </c>
      <c r="D1661" s="443" t="s">
        <v>5099</v>
      </c>
      <c r="E1661" s="615" t="s">
        <v>728</v>
      </c>
      <c r="F1661" s="453">
        <v>2024300125</v>
      </c>
      <c r="G1661" s="616" t="s">
        <v>3655</v>
      </c>
      <c r="H1661" s="362" t="s">
        <v>4757</v>
      </c>
      <c r="I1661" s="362">
        <v>23398.812468522807</v>
      </c>
      <c r="J1661" s="362">
        <v>1472.23506</v>
      </c>
      <c r="K1661" s="362">
        <v>1472.23506</v>
      </c>
      <c r="L1661" s="362">
        <f t="shared" si="117"/>
        <v>294.44701200000003</v>
      </c>
      <c r="M1661" s="362" t="s">
        <v>6171</v>
      </c>
      <c r="N1661" s="432" t="s">
        <v>3785</v>
      </c>
      <c r="O1661" s="433" t="s">
        <v>4120</v>
      </c>
      <c r="P1661" s="430" t="s">
        <v>3659</v>
      </c>
      <c r="Q1661" s="431">
        <v>0.2</v>
      </c>
      <c r="R1661" s="433">
        <v>1900003135</v>
      </c>
      <c r="S1661" s="617" t="s">
        <v>729</v>
      </c>
      <c r="T1661" s="618" t="s">
        <v>5915</v>
      </c>
    </row>
    <row r="1662" spans="1:20" s="619" customFormat="1" hidden="1" x14ac:dyDescent="0.35">
      <c r="A1662" s="613" t="s">
        <v>5137</v>
      </c>
      <c r="B1662" s="614" t="s">
        <v>673</v>
      </c>
      <c r="C1662" s="615" t="s">
        <v>5099</v>
      </c>
      <c r="D1662" s="443" t="s">
        <v>5099</v>
      </c>
      <c r="E1662" s="615" t="s">
        <v>730</v>
      </c>
      <c r="F1662" s="453">
        <v>2024300125</v>
      </c>
      <c r="G1662" s="616" t="s">
        <v>3655</v>
      </c>
      <c r="H1662" s="362" t="s">
        <v>4757</v>
      </c>
      <c r="I1662" s="362">
        <v>23398.812468522807</v>
      </c>
      <c r="J1662" s="362">
        <v>1472.23506</v>
      </c>
      <c r="K1662" s="362">
        <v>1472.23506</v>
      </c>
      <c r="L1662" s="362">
        <f t="shared" si="117"/>
        <v>294.44701200000003</v>
      </c>
      <c r="M1662" s="362" t="s">
        <v>6171</v>
      </c>
      <c r="N1662" s="432" t="s">
        <v>3785</v>
      </c>
      <c r="O1662" s="433" t="s">
        <v>4120</v>
      </c>
      <c r="P1662" s="430" t="s">
        <v>3659</v>
      </c>
      <c r="Q1662" s="431">
        <v>0.2</v>
      </c>
      <c r="R1662" s="433">
        <v>1900003135</v>
      </c>
      <c r="S1662" s="617" t="s">
        <v>731</v>
      </c>
      <c r="T1662" s="618" t="s">
        <v>5915</v>
      </c>
    </row>
    <row r="1663" spans="1:20" s="619" customFormat="1" hidden="1" x14ac:dyDescent="0.35">
      <c r="A1663" s="613" t="s">
        <v>5138</v>
      </c>
      <c r="B1663" s="614" t="s">
        <v>673</v>
      </c>
      <c r="C1663" s="615" t="s">
        <v>5099</v>
      </c>
      <c r="D1663" s="443" t="s">
        <v>5099</v>
      </c>
      <c r="E1663" s="615" t="s">
        <v>732</v>
      </c>
      <c r="F1663" s="453">
        <v>2024300125</v>
      </c>
      <c r="G1663" s="616" t="s">
        <v>3655</v>
      </c>
      <c r="H1663" s="362" t="s">
        <v>4757</v>
      </c>
      <c r="I1663" s="362">
        <v>23398.812468522807</v>
      </c>
      <c r="J1663" s="362">
        <v>1472.23506</v>
      </c>
      <c r="K1663" s="362">
        <v>1472.23506</v>
      </c>
      <c r="L1663" s="362">
        <f t="shared" si="117"/>
        <v>294.44701200000003</v>
      </c>
      <c r="M1663" s="362" t="s">
        <v>6171</v>
      </c>
      <c r="N1663" s="432" t="s">
        <v>3785</v>
      </c>
      <c r="O1663" s="433" t="s">
        <v>4120</v>
      </c>
      <c r="P1663" s="430" t="s">
        <v>3659</v>
      </c>
      <c r="Q1663" s="431">
        <v>0.2</v>
      </c>
      <c r="R1663" s="433">
        <v>1900003135</v>
      </c>
      <c r="S1663" s="617" t="s">
        <v>733</v>
      </c>
      <c r="T1663" s="618" t="s">
        <v>5915</v>
      </c>
    </row>
    <row r="1664" spans="1:20" hidden="1" x14ac:dyDescent="0.35">
      <c r="A1664" s="432" t="s">
        <v>5139</v>
      </c>
      <c r="B1664" s="442" t="s">
        <v>1679</v>
      </c>
      <c r="C1664" s="443" t="s">
        <v>5099</v>
      </c>
      <c r="D1664" s="443" t="s">
        <v>5099</v>
      </c>
      <c r="E1664" s="443" t="s">
        <v>1572</v>
      </c>
      <c r="F1664" s="453">
        <v>2024300125</v>
      </c>
      <c r="G1664" s="453" t="s">
        <v>1486</v>
      </c>
      <c r="H1664" s="362" t="s">
        <v>4757</v>
      </c>
      <c r="I1664" s="362">
        <f>11536.8220628213*1.15</f>
        <v>13267.345372244494</v>
      </c>
      <c r="J1664" s="362">
        <f>725.888*1.15</f>
        <v>834.77120000000002</v>
      </c>
      <c r="K1664" s="362">
        <v>834.77120000000002</v>
      </c>
      <c r="L1664" s="362">
        <f t="shared" si="117"/>
        <v>166.95424000000003</v>
      </c>
      <c r="M1664" s="362" t="s">
        <v>6171</v>
      </c>
      <c r="N1664" s="432" t="s">
        <v>3785</v>
      </c>
      <c r="O1664" s="433" t="s">
        <v>4120</v>
      </c>
      <c r="P1664" s="430" t="s">
        <v>3659</v>
      </c>
      <c r="Q1664" s="431">
        <v>0.2</v>
      </c>
      <c r="R1664" s="433">
        <v>1900003135</v>
      </c>
      <c r="S1664" s="444" t="s">
        <v>1121</v>
      </c>
      <c r="T1664" s="2" t="s">
        <v>5915</v>
      </c>
    </row>
    <row r="1665" spans="1:20" hidden="1" x14ac:dyDescent="0.35">
      <c r="A1665" s="432" t="s">
        <v>5140</v>
      </c>
      <c r="B1665" s="442" t="s">
        <v>1679</v>
      </c>
      <c r="C1665" s="443" t="s">
        <v>5099</v>
      </c>
      <c r="D1665" s="443" t="s">
        <v>5099</v>
      </c>
      <c r="E1665" s="443" t="s">
        <v>1596</v>
      </c>
      <c r="F1665" s="453">
        <v>2024300125</v>
      </c>
      <c r="G1665" s="453" t="s">
        <v>1486</v>
      </c>
      <c r="H1665" s="362" t="s">
        <v>4757</v>
      </c>
      <c r="I1665" s="362">
        <v>13267.345372244494</v>
      </c>
      <c r="J1665" s="362">
        <v>834.77120000000002</v>
      </c>
      <c r="K1665" s="362">
        <v>834.77120000000002</v>
      </c>
      <c r="L1665" s="362">
        <f t="shared" si="117"/>
        <v>166.95424000000003</v>
      </c>
      <c r="M1665" s="362" t="s">
        <v>6171</v>
      </c>
      <c r="N1665" s="432" t="s">
        <v>3785</v>
      </c>
      <c r="O1665" s="433" t="s">
        <v>4120</v>
      </c>
      <c r="P1665" s="430" t="s">
        <v>3659</v>
      </c>
      <c r="Q1665" s="431">
        <v>0.2</v>
      </c>
      <c r="R1665" s="433">
        <v>1900003135</v>
      </c>
      <c r="S1665" s="444" t="s">
        <v>1595</v>
      </c>
      <c r="T1665" s="2" t="s">
        <v>5915</v>
      </c>
    </row>
    <row r="1666" spans="1:20" hidden="1" x14ac:dyDescent="0.35">
      <c r="A1666" s="432" t="s">
        <v>5141</v>
      </c>
      <c r="B1666" s="442" t="s">
        <v>1679</v>
      </c>
      <c r="C1666" s="443" t="s">
        <v>5099</v>
      </c>
      <c r="D1666" s="443" t="s">
        <v>5099</v>
      </c>
      <c r="E1666" s="443" t="s">
        <v>1619</v>
      </c>
      <c r="F1666" s="453">
        <v>2024300125</v>
      </c>
      <c r="G1666" s="453" t="s">
        <v>1486</v>
      </c>
      <c r="H1666" s="362" t="s">
        <v>4757</v>
      </c>
      <c r="I1666" s="362">
        <v>13267.345372244494</v>
      </c>
      <c r="J1666" s="362">
        <v>834.77120000000002</v>
      </c>
      <c r="K1666" s="362">
        <v>834.77120000000002</v>
      </c>
      <c r="L1666" s="362">
        <f t="shared" si="117"/>
        <v>166.95424000000003</v>
      </c>
      <c r="M1666" s="362" t="s">
        <v>6171</v>
      </c>
      <c r="N1666" s="432" t="s">
        <v>3785</v>
      </c>
      <c r="O1666" s="433" t="s">
        <v>4120</v>
      </c>
      <c r="P1666" s="430" t="s">
        <v>3659</v>
      </c>
      <c r="Q1666" s="431">
        <v>0.2</v>
      </c>
      <c r="R1666" s="433">
        <v>1900003135</v>
      </c>
      <c r="S1666" s="444" t="s">
        <v>1620</v>
      </c>
      <c r="T1666" s="2" t="s">
        <v>5915</v>
      </c>
    </row>
    <row r="1667" spans="1:20" hidden="1" x14ac:dyDescent="0.35">
      <c r="A1667" s="432" t="s">
        <v>5142</v>
      </c>
      <c r="B1667" s="442" t="s">
        <v>1679</v>
      </c>
      <c r="C1667" s="443" t="s">
        <v>5099</v>
      </c>
      <c r="D1667" s="443" t="s">
        <v>5099</v>
      </c>
      <c r="E1667" s="443" t="s">
        <v>1621</v>
      </c>
      <c r="F1667" s="453">
        <v>2024300125</v>
      </c>
      <c r="G1667" s="453" t="s">
        <v>1486</v>
      </c>
      <c r="H1667" s="362" t="s">
        <v>4757</v>
      </c>
      <c r="I1667" s="362">
        <v>13267.345372244494</v>
      </c>
      <c r="J1667" s="362">
        <v>834.77120000000002</v>
      </c>
      <c r="K1667" s="362">
        <v>834.77120000000002</v>
      </c>
      <c r="L1667" s="362">
        <f t="shared" si="117"/>
        <v>166.95424000000003</v>
      </c>
      <c r="M1667" s="362" t="s">
        <v>6171</v>
      </c>
      <c r="N1667" s="444" t="s">
        <v>2675</v>
      </c>
      <c r="O1667" s="433" t="s">
        <v>4120</v>
      </c>
      <c r="P1667" s="430" t="s">
        <v>3659</v>
      </c>
      <c r="Q1667" s="431">
        <v>0.2</v>
      </c>
      <c r="R1667" s="433">
        <v>1900003135</v>
      </c>
      <c r="S1667" s="444" t="s">
        <v>2675</v>
      </c>
      <c r="T1667" s="2" t="s">
        <v>5915</v>
      </c>
    </row>
    <row r="1668" spans="1:20" hidden="1" x14ac:dyDescent="0.35">
      <c r="A1668" s="432" t="s">
        <v>5143</v>
      </c>
      <c r="B1668" s="442" t="s">
        <v>1679</v>
      </c>
      <c r="C1668" s="443" t="s">
        <v>5099</v>
      </c>
      <c r="D1668" s="443" t="s">
        <v>5099</v>
      </c>
      <c r="E1668" s="443" t="s">
        <v>1622</v>
      </c>
      <c r="F1668" s="453">
        <v>2024300125</v>
      </c>
      <c r="G1668" s="453" t="s">
        <v>1486</v>
      </c>
      <c r="H1668" s="362" t="s">
        <v>4757</v>
      </c>
      <c r="I1668" s="362">
        <v>13267.345372244494</v>
      </c>
      <c r="J1668" s="362">
        <v>834.77120000000002</v>
      </c>
      <c r="K1668" s="362">
        <v>834.77120000000002</v>
      </c>
      <c r="L1668" s="362">
        <f t="shared" si="117"/>
        <v>166.95424000000003</v>
      </c>
      <c r="M1668" s="362" t="s">
        <v>6171</v>
      </c>
      <c r="N1668" s="432" t="s">
        <v>3785</v>
      </c>
      <c r="O1668" s="433" t="s">
        <v>4120</v>
      </c>
      <c r="P1668" s="430" t="s">
        <v>3659</v>
      </c>
      <c r="Q1668" s="431">
        <v>0.2</v>
      </c>
      <c r="R1668" s="433">
        <v>1900003135</v>
      </c>
      <c r="S1668" s="444" t="s">
        <v>1620</v>
      </c>
      <c r="T1668" s="2" t="s">
        <v>5915</v>
      </c>
    </row>
    <row r="1669" spans="1:20" hidden="1" x14ac:dyDescent="0.35">
      <c r="A1669" s="432" t="s">
        <v>5144</v>
      </c>
      <c r="B1669" s="442" t="s">
        <v>1679</v>
      </c>
      <c r="C1669" s="443" t="s">
        <v>5099</v>
      </c>
      <c r="D1669" s="443" t="s">
        <v>5099</v>
      </c>
      <c r="E1669" s="443" t="s">
        <v>1624</v>
      </c>
      <c r="F1669" s="453">
        <v>2024300125</v>
      </c>
      <c r="G1669" s="453" t="s">
        <v>1486</v>
      </c>
      <c r="H1669" s="362" t="s">
        <v>4757</v>
      </c>
      <c r="I1669" s="362">
        <v>13267.345372244494</v>
      </c>
      <c r="J1669" s="362">
        <v>834.77120000000002</v>
      </c>
      <c r="K1669" s="362">
        <v>834.77120000000002</v>
      </c>
      <c r="L1669" s="362">
        <f t="shared" si="117"/>
        <v>166.95424000000003</v>
      </c>
      <c r="M1669" s="362" t="s">
        <v>6171</v>
      </c>
      <c r="N1669" s="444" t="s">
        <v>2675</v>
      </c>
      <c r="O1669" s="433" t="s">
        <v>4120</v>
      </c>
      <c r="P1669" s="430" t="s">
        <v>3659</v>
      </c>
      <c r="Q1669" s="431">
        <v>0.2</v>
      </c>
      <c r="R1669" s="433">
        <v>1900003135</v>
      </c>
      <c r="S1669" s="444" t="s">
        <v>2675</v>
      </c>
      <c r="T1669" s="2" t="s">
        <v>5915</v>
      </c>
    </row>
    <row r="1670" spans="1:20" hidden="1" x14ac:dyDescent="0.35">
      <c r="A1670" s="432" t="s">
        <v>5145</v>
      </c>
      <c r="B1670" s="442" t="s">
        <v>1679</v>
      </c>
      <c r="C1670" s="443" t="s">
        <v>5099</v>
      </c>
      <c r="D1670" s="443" t="s">
        <v>5099</v>
      </c>
      <c r="E1670" s="443" t="s">
        <v>1625</v>
      </c>
      <c r="F1670" s="453">
        <v>2024300125</v>
      </c>
      <c r="G1670" s="453" t="s">
        <v>1486</v>
      </c>
      <c r="H1670" s="362" t="s">
        <v>4757</v>
      </c>
      <c r="I1670" s="362">
        <v>13267.345372244494</v>
      </c>
      <c r="J1670" s="362">
        <v>834.77120000000002</v>
      </c>
      <c r="K1670" s="362">
        <v>834.77120000000002</v>
      </c>
      <c r="L1670" s="362">
        <f t="shared" si="117"/>
        <v>166.95424000000003</v>
      </c>
      <c r="M1670" s="362" t="s">
        <v>6171</v>
      </c>
      <c r="N1670" s="432" t="s">
        <v>3785</v>
      </c>
      <c r="O1670" s="433" t="s">
        <v>4120</v>
      </c>
      <c r="P1670" s="430" t="s">
        <v>3659</v>
      </c>
      <c r="Q1670" s="431">
        <v>0.2</v>
      </c>
      <c r="R1670" s="433">
        <v>1900003135</v>
      </c>
      <c r="S1670" s="444" t="s">
        <v>1623</v>
      </c>
      <c r="T1670" s="2" t="s">
        <v>5915</v>
      </c>
    </row>
    <row r="1671" spans="1:20" hidden="1" x14ac:dyDescent="0.35">
      <c r="A1671" s="432" t="s">
        <v>5146</v>
      </c>
      <c r="B1671" s="442" t="s">
        <v>1679</v>
      </c>
      <c r="C1671" s="443" t="s">
        <v>5099</v>
      </c>
      <c r="D1671" s="443" t="s">
        <v>5099</v>
      </c>
      <c r="E1671" s="443" t="s">
        <v>1629</v>
      </c>
      <c r="F1671" s="453">
        <v>2024300125</v>
      </c>
      <c r="G1671" s="453" t="s">
        <v>1486</v>
      </c>
      <c r="H1671" s="362" t="s">
        <v>4757</v>
      </c>
      <c r="I1671" s="362">
        <v>13267.345372244494</v>
      </c>
      <c r="J1671" s="362">
        <v>834.77120000000002</v>
      </c>
      <c r="K1671" s="362">
        <v>834.77120000000002</v>
      </c>
      <c r="L1671" s="362">
        <f t="shared" si="117"/>
        <v>166.95424000000003</v>
      </c>
      <c r="M1671" s="362" t="s">
        <v>6171</v>
      </c>
      <c r="N1671" s="432" t="s">
        <v>3785</v>
      </c>
      <c r="O1671" s="433" t="s">
        <v>4120</v>
      </c>
      <c r="P1671" s="430" t="s">
        <v>3659</v>
      </c>
      <c r="Q1671" s="431">
        <v>0.2</v>
      </c>
      <c r="R1671" s="433">
        <v>1900003135</v>
      </c>
      <c r="S1671" s="444" t="s">
        <v>6255</v>
      </c>
      <c r="T1671" s="2" t="s">
        <v>5915</v>
      </c>
    </row>
    <row r="1672" spans="1:20" hidden="1" x14ac:dyDescent="0.35">
      <c r="A1672" s="432" t="s">
        <v>5147</v>
      </c>
      <c r="B1672" s="442" t="s">
        <v>1679</v>
      </c>
      <c r="C1672" s="443" t="s">
        <v>5099</v>
      </c>
      <c r="D1672" s="443" t="s">
        <v>5099</v>
      </c>
      <c r="E1672" s="443" t="s">
        <v>5148</v>
      </c>
      <c r="F1672" s="453">
        <v>2024300125</v>
      </c>
      <c r="G1672" s="453" t="s">
        <v>1486</v>
      </c>
      <c r="H1672" s="362" t="s">
        <v>4757</v>
      </c>
      <c r="I1672" s="362">
        <v>13267.345372244494</v>
      </c>
      <c r="J1672" s="362">
        <v>834.77120000000002</v>
      </c>
      <c r="K1672" s="362">
        <v>834.77120000000002</v>
      </c>
      <c r="L1672" s="362">
        <f t="shared" si="117"/>
        <v>166.95424000000003</v>
      </c>
      <c r="M1672" s="362" t="s">
        <v>6171</v>
      </c>
      <c r="N1672" s="432" t="s">
        <v>3785</v>
      </c>
      <c r="O1672" s="433" t="s">
        <v>4120</v>
      </c>
      <c r="P1672" s="430" t="s">
        <v>3659</v>
      </c>
      <c r="Q1672" s="431">
        <v>0.2</v>
      </c>
      <c r="R1672" s="433">
        <v>1900003135</v>
      </c>
      <c r="S1672" s="444" t="s">
        <v>1620</v>
      </c>
      <c r="T1672" s="2" t="s">
        <v>5915</v>
      </c>
    </row>
    <row r="1673" spans="1:20" hidden="1" x14ac:dyDescent="0.35">
      <c r="A1673" s="432" t="s">
        <v>5149</v>
      </c>
      <c r="B1673" s="442" t="s">
        <v>1679</v>
      </c>
      <c r="C1673" s="443" t="s">
        <v>5099</v>
      </c>
      <c r="D1673" s="443" t="s">
        <v>5099</v>
      </c>
      <c r="E1673" s="443" t="s">
        <v>1536</v>
      </c>
      <c r="F1673" s="453">
        <v>2024300125</v>
      </c>
      <c r="G1673" s="453" t="s">
        <v>1486</v>
      </c>
      <c r="H1673" s="362" t="s">
        <v>4757</v>
      </c>
      <c r="I1673" s="362">
        <v>13267.345372244494</v>
      </c>
      <c r="J1673" s="362">
        <v>834.77120000000002</v>
      </c>
      <c r="K1673" s="362">
        <v>834.77120000000002</v>
      </c>
      <c r="L1673" s="362">
        <f t="shared" si="117"/>
        <v>166.95424000000003</v>
      </c>
      <c r="M1673" s="362" t="s">
        <v>6171</v>
      </c>
      <c r="N1673" s="432" t="s">
        <v>3785</v>
      </c>
      <c r="O1673" s="433" t="s">
        <v>4120</v>
      </c>
      <c r="P1673" s="430" t="s">
        <v>3659</v>
      </c>
      <c r="Q1673" s="431">
        <v>0.2</v>
      </c>
      <c r="R1673" s="433">
        <v>1900003135</v>
      </c>
      <c r="S1673" s="444" t="s">
        <v>1620</v>
      </c>
      <c r="T1673" s="2" t="s">
        <v>5915</v>
      </c>
    </row>
    <row r="1674" spans="1:20" hidden="1" x14ac:dyDescent="0.35">
      <c r="A1674" s="432" t="s">
        <v>5150</v>
      </c>
      <c r="B1674" s="442" t="s">
        <v>1679</v>
      </c>
      <c r="C1674" s="443" t="s">
        <v>5099</v>
      </c>
      <c r="D1674" s="443" t="s">
        <v>5099</v>
      </c>
      <c r="E1674" s="443" t="s">
        <v>1558</v>
      </c>
      <c r="F1674" s="453">
        <v>2024300125</v>
      </c>
      <c r="G1674" s="453" t="s">
        <v>1486</v>
      </c>
      <c r="H1674" s="362" t="s">
        <v>4757</v>
      </c>
      <c r="I1674" s="362">
        <v>13267.345372244494</v>
      </c>
      <c r="J1674" s="362">
        <v>834.77120000000002</v>
      </c>
      <c r="K1674" s="362">
        <v>834.77120000000002</v>
      </c>
      <c r="L1674" s="362">
        <f t="shared" si="117"/>
        <v>166.95424000000003</v>
      </c>
      <c r="M1674" s="362" t="s">
        <v>6171</v>
      </c>
      <c r="N1674" s="432" t="s">
        <v>3785</v>
      </c>
      <c r="O1674" s="433" t="s">
        <v>4120</v>
      </c>
      <c r="P1674" s="430" t="s">
        <v>3659</v>
      </c>
      <c r="Q1674" s="431">
        <v>0.2</v>
      </c>
      <c r="R1674" s="433">
        <v>1900003135</v>
      </c>
      <c r="S1674" s="444" t="s">
        <v>1557</v>
      </c>
      <c r="T1674" s="2" t="s">
        <v>5915</v>
      </c>
    </row>
    <row r="1675" spans="1:20" hidden="1" x14ac:dyDescent="0.35">
      <c r="A1675" s="432" t="s">
        <v>5151</v>
      </c>
      <c r="B1675" s="442" t="s">
        <v>1679</v>
      </c>
      <c r="C1675" s="443" t="s">
        <v>5099</v>
      </c>
      <c r="D1675" s="443" t="s">
        <v>5099</v>
      </c>
      <c r="E1675" s="443" t="s">
        <v>1599</v>
      </c>
      <c r="F1675" s="453">
        <v>2024300125</v>
      </c>
      <c r="G1675" s="453" t="s">
        <v>1486</v>
      </c>
      <c r="H1675" s="362" t="s">
        <v>4757</v>
      </c>
      <c r="I1675" s="362">
        <v>13267.345372244494</v>
      </c>
      <c r="J1675" s="362">
        <v>834.77120000000002</v>
      </c>
      <c r="K1675" s="362">
        <v>834.77120000000002</v>
      </c>
      <c r="L1675" s="362">
        <f t="shared" si="117"/>
        <v>166.95424000000003</v>
      </c>
      <c r="M1675" s="362" t="s">
        <v>6171</v>
      </c>
      <c r="N1675" s="432" t="s">
        <v>3785</v>
      </c>
      <c r="O1675" s="433" t="s">
        <v>4120</v>
      </c>
      <c r="P1675" s="430" t="s">
        <v>3659</v>
      </c>
      <c r="Q1675" s="431">
        <v>0.2</v>
      </c>
      <c r="R1675" s="433">
        <v>1900003135</v>
      </c>
      <c r="S1675" s="444" t="s">
        <v>1287</v>
      </c>
      <c r="T1675" s="2" t="s">
        <v>5915</v>
      </c>
    </row>
    <row r="1676" spans="1:20" hidden="1" x14ac:dyDescent="0.35">
      <c r="A1676" s="432" t="s">
        <v>5152</v>
      </c>
      <c r="B1676" s="442" t="s">
        <v>1679</v>
      </c>
      <c r="C1676" s="443" t="s">
        <v>5099</v>
      </c>
      <c r="D1676" s="443" t="s">
        <v>5099</v>
      </c>
      <c r="E1676" s="443" t="s">
        <v>1630</v>
      </c>
      <c r="F1676" s="453">
        <v>2024300125</v>
      </c>
      <c r="G1676" s="453" t="s">
        <v>1486</v>
      </c>
      <c r="H1676" s="362" t="s">
        <v>4757</v>
      </c>
      <c r="I1676" s="362">
        <v>13267.345372244494</v>
      </c>
      <c r="J1676" s="362">
        <v>834.77120000000002</v>
      </c>
      <c r="K1676" s="362">
        <v>834.77120000000002</v>
      </c>
      <c r="L1676" s="362">
        <f t="shared" si="117"/>
        <v>166.95424000000003</v>
      </c>
      <c r="M1676" s="362" t="s">
        <v>6171</v>
      </c>
      <c r="N1676" s="444" t="s">
        <v>2675</v>
      </c>
      <c r="O1676" s="433" t="s">
        <v>4120</v>
      </c>
      <c r="P1676" s="430" t="s">
        <v>3659</v>
      </c>
      <c r="Q1676" s="431">
        <v>0.2</v>
      </c>
      <c r="R1676" s="433">
        <v>1900003135</v>
      </c>
      <c r="S1676" s="444" t="s">
        <v>2675</v>
      </c>
      <c r="T1676" s="2" t="s">
        <v>5915</v>
      </c>
    </row>
    <row r="1677" spans="1:20" hidden="1" x14ac:dyDescent="0.35">
      <c r="A1677" s="432" t="s">
        <v>5153</v>
      </c>
      <c r="B1677" s="442" t="s">
        <v>1679</v>
      </c>
      <c r="C1677" s="443" t="s">
        <v>5099</v>
      </c>
      <c r="D1677" s="443" t="s">
        <v>5099</v>
      </c>
      <c r="E1677" s="443" t="s">
        <v>1598</v>
      </c>
      <c r="F1677" s="453">
        <v>2024300125</v>
      </c>
      <c r="G1677" s="453" t="s">
        <v>1486</v>
      </c>
      <c r="H1677" s="362" t="s">
        <v>4757</v>
      </c>
      <c r="I1677" s="362">
        <v>13267.345372244494</v>
      </c>
      <c r="J1677" s="362">
        <v>834.77120000000002</v>
      </c>
      <c r="K1677" s="362">
        <v>834.77120000000002</v>
      </c>
      <c r="L1677" s="362">
        <f t="shared" si="117"/>
        <v>166.95424000000003</v>
      </c>
      <c r="M1677" s="362" t="s">
        <v>6171</v>
      </c>
      <c r="N1677" s="432" t="s">
        <v>3785</v>
      </c>
      <c r="O1677" s="433" t="s">
        <v>4120</v>
      </c>
      <c r="P1677" s="430" t="s">
        <v>3659</v>
      </c>
      <c r="Q1677" s="431">
        <v>0.2</v>
      </c>
      <c r="R1677" s="433">
        <v>1900003135</v>
      </c>
      <c r="S1677" s="444" t="s">
        <v>1597</v>
      </c>
      <c r="T1677" s="2" t="s">
        <v>5915</v>
      </c>
    </row>
    <row r="1678" spans="1:20" hidden="1" x14ac:dyDescent="0.35">
      <c r="A1678" s="432" t="s">
        <v>5154</v>
      </c>
      <c r="B1678" s="442" t="s">
        <v>1679</v>
      </c>
      <c r="C1678" s="443" t="s">
        <v>5099</v>
      </c>
      <c r="D1678" s="443" t="s">
        <v>5099</v>
      </c>
      <c r="E1678" s="443" t="s">
        <v>1676</v>
      </c>
      <c r="F1678" s="453">
        <v>2024300125</v>
      </c>
      <c r="G1678" s="453" t="s">
        <v>1486</v>
      </c>
      <c r="H1678" s="362" t="s">
        <v>4757</v>
      </c>
      <c r="I1678" s="362">
        <v>13267.345372244494</v>
      </c>
      <c r="J1678" s="362">
        <v>834.77120000000002</v>
      </c>
      <c r="K1678" s="362">
        <v>834.77120000000002</v>
      </c>
      <c r="L1678" s="362">
        <f t="shared" si="117"/>
        <v>166.95424000000003</v>
      </c>
      <c r="M1678" s="362" t="s">
        <v>6171</v>
      </c>
      <c r="N1678" s="432" t="s">
        <v>3785</v>
      </c>
      <c r="O1678" s="433" t="s">
        <v>4120</v>
      </c>
      <c r="P1678" s="430" t="s">
        <v>3659</v>
      </c>
      <c r="Q1678" s="431">
        <v>0.2</v>
      </c>
      <c r="R1678" s="433">
        <v>1900003135</v>
      </c>
      <c r="S1678" s="444" t="s">
        <v>6241</v>
      </c>
      <c r="T1678" s="2" t="s">
        <v>5915</v>
      </c>
    </row>
    <row r="1679" spans="1:20" hidden="1" x14ac:dyDescent="0.35">
      <c r="A1679" s="432" t="s">
        <v>5155</v>
      </c>
      <c r="B1679" s="442" t="s">
        <v>1679</v>
      </c>
      <c r="C1679" s="443" t="s">
        <v>5099</v>
      </c>
      <c r="D1679" s="443" t="s">
        <v>5099</v>
      </c>
      <c r="E1679" s="443" t="s">
        <v>1635</v>
      </c>
      <c r="F1679" s="453">
        <v>2024300125</v>
      </c>
      <c r="G1679" s="453" t="s">
        <v>1486</v>
      </c>
      <c r="H1679" s="362" t="s">
        <v>4757</v>
      </c>
      <c r="I1679" s="362">
        <v>13267.345372244494</v>
      </c>
      <c r="J1679" s="362">
        <v>834.77120000000002</v>
      </c>
      <c r="K1679" s="362">
        <v>834.77120000000002</v>
      </c>
      <c r="L1679" s="362">
        <f t="shared" si="117"/>
        <v>166.95424000000003</v>
      </c>
      <c r="M1679" s="362" t="s">
        <v>6171</v>
      </c>
      <c r="N1679" s="432" t="s">
        <v>1377</v>
      </c>
      <c r="O1679" s="433" t="s">
        <v>4120</v>
      </c>
      <c r="P1679" s="430" t="s">
        <v>3659</v>
      </c>
      <c r="Q1679" s="431">
        <v>0.2</v>
      </c>
      <c r="R1679" s="433">
        <v>1900003135</v>
      </c>
      <c r="S1679" s="22" t="s">
        <v>1634</v>
      </c>
      <c r="T1679" s="2" t="s">
        <v>5915</v>
      </c>
    </row>
    <row r="1680" spans="1:20" hidden="1" x14ac:dyDescent="0.35">
      <c r="A1680" s="432" t="s">
        <v>5156</v>
      </c>
      <c r="B1680" s="442" t="s">
        <v>1679</v>
      </c>
      <c r="C1680" s="443" t="s">
        <v>5099</v>
      </c>
      <c r="D1680" s="443" t="s">
        <v>5099</v>
      </c>
      <c r="E1680" s="443" t="s">
        <v>6253</v>
      </c>
      <c r="F1680" s="453">
        <v>2024300125</v>
      </c>
      <c r="G1680" s="453" t="s">
        <v>1486</v>
      </c>
      <c r="H1680" s="362" t="s">
        <v>4757</v>
      </c>
      <c r="I1680" s="362">
        <v>13267.345372244494</v>
      </c>
      <c r="J1680" s="362">
        <v>834.77120000000002</v>
      </c>
      <c r="K1680" s="362">
        <v>834.77120000000002</v>
      </c>
      <c r="L1680" s="362">
        <f t="shared" si="117"/>
        <v>166.95424000000003</v>
      </c>
      <c r="M1680" s="362" t="s">
        <v>6171</v>
      </c>
      <c r="N1680" s="432" t="s">
        <v>3785</v>
      </c>
      <c r="O1680" s="433" t="s">
        <v>4120</v>
      </c>
      <c r="P1680" s="430" t="s">
        <v>3659</v>
      </c>
      <c r="Q1680" s="431">
        <v>0.2</v>
      </c>
      <c r="R1680" s="433">
        <v>1900003135</v>
      </c>
      <c r="S1680" s="444" t="s">
        <v>509</v>
      </c>
      <c r="T1680" s="2" t="s">
        <v>5915</v>
      </c>
    </row>
    <row r="1681" spans="1:21" hidden="1" x14ac:dyDescent="0.35">
      <c r="A1681" s="432" t="s">
        <v>5157</v>
      </c>
      <c r="B1681" s="442" t="s">
        <v>1679</v>
      </c>
      <c r="C1681" s="443" t="s">
        <v>5099</v>
      </c>
      <c r="D1681" s="443" t="s">
        <v>5099</v>
      </c>
      <c r="E1681" s="443" t="s">
        <v>1631</v>
      </c>
      <c r="F1681" s="453">
        <v>2024300125</v>
      </c>
      <c r="G1681" s="453" t="s">
        <v>1486</v>
      </c>
      <c r="H1681" s="362" t="s">
        <v>4757</v>
      </c>
      <c r="I1681" s="362">
        <v>13267.345372244494</v>
      </c>
      <c r="J1681" s="362">
        <v>834.77120000000002</v>
      </c>
      <c r="K1681" s="362">
        <v>834.77120000000002</v>
      </c>
      <c r="L1681" s="362">
        <f t="shared" si="117"/>
        <v>166.95424000000003</v>
      </c>
      <c r="M1681" s="362" t="s">
        <v>6171</v>
      </c>
      <c r="N1681" s="432" t="s">
        <v>1377</v>
      </c>
      <c r="O1681" s="433" t="s">
        <v>4120</v>
      </c>
      <c r="P1681" s="430" t="s">
        <v>3659</v>
      </c>
      <c r="Q1681" s="431">
        <v>0.2</v>
      </c>
      <c r="R1681" s="433">
        <v>1900003135</v>
      </c>
      <c r="S1681" s="23" t="s">
        <v>6256</v>
      </c>
      <c r="T1681" s="2" t="s">
        <v>5915</v>
      </c>
    </row>
    <row r="1682" spans="1:21" hidden="1" x14ac:dyDescent="0.35">
      <c r="A1682" s="432" t="s">
        <v>5158</v>
      </c>
      <c r="B1682" s="442" t="s">
        <v>1679</v>
      </c>
      <c r="C1682" s="443" t="s">
        <v>5099</v>
      </c>
      <c r="D1682" s="443" t="s">
        <v>5099</v>
      </c>
      <c r="E1682" s="443" t="s">
        <v>1626</v>
      </c>
      <c r="F1682" s="453">
        <v>2024300125</v>
      </c>
      <c r="G1682" s="453" t="s">
        <v>1486</v>
      </c>
      <c r="H1682" s="362" t="s">
        <v>4757</v>
      </c>
      <c r="I1682" s="362">
        <v>13267.345372244494</v>
      </c>
      <c r="J1682" s="362">
        <v>834.77120000000002</v>
      </c>
      <c r="K1682" s="362">
        <v>834.77120000000002</v>
      </c>
      <c r="L1682" s="362">
        <f t="shared" si="117"/>
        <v>166.95424000000003</v>
      </c>
      <c r="M1682" s="362" t="s">
        <v>6171</v>
      </c>
      <c r="N1682" s="432" t="s">
        <v>3785</v>
      </c>
      <c r="O1682" s="433" t="s">
        <v>4120</v>
      </c>
      <c r="P1682" s="430" t="s">
        <v>3659</v>
      </c>
      <c r="Q1682" s="431">
        <v>0.2</v>
      </c>
      <c r="R1682" s="433">
        <v>1900003135</v>
      </c>
      <c r="S1682" s="444" t="s">
        <v>2675</v>
      </c>
      <c r="T1682" s="2" t="s">
        <v>5915</v>
      </c>
    </row>
    <row r="1683" spans="1:21" ht="15.75" hidden="1" customHeight="1" x14ac:dyDescent="0.35">
      <c r="A1683" s="432" t="s">
        <v>5159</v>
      </c>
      <c r="B1683" s="442" t="s">
        <v>1679</v>
      </c>
      <c r="C1683" s="443" t="s">
        <v>5099</v>
      </c>
      <c r="D1683" s="443" t="s">
        <v>5099</v>
      </c>
      <c r="E1683" s="443" t="s">
        <v>1627</v>
      </c>
      <c r="F1683" s="453">
        <v>2024300125</v>
      </c>
      <c r="G1683" s="453" t="s">
        <v>1486</v>
      </c>
      <c r="H1683" s="362" t="s">
        <v>4757</v>
      </c>
      <c r="I1683" s="362">
        <v>13267.345372244494</v>
      </c>
      <c r="J1683" s="362">
        <v>834.77120000000002</v>
      </c>
      <c r="K1683" s="362">
        <v>834.77120000000002</v>
      </c>
      <c r="L1683" s="362">
        <f t="shared" si="117"/>
        <v>166.95424000000003</v>
      </c>
      <c r="M1683" s="362" t="s">
        <v>6171</v>
      </c>
      <c r="N1683" s="432" t="s">
        <v>3785</v>
      </c>
      <c r="O1683" s="433" t="s">
        <v>4120</v>
      </c>
      <c r="P1683" s="430" t="s">
        <v>3659</v>
      </c>
      <c r="Q1683" s="431">
        <v>0.2</v>
      </c>
      <c r="R1683" s="433">
        <v>1900003135</v>
      </c>
      <c r="S1683" s="444" t="s">
        <v>1620</v>
      </c>
      <c r="T1683" s="2" t="s">
        <v>5915</v>
      </c>
    </row>
    <row r="1684" spans="1:21" hidden="1" x14ac:dyDescent="0.35">
      <c r="A1684" s="463" t="s">
        <v>5160</v>
      </c>
      <c r="B1684" s="433" t="s">
        <v>5161</v>
      </c>
      <c r="C1684" s="443">
        <v>40065</v>
      </c>
      <c r="D1684" s="443">
        <v>40065</v>
      </c>
      <c r="E1684" s="443"/>
      <c r="F1684" s="433" t="s">
        <v>5162</v>
      </c>
      <c r="G1684" s="433"/>
      <c r="H1684" s="433" t="s">
        <v>5163</v>
      </c>
      <c r="I1684" s="365">
        <v>1499.57</v>
      </c>
      <c r="J1684" s="366">
        <v>1030.46</v>
      </c>
      <c r="K1684" s="366">
        <f>+J1684*0.555555555555556</f>
        <v>572.47777777777833</v>
      </c>
      <c r="L1684" s="367">
        <f>+K1684*Q1684</f>
        <v>114.49555555555567</v>
      </c>
      <c r="M1684" s="367" t="s">
        <v>6169</v>
      </c>
      <c r="N1684" s="433" t="s">
        <v>3684</v>
      </c>
      <c r="O1684" s="433" t="s">
        <v>5164</v>
      </c>
      <c r="P1684" s="464" t="s">
        <v>3659</v>
      </c>
      <c r="Q1684" s="431">
        <v>0.2</v>
      </c>
      <c r="R1684" s="430"/>
      <c r="S1684" s="465"/>
      <c r="T1684" s="2" t="s">
        <v>5915</v>
      </c>
    </row>
    <row r="1685" spans="1:21" hidden="1" x14ac:dyDescent="0.35">
      <c r="A1685" s="463" t="s">
        <v>5165</v>
      </c>
      <c r="B1685" s="433" t="s">
        <v>5166</v>
      </c>
      <c r="C1685" s="443">
        <v>40126</v>
      </c>
      <c r="D1685" s="443">
        <v>40126</v>
      </c>
      <c r="E1685" s="443" t="s">
        <v>2635</v>
      </c>
      <c r="F1685" s="433" t="s">
        <v>5167</v>
      </c>
      <c r="G1685" s="433" t="s">
        <v>5168</v>
      </c>
      <c r="H1685" s="433" t="s">
        <v>5163</v>
      </c>
      <c r="I1685" s="365">
        <v>2000</v>
      </c>
      <c r="J1685" s="366">
        <f>2000/2725.01*1872.54</f>
        <v>1374.336240967923</v>
      </c>
      <c r="K1685" s="366">
        <f>+J1685*0.555555555555556</f>
        <v>763.52013387106899</v>
      </c>
      <c r="L1685" s="367">
        <f>+K1685*Q1685</f>
        <v>152.70402677421382</v>
      </c>
      <c r="M1685" s="367" t="s">
        <v>6169</v>
      </c>
      <c r="N1685" s="433" t="s">
        <v>5169</v>
      </c>
      <c r="O1685" s="433" t="s">
        <v>5170</v>
      </c>
      <c r="P1685" s="464" t="s">
        <v>3659</v>
      </c>
      <c r="Q1685" s="431">
        <v>0.2</v>
      </c>
      <c r="R1685" s="430"/>
      <c r="S1685" s="465" t="s">
        <v>6449</v>
      </c>
      <c r="T1685" s="2" t="s">
        <v>5915</v>
      </c>
    </row>
    <row r="1686" spans="1:21" hidden="1" x14ac:dyDescent="0.35">
      <c r="A1686" s="463" t="s">
        <v>5171</v>
      </c>
      <c r="B1686" s="535" t="s">
        <v>5172</v>
      </c>
      <c r="C1686" s="430" t="s">
        <v>3652</v>
      </c>
      <c r="D1686" s="430" t="s">
        <v>5173</v>
      </c>
      <c r="E1686" s="430"/>
      <c r="F1686" s="433" t="s">
        <v>5174</v>
      </c>
      <c r="G1686" s="433"/>
      <c r="H1686" s="433" t="s">
        <v>5163</v>
      </c>
      <c r="I1686" s="365">
        <v>2450</v>
      </c>
      <c r="J1686" s="366">
        <v>1677.54</v>
      </c>
      <c r="K1686" s="366">
        <f>+J1686*0.555555555555556</f>
        <v>931.96666666666738</v>
      </c>
      <c r="L1686" s="367">
        <f>+K1686*Q1686</f>
        <v>186.39333333333349</v>
      </c>
      <c r="M1686" s="367" t="s">
        <v>6169</v>
      </c>
      <c r="N1686" s="433" t="s">
        <v>5175</v>
      </c>
      <c r="O1686" s="433" t="s">
        <v>5176</v>
      </c>
      <c r="P1686" s="464" t="s">
        <v>3659</v>
      </c>
      <c r="Q1686" s="431">
        <v>0.2</v>
      </c>
      <c r="R1686" s="430"/>
      <c r="S1686" s="465" t="s">
        <v>3475</v>
      </c>
      <c r="T1686" s="2" t="s">
        <v>5914</v>
      </c>
      <c r="U1686" s="9" t="s">
        <v>3475</v>
      </c>
    </row>
    <row r="1687" spans="1:21" hidden="1" x14ac:dyDescent="0.35">
      <c r="A1687" s="463" t="s">
        <v>5177</v>
      </c>
      <c r="B1687" s="433" t="s">
        <v>5178</v>
      </c>
      <c r="C1687" s="430" t="s">
        <v>5179</v>
      </c>
      <c r="D1687" s="430" t="s">
        <v>5179</v>
      </c>
      <c r="E1687" s="430"/>
      <c r="F1687" s="433" t="s">
        <v>5180</v>
      </c>
      <c r="G1687" s="433"/>
      <c r="H1687" s="433" t="s">
        <v>5163</v>
      </c>
      <c r="I1687" s="365">
        <f>3750/2</f>
        <v>1875</v>
      </c>
      <c r="J1687" s="366">
        <f>2567.66/2</f>
        <v>1283.83</v>
      </c>
      <c r="K1687" s="366">
        <f>+J1687*0.555555555555556</f>
        <v>713.23888888888951</v>
      </c>
      <c r="L1687" s="367">
        <f>+K1687*Q1687</f>
        <v>142.64777777777792</v>
      </c>
      <c r="M1687" s="367" t="s">
        <v>6169</v>
      </c>
      <c r="N1687" s="433" t="s">
        <v>5181</v>
      </c>
      <c r="O1687" s="433" t="s">
        <v>5164</v>
      </c>
      <c r="P1687" s="464" t="s">
        <v>3659</v>
      </c>
      <c r="Q1687" s="431">
        <v>0.2</v>
      </c>
      <c r="R1687" s="430"/>
      <c r="S1687" s="465"/>
      <c r="T1687" s="2" t="s">
        <v>5915</v>
      </c>
    </row>
    <row r="1688" spans="1:21" hidden="1" x14ac:dyDescent="0.35">
      <c r="A1688" s="463" t="s">
        <v>5182</v>
      </c>
      <c r="B1688" s="433" t="s">
        <v>5178</v>
      </c>
      <c r="C1688" s="430" t="s">
        <v>5179</v>
      </c>
      <c r="D1688" s="430" t="s">
        <v>5179</v>
      </c>
      <c r="E1688" s="430"/>
      <c r="F1688" s="433" t="s">
        <v>5180</v>
      </c>
      <c r="G1688" s="433"/>
      <c r="H1688" s="433" t="s">
        <v>5163</v>
      </c>
      <c r="I1688" s="365">
        <f>3750/2</f>
        <v>1875</v>
      </c>
      <c r="J1688" s="366">
        <f>2567.66/2</f>
        <v>1283.83</v>
      </c>
      <c r="K1688" s="366">
        <f>+J1688*0.555555555555556</f>
        <v>713.23888888888951</v>
      </c>
      <c r="L1688" s="367">
        <f>+K1688*Q1688</f>
        <v>142.64777777777792</v>
      </c>
      <c r="M1688" s="367" t="s">
        <v>6169</v>
      </c>
      <c r="N1688" s="433" t="s">
        <v>5183</v>
      </c>
      <c r="O1688" s="433" t="s">
        <v>5164</v>
      </c>
      <c r="P1688" s="464" t="s">
        <v>3659</v>
      </c>
      <c r="Q1688" s="431">
        <v>0.2</v>
      </c>
      <c r="R1688" s="430"/>
      <c r="S1688" s="465"/>
      <c r="T1688" s="2" t="s">
        <v>5915</v>
      </c>
    </row>
    <row r="1689" spans="1:21" hidden="1" x14ac:dyDescent="0.35">
      <c r="A1689" s="463" t="s">
        <v>5184</v>
      </c>
      <c r="B1689" s="433" t="s">
        <v>5166</v>
      </c>
      <c r="C1689" s="443">
        <v>40204</v>
      </c>
      <c r="D1689" s="443">
        <v>40204</v>
      </c>
      <c r="E1689" s="443" t="s">
        <v>2629</v>
      </c>
      <c r="F1689" s="462" t="s">
        <v>5185</v>
      </c>
      <c r="G1689" s="462" t="s">
        <v>5168</v>
      </c>
      <c r="H1689" s="433" t="s">
        <v>5163</v>
      </c>
      <c r="I1689" s="365">
        <v>2875</v>
      </c>
      <c r="J1689" s="366">
        <v>2011.25</v>
      </c>
      <c r="K1689" s="366">
        <f t="shared" ref="K1689:K1694" si="118">+J1689*0.555555555555556</f>
        <v>1117.361111111112</v>
      </c>
      <c r="L1689" s="367">
        <f t="shared" ref="L1689:L1694" si="119">+K1689*Q1689</f>
        <v>223.4722222222224</v>
      </c>
      <c r="M1689" s="367" t="s">
        <v>6169</v>
      </c>
      <c r="N1689" s="433" t="s">
        <v>3684</v>
      </c>
      <c r="O1689" s="433" t="s">
        <v>5186</v>
      </c>
      <c r="P1689" s="464" t="s">
        <v>3659</v>
      </c>
      <c r="Q1689" s="431">
        <v>0.2</v>
      </c>
      <c r="R1689" s="430" t="s">
        <v>5187</v>
      </c>
      <c r="S1689" s="525" t="s">
        <v>6449</v>
      </c>
      <c r="T1689" s="524" t="s">
        <v>5915</v>
      </c>
    </row>
    <row r="1690" spans="1:21" hidden="1" x14ac:dyDescent="0.35">
      <c r="A1690" s="463" t="s">
        <v>5188</v>
      </c>
      <c r="B1690" s="536" t="s">
        <v>5189</v>
      </c>
      <c r="C1690" s="443">
        <v>40211</v>
      </c>
      <c r="D1690" s="443">
        <v>40211</v>
      </c>
      <c r="E1690" s="443"/>
      <c r="F1690" s="462" t="s">
        <v>5190</v>
      </c>
      <c r="G1690" s="433"/>
      <c r="H1690" s="433" t="s">
        <v>5163</v>
      </c>
      <c r="I1690" s="365">
        <v>8033</v>
      </c>
      <c r="J1690" s="366">
        <v>5619.59</v>
      </c>
      <c r="K1690" s="366">
        <f t="shared" si="118"/>
        <v>3121.9944444444473</v>
      </c>
      <c r="L1690" s="367">
        <f t="shared" si="119"/>
        <v>624.39888888888947</v>
      </c>
      <c r="M1690" s="367" t="s">
        <v>6169</v>
      </c>
      <c r="N1690" s="433" t="s">
        <v>3705</v>
      </c>
      <c r="O1690" s="433" t="s">
        <v>5191</v>
      </c>
      <c r="P1690" s="464" t="s">
        <v>3659</v>
      </c>
      <c r="Q1690" s="431">
        <v>0.2</v>
      </c>
      <c r="R1690" s="430" t="s">
        <v>5192</v>
      </c>
      <c r="S1690" s="465" t="s">
        <v>3475</v>
      </c>
      <c r="T1690" s="2" t="s">
        <v>5914</v>
      </c>
      <c r="U1690" s="2" t="s">
        <v>3475</v>
      </c>
    </row>
    <row r="1691" spans="1:21" hidden="1" x14ac:dyDescent="0.35">
      <c r="A1691" s="463" t="s">
        <v>5193</v>
      </c>
      <c r="B1691" s="536" t="s">
        <v>5194</v>
      </c>
      <c r="C1691" s="443">
        <v>40346</v>
      </c>
      <c r="D1691" s="443">
        <v>40346</v>
      </c>
      <c r="E1691" s="443"/>
      <c r="F1691" s="462" t="s">
        <v>5195</v>
      </c>
      <c r="G1691" s="462"/>
      <c r="H1691" s="433" t="s">
        <v>5163</v>
      </c>
      <c r="I1691" s="365">
        <v>1660</v>
      </c>
      <c r="J1691" s="366">
        <v>1168.52</v>
      </c>
      <c r="K1691" s="366">
        <f t="shared" si="118"/>
        <v>649.17777777777826</v>
      </c>
      <c r="L1691" s="367">
        <f t="shared" si="119"/>
        <v>129.83555555555566</v>
      </c>
      <c r="M1691" s="367" t="s">
        <v>6169</v>
      </c>
      <c r="N1691" s="433" t="s">
        <v>3684</v>
      </c>
      <c r="O1691" s="433" t="s">
        <v>5196</v>
      </c>
      <c r="P1691" s="464" t="s">
        <v>3659</v>
      </c>
      <c r="Q1691" s="431">
        <v>0.2</v>
      </c>
      <c r="R1691" s="430" t="s">
        <v>5197</v>
      </c>
      <c r="S1691" s="465" t="s">
        <v>3475</v>
      </c>
      <c r="T1691" s="2" t="s">
        <v>5914</v>
      </c>
      <c r="U1691" s="2" t="s">
        <v>3475</v>
      </c>
    </row>
    <row r="1692" spans="1:21" hidden="1" x14ac:dyDescent="0.35">
      <c r="A1692" s="463" t="s">
        <v>5198</v>
      </c>
      <c r="B1692" s="536" t="s">
        <v>5199</v>
      </c>
      <c r="C1692" s="443">
        <v>40375</v>
      </c>
      <c r="D1692" s="443">
        <v>40375</v>
      </c>
      <c r="E1692" s="443"/>
      <c r="F1692" s="433" t="s">
        <v>5200</v>
      </c>
      <c r="G1692" s="433"/>
      <c r="H1692" s="433" t="s">
        <v>5163</v>
      </c>
      <c r="I1692" s="365">
        <v>8174.83</v>
      </c>
      <c r="J1692" s="366">
        <v>5750</v>
      </c>
      <c r="K1692" s="366">
        <f t="shared" si="118"/>
        <v>3194.4444444444471</v>
      </c>
      <c r="L1692" s="367">
        <f t="shared" si="119"/>
        <v>638.88888888888948</v>
      </c>
      <c r="M1692" s="367" t="s">
        <v>6169</v>
      </c>
      <c r="N1692" s="433" t="s">
        <v>3705</v>
      </c>
      <c r="O1692" s="433" t="s">
        <v>5201</v>
      </c>
      <c r="P1692" s="464" t="s">
        <v>3659</v>
      </c>
      <c r="Q1692" s="431">
        <v>0.2</v>
      </c>
      <c r="R1692" s="430" t="s">
        <v>5202</v>
      </c>
      <c r="S1692" s="465" t="s">
        <v>3475</v>
      </c>
      <c r="T1692" s="2" t="s">
        <v>5914</v>
      </c>
      <c r="U1692" s="2" t="s">
        <v>3475</v>
      </c>
    </row>
    <row r="1693" spans="1:21" hidden="1" x14ac:dyDescent="0.35">
      <c r="A1693" s="463" t="s">
        <v>5203</v>
      </c>
      <c r="B1693" s="536" t="s">
        <v>5204</v>
      </c>
      <c r="C1693" s="443">
        <v>40407</v>
      </c>
      <c r="D1693" s="443">
        <v>40407</v>
      </c>
      <c r="E1693" s="443"/>
      <c r="F1693" s="462" t="s">
        <v>5205</v>
      </c>
      <c r="G1693" s="462"/>
      <c r="H1693" s="433" t="s">
        <v>5163</v>
      </c>
      <c r="I1693" s="365">
        <v>6882.19</v>
      </c>
      <c r="J1693" s="366">
        <v>4805.8500000000004</v>
      </c>
      <c r="K1693" s="366">
        <f t="shared" si="118"/>
        <v>2669.9166666666692</v>
      </c>
      <c r="L1693" s="367">
        <f t="shared" si="119"/>
        <v>533.98333333333392</v>
      </c>
      <c r="M1693" s="367" t="s">
        <v>6169</v>
      </c>
      <c r="N1693" s="433" t="s">
        <v>3705</v>
      </c>
      <c r="O1693" s="433" t="s">
        <v>3739</v>
      </c>
      <c r="P1693" s="464" t="s">
        <v>3659</v>
      </c>
      <c r="Q1693" s="431">
        <v>0.2</v>
      </c>
      <c r="R1693" s="430" t="s">
        <v>5206</v>
      </c>
      <c r="S1693" s="465" t="s">
        <v>3475</v>
      </c>
      <c r="T1693" s="2" t="s">
        <v>5914</v>
      </c>
      <c r="U1693" s="2" t="s">
        <v>3475</v>
      </c>
    </row>
    <row r="1694" spans="1:21" hidden="1" x14ac:dyDescent="0.35">
      <c r="A1694" s="463" t="s">
        <v>5207</v>
      </c>
      <c r="B1694" s="536" t="s">
        <v>5208</v>
      </c>
      <c r="C1694" s="430" t="s">
        <v>5209</v>
      </c>
      <c r="D1694" s="430" t="s">
        <v>5209</v>
      </c>
      <c r="E1694" s="430"/>
      <c r="F1694" s="462" t="s">
        <v>5210</v>
      </c>
      <c r="G1694" s="462"/>
      <c r="H1694" s="433" t="s">
        <v>5163</v>
      </c>
      <c r="I1694" s="365">
        <v>22906.87</v>
      </c>
      <c r="J1694" s="366">
        <v>16106.39</v>
      </c>
      <c r="K1694" s="366">
        <f t="shared" si="118"/>
        <v>8947.9944444444518</v>
      </c>
      <c r="L1694" s="367">
        <f t="shared" si="119"/>
        <v>1789.5988888888905</v>
      </c>
      <c r="M1694" s="367" t="s">
        <v>6169</v>
      </c>
      <c r="N1694" s="433" t="s">
        <v>3705</v>
      </c>
      <c r="O1694" s="433" t="s">
        <v>3739</v>
      </c>
      <c r="P1694" s="464" t="s">
        <v>3659</v>
      </c>
      <c r="Q1694" s="431">
        <v>0.2</v>
      </c>
      <c r="R1694" s="430" t="s">
        <v>5211</v>
      </c>
      <c r="S1694" s="529" t="s">
        <v>3475</v>
      </c>
      <c r="T1694" s="528" t="s">
        <v>5914</v>
      </c>
      <c r="U1694" s="9" t="s">
        <v>3475</v>
      </c>
    </row>
    <row r="1695" spans="1:21" hidden="1" x14ac:dyDescent="0.35">
      <c r="A1695" s="466" t="s">
        <v>5212</v>
      </c>
      <c r="B1695" s="535" t="s">
        <v>5213</v>
      </c>
      <c r="C1695" s="467">
        <v>40652</v>
      </c>
      <c r="D1695" s="467">
        <v>40652</v>
      </c>
      <c r="E1695" s="467"/>
      <c r="F1695" s="466">
        <v>1274726</v>
      </c>
      <c r="G1695" s="466"/>
      <c r="H1695" s="463" t="s">
        <v>3656</v>
      </c>
      <c r="I1695" s="366">
        <v>22210</v>
      </c>
      <c r="J1695" s="365">
        <v>14742.15</v>
      </c>
      <c r="K1695" s="366">
        <f>+J1695*0.5556</f>
        <v>8190.7385399999994</v>
      </c>
      <c r="L1695" s="366">
        <f>+K1695*Q1695</f>
        <v>1638.147708</v>
      </c>
      <c r="M1695" s="366" t="s">
        <v>6169</v>
      </c>
      <c r="N1695" s="463" t="s">
        <v>5214</v>
      </c>
      <c r="O1695" s="463" t="s">
        <v>5215</v>
      </c>
      <c r="P1695" s="464" t="s">
        <v>3659</v>
      </c>
      <c r="Q1695" s="431">
        <v>0.2</v>
      </c>
      <c r="R1695" s="466"/>
      <c r="S1695" s="466" t="s">
        <v>3475</v>
      </c>
      <c r="T1695" s="2" t="s">
        <v>5914</v>
      </c>
      <c r="U1695" s="2" t="s">
        <v>3475</v>
      </c>
    </row>
    <row r="1696" spans="1:21" hidden="1" x14ac:dyDescent="0.35">
      <c r="A1696" s="466" t="s">
        <v>5216</v>
      </c>
      <c r="B1696" s="536" t="s">
        <v>5217</v>
      </c>
      <c r="C1696" s="537">
        <v>41075</v>
      </c>
      <c r="D1696" s="468">
        <v>41075</v>
      </c>
      <c r="E1696" s="468"/>
      <c r="F1696" s="433" t="s">
        <v>5218</v>
      </c>
      <c r="G1696" s="433"/>
      <c r="H1696" s="433" t="s">
        <v>5163</v>
      </c>
      <c r="I1696" s="469">
        <v>5711.36</v>
      </c>
      <c r="J1696" s="367">
        <v>2960.33</v>
      </c>
      <c r="K1696" s="366">
        <f>+J1696*0.555555555555556</f>
        <v>1644.6277777777791</v>
      </c>
      <c r="L1696" s="367">
        <f>+K1696*Q1696</f>
        <v>328.92555555555583</v>
      </c>
      <c r="M1696" s="367" t="s">
        <v>6169</v>
      </c>
      <c r="N1696" s="433" t="s">
        <v>5219</v>
      </c>
      <c r="O1696" s="433" t="s">
        <v>5220</v>
      </c>
      <c r="P1696" s="464" t="s">
        <v>3659</v>
      </c>
      <c r="Q1696" s="431">
        <v>0.2</v>
      </c>
      <c r="R1696" s="430" t="s">
        <v>5221</v>
      </c>
      <c r="S1696" s="2" t="s">
        <v>3475</v>
      </c>
      <c r="T1696" s="2" t="s">
        <v>5914</v>
      </c>
      <c r="U1696" s="2" t="s">
        <v>3475</v>
      </c>
    </row>
    <row r="1697" spans="1:21" hidden="1" x14ac:dyDescent="0.35">
      <c r="A1697" s="466" t="s">
        <v>5222</v>
      </c>
      <c r="B1697" s="536" t="s">
        <v>5223</v>
      </c>
      <c r="C1697" s="443">
        <v>41138</v>
      </c>
      <c r="D1697" s="470">
        <v>41138</v>
      </c>
      <c r="E1697" s="470"/>
      <c r="F1697" s="433">
        <v>8400507</v>
      </c>
      <c r="G1697" s="433"/>
      <c r="H1697" s="433" t="s">
        <v>5163</v>
      </c>
      <c r="I1697" s="469">
        <v>12445.24</v>
      </c>
      <c r="J1697" s="367">
        <v>6460.88</v>
      </c>
      <c r="K1697" s="366">
        <f>+J1697*0.555555555555556</f>
        <v>3589.3777777777809</v>
      </c>
      <c r="L1697" s="367">
        <f>+K1697*Q1697</f>
        <v>717.87555555555628</v>
      </c>
      <c r="M1697" s="367" t="s">
        <v>6169</v>
      </c>
      <c r="N1697" s="433" t="s">
        <v>5224</v>
      </c>
      <c r="O1697" s="433" t="s">
        <v>5225</v>
      </c>
      <c r="P1697" s="464" t="s">
        <v>3659</v>
      </c>
      <c r="Q1697" s="431">
        <v>0.2</v>
      </c>
      <c r="R1697" s="430" t="s">
        <v>5226</v>
      </c>
      <c r="S1697" s="2" t="s">
        <v>3475</v>
      </c>
      <c r="T1697" s="2" t="s">
        <v>5914</v>
      </c>
      <c r="U1697" s="2" t="s">
        <v>3475</v>
      </c>
    </row>
    <row r="1698" spans="1:21" hidden="1" x14ac:dyDescent="0.35">
      <c r="A1698" s="466" t="s">
        <v>5227</v>
      </c>
      <c r="B1698" s="535" t="s">
        <v>5228</v>
      </c>
      <c r="C1698" s="467">
        <v>41078</v>
      </c>
      <c r="D1698" s="471">
        <v>41078</v>
      </c>
      <c r="E1698" s="471"/>
      <c r="F1698" s="466" t="s">
        <v>5229</v>
      </c>
      <c r="G1698" s="466"/>
      <c r="H1698" s="463" t="s">
        <v>3656</v>
      </c>
      <c r="I1698" s="472">
        <v>253498.96</v>
      </c>
      <c r="J1698" s="366">
        <v>136847.35</v>
      </c>
      <c r="K1698" s="367">
        <f>+J1698*0.5556</f>
        <v>76032.387660000008</v>
      </c>
      <c r="L1698" s="366">
        <f>+K1698*Q1698</f>
        <v>15206.477532000003</v>
      </c>
      <c r="M1698" s="366" t="s">
        <v>6169</v>
      </c>
      <c r="N1698" s="463" t="s">
        <v>3716</v>
      </c>
      <c r="O1698" s="463" t="s">
        <v>3734</v>
      </c>
      <c r="P1698" s="464" t="s">
        <v>3659</v>
      </c>
      <c r="Q1698" s="431">
        <v>0.2</v>
      </c>
      <c r="R1698" s="473" t="s">
        <v>5230</v>
      </c>
      <c r="S1698" s="2" t="s">
        <v>3475</v>
      </c>
      <c r="T1698" s="2" t="s">
        <v>5914</v>
      </c>
      <c r="U1698" s="2" t="s">
        <v>3475</v>
      </c>
    </row>
    <row r="1699" spans="1:21" hidden="1" x14ac:dyDescent="0.35">
      <c r="A1699" s="474" t="s">
        <v>5231</v>
      </c>
      <c r="B1699" s="535" t="s">
        <v>5232</v>
      </c>
      <c r="C1699" s="538">
        <v>41106</v>
      </c>
      <c r="D1699" s="475">
        <v>41106</v>
      </c>
      <c r="E1699" s="475"/>
      <c r="F1699" s="466" t="s">
        <v>5233</v>
      </c>
      <c r="G1699" s="466"/>
      <c r="H1699" s="463" t="s">
        <v>3656</v>
      </c>
      <c r="I1699" s="472">
        <v>92844.98</v>
      </c>
      <c r="J1699" s="366">
        <v>48495.32</v>
      </c>
      <c r="K1699" s="367">
        <f>+J1699*0.5556</f>
        <v>26943.999791999999</v>
      </c>
      <c r="L1699" s="366">
        <f>+K1699*Q1699</f>
        <v>5388.7999583999999</v>
      </c>
      <c r="M1699" s="366" t="s">
        <v>6169</v>
      </c>
      <c r="N1699" s="463" t="s">
        <v>3716</v>
      </c>
      <c r="O1699" s="463" t="s">
        <v>3734</v>
      </c>
      <c r="P1699" s="464" t="s">
        <v>3659</v>
      </c>
      <c r="Q1699" s="431">
        <v>0.2</v>
      </c>
      <c r="R1699" s="473" t="s">
        <v>5234</v>
      </c>
      <c r="S1699" s="2" t="s">
        <v>3475</v>
      </c>
      <c r="T1699" s="2" t="s">
        <v>5914</v>
      </c>
      <c r="U1699" s="2" t="s">
        <v>3475</v>
      </c>
    </row>
    <row r="1700" spans="1:21" hidden="1" x14ac:dyDescent="0.35">
      <c r="A1700" s="466" t="s">
        <v>5235</v>
      </c>
      <c r="B1700" s="536" t="s">
        <v>5236</v>
      </c>
      <c r="C1700" s="443">
        <v>41381</v>
      </c>
      <c r="D1700" s="476">
        <f>C1700</f>
        <v>41381</v>
      </c>
      <c r="E1700" s="476"/>
      <c r="F1700" s="433">
        <v>1162422</v>
      </c>
      <c r="G1700" s="433" t="s">
        <v>5237</v>
      </c>
      <c r="H1700" s="433" t="s">
        <v>5163</v>
      </c>
      <c r="I1700" s="366">
        <v>14046.1</v>
      </c>
      <c r="J1700" s="367">
        <v>7372.78</v>
      </c>
      <c r="K1700" s="366">
        <f>+J1700*0.555555555555556</f>
        <v>4095.9888888888922</v>
      </c>
      <c r="L1700" s="367">
        <f t="shared" ref="L1700:L1705" si="120">+K1700*Q1700</f>
        <v>819.19777777777847</v>
      </c>
      <c r="M1700" s="367" t="s">
        <v>6169</v>
      </c>
      <c r="N1700" s="433" t="s">
        <v>5238</v>
      </c>
      <c r="O1700" s="433" t="s">
        <v>5225</v>
      </c>
      <c r="P1700" s="464" t="s">
        <v>3659</v>
      </c>
      <c r="Q1700" s="431">
        <v>0.2</v>
      </c>
      <c r="R1700" s="430" t="s">
        <v>5239</v>
      </c>
      <c r="S1700" s="444" t="s">
        <v>3475</v>
      </c>
      <c r="T1700" s="2" t="s">
        <v>5914</v>
      </c>
      <c r="U1700" s="444" t="s">
        <v>3475</v>
      </c>
    </row>
    <row r="1701" spans="1:21" hidden="1" x14ac:dyDescent="0.35">
      <c r="A1701" s="466" t="s">
        <v>5240</v>
      </c>
      <c r="B1701" s="536" t="s">
        <v>5236</v>
      </c>
      <c r="C1701" s="443" t="s">
        <v>5241</v>
      </c>
      <c r="D1701" s="476" t="s">
        <v>5241</v>
      </c>
      <c r="E1701" s="476"/>
      <c r="F1701" s="433" t="s">
        <v>5242</v>
      </c>
      <c r="G1701" s="433" t="s">
        <v>5237</v>
      </c>
      <c r="H1701" s="433" t="s">
        <v>5163</v>
      </c>
      <c r="I1701" s="367">
        <v>11844.03</v>
      </c>
      <c r="J1701" s="367">
        <v>6216.92</v>
      </c>
      <c r="K1701" s="366">
        <f>+J1701*0.555555555555556</f>
        <v>3453.8444444444476</v>
      </c>
      <c r="L1701" s="367">
        <f t="shared" si="120"/>
        <v>690.76888888888959</v>
      </c>
      <c r="M1701" s="367" t="s">
        <v>6169</v>
      </c>
      <c r="N1701" s="433" t="s">
        <v>5238</v>
      </c>
      <c r="O1701" s="433" t="s">
        <v>5225</v>
      </c>
      <c r="P1701" s="464" t="s">
        <v>3659</v>
      </c>
      <c r="Q1701" s="431">
        <v>0.2</v>
      </c>
      <c r="R1701" s="430" t="s">
        <v>5243</v>
      </c>
      <c r="S1701" s="444" t="s">
        <v>3475</v>
      </c>
      <c r="T1701" s="2" t="s">
        <v>5914</v>
      </c>
      <c r="U1701" s="2" t="s">
        <v>3475</v>
      </c>
    </row>
    <row r="1702" spans="1:21" hidden="1" x14ac:dyDescent="0.35">
      <c r="A1702" s="466" t="s">
        <v>5244</v>
      </c>
      <c r="B1702" s="536" t="s">
        <v>5245</v>
      </c>
      <c r="C1702" s="443">
        <v>41354</v>
      </c>
      <c r="D1702" s="470">
        <v>41354</v>
      </c>
      <c r="E1702" s="470"/>
      <c r="F1702" s="433" t="s">
        <v>5246</v>
      </c>
      <c r="G1702" s="433"/>
      <c r="H1702" s="433" t="s">
        <v>5163</v>
      </c>
      <c r="I1702" s="469">
        <v>2097.0300000000002</v>
      </c>
      <c r="J1702" s="367">
        <v>1100.73</v>
      </c>
      <c r="K1702" s="366">
        <f>+J1702*0.555555555555556</f>
        <v>611.51666666666722</v>
      </c>
      <c r="L1702" s="367">
        <f t="shared" si="120"/>
        <v>122.30333333333346</v>
      </c>
      <c r="M1702" s="367" t="s">
        <v>6169</v>
      </c>
      <c r="N1702" s="463" t="s">
        <v>3716</v>
      </c>
      <c r="O1702" s="433" t="s">
        <v>5247</v>
      </c>
      <c r="P1702" s="464" t="s">
        <v>3659</v>
      </c>
      <c r="Q1702" s="431">
        <v>0.2</v>
      </c>
      <c r="R1702" s="430" t="s">
        <v>5248</v>
      </c>
      <c r="S1702" s="444" t="s">
        <v>3475</v>
      </c>
      <c r="T1702" s="2" t="s">
        <v>5914</v>
      </c>
      <c r="U1702" s="444" t="s">
        <v>3475</v>
      </c>
    </row>
    <row r="1703" spans="1:21" hidden="1" x14ac:dyDescent="0.35">
      <c r="A1703" s="466" t="s">
        <v>5249</v>
      </c>
      <c r="B1703" s="535" t="s">
        <v>5250</v>
      </c>
      <c r="C1703" s="467">
        <v>41375</v>
      </c>
      <c r="D1703" s="471">
        <v>41375</v>
      </c>
      <c r="E1703" s="471"/>
      <c r="F1703" s="463">
        <v>45537</v>
      </c>
      <c r="G1703" s="463" t="s">
        <v>5251</v>
      </c>
      <c r="H1703" s="463" t="s">
        <v>3656</v>
      </c>
      <c r="I1703" s="366">
        <v>38578.43</v>
      </c>
      <c r="J1703" s="366">
        <v>20249.78</v>
      </c>
      <c r="K1703" s="367">
        <f>+J1703*5/9</f>
        <v>11249.877777777778</v>
      </c>
      <c r="L1703" s="367">
        <f t="shared" si="120"/>
        <v>2249.9755555555557</v>
      </c>
      <c r="M1703" s="367" t="s">
        <v>6169</v>
      </c>
      <c r="N1703" s="463" t="s">
        <v>3716</v>
      </c>
      <c r="O1703" s="463" t="s">
        <v>3739</v>
      </c>
      <c r="P1703" s="464" t="s">
        <v>3659</v>
      </c>
      <c r="Q1703" s="431">
        <v>0.2</v>
      </c>
      <c r="R1703" s="464" t="s">
        <v>5252</v>
      </c>
      <c r="S1703" s="466" t="s">
        <v>3475</v>
      </c>
      <c r="T1703" s="2" t="s">
        <v>5914</v>
      </c>
      <c r="U1703" s="444" t="s">
        <v>3475</v>
      </c>
    </row>
    <row r="1704" spans="1:21" hidden="1" x14ac:dyDescent="0.35">
      <c r="A1704" s="466" t="s">
        <v>3737</v>
      </c>
      <c r="B1704" s="536" t="s">
        <v>5253</v>
      </c>
      <c r="C1704" s="443">
        <v>41414</v>
      </c>
      <c r="D1704" s="470">
        <v>41414</v>
      </c>
      <c r="E1704" s="470"/>
      <c r="F1704" s="433" t="s">
        <v>5242</v>
      </c>
      <c r="G1704" s="433" t="s">
        <v>5237</v>
      </c>
      <c r="H1704" s="463" t="s">
        <v>5254</v>
      </c>
      <c r="I1704" s="469">
        <v>6012</v>
      </c>
      <c r="J1704" s="367">
        <v>6012</v>
      </c>
      <c r="K1704" s="367">
        <f>+J1704*5/9</f>
        <v>3340</v>
      </c>
      <c r="L1704" s="367">
        <f t="shared" si="120"/>
        <v>668</v>
      </c>
      <c r="M1704" s="367" t="s">
        <v>6169</v>
      </c>
      <c r="N1704" s="463" t="s">
        <v>3716</v>
      </c>
      <c r="O1704" s="433" t="s">
        <v>5225</v>
      </c>
      <c r="P1704" s="464" t="s">
        <v>3659</v>
      </c>
      <c r="Q1704" s="431">
        <v>0.2</v>
      </c>
      <c r="R1704" s="430">
        <v>1900001288</v>
      </c>
      <c r="S1704" s="444" t="s">
        <v>3475</v>
      </c>
      <c r="T1704" s="2" t="s">
        <v>5914</v>
      </c>
      <c r="U1704" s="444" t="s">
        <v>3475</v>
      </c>
    </row>
    <row r="1705" spans="1:21" hidden="1" x14ac:dyDescent="0.35">
      <c r="A1705" s="466" t="s">
        <v>3741</v>
      </c>
      <c r="B1705" s="536" t="s">
        <v>5255</v>
      </c>
      <c r="C1705" s="443">
        <v>41514</v>
      </c>
      <c r="D1705" s="470">
        <v>41514</v>
      </c>
      <c r="E1705" s="470"/>
      <c r="F1705" s="433">
        <v>7970497</v>
      </c>
      <c r="G1705" s="433" t="s">
        <v>5237</v>
      </c>
      <c r="H1705" s="433" t="s">
        <v>5256</v>
      </c>
      <c r="I1705" s="367">
        <v>13124.77</v>
      </c>
      <c r="J1705" s="367">
        <v>6590.73</v>
      </c>
      <c r="K1705" s="367">
        <f>+J1705*5/9</f>
        <v>3661.516666666666</v>
      </c>
      <c r="L1705" s="367">
        <f t="shared" si="120"/>
        <v>732.30333333333328</v>
      </c>
      <c r="M1705" s="367" t="s">
        <v>6169</v>
      </c>
      <c r="N1705" s="463" t="s">
        <v>3716</v>
      </c>
      <c r="O1705" s="433" t="s">
        <v>5257</v>
      </c>
      <c r="P1705" s="464" t="s">
        <v>3659</v>
      </c>
      <c r="Q1705" s="431">
        <v>0.2</v>
      </c>
      <c r="R1705" s="430">
        <v>100000887</v>
      </c>
      <c r="S1705" s="444" t="s">
        <v>3475</v>
      </c>
      <c r="T1705" s="2" t="s">
        <v>5914</v>
      </c>
      <c r="U1705" s="444" t="s">
        <v>3475</v>
      </c>
    </row>
    <row r="1706" spans="1:21" hidden="1" x14ac:dyDescent="0.35">
      <c r="A1706" s="466" t="s">
        <v>5258</v>
      </c>
      <c r="B1706" s="540" t="s">
        <v>5259</v>
      </c>
      <c r="C1706" s="443">
        <v>41950</v>
      </c>
      <c r="D1706" s="470">
        <v>41950</v>
      </c>
      <c r="E1706" s="470"/>
      <c r="F1706" s="478" t="s">
        <v>5260</v>
      </c>
      <c r="G1706" s="463" t="s">
        <v>5261</v>
      </c>
      <c r="H1706" s="433" t="s">
        <v>5163</v>
      </c>
      <c r="I1706" s="368">
        <v>33144.400000000001</v>
      </c>
      <c r="J1706" s="368">
        <v>10369.300000000001</v>
      </c>
      <c r="K1706" s="366">
        <f t="shared" ref="K1706:K1711" si="121">+J1706*0.5556</f>
        <v>5761.1830800000007</v>
      </c>
      <c r="L1706" s="367">
        <f t="shared" ref="L1706:L1711" si="122">+K1706*Q1706</f>
        <v>1152.2366160000001</v>
      </c>
      <c r="M1706" s="367" t="s">
        <v>6169</v>
      </c>
      <c r="N1706" s="463" t="s">
        <v>3716</v>
      </c>
      <c r="O1706" s="477" t="s">
        <v>3978</v>
      </c>
      <c r="P1706" s="464" t="s">
        <v>3659</v>
      </c>
      <c r="Q1706" s="431">
        <v>0.2</v>
      </c>
      <c r="R1706" s="464">
        <v>1900002361</v>
      </c>
      <c r="S1706" s="1" t="s">
        <v>3475</v>
      </c>
      <c r="T1706" s="2" t="s">
        <v>5914</v>
      </c>
      <c r="U1706" s="2" t="s">
        <v>3475</v>
      </c>
    </row>
    <row r="1707" spans="1:21" hidden="1" x14ac:dyDescent="0.35">
      <c r="A1707" s="466" t="s">
        <v>5262</v>
      </c>
      <c r="B1707" s="540" t="s">
        <v>5263</v>
      </c>
      <c r="C1707" s="443">
        <v>41900</v>
      </c>
      <c r="D1707" s="470">
        <v>41900</v>
      </c>
      <c r="E1707" s="470"/>
      <c r="F1707" s="433" t="s">
        <v>5264</v>
      </c>
      <c r="G1707" s="433" t="s">
        <v>5265</v>
      </c>
      <c r="H1707" s="433" t="s">
        <v>5163</v>
      </c>
      <c r="I1707" s="368">
        <v>40384.089999999997</v>
      </c>
      <c r="J1707" s="368">
        <v>13349.89</v>
      </c>
      <c r="K1707" s="366">
        <f t="shared" si="121"/>
        <v>7417.1988839999995</v>
      </c>
      <c r="L1707" s="367">
        <f t="shared" si="122"/>
        <v>1483.4397767999999</v>
      </c>
      <c r="M1707" s="367" t="s">
        <v>6169</v>
      </c>
      <c r="N1707" s="463" t="s">
        <v>3716</v>
      </c>
      <c r="O1707" s="433" t="s">
        <v>5266</v>
      </c>
      <c r="P1707" s="464" t="s">
        <v>3659</v>
      </c>
      <c r="Q1707" s="431">
        <v>0.2</v>
      </c>
      <c r="R1707" s="430">
        <v>1900001981</v>
      </c>
      <c r="S1707" s="1" t="s">
        <v>3475</v>
      </c>
      <c r="T1707" s="2" t="s">
        <v>5914</v>
      </c>
      <c r="U1707" s="2" t="s">
        <v>3475</v>
      </c>
    </row>
    <row r="1708" spans="1:21" hidden="1" x14ac:dyDescent="0.35">
      <c r="A1708" s="466" t="s">
        <v>5267</v>
      </c>
      <c r="B1708" s="536" t="s">
        <v>5268</v>
      </c>
      <c r="C1708" s="443">
        <v>41849</v>
      </c>
      <c r="D1708" s="470">
        <v>41849</v>
      </c>
      <c r="E1708" s="470"/>
      <c r="F1708" s="433" t="s">
        <v>5269</v>
      </c>
      <c r="G1708" s="433" t="s">
        <v>5270</v>
      </c>
      <c r="H1708" s="433" t="s">
        <v>5163</v>
      </c>
      <c r="I1708" s="368">
        <v>3635.9</v>
      </c>
      <c r="J1708" s="368">
        <v>1201.93</v>
      </c>
      <c r="K1708" s="366">
        <f t="shared" si="121"/>
        <v>667.79230800000005</v>
      </c>
      <c r="L1708" s="367">
        <f t="shared" si="122"/>
        <v>133.55846160000002</v>
      </c>
      <c r="M1708" s="367" t="s">
        <v>6169</v>
      </c>
      <c r="N1708" s="463" t="s">
        <v>3716</v>
      </c>
      <c r="O1708" s="433" t="s">
        <v>5271</v>
      </c>
      <c r="P1708" s="464" t="s">
        <v>3659</v>
      </c>
      <c r="Q1708" s="431">
        <v>0.2</v>
      </c>
      <c r="R1708" s="430">
        <v>1900001901</v>
      </c>
      <c r="S1708" s="1" t="s">
        <v>3475</v>
      </c>
      <c r="T1708" s="2" t="s">
        <v>5914</v>
      </c>
      <c r="U1708" s="2" t="s">
        <v>3475</v>
      </c>
    </row>
    <row r="1709" spans="1:21" hidden="1" x14ac:dyDescent="0.35">
      <c r="A1709" s="435" t="s">
        <v>5272</v>
      </c>
      <c r="B1709" s="541" t="s">
        <v>5273</v>
      </c>
      <c r="C1709" s="436">
        <v>41666</v>
      </c>
      <c r="D1709" s="479">
        <v>41666</v>
      </c>
      <c r="E1709" s="479"/>
      <c r="F1709" s="435">
        <v>557</v>
      </c>
      <c r="G1709" s="435" t="s">
        <v>5274</v>
      </c>
      <c r="H1709" s="432" t="s">
        <v>5163</v>
      </c>
      <c r="I1709" s="369">
        <f>+J1709*2.1088</f>
        <v>25660.72192</v>
      </c>
      <c r="J1709" s="480">
        <v>12168.4</v>
      </c>
      <c r="K1709" s="369">
        <f t="shared" si="121"/>
        <v>6760.7630399999998</v>
      </c>
      <c r="L1709" s="366">
        <f t="shared" si="122"/>
        <v>1352.1526080000001</v>
      </c>
      <c r="M1709" s="366" t="s">
        <v>6169</v>
      </c>
      <c r="N1709" s="432" t="s">
        <v>5275</v>
      </c>
      <c r="O1709" s="432" t="s">
        <v>3739</v>
      </c>
      <c r="P1709" s="438" t="s">
        <v>3659</v>
      </c>
      <c r="Q1709" s="481">
        <v>0.2</v>
      </c>
      <c r="R1709" s="435">
        <v>190000093</v>
      </c>
      <c r="S1709" s="530" t="s">
        <v>3475</v>
      </c>
      <c r="T1709" s="527" t="s">
        <v>5914</v>
      </c>
      <c r="U1709" s="9" t="s">
        <v>3475</v>
      </c>
    </row>
    <row r="1710" spans="1:21" x14ac:dyDescent="0.35">
      <c r="A1710" s="435" t="s">
        <v>5276</v>
      </c>
      <c r="B1710" s="541" t="s">
        <v>5277</v>
      </c>
      <c r="C1710" s="436">
        <v>41666</v>
      </c>
      <c r="D1710" s="479">
        <v>41666</v>
      </c>
      <c r="E1710" s="479"/>
      <c r="F1710" s="435">
        <v>557</v>
      </c>
      <c r="G1710" s="435" t="s">
        <v>5278</v>
      </c>
      <c r="H1710" s="432" t="s">
        <v>5163</v>
      </c>
      <c r="I1710" s="369">
        <f>+J1710*2.1088</f>
        <v>10200.68736</v>
      </c>
      <c r="J1710" s="480">
        <v>4837.2</v>
      </c>
      <c r="K1710" s="369">
        <f t="shared" si="121"/>
        <v>2687.5483199999999</v>
      </c>
      <c r="L1710" s="366">
        <f t="shared" si="122"/>
        <v>537.50966400000004</v>
      </c>
      <c r="M1710" s="366" t="s">
        <v>6169</v>
      </c>
      <c r="N1710" s="432" t="s">
        <v>3772</v>
      </c>
      <c r="O1710" s="432" t="s">
        <v>3739</v>
      </c>
      <c r="P1710" s="438" t="s">
        <v>3659</v>
      </c>
      <c r="Q1710" s="481">
        <v>0.2</v>
      </c>
      <c r="R1710" s="435">
        <v>190000093</v>
      </c>
      <c r="S1710" s="435" t="s">
        <v>3475</v>
      </c>
      <c r="T1710" s="2" t="s">
        <v>5914</v>
      </c>
      <c r="U1710" s="9" t="s">
        <v>3475</v>
      </c>
    </row>
    <row r="1711" spans="1:21" hidden="1" x14ac:dyDescent="0.35">
      <c r="A1711" s="435" t="s">
        <v>5279</v>
      </c>
      <c r="B1711" s="536" t="s">
        <v>5280</v>
      </c>
      <c r="C1711" s="443">
        <v>41991</v>
      </c>
      <c r="D1711" s="470">
        <v>41849</v>
      </c>
      <c r="E1711" s="470"/>
      <c r="F1711" s="444" t="s">
        <v>5281</v>
      </c>
      <c r="G1711" s="444" t="s">
        <v>5251</v>
      </c>
      <c r="H1711" s="432" t="s">
        <v>5163</v>
      </c>
      <c r="I1711" s="370">
        <v>24322.5</v>
      </c>
      <c r="J1711" s="370">
        <v>8368.43</v>
      </c>
      <c r="K1711" s="369">
        <f t="shared" si="121"/>
        <v>4649.4997080000003</v>
      </c>
      <c r="L1711" s="366">
        <f t="shared" si="122"/>
        <v>929.89994160000015</v>
      </c>
      <c r="M1711" s="366" t="s">
        <v>6169</v>
      </c>
      <c r="N1711" s="463" t="s">
        <v>5275</v>
      </c>
      <c r="O1711" s="433" t="s">
        <v>5282</v>
      </c>
      <c r="P1711" s="464" t="s">
        <v>3659</v>
      </c>
      <c r="Q1711" s="481">
        <v>0.2</v>
      </c>
      <c r="R1711" s="482">
        <v>190001901</v>
      </c>
      <c r="S1711" s="466" t="s">
        <v>3475</v>
      </c>
      <c r="T1711" s="2" t="s">
        <v>5914</v>
      </c>
      <c r="U1711" s="466" t="s">
        <v>3475</v>
      </c>
    </row>
    <row r="1712" spans="1:21" hidden="1" x14ac:dyDescent="0.35">
      <c r="A1712" s="482" t="s">
        <v>5283</v>
      </c>
      <c r="B1712" s="432" t="s">
        <v>5284</v>
      </c>
      <c r="C1712" s="436">
        <v>42019</v>
      </c>
      <c r="D1712" s="436">
        <v>42019</v>
      </c>
      <c r="E1712" s="436"/>
      <c r="F1712" s="483" t="s">
        <v>5285</v>
      </c>
      <c r="G1712" s="483" t="s">
        <v>5168</v>
      </c>
      <c r="H1712" s="432" t="s">
        <v>5163</v>
      </c>
      <c r="I1712" s="484">
        <v>17735.935000000001</v>
      </c>
      <c r="J1712" s="484">
        <v>5546.9536523051875</v>
      </c>
      <c r="K1712" s="371">
        <f t="shared" ref="K1712:K1719" si="123">+J1712*0.5556</f>
        <v>3081.8874492207619</v>
      </c>
      <c r="L1712" s="366">
        <f t="shared" ref="L1712:L1719" si="124">+K1712*Q1712</f>
        <v>616.37748984415248</v>
      </c>
      <c r="M1712" s="366" t="s">
        <v>6169</v>
      </c>
      <c r="N1712" s="432" t="s">
        <v>3785</v>
      </c>
      <c r="O1712" s="432" t="s">
        <v>5286</v>
      </c>
      <c r="P1712" s="438" t="s">
        <v>3659</v>
      </c>
      <c r="Q1712" s="481">
        <v>0.2</v>
      </c>
      <c r="R1712" s="444">
        <v>1700000209</v>
      </c>
      <c r="S1712" s="466"/>
      <c r="T1712" s="2" t="s">
        <v>5915</v>
      </c>
    </row>
    <row r="1713" spans="1:21" hidden="1" x14ac:dyDescent="0.35">
      <c r="A1713" s="482" t="s">
        <v>5287</v>
      </c>
      <c r="B1713" s="432" t="s">
        <v>3468</v>
      </c>
      <c r="C1713" s="436">
        <v>42019</v>
      </c>
      <c r="D1713" s="436">
        <v>42019</v>
      </c>
      <c r="E1713" s="436"/>
      <c r="F1713" s="483" t="s">
        <v>5285</v>
      </c>
      <c r="G1713" s="483" t="s">
        <v>5288</v>
      </c>
      <c r="H1713" s="432" t="s">
        <v>5163</v>
      </c>
      <c r="I1713" s="484">
        <v>6442.2875000000004</v>
      </c>
      <c r="J1713" s="484">
        <v>2014.839938087564</v>
      </c>
      <c r="K1713" s="371">
        <f t="shared" si="123"/>
        <v>1119.4450696014505</v>
      </c>
      <c r="L1713" s="366">
        <f t="shared" si="124"/>
        <v>223.88901392029013</v>
      </c>
      <c r="M1713" s="366" t="s">
        <v>6169</v>
      </c>
      <c r="N1713" s="432" t="s">
        <v>3785</v>
      </c>
      <c r="O1713" s="432" t="s">
        <v>5286</v>
      </c>
      <c r="P1713" s="438" t="s">
        <v>3659</v>
      </c>
      <c r="Q1713" s="481">
        <v>0.2</v>
      </c>
      <c r="R1713" s="444">
        <v>1700000209</v>
      </c>
      <c r="S1713" s="466" t="s">
        <v>2504</v>
      </c>
      <c r="T1713" s="2" t="s">
        <v>5915</v>
      </c>
    </row>
    <row r="1714" spans="1:21" hidden="1" x14ac:dyDescent="0.35">
      <c r="A1714" s="482" t="s">
        <v>5289</v>
      </c>
      <c r="B1714" s="432" t="s">
        <v>3457</v>
      </c>
      <c r="C1714" s="436">
        <v>42020</v>
      </c>
      <c r="D1714" s="436">
        <v>42020</v>
      </c>
      <c r="E1714" s="436"/>
      <c r="F1714" s="483" t="s">
        <v>5290</v>
      </c>
      <c r="G1714" s="483" t="s">
        <v>5291</v>
      </c>
      <c r="H1714" s="432" t="s">
        <v>5163</v>
      </c>
      <c r="I1714" s="484">
        <v>9041.432499999999</v>
      </c>
      <c r="J1714" s="484">
        <v>2827.7283959343454</v>
      </c>
      <c r="K1714" s="371">
        <f t="shared" si="123"/>
        <v>1571.0858967811223</v>
      </c>
      <c r="L1714" s="366">
        <f t="shared" si="124"/>
        <v>314.21717935622451</v>
      </c>
      <c r="M1714" s="366" t="s">
        <v>6169</v>
      </c>
      <c r="N1714" s="432" t="s">
        <v>3785</v>
      </c>
      <c r="O1714" s="432" t="s">
        <v>5286</v>
      </c>
      <c r="P1714" s="438" t="s">
        <v>3659</v>
      </c>
      <c r="Q1714" s="481">
        <v>0.2</v>
      </c>
      <c r="R1714" s="444">
        <v>1700000210</v>
      </c>
      <c r="S1714" s="466" t="s">
        <v>2504</v>
      </c>
      <c r="T1714" s="2" t="s">
        <v>5915</v>
      </c>
    </row>
    <row r="1715" spans="1:21" hidden="1" x14ac:dyDescent="0.35">
      <c r="A1715" s="482" t="s">
        <v>5292</v>
      </c>
      <c r="B1715" s="432" t="s">
        <v>3457</v>
      </c>
      <c r="C1715" s="436">
        <v>42020</v>
      </c>
      <c r="D1715" s="436">
        <v>42020</v>
      </c>
      <c r="E1715" s="436"/>
      <c r="F1715" s="483" t="s">
        <v>5290</v>
      </c>
      <c r="G1715" s="483" t="s">
        <v>5291</v>
      </c>
      <c r="H1715" s="432" t="s">
        <v>5163</v>
      </c>
      <c r="I1715" s="484">
        <v>9041.432499999999</v>
      </c>
      <c r="J1715" s="484">
        <v>2827.7283959343454</v>
      </c>
      <c r="K1715" s="371">
        <f t="shared" si="123"/>
        <v>1571.0858967811223</v>
      </c>
      <c r="L1715" s="366">
        <f t="shared" si="124"/>
        <v>314.21717935622451</v>
      </c>
      <c r="M1715" s="366" t="s">
        <v>6169</v>
      </c>
      <c r="N1715" s="432" t="s">
        <v>3785</v>
      </c>
      <c r="O1715" s="432" t="s">
        <v>5286</v>
      </c>
      <c r="P1715" s="438" t="s">
        <v>3659</v>
      </c>
      <c r="Q1715" s="481">
        <v>0.2</v>
      </c>
      <c r="R1715" s="444">
        <v>1700000210</v>
      </c>
      <c r="S1715" s="466" t="s">
        <v>2504</v>
      </c>
      <c r="T1715" s="2" t="s">
        <v>5915</v>
      </c>
    </row>
    <row r="1716" spans="1:21" hidden="1" x14ac:dyDescent="0.35">
      <c r="A1716" s="482" t="s">
        <v>5293</v>
      </c>
      <c r="B1716" s="432" t="s">
        <v>3457</v>
      </c>
      <c r="C1716" s="436">
        <v>42020</v>
      </c>
      <c r="D1716" s="436">
        <v>42020</v>
      </c>
      <c r="E1716" s="436"/>
      <c r="F1716" s="483" t="s">
        <v>5290</v>
      </c>
      <c r="G1716" s="483" t="s">
        <v>5291</v>
      </c>
      <c r="H1716" s="432" t="s">
        <v>5163</v>
      </c>
      <c r="I1716" s="484">
        <v>9041.432499999999</v>
      </c>
      <c r="J1716" s="484">
        <v>2827.7283959343454</v>
      </c>
      <c r="K1716" s="371">
        <f t="shared" si="123"/>
        <v>1571.0858967811223</v>
      </c>
      <c r="L1716" s="366">
        <f t="shared" si="124"/>
        <v>314.21717935622451</v>
      </c>
      <c r="M1716" s="366" t="s">
        <v>6169</v>
      </c>
      <c r="N1716" s="432" t="s">
        <v>3785</v>
      </c>
      <c r="O1716" s="432" t="s">
        <v>5286</v>
      </c>
      <c r="P1716" s="438" t="s">
        <v>3659</v>
      </c>
      <c r="Q1716" s="481">
        <v>0.2</v>
      </c>
      <c r="R1716" s="444">
        <v>1700000210</v>
      </c>
      <c r="S1716" s="466" t="s">
        <v>2504</v>
      </c>
      <c r="T1716" s="2" t="s">
        <v>5915</v>
      </c>
    </row>
    <row r="1717" spans="1:21" hidden="1" x14ac:dyDescent="0.35">
      <c r="A1717" s="482" t="s">
        <v>5294</v>
      </c>
      <c r="B1717" s="432" t="s">
        <v>3458</v>
      </c>
      <c r="C1717" s="436">
        <v>42020</v>
      </c>
      <c r="D1717" s="436">
        <v>42020</v>
      </c>
      <c r="E1717" s="436"/>
      <c r="F1717" s="483" t="s">
        <v>5290</v>
      </c>
      <c r="G1717" s="483" t="s">
        <v>5291</v>
      </c>
      <c r="H1717" s="432" t="s">
        <v>5163</v>
      </c>
      <c r="I1717" s="484">
        <v>8462.7825000000012</v>
      </c>
      <c r="J1717" s="484">
        <v>2646.754304018335</v>
      </c>
      <c r="K1717" s="371">
        <f t="shared" si="123"/>
        <v>1470.536691312587</v>
      </c>
      <c r="L1717" s="366">
        <f t="shared" si="124"/>
        <v>294.10733826251743</v>
      </c>
      <c r="M1717" s="366" t="s">
        <v>6169</v>
      </c>
      <c r="N1717" s="432" t="s">
        <v>3785</v>
      </c>
      <c r="O1717" s="432" t="s">
        <v>5286</v>
      </c>
      <c r="P1717" s="438" t="s">
        <v>3659</v>
      </c>
      <c r="Q1717" s="481">
        <v>0.2</v>
      </c>
      <c r="R1717" s="444">
        <v>1700000210</v>
      </c>
      <c r="S1717" s="466" t="s">
        <v>2504</v>
      </c>
      <c r="T1717" s="2" t="s">
        <v>5915</v>
      </c>
    </row>
    <row r="1718" spans="1:21" hidden="1" x14ac:dyDescent="0.35">
      <c r="A1718" s="482" t="s">
        <v>5295</v>
      </c>
      <c r="B1718" s="432" t="s">
        <v>3459</v>
      </c>
      <c r="C1718" s="436">
        <v>42020</v>
      </c>
      <c r="D1718" s="436">
        <v>42020</v>
      </c>
      <c r="E1718" s="436"/>
      <c r="F1718" s="483" t="s">
        <v>5290</v>
      </c>
      <c r="G1718" s="483" t="s">
        <v>5291</v>
      </c>
      <c r="H1718" s="432" t="s">
        <v>5163</v>
      </c>
      <c r="I1718" s="484">
        <v>1374.2975000000001</v>
      </c>
      <c r="J1718" s="484">
        <v>429.81464112147955</v>
      </c>
      <c r="K1718" s="371">
        <f t="shared" si="123"/>
        <v>238.80501460709402</v>
      </c>
      <c r="L1718" s="366">
        <f t="shared" si="124"/>
        <v>47.761002921418807</v>
      </c>
      <c r="M1718" s="366" t="s">
        <v>6169</v>
      </c>
      <c r="N1718" s="432" t="s">
        <v>3785</v>
      </c>
      <c r="O1718" s="432" t="s">
        <v>5286</v>
      </c>
      <c r="P1718" s="438" t="s">
        <v>3659</v>
      </c>
      <c r="Q1718" s="481">
        <v>0.2</v>
      </c>
      <c r="R1718" s="444">
        <v>1700000210</v>
      </c>
      <c r="S1718" s="466" t="s">
        <v>2504</v>
      </c>
      <c r="T1718" s="2" t="s">
        <v>5915</v>
      </c>
    </row>
    <row r="1719" spans="1:21" hidden="1" x14ac:dyDescent="0.35">
      <c r="A1719" s="482" t="s">
        <v>5296</v>
      </c>
      <c r="B1719" s="432" t="s">
        <v>3460</v>
      </c>
      <c r="C1719" s="436">
        <v>42019</v>
      </c>
      <c r="D1719" s="436">
        <v>42019</v>
      </c>
      <c r="E1719" s="436"/>
      <c r="F1719" s="483" t="s">
        <v>5285</v>
      </c>
      <c r="G1719" s="483" t="s">
        <v>5291</v>
      </c>
      <c r="H1719" s="432" t="s">
        <v>5163</v>
      </c>
      <c r="I1719" s="484">
        <v>7177.2375000000002</v>
      </c>
      <c r="J1719" s="484">
        <v>2244.6972073412962</v>
      </c>
      <c r="K1719" s="371">
        <f t="shared" si="123"/>
        <v>1247.1537683988242</v>
      </c>
      <c r="L1719" s="366">
        <f t="shared" si="124"/>
        <v>249.43075367976485</v>
      </c>
      <c r="M1719" s="366" t="s">
        <v>6169</v>
      </c>
      <c r="N1719" s="432" t="s">
        <v>3785</v>
      </c>
      <c r="O1719" s="432" t="s">
        <v>5286</v>
      </c>
      <c r="P1719" s="438" t="s">
        <v>3659</v>
      </c>
      <c r="Q1719" s="481">
        <v>0.2</v>
      </c>
      <c r="R1719" s="444">
        <v>1700000209</v>
      </c>
      <c r="S1719" s="466" t="s">
        <v>2504</v>
      </c>
      <c r="T1719" s="2" t="s">
        <v>5915</v>
      </c>
    </row>
    <row r="1720" spans="1:21" x14ac:dyDescent="0.35">
      <c r="A1720" s="485" t="s">
        <v>5297</v>
      </c>
      <c r="B1720" s="486" t="s">
        <v>3462</v>
      </c>
      <c r="C1720" s="487">
        <v>42020</v>
      </c>
      <c r="D1720" s="487">
        <v>42020</v>
      </c>
      <c r="E1720" s="487"/>
      <c r="F1720" s="488" t="s">
        <v>5298</v>
      </c>
      <c r="G1720" s="488" t="s">
        <v>5299</v>
      </c>
      <c r="H1720" s="489" t="s">
        <v>5163</v>
      </c>
      <c r="I1720" s="372">
        <v>57831.05</v>
      </c>
      <c r="J1720" s="372">
        <v>18086.791252569652</v>
      </c>
      <c r="K1720" s="373">
        <v>10049.021219927698</v>
      </c>
      <c r="L1720" s="374">
        <v>2009.8042439855396</v>
      </c>
      <c r="M1720" s="374" t="s">
        <v>6169</v>
      </c>
      <c r="N1720" s="372" t="s">
        <v>3785</v>
      </c>
      <c r="O1720" s="486" t="s">
        <v>5286</v>
      </c>
      <c r="P1720" s="490" t="s">
        <v>3659</v>
      </c>
      <c r="Q1720" s="491">
        <v>0.2</v>
      </c>
      <c r="R1720" s="492">
        <v>1700000212</v>
      </c>
      <c r="S1720" s="466" t="s">
        <v>2504</v>
      </c>
      <c r="T1720" s="2" t="s">
        <v>5915</v>
      </c>
    </row>
    <row r="1721" spans="1:21" hidden="1" x14ac:dyDescent="0.35">
      <c r="A1721" s="466" t="s">
        <v>5289</v>
      </c>
      <c r="B1721" s="477" t="s">
        <v>5300</v>
      </c>
      <c r="C1721" s="443">
        <v>42083</v>
      </c>
      <c r="D1721" s="443">
        <v>42083</v>
      </c>
      <c r="E1721" s="443" t="s">
        <v>3516</v>
      </c>
      <c r="F1721" s="433" t="s">
        <v>5301</v>
      </c>
      <c r="G1721" s="433" t="s">
        <v>5302</v>
      </c>
      <c r="H1721" s="433" t="s">
        <v>5163</v>
      </c>
      <c r="I1721" s="469">
        <f>((46549.13*1.175)+2595.42)+((6037.5*1.175)+336.63)</f>
        <v>64721.340249999994</v>
      </c>
      <c r="J1721" s="368">
        <f>I1721/3.59087</f>
        <v>18023.860582532921</v>
      </c>
      <c r="K1721" s="366">
        <f t="shared" ref="K1721:K1784" si="125">+J1721*0.5556</f>
        <v>10014.056939655291</v>
      </c>
      <c r="L1721" s="367">
        <f t="shared" ref="L1721:L1784" si="126">+K1721*Q1721</f>
        <v>2002.8113879310583</v>
      </c>
      <c r="M1721" s="367" t="s">
        <v>6169</v>
      </c>
      <c r="N1721" s="463" t="s">
        <v>3785</v>
      </c>
      <c r="O1721" s="433" t="s">
        <v>3986</v>
      </c>
      <c r="P1721" s="430" t="s">
        <v>3659</v>
      </c>
      <c r="Q1721" s="431">
        <v>0.2</v>
      </c>
      <c r="R1721" s="430">
        <v>1900000669</v>
      </c>
      <c r="S1721" s="444" t="s">
        <v>57</v>
      </c>
      <c r="T1721" s="2" t="s">
        <v>5915</v>
      </c>
    </row>
    <row r="1722" spans="1:21" hidden="1" x14ac:dyDescent="0.35">
      <c r="A1722" s="466" t="s">
        <v>5292</v>
      </c>
      <c r="B1722" s="477" t="s">
        <v>5303</v>
      </c>
      <c r="C1722" s="443">
        <v>42083</v>
      </c>
      <c r="D1722" s="443">
        <v>42083</v>
      </c>
      <c r="E1722" s="443" t="s">
        <v>3514</v>
      </c>
      <c r="F1722" s="433" t="s">
        <v>5301</v>
      </c>
      <c r="G1722" s="433" t="s">
        <v>5302</v>
      </c>
      <c r="H1722" s="433" t="s">
        <v>5163</v>
      </c>
      <c r="I1722" s="469">
        <f>(6419.88*1.175)+357.95</f>
        <v>7901.3090000000002</v>
      </c>
      <c r="J1722" s="368">
        <f>I1722/3.59087</f>
        <v>2200.3884852417382</v>
      </c>
      <c r="K1722" s="366">
        <f t="shared" si="125"/>
        <v>1222.5358424003098</v>
      </c>
      <c r="L1722" s="367">
        <f t="shared" si="126"/>
        <v>244.50716848006198</v>
      </c>
      <c r="M1722" s="367" t="s">
        <v>6169</v>
      </c>
      <c r="N1722" s="463" t="s">
        <v>3785</v>
      </c>
      <c r="O1722" s="433" t="s">
        <v>3986</v>
      </c>
      <c r="P1722" s="430" t="s">
        <v>3659</v>
      </c>
      <c r="Q1722" s="431">
        <v>0.2</v>
      </c>
      <c r="R1722" s="430">
        <v>1900000669</v>
      </c>
      <c r="S1722" s="444" t="s">
        <v>57</v>
      </c>
      <c r="T1722" s="2" t="s">
        <v>5915</v>
      </c>
    </row>
    <row r="1723" spans="1:21" hidden="1" x14ac:dyDescent="0.35">
      <c r="A1723" s="466" t="s">
        <v>5293</v>
      </c>
      <c r="B1723" s="463" t="s">
        <v>5304</v>
      </c>
      <c r="C1723" s="467">
        <v>42251</v>
      </c>
      <c r="D1723" s="467">
        <v>42251</v>
      </c>
      <c r="E1723" s="467"/>
      <c r="F1723" s="493" t="s">
        <v>5305</v>
      </c>
      <c r="G1723" s="493" t="s">
        <v>5213</v>
      </c>
      <c r="H1723" s="433" t="s">
        <v>5163</v>
      </c>
      <c r="I1723" s="484">
        <f>+(33921.55/5)*1.175</f>
        <v>7971.5642500000004</v>
      </c>
      <c r="J1723" s="375">
        <f>+(8741.23/5)*1.175</f>
        <v>2054.18905</v>
      </c>
      <c r="K1723" s="376">
        <f t="shared" si="125"/>
        <v>1141.30743618</v>
      </c>
      <c r="L1723" s="367">
        <f t="shared" si="126"/>
        <v>228.26148723599999</v>
      </c>
      <c r="M1723" s="367" t="s">
        <v>6169</v>
      </c>
      <c r="N1723" s="463" t="s">
        <v>3785</v>
      </c>
      <c r="O1723" s="463" t="s">
        <v>3883</v>
      </c>
      <c r="P1723" s="464" t="s">
        <v>3659</v>
      </c>
      <c r="Q1723" s="431">
        <v>0.2</v>
      </c>
      <c r="R1723" s="430">
        <v>1900002349</v>
      </c>
      <c r="S1723" s="466" t="s">
        <v>5921</v>
      </c>
      <c r="T1723" s="2" t="s">
        <v>5914</v>
      </c>
      <c r="U1723" s="9" t="s">
        <v>5921</v>
      </c>
    </row>
    <row r="1724" spans="1:21" hidden="1" x14ac:dyDescent="0.35">
      <c r="A1724" s="494" t="s">
        <v>5294</v>
      </c>
      <c r="B1724" s="463" t="s">
        <v>5304</v>
      </c>
      <c r="C1724" s="467">
        <v>42251</v>
      </c>
      <c r="D1724" s="467">
        <v>42251</v>
      </c>
      <c r="E1724" s="467"/>
      <c r="F1724" s="493" t="s">
        <v>5306</v>
      </c>
      <c r="G1724" s="493" t="s">
        <v>5213</v>
      </c>
      <c r="H1724" s="433" t="s">
        <v>5163</v>
      </c>
      <c r="I1724" s="484">
        <f>+(33921.55/5)*1.175</f>
        <v>7971.5642500000004</v>
      </c>
      <c r="J1724" s="375">
        <f>+(8741.23/5)*1.175</f>
        <v>2054.18905</v>
      </c>
      <c r="K1724" s="376">
        <f t="shared" si="125"/>
        <v>1141.30743618</v>
      </c>
      <c r="L1724" s="367">
        <f t="shared" si="126"/>
        <v>228.26148723599999</v>
      </c>
      <c r="M1724" s="367" t="s">
        <v>6169</v>
      </c>
      <c r="N1724" s="463" t="s">
        <v>3785</v>
      </c>
      <c r="O1724" s="463" t="s">
        <v>3883</v>
      </c>
      <c r="P1724" s="464" t="s">
        <v>3659</v>
      </c>
      <c r="Q1724" s="431">
        <v>0.2</v>
      </c>
      <c r="R1724" s="430">
        <v>1900002349</v>
      </c>
      <c r="S1724" s="466" t="s">
        <v>5921</v>
      </c>
      <c r="T1724" s="2" t="s">
        <v>5914</v>
      </c>
      <c r="U1724" s="9" t="s">
        <v>5921</v>
      </c>
    </row>
    <row r="1725" spans="1:21" hidden="1" x14ac:dyDescent="0.35">
      <c r="A1725" s="466" t="s">
        <v>5295</v>
      </c>
      <c r="B1725" s="463" t="s">
        <v>5304</v>
      </c>
      <c r="C1725" s="467">
        <v>42251</v>
      </c>
      <c r="D1725" s="467">
        <v>42251</v>
      </c>
      <c r="E1725" s="467"/>
      <c r="F1725" s="493" t="s">
        <v>5307</v>
      </c>
      <c r="G1725" s="493" t="s">
        <v>5213</v>
      </c>
      <c r="H1725" s="433" t="s">
        <v>5163</v>
      </c>
      <c r="I1725" s="484">
        <f>+(33921.55/5)*1.175</f>
        <v>7971.5642500000004</v>
      </c>
      <c r="J1725" s="375">
        <f>+(8741.23/5)*1.175</f>
        <v>2054.18905</v>
      </c>
      <c r="K1725" s="376">
        <f t="shared" si="125"/>
        <v>1141.30743618</v>
      </c>
      <c r="L1725" s="367">
        <f t="shared" si="126"/>
        <v>228.26148723599999</v>
      </c>
      <c r="M1725" s="367" t="s">
        <v>6169</v>
      </c>
      <c r="N1725" s="463" t="s">
        <v>3785</v>
      </c>
      <c r="O1725" s="463" t="s">
        <v>3883</v>
      </c>
      <c r="P1725" s="464" t="s">
        <v>3659</v>
      </c>
      <c r="Q1725" s="431">
        <v>0.2</v>
      </c>
      <c r="R1725" s="430">
        <v>1900002349</v>
      </c>
      <c r="S1725" s="466" t="s">
        <v>5921</v>
      </c>
      <c r="T1725" s="2" t="s">
        <v>5914</v>
      </c>
      <c r="U1725" s="9" t="s">
        <v>5921</v>
      </c>
    </row>
    <row r="1726" spans="1:21" hidden="1" x14ac:dyDescent="0.35">
      <c r="A1726" s="466" t="s">
        <v>5296</v>
      </c>
      <c r="B1726" s="463" t="s">
        <v>5304</v>
      </c>
      <c r="C1726" s="467">
        <v>42251</v>
      </c>
      <c r="D1726" s="467">
        <v>42251</v>
      </c>
      <c r="E1726" s="467"/>
      <c r="F1726" s="493" t="s">
        <v>5308</v>
      </c>
      <c r="G1726" s="493" t="s">
        <v>5213</v>
      </c>
      <c r="H1726" s="433" t="s">
        <v>5163</v>
      </c>
      <c r="I1726" s="484">
        <f>+(33921.55/5)*1.175</f>
        <v>7971.5642500000004</v>
      </c>
      <c r="J1726" s="375">
        <f>+(8741.23/5)*1.175</f>
        <v>2054.18905</v>
      </c>
      <c r="K1726" s="376">
        <f t="shared" si="125"/>
        <v>1141.30743618</v>
      </c>
      <c r="L1726" s="367">
        <f t="shared" si="126"/>
        <v>228.26148723599999</v>
      </c>
      <c r="M1726" s="367" t="s">
        <v>6169</v>
      </c>
      <c r="N1726" s="463" t="s">
        <v>3785</v>
      </c>
      <c r="O1726" s="463" t="s">
        <v>3883</v>
      </c>
      <c r="P1726" s="464" t="s">
        <v>3659</v>
      </c>
      <c r="Q1726" s="431">
        <v>0.2</v>
      </c>
      <c r="R1726" s="430">
        <v>1900002349</v>
      </c>
      <c r="S1726" s="466" t="s">
        <v>5921</v>
      </c>
      <c r="T1726" s="2" t="s">
        <v>5914</v>
      </c>
      <c r="U1726" s="9" t="s">
        <v>5921</v>
      </c>
    </row>
    <row r="1727" spans="1:21" hidden="1" x14ac:dyDescent="0.35">
      <c r="A1727" s="494" t="s">
        <v>5283</v>
      </c>
      <c r="B1727" s="463" t="s">
        <v>5304</v>
      </c>
      <c r="C1727" s="467">
        <v>42251</v>
      </c>
      <c r="D1727" s="467">
        <v>42251</v>
      </c>
      <c r="E1727" s="467"/>
      <c r="F1727" s="493" t="s">
        <v>3886</v>
      </c>
      <c r="G1727" s="493" t="s">
        <v>5213</v>
      </c>
      <c r="H1727" s="433" t="s">
        <v>5163</v>
      </c>
      <c r="I1727" s="484">
        <f>+(33921.55/5)*1.175</f>
        <v>7971.5642500000004</v>
      </c>
      <c r="J1727" s="375">
        <f>+(8741.23/5)*1.175</f>
        <v>2054.18905</v>
      </c>
      <c r="K1727" s="376">
        <f t="shared" si="125"/>
        <v>1141.30743618</v>
      </c>
      <c r="L1727" s="367">
        <f t="shared" si="126"/>
        <v>228.26148723599999</v>
      </c>
      <c r="M1727" s="367" t="s">
        <v>6169</v>
      </c>
      <c r="N1727" s="463" t="s">
        <v>3785</v>
      </c>
      <c r="O1727" s="463" t="s">
        <v>3883</v>
      </c>
      <c r="P1727" s="464" t="s">
        <v>3659</v>
      </c>
      <c r="Q1727" s="431">
        <v>0.2</v>
      </c>
      <c r="R1727" s="430">
        <v>1900002349</v>
      </c>
      <c r="S1727" s="466" t="s">
        <v>5921</v>
      </c>
      <c r="T1727" s="2" t="s">
        <v>5914</v>
      </c>
      <c r="U1727" s="9" t="s">
        <v>5921</v>
      </c>
    </row>
    <row r="1728" spans="1:21" hidden="1" x14ac:dyDescent="0.35">
      <c r="A1728" s="482" t="s">
        <v>5309</v>
      </c>
      <c r="B1728" s="432" t="s">
        <v>5310</v>
      </c>
      <c r="C1728" s="436">
        <v>42251</v>
      </c>
      <c r="D1728" s="436">
        <v>42251</v>
      </c>
      <c r="E1728" s="436" t="s">
        <v>3474</v>
      </c>
      <c r="F1728" s="483" t="s">
        <v>3882</v>
      </c>
      <c r="G1728" s="483" t="s">
        <v>5168</v>
      </c>
      <c r="H1728" s="432" t="s">
        <v>5163</v>
      </c>
      <c r="I1728" s="484">
        <v>104536.46</v>
      </c>
      <c r="J1728" s="484">
        <v>26937.94425</v>
      </c>
      <c r="K1728" s="371">
        <f t="shared" si="125"/>
        <v>14966.721825299999</v>
      </c>
      <c r="L1728" s="366">
        <f t="shared" si="126"/>
        <v>2993.3443650600002</v>
      </c>
      <c r="M1728" s="366" t="s">
        <v>6169</v>
      </c>
      <c r="N1728" s="432" t="s">
        <v>3785</v>
      </c>
      <c r="O1728" s="432" t="s">
        <v>3883</v>
      </c>
      <c r="P1728" s="438" t="s">
        <v>3659</v>
      </c>
      <c r="Q1728" s="481">
        <v>0.2</v>
      </c>
      <c r="R1728" s="444">
        <v>1900002349</v>
      </c>
      <c r="S1728" s="466" t="s">
        <v>6449</v>
      </c>
      <c r="T1728" s="2" t="s">
        <v>5915</v>
      </c>
    </row>
    <row r="1729" spans="1:21" hidden="1" x14ac:dyDescent="0.35">
      <c r="A1729" s="482" t="s">
        <v>5311</v>
      </c>
      <c r="B1729" s="432" t="s">
        <v>5312</v>
      </c>
      <c r="C1729" s="436">
        <v>42251</v>
      </c>
      <c r="D1729" s="436">
        <v>42251</v>
      </c>
      <c r="E1729" s="436" t="s">
        <v>3541</v>
      </c>
      <c r="F1729" s="483" t="s">
        <v>5313</v>
      </c>
      <c r="G1729" s="483" t="s">
        <v>5270</v>
      </c>
      <c r="H1729" s="432" t="s">
        <v>5163</v>
      </c>
      <c r="I1729" s="484">
        <v>8583.3279999999995</v>
      </c>
      <c r="J1729" s="484">
        <v>2211.8317500000003</v>
      </c>
      <c r="K1729" s="371">
        <f t="shared" si="125"/>
        <v>1228.8937203</v>
      </c>
      <c r="L1729" s="366">
        <f t="shared" si="126"/>
        <v>245.77874406000001</v>
      </c>
      <c r="M1729" s="366" t="s">
        <v>6169</v>
      </c>
      <c r="N1729" s="432" t="s">
        <v>3785</v>
      </c>
      <c r="O1729" s="432" t="s">
        <v>3883</v>
      </c>
      <c r="P1729" s="438" t="s">
        <v>3659</v>
      </c>
      <c r="Q1729" s="481">
        <v>0.2</v>
      </c>
      <c r="R1729" s="444">
        <v>1900002349</v>
      </c>
      <c r="S1729" s="466" t="s">
        <v>3539</v>
      </c>
      <c r="T1729" s="2" t="s">
        <v>5915</v>
      </c>
    </row>
    <row r="1730" spans="1:21" hidden="1" x14ac:dyDescent="0.35">
      <c r="A1730" s="482" t="s">
        <v>5314</v>
      </c>
      <c r="B1730" s="432" t="s">
        <v>5312</v>
      </c>
      <c r="C1730" s="436">
        <v>42251</v>
      </c>
      <c r="D1730" s="436">
        <v>42251</v>
      </c>
      <c r="E1730" s="436" t="s">
        <v>3543</v>
      </c>
      <c r="F1730" s="483" t="s">
        <v>5315</v>
      </c>
      <c r="G1730" s="483" t="s">
        <v>5270</v>
      </c>
      <c r="H1730" s="432" t="s">
        <v>5163</v>
      </c>
      <c r="I1730" s="484">
        <v>8583.3279999999995</v>
      </c>
      <c r="J1730" s="484">
        <v>2211.8317500000003</v>
      </c>
      <c r="K1730" s="371">
        <f t="shared" si="125"/>
        <v>1228.8937203</v>
      </c>
      <c r="L1730" s="366">
        <f t="shared" si="126"/>
        <v>245.77874406000001</v>
      </c>
      <c r="M1730" s="366" t="s">
        <v>6169</v>
      </c>
      <c r="N1730" s="432" t="s">
        <v>3785</v>
      </c>
      <c r="O1730" s="432" t="s">
        <v>3883</v>
      </c>
      <c r="P1730" s="438" t="s">
        <v>3659</v>
      </c>
      <c r="Q1730" s="481">
        <v>0.2</v>
      </c>
      <c r="R1730" s="444">
        <v>1900002349</v>
      </c>
      <c r="S1730" s="466" t="s">
        <v>3542</v>
      </c>
      <c r="T1730" s="2" t="s">
        <v>5915</v>
      </c>
    </row>
    <row r="1731" spans="1:21" hidden="1" x14ac:dyDescent="0.35">
      <c r="A1731" s="482" t="s">
        <v>5316</v>
      </c>
      <c r="B1731" s="432" t="s">
        <v>5312</v>
      </c>
      <c r="C1731" s="436">
        <v>42257</v>
      </c>
      <c r="D1731" s="436">
        <v>42257</v>
      </c>
      <c r="E1731" s="436" t="s">
        <v>3552</v>
      </c>
      <c r="F1731" s="483" t="s">
        <v>3904</v>
      </c>
      <c r="G1731" s="483" t="s">
        <v>5270</v>
      </c>
      <c r="H1731" s="432" t="s">
        <v>5163</v>
      </c>
      <c r="I1731" s="484">
        <v>9810.0750000000007</v>
      </c>
      <c r="J1731" s="484">
        <v>2527.9537499999997</v>
      </c>
      <c r="K1731" s="371">
        <f t="shared" si="125"/>
        <v>1404.5311034999997</v>
      </c>
      <c r="L1731" s="366">
        <f t="shared" si="126"/>
        <v>280.90622069999995</v>
      </c>
      <c r="M1731" s="366" t="s">
        <v>6169</v>
      </c>
      <c r="N1731" s="432" t="s">
        <v>3785</v>
      </c>
      <c r="O1731" s="432" t="s">
        <v>3786</v>
      </c>
      <c r="P1731" s="438" t="s">
        <v>3659</v>
      </c>
      <c r="Q1731" s="481">
        <v>0.2</v>
      </c>
      <c r="R1731" s="444">
        <v>1900002437</v>
      </c>
      <c r="S1731" s="466" t="s">
        <v>3551</v>
      </c>
      <c r="T1731" s="2" t="s">
        <v>5915</v>
      </c>
    </row>
    <row r="1732" spans="1:21" hidden="1" x14ac:dyDescent="0.35">
      <c r="A1732" s="482" t="s">
        <v>5317</v>
      </c>
      <c r="B1732" s="432" t="s">
        <v>5312</v>
      </c>
      <c r="C1732" s="436">
        <v>42257</v>
      </c>
      <c r="D1732" s="436">
        <v>42257</v>
      </c>
      <c r="E1732" s="436" t="s">
        <v>3555</v>
      </c>
      <c r="F1732" s="483" t="s">
        <v>3904</v>
      </c>
      <c r="G1732" s="483" t="s">
        <v>5270</v>
      </c>
      <c r="H1732" s="432" t="s">
        <v>5163</v>
      </c>
      <c r="I1732" s="484">
        <v>9810.0750000000007</v>
      </c>
      <c r="J1732" s="484">
        <v>2527.9537499999997</v>
      </c>
      <c r="K1732" s="371">
        <f t="shared" si="125"/>
        <v>1404.5311034999997</v>
      </c>
      <c r="L1732" s="366">
        <f t="shared" si="126"/>
        <v>280.90622069999995</v>
      </c>
      <c r="M1732" s="366" t="s">
        <v>6169</v>
      </c>
      <c r="N1732" s="432" t="s">
        <v>3785</v>
      </c>
      <c r="O1732" s="432" t="s">
        <v>3786</v>
      </c>
      <c r="P1732" s="438" t="s">
        <v>3659</v>
      </c>
      <c r="Q1732" s="481">
        <v>0.2</v>
      </c>
      <c r="R1732" s="444">
        <v>1900002437</v>
      </c>
      <c r="S1732" s="466" t="s">
        <v>3554</v>
      </c>
      <c r="T1732" s="2" t="s">
        <v>5915</v>
      </c>
    </row>
    <row r="1733" spans="1:21" hidden="1" x14ac:dyDescent="0.35">
      <c r="A1733" s="466" t="s">
        <v>5287</v>
      </c>
      <c r="B1733" s="463" t="s">
        <v>2638</v>
      </c>
      <c r="C1733" s="467">
        <v>42257</v>
      </c>
      <c r="D1733" s="467">
        <v>42257</v>
      </c>
      <c r="E1733" s="467"/>
      <c r="F1733" s="493" t="s">
        <v>3904</v>
      </c>
      <c r="G1733" s="495" t="s">
        <v>5274</v>
      </c>
      <c r="H1733" s="433" t="s">
        <v>5163</v>
      </c>
      <c r="I1733" s="484">
        <f>+(278493.6/5)*1.175</f>
        <v>65445.995999999992</v>
      </c>
      <c r="J1733" s="375">
        <f>+(71764.86/5)*1.175</f>
        <v>16864.742099999999</v>
      </c>
      <c r="K1733" s="376">
        <f t="shared" si="125"/>
        <v>9370.0507107599988</v>
      </c>
      <c r="L1733" s="367">
        <f t="shared" si="126"/>
        <v>1874.0101421519998</v>
      </c>
      <c r="M1733" s="367" t="s">
        <v>6169</v>
      </c>
      <c r="N1733" s="463" t="s">
        <v>3785</v>
      </c>
      <c r="O1733" s="463" t="s">
        <v>3786</v>
      </c>
      <c r="P1733" s="464" t="s">
        <v>3659</v>
      </c>
      <c r="Q1733" s="431">
        <v>0.2</v>
      </c>
      <c r="R1733" s="430">
        <v>1900002437</v>
      </c>
      <c r="S1733" s="466" t="s">
        <v>5921</v>
      </c>
      <c r="T1733" s="2" t="s">
        <v>5914</v>
      </c>
      <c r="U1733" s="466" t="s">
        <v>5921</v>
      </c>
    </row>
    <row r="1734" spans="1:21" hidden="1" x14ac:dyDescent="0.35">
      <c r="A1734" s="466" t="s">
        <v>5318</v>
      </c>
      <c r="B1734" s="463" t="s">
        <v>2638</v>
      </c>
      <c r="C1734" s="467">
        <v>42257</v>
      </c>
      <c r="D1734" s="467">
        <v>42257</v>
      </c>
      <c r="E1734" s="467"/>
      <c r="F1734" s="493" t="s">
        <v>3904</v>
      </c>
      <c r="G1734" s="495" t="s">
        <v>5274</v>
      </c>
      <c r="H1734" s="433" t="s">
        <v>5163</v>
      </c>
      <c r="I1734" s="484">
        <f>+(278493.6/5)*1.175</f>
        <v>65445.995999999992</v>
      </c>
      <c r="J1734" s="375">
        <f>+(71764.86/5)*1.175</f>
        <v>16864.742099999999</v>
      </c>
      <c r="K1734" s="376">
        <f t="shared" si="125"/>
        <v>9370.0507107599988</v>
      </c>
      <c r="L1734" s="367">
        <f t="shared" si="126"/>
        <v>1874.0101421519998</v>
      </c>
      <c r="M1734" s="367" t="s">
        <v>6169</v>
      </c>
      <c r="N1734" s="463" t="s">
        <v>3785</v>
      </c>
      <c r="O1734" s="463" t="s">
        <v>3786</v>
      </c>
      <c r="P1734" s="464" t="s">
        <v>3659</v>
      </c>
      <c r="Q1734" s="431">
        <v>0.2</v>
      </c>
      <c r="R1734" s="430">
        <v>1900002437</v>
      </c>
      <c r="S1734" s="466" t="s">
        <v>5921</v>
      </c>
      <c r="T1734" s="2" t="s">
        <v>5914</v>
      </c>
      <c r="U1734" s="466" t="s">
        <v>5921</v>
      </c>
    </row>
    <row r="1735" spans="1:21" hidden="1" x14ac:dyDescent="0.35">
      <c r="A1735" s="466" t="s">
        <v>5319</v>
      </c>
      <c r="B1735" s="463" t="s">
        <v>2638</v>
      </c>
      <c r="C1735" s="467">
        <v>42257</v>
      </c>
      <c r="D1735" s="467">
        <v>42257</v>
      </c>
      <c r="E1735" s="467"/>
      <c r="F1735" s="493" t="s">
        <v>3904</v>
      </c>
      <c r="G1735" s="495" t="s">
        <v>5274</v>
      </c>
      <c r="H1735" s="433" t="s">
        <v>5163</v>
      </c>
      <c r="I1735" s="484">
        <f>+(278493.6/5)*1.175</f>
        <v>65445.995999999992</v>
      </c>
      <c r="J1735" s="375">
        <f>+(71764.86/5)*1.175</f>
        <v>16864.742099999999</v>
      </c>
      <c r="K1735" s="376">
        <f t="shared" si="125"/>
        <v>9370.0507107599988</v>
      </c>
      <c r="L1735" s="367">
        <f t="shared" si="126"/>
        <v>1874.0101421519998</v>
      </c>
      <c r="M1735" s="367" t="s">
        <v>6169</v>
      </c>
      <c r="N1735" s="463" t="s">
        <v>3785</v>
      </c>
      <c r="O1735" s="463" t="s">
        <v>3786</v>
      </c>
      <c r="P1735" s="464" t="s">
        <v>3659</v>
      </c>
      <c r="Q1735" s="431">
        <v>0.2</v>
      </c>
      <c r="R1735" s="430">
        <v>1900002437</v>
      </c>
      <c r="S1735" s="466" t="s">
        <v>5921</v>
      </c>
      <c r="T1735" s="2" t="s">
        <v>5914</v>
      </c>
      <c r="U1735" s="466" t="s">
        <v>5921</v>
      </c>
    </row>
    <row r="1736" spans="1:21" hidden="1" x14ac:dyDescent="0.35">
      <c r="A1736" s="494" t="s">
        <v>5320</v>
      </c>
      <c r="B1736" s="463" t="s">
        <v>2638</v>
      </c>
      <c r="C1736" s="467">
        <v>42257</v>
      </c>
      <c r="D1736" s="467">
        <v>42257</v>
      </c>
      <c r="E1736" s="467"/>
      <c r="F1736" s="493" t="s">
        <v>3904</v>
      </c>
      <c r="G1736" s="495" t="s">
        <v>5274</v>
      </c>
      <c r="H1736" s="433" t="s">
        <v>5163</v>
      </c>
      <c r="I1736" s="484">
        <f>+(278493.6/5)*1.175</f>
        <v>65445.995999999992</v>
      </c>
      <c r="J1736" s="375">
        <f>+(71764.86/5)*1.175</f>
        <v>16864.742099999999</v>
      </c>
      <c r="K1736" s="376">
        <f t="shared" si="125"/>
        <v>9370.0507107599988</v>
      </c>
      <c r="L1736" s="367">
        <f t="shared" si="126"/>
        <v>1874.0101421519998</v>
      </c>
      <c r="M1736" s="367" t="s">
        <v>6169</v>
      </c>
      <c r="N1736" s="463" t="s">
        <v>3785</v>
      </c>
      <c r="O1736" s="463" t="s">
        <v>3786</v>
      </c>
      <c r="P1736" s="464" t="s">
        <v>3659</v>
      </c>
      <c r="Q1736" s="431">
        <v>0.2</v>
      </c>
      <c r="R1736" s="430">
        <v>1900002437</v>
      </c>
      <c r="S1736" s="466" t="s">
        <v>5921</v>
      </c>
      <c r="T1736" s="2" t="s">
        <v>5914</v>
      </c>
      <c r="U1736" s="466" t="s">
        <v>5921</v>
      </c>
    </row>
    <row r="1737" spans="1:21" hidden="1" x14ac:dyDescent="0.35">
      <c r="A1737" s="494" t="s">
        <v>5321</v>
      </c>
      <c r="B1737" s="463" t="s">
        <v>2638</v>
      </c>
      <c r="C1737" s="467">
        <v>42257</v>
      </c>
      <c r="D1737" s="467">
        <v>42257</v>
      </c>
      <c r="E1737" s="467"/>
      <c r="F1737" s="493" t="s">
        <v>3904</v>
      </c>
      <c r="G1737" s="495" t="s">
        <v>5274</v>
      </c>
      <c r="H1737" s="433" t="s">
        <v>5163</v>
      </c>
      <c r="I1737" s="484">
        <f>+(278493.6/5)*1.175</f>
        <v>65445.995999999992</v>
      </c>
      <c r="J1737" s="375">
        <f>+(71764.86/5)*1.175</f>
        <v>16864.742099999999</v>
      </c>
      <c r="K1737" s="376">
        <f t="shared" si="125"/>
        <v>9370.0507107599988</v>
      </c>
      <c r="L1737" s="367">
        <f t="shared" si="126"/>
        <v>1874.0101421519998</v>
      </c>
      <c r="M1737" s="367" t="s">
        <v>6169</v>
      </c>
      <c r="N1737" s="463" t="s">
        <v>3785</v>
      </c>
      <c r="O1737" s="463" t="s">
        <v>3786</v>
      </c>
      <c r="P1737" s="464" t="s">
        <v>3659</v>
      </c>
      <c r="Q1737" s="431">
        <v>0.2</v>
      </c>
      <c r="R1737" s="430">
        <v>1900002437</v>
      </c>
      <c r="S1737" s="466" t="s">
        <v>5921</v>
      </c>
      <c r="T1737" s="2" t="s">
        <v>5914</v>
      </c>
      <c r="U1737" s="466" t="s">
        <v>5921</v>
      </c>
    </row>
    <row r="1738" spans="1:21" hidden="1" x14ac:dyDescent="0.35">
      <c r="A1738" s="466" t="s">
        <v>5322</v>
      </c>
      <c r="B1738" s="463" t="s">
        <v>2639</v>
      </c>
      <c r="C1738" s="467">
        <v>42257</v>
      </c>
      <c r="D1738" s="467">
        <v>42257</v>
      </c>
      <c r="E1738" s="467"/>
      <c r="F1738" s="493" t="s">
        <v>3904</v>
      </c>
      <c r="G1738" s="495" t="s">
        <v>5323</v>
      </c>
      <c r="H1738" s="433" t="s">
        <v>5163</v>
      </c>
      <c r="I1738" s="484">
        <f>+(93008.6/5)*1.175</f>
        <v>21857.021000000001</v>
      </c>
      <c r="J1738" s="375">
        <f>+(23967.34/5)*1.175</f>
        <v>5632.3248999999996</v>
      </c>
      <c r="K1738" s="376">
        <f t="shared" si="125"/>
        <v>3129.3197144399996</v>
      </c>
      <c r="L1738" s="367">
        <f t="shared" si="126"/>
        <v>625.863942888</v>
      </c>
      <c r="M1738" s="367" t="s">
        <v>6169</v>
      </c>
      <c r="N1738" s="463" t="s">
        <v>3785</v>
      </c>
      <c r="O1738" s="463" t="s">
        <v>3786</v>
      </c>
      <c r="P1738" s="464" t="s">
        <v>3659</v>
      </c>
      <c r="Q1738" s="431">
        <v>0.2</v>
      </c>
      <c r="R1738" s="430">
        <v>1900002437</v>
      </c>
      <c r="S1738" s="466" t="s">
        <v>5921</v>
      </c>
      <c r="T1738" s="2" t="s">
        <v>5914</v>
      </c>
      <c r="U1738" s="466" t="s">
        <v>5921</v>
      </c>
    </row>
    <row r="1739" spans="1:21" hidden="1" x14ac:dyDescent="0.35">
      <c r="A1739" s="466" t="s">
        <v>5324</v>
      </c>
      <c r="B1739" s="463" t="s">
        <v>2639</v>
      </c>
      <c r="C1739" s="467">
        <v>42257</v>
      </c>
      <c r="D1739" s="467">
        <v>42257</v>
      </c>
      <c r="E1739" s="467"/>
      <c r="F1739" s="493" t="s">
        <v>3904</v>
      </c>
      <c r="G1739" s="493" t="s">
        <v>5323</v>
      </c>
      <c r="H1739" s="433" t="s">
        <v>5163</v>
      </c>
      <c r="I1739" s="484">
        <f>+(93008.6/5)*1.175</f>
        <v>21857.021000000001</v>
      </c>
      <c r="J1739" s="375">
        <f>+(23967.34/5)*1.175</f>
        <v>5632.3248999999996</v>
      </c>
      <c r="K1739" s="376">
        <f t="shared" si="125"/>
        <v>3129.3197144399996</v>
      </c>
      <c r="L1739" s="367">
        <f t="shared" si="126"/>
        <v>625.863942888</v>
      </c>
      <c r="M1739" s="367" t="s">
        <v>6169</v>
      </c>
      <c r="N1739" s="463" t="s">
        <v>3785</v>
      </c>
      <c r="O1739" s="463" t="s">
        <v>3786</v>
      </c>
      <c r="P1739" s="464" t="s">
        <v>3659</v>
      </c>
      <c r="Q1739" s="431">
        <v>0.2</v>
      </c>
      <c r="R1739" s="430">
        <v>1900002437</v>
      </c>
      <c r="S1739" s="466" t="s">
        <v>5921</v>
      </c>
      <c r="T1739" s="2" t="s">
        <v>5914</v>
      </c>
      <c r="U1739" s="466" t="s">
        <v>5921</v>
      </c>
    </row>
    <row r="1740" spans="1:21" hidden="1" x14ac:dyDescent="0.35">
      <c r="A1740" s="466" t="s">
        <v>5325</v>
      </c>
      <c r="B1740" s="463" t="s">
        <v>2639</v>
      </c>
      <c r="C1740" s="467">
        <v>42257</v>
      </c>
      <c r="D1740" s="467">
        <v>42257</v>
      </c>
      <c r="E1740" s="467"/>
      <c r="F1740" s="493" t="s">
        <v>3904</v>
      </c>
      <c r="G1740" s="493" t="s">
        <v>5323</v>
      </c>
      <c r="H1740" s="433" t="s">
        <v>5163</v>
      </c>
      <c r="I1740" s="484">
        <f>+(93008.6/5)*1.175</f>
        <v>21857.021000000001</v>
      </c>
      <c r="J1740" s="375">
        <f>+(23967.34/5)*1.175</f>
        <v>5632.3248999999996</v>
      </c>
      <c r="K1740" s="376">
        <f t="shared" si="125"/>
        <v>3129.3197144399996</v>
      </c>
      <c r="L1740" s="367">
        <f t="shared" si="126"/>
        <v>625.863942888</v>
      </c>
      <c r="M1740" s="367" t="s">
        <v>6169</v>
      </c>
      <c r="N1740" s="463" t="s">
        <v>3785</v>
      </c>
      <c r="O1740" s="463" t="s">
        <v>3786</v>
      </c>
      <c r="P1740" s="464" t="s">
        <v>3659</v>
      </c>
      <c r="Q1740" s="431">
        <v>0.2</v>
      </c>
      <c r="R1740" s="430">
        <v>1900002437</v>
      </c>
      <c r="S1740" s="466" t="s">
        <v>5921</v>
      </c>
      <c r="T1740" s="2" t="s">
        <v>5914</v>
      </c>
      <c r="U1740" s="466" t="s">
        <v>5921</v>
      </c>
    </row>
    <row r="1741" spans="1:21" hidden="1" x14ac:dyDescent="0.35">
      <c r="A1741" s="494" t="s">
        <v>5326</v>
      </c>
      <c r="B1741" s="463" t="s">
        <v>2639</v>
      </c>
      <c r="C1741" s="467">
        <v>42257</v>
      </c>
      <c r="D1741" s="467">
        <v>42257</v>
      </c>
      <c r="E1741" s="467"/>
      <c r="F1741" s="493" t="s">
        <v>3904</v>
      </c>
      <c r="G1741" s="493" t="s">
        <v>5323</v>
      </c>
      <c r="H1741" s="433" t="s">
        <v>5163</v>
      </c>
      <c r="I1741" s="484">
        <f>+(93008.6/5)*1.175</f>
        <v>21857.021000000001</v>
      </c>
      <c r="J1741" s="375">
        <f>+(23967.34/5)*1.175</f>
        <v>5632.3248999999996</v>
      </c>
      <c r="K1741" s="376">
        <f t="shared" si="125"/>
        <v>3129.3197144399996</v>
      </c>
      <c r="L1741" s="367">
        <f t="shared" si="126"/>
        <v>625.863942888</v>
      </c>
      <c r="M1741" s="367" t="s">
        <v>6169</v>
      </c>
      <c r="N1741" s="463" t="s">
        <v>3785</v>
      </c>
      <c r="O1741" s="463" t="s">
        <v>3786</v>
      </c>
      <c r="P1741" s="464" t="s">
        <v>3659</v>
      </c>
      <c r="Q1741" s="431">
        <v>0.2</v>
      </c>
      <c r="R1741" s="430">
        <v>1900002437</v>
      </c>
      <c r="S1741" s="466" t="s">
        <v>5921</v>
      </c>
      <c r="T1741" s="2" t="s">
        <v>5914</v>
      </c>
      <c r="U1741" s="466" t="s">
        <v>5921</v>
      </c>
    </row>
    <row r="1742" spans="1:21" hidden="1" x14ac:dyDescent="0.35">
      <c r="A1742" s="466" t="s">
        <v>5327</v>
      </c>
      <c r="B1742" s="463" t="s">
        <v>2639</v>
      </c>
      <c r="C1742" s="467">
        <v>42257</v>
      </c>
      <c r="D1742" s="467">
        <v>42257</v>
      </c>
      <c r="E1742" s="467"/>
      <c r="F1742" s="493" t="s">
        <v>3904</v>
      </c>
      <c r="G1742" s="493" t="s">
        <v>5323</v>
      </c>
      <c r="H1742" s="433" t="s">
        <v>5163</v>
      </c>
      <c r="I1742" s="484">
        <f>+(93008.6/5)*1.175</f>
        <v>21857.021000000001</v>
      </c>
      <c r="J1742" s="375">
        <f>+(23967.34/5)*1.175</f>
        <v>5632.3248999999996</v>
      </c>
      <c r="K1742" s="376">
        <f t="shared" si="125"/>
        <v>3129.3197144399996</v>
      </c>
      <c r="L1742" s="367">
        <f t="shared" si="126"/>
        <v>625.863942888</v>
      </c>
      <c r="M1742" s="367" t="s">
        <v>6169</v>
      </c>
      <c r="N1742" s="463" t="s">
        <v>3785</v>
      </c>
      <c r="O1742" s="463" t="s">
        <v>3786</v>
      </c>
      <c r="P1742" s="464" t="s">
        <v>3659</v>
      </c>
      <c r="Q1742" s="431">
        <v>0.2</v>
      </c>
      <c r="R1742" s="430">
        <v>1900002437</v>
      </c>
      <c r="S1742" s="526" t="s">
        <v>5921</v>
      </c>
      <c r="T1742" s="524" t="s">
        <v>5914</v>
      </c>
      <c r="U1742" s="526" t="s">
        <v>5921</v>
      </c>
    </row>
    <row r="1743" spans="1:21" hidden="1" x14ac:dyDescent="0.35">
      <c r="A1743" s="466" t="s">
        <v>5328</v>
      </c>
      <c r="B1743" s="535" t="s">
        <v>5329</v>
      </c>
      <c r="C1743" s="467">
        <v>42257</v>
      </c>
      <c r="D1743" s="467">
        <v>42257</v>
      </c>
      <c r="E1743" s="467"/>
      <c r="F1743" s="493" t="s">
        <v>3904</v>
      </c>
      <c r="G1743" s="493" t="s">
        <v>5288</v>
      </c>
      <c r="H1743" s="433" t="s">
        <v>5163</v>
      </c>
      <c r="I1743" s="484">
        <f t="shared" ref="I1743:I1806" si="127">+(275275/65)*1.175</f>
        <v>4976.125</v>
      </c>
      <c r="J1743" s="375">
        <f t="shared" ref="J1743:J1806" si="128">+(70935.46/65)*1.175</f>
        <v>1282.294853846154</v>
      </c>
      <c r="K1743" s="376">
        <f t="shared" si="125"/>
        <v>712.44302079692307</v>
      </c>
      <c r="L1743" s="367">
        <f t="shared" si="126"/>
        <v>142.48860415938461</v>
      </c>
      <c r="M1743" s="367" t="s">
        <v>6169</v>
      </c>
      <c r="N1743" s="463" t="s">
        <v>3785</v>
      </c>
      <c r="O1743" s="463" t="s">
        <v>3786</v>
      </c>
      <c r="P1743" s="464" t="s">
        <v>3659</v>
      </c>
      <c r="Q1743" s="431">
        <v>0.2</v>
      </c>
      <c r="R1743" s="430">
        <v>1900002437</v>
      </c>
      <c r="S1743" s="466" t="s">
        <v>3475</v>
      </c>
      <c r="T1743" s="2" t="s">
        <v>5914</v>
      </c>
      <c r="U1743" s="466" t="s">
        <v>3475</v>
      </c>
    </row>
    <row r="1744" spans="1:21" hidden="1" x14ac:dyDescent="0.35">
      <c r="A1744" s="494" t="s">
        <v>5330</v>
      </c>
      <c r="B1744" s="535" t="s">
        <v>5329</v>
      </c>
      <c r="C1744" s="467">
        <v>42257</v>
      </c>
      <c r="D1744" s="467">
        <v>42257</v>
      </c>
      <c r="E1744" s="467"/>
      <c r="F1744" s="493" t="s">
        <v>3904</v>
      </c>
      <c r="G1744" s="493" t="s">
        <v>5288</v>
      </c>
      <c r="H1744" s="433" t="s">
        <v>5163</v>
      </c>
      <c r="I1744" s="484">
        <f t="shared" si="127"/>
        <v>4976.125</v>
      </c>
      <c r="J1744" s="375">
        <f t="shared" si="128"/>
        <v>1282.294853846154</v>
      </c>
      <c r="K1744" s="376">
        <f t="shared" si="125"/>
        <v>712.44302079692307</v>
      </c>
      <c r="L1744" s="367">
        <f t="shared" si="126"/>
        <v>142.48860415938461</v>
      </c>
      <c r="M1744" s="367" t="s">
        <v>6169</v>
      </c>
      <c r="N1744" s="463" t="s">
        <v>3785</v>
      </c>
      <c r="O1744" s="463" t="s">
        <v>3786</v>
      </c>
      <c r="P1744" s="464" t="s">
        <v>3659</v>
      </c>
      <c r="Q1744" s="431">
        <v>0.2</v>
      </c>
      <c r="R1744" s="430">
        <v>1900002437</v>
      </c>
      <c r="S1744" s="466" t="s">
        <v>3475</v>
      </c>
      <c r="T1744" s="2" t="s">
        <v>5914</v>
      </c>
      <c r="U1744" s="466" t="s">
        <v>3475</v>
      </c>
    </row>
    <row r="1745" spans="1:21" hidden="1" x14ac:dyDescent="0.35">
      <c r="A1745" s="466" t="s">
        <v>5331</v>
      </c>
      <c r="B1745" s="535" t="s">
        <v>5329</v>
      </c>
      <c r="C1745" s="467">
        <v>42257</v>
      </c>
      <c r="D1745" s="467">
        <v>42257</v>
      </c>
      <c r="E1745" s="467"/>
      <c r="F1745" s="493" t="s">
        <v>3904</v>
      </c>
      <c r="G1745" s="493" t="s">
        <v>5288</v>
      </c>
      <c r="H1745" s="433" t="s">
        <v>5163</v>
      </c>
      <c r="I1745" s="484">
        <f t="shared" si="127"/>
        <v>4976.125</v>
      </c>
      <c r="J1745" s="375">
        <f t="shared" si="128"/>
        <v>1282.294853846154</v>
      </c>
      <c r="K1745" s="376">
        <f t="shared" si="125"/>
        <v>712.44302079692307</v>
      </c>
      <c r="L1745" s="367">
        <f t="shared" si="126"/>
        <v>142.48860415938461</v>
      </c>
      <c r="M1745" s="367" t="s">
        <v>6169</v>
      </c>
      <c r="N1745" s="463" t="s">
        <v>3785</v>
      </c>
      <c r="O1745" s="463" t="s">
        <v>3786</v>
      </c>
      <c r="P1745" s="464" t="s">
        <v>3659</v>
      </c>
      <c r="Q1745" s="431">
        <v>0.2</v>
      </c>
      <c r="R1745" s="430">
        <v>1900002437</v>
      </c>
      <c r="S1745" s="466" t="s">
        <v>3475</v>
      </c>
      <c r="T1745" s="2" t="s">
        <v>5914</v>
      </c>
      <c r="U1745" s="466" t="s">
        <v>3475</v>
      </c>
    </row>
    <row r="1746" spans="1:21" hidden="1" x14ac:dyDescent="0.35">
      <c r="A1746" s="466" t="s">
        <v>5332</v>
      </c>
      <c r="B1746" s="535" t="s">
        <v>5329</v>
      </c>
      <c r="C1746" s="467">
        <v>42257</v>
      </c>
      <c r="D1746" s="467">
        <v>42257</v>
      </c>
      <c r="E1746" s="467"/>
      <c r="F1746" s="493" t="s">
        <v>3904</v>
      </c>
      <c r="G1746" s="493" t="s">
        <v>5288</v>
      </c>
      <c r="H1746" s="433" t="s">
        <v>5163</v>
      </c>
      <c r="I1746" s="484">
        <f t="shared" si="127"/>
        <v>4976.125</v>
      </c>
      <c r="J1746" s="375">
        <f t="shared" si="128"/>
        <v>1282.294853846154</v>
      </c>
      <c r="K1746" s="376">
        <f t="shared" si="125"/>
        <v>712.44302079692307</v>
      </c>
      <c r="L1746" s="367">
        <f t="shared" si="126"/>
        <v>142.48860415938461</v>
      </c>
      <c r="M1746" s="367" t="s">
        <v>6169</v>
      </c>
      <c r="N1746" s="463" t="s">
        <v>3785</v>
      </c>
      <c r="O1746" s="463" t="s">
        <v>3786</v>
      </c>
      <c r="P1746" s="464" t="s">
        <v>3659</v>
      </c>
      <c r="Q1746" s="431">
        <v>0.2</v>
      </c>
      <c r="R1746" s="430">
        <v>1900002437</v>
      </c>
      <c r="S1746" s="466" t="s">
        <v>3475</v>
      </c>
      <c r="T1746" s="2" t="s">
        <v>5914</v>
      </c>
      <c r="U1746" s="466" t="s">
        <v>3475</v>
      </c>
    </row>
    <row r="1747" spans="1:21" hidden="1" x14ac:dyDescent="0.35">
      <c r="A1747" s="466" t="s">
        <v>5333</v>
      </c>
      <c r="B1747" s="535" t="s">
        <v>5329</v>
      </c>
      <c r="C1747" s="467">
        <v>42257</v>
      </c>
      <c r="D1747" s="467">
        <v>42257</v>
      </c>
      <c r="E1747" s="467"/>
      <c r="F1747" s="493" t="s">
        <v>3904</v>
      </c>
      <c r="G1747" s="493" t="s">
        <v>5288</v>
      </c>
      <c r="H1747" s="433" t="s">
        <v>5163</v>
      </c>
      <c r="I1747" s="484">
        <f t="shared" si="127"/>
        <v>4976.125</v>
      </c>
      <c r="J1747" s="375">
        <f t="shared" si="128"/>
        <v>1282.294853846154</v>
      </c>
      <c r="K1747" s="376">
        <f t="shared" si="125"/>
        <v>712.44302079692307</v>
      </c>
      <c r="L1747" s="367">
        <f t="shared" si="126"/>
        <v>142.48860415938461</v>
      </c>
      <c r="M1747" s="367" t="s">
        <v>6169</v>
      </c>
      <c r="N1747" s="463" t="s">
        <v>3785</v>
      </c>
      <c r="O1747" s="463" t="s">
        <v>3786</v>
      </c>
      <c r="P1747" s="464" t="s">
        <v>3659</v>
      </c>
      <c r="Q1747" s="431">
        <v>0.2</v>
      </c>
      <c r="R1747" s="430">
        <v>1900002437</v>
      </c>
      <c r="S1747" s="466" t="s">
        <v>3475</v>
      </c>
      <c r="T1747" s="2" t="s">
        <v>5914</v>
      </c>
      <c r="U1747" s="466" t="s">
        <v>3475</v>
      </c>
    </row>
    <row r="1748" spans="1:21" hidden="1" x14ac:dyDescent="0.35">
      <c r="A1748" s="494" t="s">
        <v>5334</v>
      </c>
      <c r="B1748" s="535" t="s">
        <v>5329</v>
      </c>
      <c r="C1748" s="467">
        <v>42257</v>
      </c>
      <c r="D1748" s="467">
        <v>42257</v>
      </c>
      <c r="E1748" s="467"/>
      <c r="F1748" s="493" t="s">
        <v>3904</v>
      </c>
      <c r="G1748" s="493" t="s">
        <v>5288</v>
      </c>
      <c r="H1748" s="433" t="s">
        <v>5163</v>
      </c>
      <c r="I1748" s="484">
        <f t="shared" si="127"/>
        <v>4976.125</v>
      </c>
      <c r="J1748" s="375">
        <f t="shared" si="128"/>
        <v>1282.294853846154</v>
      </c>
      <c r="K1748" s="376">
        <f t="shared" si="125"/>
        <v>712.44302079692307</v>
      </c>
      <c r="L1748" s="367">
        <f t="shared" si="126"/>
        <v>142.48860415938461</v>
      </c>
      <c r="M1748" s="367" t="s">
        <v>6169</v>
      </c>
      <c r="N1748" s="463" t="s">
        <v>3785</v>
      </c>
      <c r="O1748" s="463" t="s">
        <v>3786</v>
      </c>
      <c r="P1748" s="464" t="s">
        <v>3659</v>
      </c>
      <c r="Q1748" s="431">
        <v>0.2</v>
      </c>
      <c r="R1748" s="430">
        <v>1900002437</v>
      </c>
      <c r="S1748" s="466" t="s">
        <v>3475</v>
      </c>
      <c r="T1748" s="2" t="s">
        <v>5914</v>
      </c>
      <c r="U1748" s="466" t="s">
        <v>3475</v>
      </c>
    </row>
    <row r="1749" spans="1:21" hidden="1" x14ac:dyDescent="0.35">
      <c r="A1749" s="494" t="s">
        <v>5335</v>
      </c>
      <c r="B1749" s="535" t="s">
        <v>5329</v>
      </c>
      <c r="C1749" s="467">
        <v>42257</v>
      </c>
      <c r="D1749" s="467">
        <v>42257</v>
      </c>
      <c r="E1749" s="467"/>
      <c r="F1749" s="493" t="s">
        <v>3904</v>
      </c>
      <c r="G1749" s="493" t="s">
        <v>5288</v>
      </c>
      <c r="H1749" s="433" t="s">
        <v>5163</v>
      </c>
      <c r="I1749" s="484">
        <f t="shared" si="127"/>
        <v>4976.125</v>
      </c>
      <c r="J1749" s="375">
        <f t="shared" si="128"/>
        <v>1282.294853846154</v>
      </c>
      <c r="K1749" s="376">
        <f t="shared" si="125"/>
        <v>712.44302079692307</v>
      </c>
      <c r="L1749" s="367">
        <f t="shared" si="126"/>
        <v>142.48860415938461</v>
      </c>
      <c r="M1749" s="367" t="s">
        <v>6169</v>
      </c>
      <c r="N1749" s="463" t="s">
        <v>3785</v>
      </c>
      <c r="O1749" s="463" t="s">
        <v>3786</v>
      </c>
      <c r="P1749" s="464" t="s">
        <v>3659</v>
      </c>
      <c r="Q1749" s="431">
        <v>0.2</v>
      </c>
      <c r="R1749" s="430">
        <v>1900002437</v>
      </c>
      <c r="S1749" s="466" t="s">
        <v>3475</v>
      </c>
      <c r="T1749" s="2" t="s">
        <v>5914</v>
      </c>
      <c r="U1749" s="466" t="s">
        <v>3475</v>
      </c>
    </row>
    <row r="1750" spans="1:21" hidden="1" x14ac:dyDescent="0.35">
      <c r="A1750" s="466" t="s">
        <v>5336</v>
      </c>
      <c r="B1750" s="535" t="s">
        <v>5329</v>
      </c>
      <c r="C1750" s="467">
        <v>42257</v>
      </c>
      <c r="D1750" s="467">
        <v>42257</v>
      </c>
      <c r="E1750" s="467"/>
      <c r="F1750" s="493" t="s">
        <v>3904</v>
      </c>
      <c r="G1750" s="493" t="s">
        <v>5288</v>
      </c>
      <c r="H1750" s="433" t="s">
        <v>5163</v>
      </c>
      <c r="I1750" s="484">
        <f t="shared" si="127"/>
        <v>4976.125</v>
      </c>
      <c r="J1750" s="375">
        <f t="shared" si="128"/>
        <v>1282.294853846154</v>
      </c>
      <c r="K1750" s="376">
        <f t="shared" si="125"/>
        <v>712.44302079692307</v>
      </c>
      <c r="L1750" s="367">
        <f t="shared" si="126"/>
        <v>142.48860415938461</v>
      </c>
      <c r="M1750" s="367" t="s">
        <v>6169</v>
      </c>
      <c r="N1750" s="463" t="s">
        <v>3785</v>
      </c>
      <c r="O1750" s="463" t="s">
        <v>3786</v>
      </c>
      <c r="P1750" s="464" t="s">
        <v>3659</v>
      </c>
      <c r="Q1750" s="431">
        <v>0.2</v>
      </c>
      <c r="R1750" s="430">
        <v>1900002437</v>
      </c>
      <c r="S1750" s="466" t="s">
        <v>3475</v>
      </c>
      <c r="T1750" s="2" t="s">
        <v>5914</v>
      </c>
      <c r="U1750" s="466" t="s">
        <v>3475</v>
      </c>
    </row>
    <row r="1751" spans="1:21" hidden="1" x14ac:dyDescent="0.35">
      <c r="A1751" s="466" t="s">
        <v>5337</v>
      </c>
      <c r="B1751" s="535" t="s">
        <v>5329</v>
      </c>
      <c r="C1751" s="467">
        <v>42257</v>
      </c>
      <c r="D1751" s="467">
        <v>42257</v>
      </c>
      <c r="E1751" s="467"/>
      <c r="F1751" s="493" t="s">
        <v>3904</v>
      </c>
      <c r="G1751" s="493" t="s">
        <v>5288</v>
      </c>
      <c r="H1751" s="433" t="s">
        <v>5163</v>
      </c>
      <c r="I1751" s="484">
        <f t="shared" si="127"/>
        <v>4976.125</v>
      </c>
      <c r="J1751" s="375">
        <f t="shared" si="128"/>
        <v>1282.294853846154</v>
      </c>
      <c r="K1751" s="376">
        <f t="shared" si="125"/>
        <v>712.44302079692307</v>
      </c>
      <c r="L1751" s="367">
        <f t="shared" si="126"/>
        <v>142.48860415938461</v>
      </c>
      <c r="M1751" s="367" t="s">
        <v>6169</v>
      </c>
      <c r="N1751" s="463" t="s">
        <v>3785</v>
      </c>
      <c r="O1751" s="463" t="s">
        <v>3786</v>
      </c>
      <c r="P1751" s="464" t="s">
        <v>3659</v>
      </c>
      <c r="Q1751" s="431">
        <v>0.2</v>
      </c>
      <c r="R1751" s="430">
        <v>1900002437</v>
      </c>
      <c r="S1751" s="466" t="s">
        <v>3475</v>
      </c>
      <c r="T1751" s="2" t="s">
        <v>5914</v>
      </c>
      <c r="U1751" s="466" t="s">
        <v>3475</v>
      </c>
    </row>
    <row r="1752" spans="1:21" hidden="1" x14ac:dyDescent="0.35">
      <c r="A1752" s="466" t="s">
        <v>5338</v>
      </c>
      <c r="B1752" s="535" t="s">
        <v>5329</v>
      </c>
      <c r="C1752" s="467">
        <v>42257</v>
      </c>
      <c r="D1752" s="467">
        <v>42257</v>
      </c>
      <c r="E1752" s="467"/>
      <c r="F1752" s="493" t="s">
        <v>3904</v>
      </c>
      <c r="G1752" s="493" t="s">
        <v>5288</v>
      </c>
      <c r="H1752" s="433" t="s">
        <v>5163</v>
      </c>
      <c r="I1752" s="484">
        <f t="shared" si="127"/>
        <v>4976.125</v>
      </c>
      <c r="J1752" s="375">
        <f t="shared" si="128"/>
        <v>1282.294853846154</v>
      </c>
      <c r="K1752" s="376">
        <f t="shared" si="125"/>
        <v>712.44302079692307</v>
      </c>
      <c r="L1752" s="367">
        <f t="shared" si="126"/>
        <v>142.48860415938461</v>
      </c>
      <c r="M1752" s="367" t="s">
        <v>6169</v>
      </c>
      <c r="N1752" s="463" t="s">
        <v>3785</v>
      </c>
      <c r="O1752" s="463" t="s">
        <v>3786</v>
      </c>
      <c r="P1752" s="464" t="s">
        <v>3659</v>
      </c>
      <c r="Q1752" s="431">
        <v>0.2</v>
      </c>
      <c r="R1752" s="430">
        <v>1900002437</v>
      </c>
      <c r="S1752" s="466" t="s">
        <v>3475</v>
      </c>
      <c r="T1752" s="2" t="s">
        <v>5914</v>
      </c>
      <c r="U1752" s="466" t="s">
        <v>3475</v>
      </c>
    </row>
    <row r="1753" spans="1:21" hidden="1" x14ac:dyDescent="0.35">
      <c r="A1753" s="494" t="s">
        <v>5339</v>
      </c>
      <c r="B1753" s="535" t="s">
        <v>5329</v>
      </c>
      <c r="C1753" s="467">
        <v>42257</v>
      </c>
      <c r="D1753" s="467">
        <v>42257</v>
      </c>
      <c r="E1753" s="467"/>
      <c r="F1753" s="493" t="s">
        <v>3904</v>
      </c>
      <c r="G1753" s="493" t="s">
        <v>5288</v>
      </c>
      <c r="H1753" s="433" t="s">
        <v>5163</v>
      </c>
      <c r="I1753" s="484">
        <f t="shared" si="127"/>
        <v>4976.125</v>
      </c>
      <c r="J1753" s="375">
        <f t="shared" si="128"/>
        <v>1282.294853846154</v>
      </c>
      <c r="K1753" s="376">
        <f t="shared" si="125"/>
        <v>712.44302079692307</v>
      </c>
      <c r="L1753" s="367">
        <f t="shared" si="126"/>
        <v>142.48860415938461</v>
      </c>
      <c r="M1753" s="367" t="s">
        <v>6169</v>
      </c>
      <c r="N1753" s="463" t="s">
        <v>3785</v>
      </c>
      <c r="O1753" s="463" t="s">
        <v>3786</v>
      </c>
      <c r="P1753" s="464" t="s">
        <v>3659</v>
      </c>
      <c r="Q1753" s="431">
        <v>0.2</v>
      </c>
      <c r="R1753" s="430">
        <v>1900002437</v>
      </c>
      <c r="S1753" s="466" t="s">
        <v>3475</v>
      </c>
      <c r="T1753" s="2" t="s">
        <v>5914</v>
      </c>
      <c r="U1753" s="466" t="s">
        <v>3475</v>
      </c>
    </row>
    <row r="1754" spans="1:21" hidden="1" x14ac:dyDescent="0.35">
      <c r="A1754" s="466" t="s">
        <v>5340</v>
      </c>
      <c r="B1754" s="535" t="s">
        <v>5329</v>
      </c>
      <c r="C1754" s="467">
        <v>42257</v>
      </c>
      <c r="D1754" s="467">
        <v>42257</v>
      </c>
      <c r="E1754" s="467"/>
      <c r="F1754" s="493" t="s">
        <v>3904</v>
      </c>
      <c r="G1754" s="493" t="s">
        <v>5288</v>
      </c>
      <c r="H1754" s="433" t="s">
        <v>5163</v>
      </c>
      <c r="I1754" s="484">
        <f t="shared" si="127"/>
        <v>4976.125</v>
      </c>
      <c r="J1754" s="375">
        <f t="shared" si="128"/>
        <v>1282.294853846154</v>
      </c>
      <c r="K1754" s="376">
        <f t="shared" si="125"/>
        <v>712.44302079692307</v>
      </c>
      <c r="L1754" s="367">
        <f t="shared" si="126"/>
        <v>142.48860415938461</v>
      </c>
      <c r="M1754" s="367" t="s">
        <v>6169</v>
      </c>
      <c r="N1754" s="463" t="s">
        <v>3785</v>
      </c>
      <c r="O1754" s="463" t="s">
        <v>3786</v>
      </c>
      <c r="P1754" s="464" t="s">
        <v>3659</v>
      </c>
      <c r="Q1754" s="431">
        <v>0.2</v>
      </c>
      <c r="R1754" s="430">
        <v>1900002437</v>
      </c>
      <c r="S1754" s="466" t="s">
        <v>3475</v>
      </c>
      <c r="T1754" s="2" t="s">
        <v>5914</v>
      </c>
      <c r="U1754" s="466" t="s">
        <v>3475</v>
      </c>
    </row>
    <row r="1755" spans="1:21" hidden="1" x14ac:dyDescent="0.35">
      <c r="A1755" s="466" t="s">
        <v>5341</v>
      </c>
      <c r="B1755" s="535" t="s">
        <v>5329</v>
      </c>
      <c r="C1755" s="467">
        <v>42257</v>
      </c>
      <c r="D1755" s="467">
        <v>42257</v>
      </c>
      <c r="E1755" s="467"/>
      <c r="F1755" s="493" t="s">
        <v>3904</v>
      </c>
      <c r="G1755" s="493" t="s">
        <v>5288</v>
      </c>
      <c r="H1755" s="433" t="s">
        <v>5163</v>
      </c>
      <c r="I1755" s="484">
        <f t="shared" si="127"/>
        <v>4976.125</v>
      </c>
      <c r="J1755" s="375">
        <f t="shared" si="128"/>
        <v>1282.294853846154</v>
      </c>
      <c r="K1755" s="376">
        <f t="shared" si="125"/>
        <v>712.44302079692307</v>
      </c>
      <c r="L1755" s="367">
        <f t="shared" si="126"/>
        <v>142.48860415938461</v>
      </c>
      <c r="M1755" s="367" t="s">
        <v>6169</v>
      </c>
      <c r="N1755" s="463" t="s">
        <v>3785</v>
      </c>
      <c r="O1755" s="463" t="s">
        <v>3786</v>
      </c>
      <c r="P1755" s="464" t="s">
        <v>3659</v>
      </c>
      <c r="Q1755" s="431">
        <v>0.2</v>
      </c>
      <c r="R1755" s="430">
        <v>1900002437</v>
      </c>
      <c r="S1755" s="466" t="s">
        <v>3475</v>
      </c>
      <c r="T1755" s="2" t="s">
        <v>5914</v>
      </c>
      <c r="U1755" s="466" t="s">
        <v>3475</v>
      </c>
    </row>
    <row r="1756" spans="1:21" hidden="1" x14ac:dyDescent="0.35">
      <c r="A1756" s="494" t="s">
        <v>5342</v>
      </c>
      <c r="B1756" s="535" t="s">
        <v>5329</v>
      </c>
      <c r="C1756" s="467">
        <v>42257</v>
      </c>
      <c r="D1756" s="467">
        <v>42257</v>
      </c>
      <c r="E1756" s="467"/>
      <c r="F1756" s="493" t="s">
        <v>3904</v>
      </c>
      <c r="G1756" s="493" t="s">
        <v>5288</v>
      </c>
      <c r="H1756" s="433" t="s">
        <v>5163</v>
      </c>
      <c r="I1756" s="484">
        <f t="shared" si="127"/>
        <v>4976.125</v>
      </c>
      <c r="J1756" s="375">
        <f t="shared" si="128"/>
        <v>1282.294853846154</v>
      </c>
      <c r="K1756" s="376">
        <f t="shared" si="125"/>
        <v>712.44302079692307</v>
      </c>
      <c r="L1756" s="367">
        <f t="shared" si="126"/>
        <v>142.48860415938461</v>
      </c>
      <c r="M1756" s="367" t="s">
        <v>6169</v>
      </c>
      <c r="N1756" s="463" t="s">
        <v>3785</v>
      </c>
      <c r="O1756" s="463" t="s">
        <v>3786</v>
      </c>
      <c r="P1756" s="464" t="s">
        <v>3659</v>
      </c>
      <c r="Q1756" s="431">
        <v>0.2</v>
      </c>
      <c r="R1756" s="430">
        <v>1900002437</v>
      </c>
      <c r="S1756" s="466" t="s">
        <v>3475</v>
      </c>
      <c r="T1756" s="2" t="s">
        <v>5914</v>
      </c>
      <c r="U1756" s="466" t="s">
        <v>3475</v>
      </c>
    </row>
    <row r="1757" spans="1:21" hidden="1" x14ac:dyDescent="0.35">
      <c r="A1757" s="466" t="s">
        <v>5343</v>
      </c>
      <c r="B1757" s="535" t="s">
        <v>5329</v>
      </c>
      <c r="C1757" s="467">
        <v>42257</v>
      </c>
      <c r="D1757" s="467">
        <v>42257</v>
      </c>
      <c r="E1757" s="467"/>
      <c r="F1757" s="493" t="s">
        <v>3904</v>
      </c>
      <c r="G1757" s="493" t="s">
        <v>5288</v>
      </c>
      <c r="H1757" s="433" t="s">
        <v>5163</v>
      </c>
      <c r="I1757" s="484">
        <f t="shared" si="127"/>
        <v>4976.125</v>
      </c>
      <c r="J1757" s="375">
        <f t="shared" si="128"/>
        <v>1282.294853846154</v>
      </c>
      <c r="K1757" s="376">
        <f t="shared" si="125"/>
        <v>712.44302079692307</v>
      </c>
      <c r="L1757" s="367">
        <f t="shared" si="126"/>
        <v>142.48860415938461</v>
      </c>
      <c r="M1757" s="367" t="s">
        <v>6169</v>
      </c>
      <c r="N1757" s="463" t="s">
        <v>3785</v>
      </c>
      <c r="O1757" s="463" t="s">
        <v>3786</v>
      </c>
      <c r="P1757" s="464" t="s">
        <v>3659</v>
      </c>
      <c r="Q1757" s="431">
        <v>0.2</v>
      </c>
      <c r="R1757" s="430">
        <v>1900002437</v>
      </c>
      <c r="S1757" s="466" t="s">
        <v>3475</v>
      </c>
      <c r="T1757" s="2" t="s">
        <v>5914</v>
      </c>
      <c r="U1757" s="466" t="s">
        <v>3475</v>
      </c>
    </row>
    <row r="1758" spans="1:21" hidden="1" x14ac:dyDescent="0.35">
      <c r="A1758" s="466" t="s">
        <v>5344</v>
      </c>
      <c r="B1758" s="535" t="s">
        <v>5329</v>
      </c>
      <c r="C1758" s="467">
        <v>42257</v>
      </c>
      <c r="D1758" s="467">
        <v>42257</v>
      </c>
      <c r="E1758" s="467"/>
      <c r="F1758" s="493" t="s">
        <v>3904</v>
      </c>
      <c r="G1758" s="493" t="s">
        <v>5288</v>
      </c>
      <c r="H1758" s="433" t="s">
        <v>5163</v>
      </c>
      <c r="I1758" s="484">
        <f t="shared" si="127"/>
        <v>4976.125</v>
      </c>
      <c r="J1758" s="375">
        <f t="shared" si="128"/>
        <v>1282.294853846154</v>
      </c>
      <c r="K1758" s="376">
        <f t="shared" si="125"/>
        <v>712.44302079692307</v>
      </c>
      <c r="L1758" s="367">
        <f t="shared" si="126"/>
        <v>142.48860415938461</v>
      </c>
      <c r="M1758" s="367" t="s">
        <v>6169</v>
      </c>
      <c r="N1758" s="463" t="s">
        <v>3785</v>
      </c>
      <c r="O1758" s="463" t="s">
        <v>3786</v>
      </c>
      <c r="P1758" s="464" t="s">
        <v>3659</v>
      </c>
      <c r="Q1758" s="431">
        <v>0.2</v>
      </c>
      <c r="R1758" s="430">
        <v>1900002437</v>
      </c>
      <c r="S1758" s="466" t="s">
        <v>3475</v>
      </c>
      <c r="T1758" s="2" t="s">
        <v>5914</v>
      </c>
      <c r="U1758" s="466" t="s">
        <v>3475</v>
      </c>
    </row>
    <row r="1759" spans="1:21" hidden="1" x14ac:dyDescent="0.35">
      <c r="A1759" s="466" t="s">
        <v>5345</v>
      </c>
      <c r="B1759" s="535" t="s">
        <v>5329</v>
      </c>
      <c r="C1759" s="467">
        <v>42257</v>
      </c>
      <c r="D1759" s="467">
        <v>42257</v>
      </c>
      <c r="E1759" s="467"/>
      <c r="F1759" s="493" t="s">
        <v>3904</v>
      </c>
      <c r="G1759" s="493" t="s">
        <v>5288</v>
      </c>
      <c r="H1759" s="433" t="s">
        <v>5163</v>
      </c>
      <c r="I1759" s="484">
        <f t="shared" si="127"/>
        <v>4976.125</v>
      </c>
      <c r="J1759" s="375">
        <f t="shared" si="128"/>
        <v>1282.294853846154</v>
      </c>
      <c r="K1759" s="376">
        <f t="shared" si="125"/>
        <v>712.44302079692307</v>
      </c>
      <c r="L1759" s="367">
        <f t="shared" si="126"/>
        <v>142.48860415938461</v>
      </c>
      <c r="M1759" s="367" t="s">
        <v>6169</v>
      </c>
      <c r="N1759" s="463" t="s">
        <v>3785</v>
      </c>
      <c r="O1759" s="463" t="s">
        <v>3786</v>
      </c>
      <c r="P1759" s="464" t="s">
        <v>3659</v>
      </c>
      <c r="Q1759" s="431">
        <v>0.2</v>
      </c>
      <c r="R1759" s="430">
        <v>1900002437</v>
      </c>
      <c r="S1759" s="466" t="s">
        <v>3475</v>
      </c>
      <c r="T1759" s="2" t="s">
        <v>5914</v>
      </c>
      <c r="U1759" s="466" t="s">
        <v>3475</v>
      </c>
    </row>
    <row r="1760" spans="1:21" hidden="1" x14ac:dyDescent="0.35">
      <c r="A1760" s="494" t="s">
        <v>5346</v>
      </c>
      <c r="B1760" s="535" t="s">
        <v>5329</v>
      </c>
      <c r="C1760" s="467">
        <v>42257</v>
      </c>
      <c r="D1760" s="467">
        <v>42257</v>
      </c>
      <c r="E1760" s="467"/>
      <c r="F1760" s="493" t="s">
        <v>3904</v>
      </c>
      <c r="G1760" s="493" t="s">
        <v>5288</v>
      </c>
      <c r="H1760" s="433" t="s">
        <v>5163</v>
      </c>
      <c r="I1760" s="484">
        <f t="shared" si="127"/>
        <v>4976.125</v>
      </c>
      <c r="J1760" s="375">
        <f t="shared" si="128"/>
        <v>1282.294853846154</v>
      </c>
      <c r="K1760" s="376">
        <f t="shared" si="125"/>
        <v>712.44302079692307</v>
      </c>
      <c r="L1760" s="367">
        <f t="shared" si="126"/>
        <v>142.48860415938461</v>
      </c>
      <c r="M1760" s="367" t="s">
        <v>6169</v>
      </c>
      <c r="N1760" s="463" t="s">
        <v>3785</v>
      </c>
      <c r="O1760" s="463" t="s">
        <v>3786</v>
      </c>
      <c r="P1760" s="464" t="s">
        <v>3659</v>
      </c>
      <c r="Q1760" s="431">
        <v>0.2</v>
      </c>
      <c r="R1760" s="430">
        <v>1900002437</v>
      </c>
      <c r="S1760" s="466" t="s">
        <v>3475</v>
      </c>
      <c r="T1760" s="2" t="s">
        <v>5914</v>
      </c>
      <c r="U1760" s="466" t="s">
        <v>3475</v>
      </c>
    </row>
    <row r="1761" spans="1:21" hidden="1" x14ac:dyDescent="0.35">
      <c r="A1761" s="494" t="s">
        <v>5347</v>
      </c>
      <c r="B1761" s="535" t="s">
        <v>5329</v>
      </c>
      <c r="C1761" s="467">
        <v>42257</v>
      </c>
      <c r="D1761" s="467">
        <v>42257</v>
      </c>
      <c r="E1761" s="467"/>
      <c r="F1761" s="493" t="s">
        <v>3904</v>
      </c>
      <c r="G1761" s="493" t="s">
        <v>5288</v>
      </c>
      <c r="H1761" s="433" t="s">
        <v>5163</v>
      </c>
      <c r="I1761" s="484">
        <f t="shared" si="127"/>
        <v>4976.125</v>
      </c>
      <c r="J1761" s="375">
        <f t="shared" si="128"/>
        <v>1282.294853846154</v>
      </c>
      <c r="K1761" s="376">
        <f t="shared" si="125"/>
        <v>712.44302079692307</v>
      </c>
      <c r="L1761" s="367">
        <f t="shared" si="126"/>
        <v>142.48860415938461</v>
      </c>
      <c r="M1761" s="367" t="s">
        <v>6169</v>
      </c>
      <c r="N1761" s="463" t="s">
        <v>3785</v>
      </c>
      <c r="O1761" s="463" t="s">
        <v>3786</v>
      </c>
      <c r="P1761" s="464" t="s">
        <v>3659</v>
      </c>
      <c r="Q1761" s="431">
        <v>0.2</v>
      </c>
      <c r="R1761" s="430">
        <v>1900002437</v>
      </c>
      <c r="S1761" s="466" t="s">
        <v>3475</v>
      </c>
      <c r="T1761" s="2" t="s">
        <v>5914</v>
      </c>
      <c r="U1761" s="466" t="s">
        <v>3475</v>
      </c>
    </row>
    <row r="1762" spans="1:21" hidden="1" x14ac:dyDescent="0.35">
      <c r="A1762" s="466" t="s">
        <v>5348</v>
      </c>
      <c r="B1762" s="535" t="s">
        <v>5329</v>
      </c>
      <c r="C1762" s="467">
        <v>42257</v>
      </c>
      <c r="D1762" s="467">
        <v>42257</v>
      </c>
      <c r="E1762" s="467"/>
      <c r="F1762" s="493" t="s">
        <v>3904</v>
      </c>
      <c r="G1762" s="493" t="s">
        <v>5288</v>
      </c>
      <c r="H1762" s="433" t="s">
        <v>5163</v>
      </c>
      <c r="I1762" s="484">
        <f t="shared" si="127"/>
        <v>4976.125</v>
      </c>
      <c r="J1762" s="375">
        <f t="shared" si="128"/>
        <v>1282.294853846154</v>
      </c>
      <c r="K1762" s="376">
        <f t="shared" si="125"/>
        <v>712.44302079692307</v>
      </c>
      <c r="L1762" s="367">
        <f t="shared" si="126"/>
        <v>142.48860415938461</v>
      </c>
      <c r="M1762" s="367" t="s">
        <v>6169</v>
      </c>
      <c r="N1762" s="463" t="s">
        <v>3785</v>
      </c>
      <c r="O1762" s="463" t="s">
        <v>3786</v>
      </c>
      <c r="P1762" s="464" t="s">
        <v>3659</v>
      </c>
      <c r="Q1762" s="431">
        <v>0.2</v>
      </c>
      <c r="R1762" s="430">
        <v>1900002437</v>
      </c>
      <c r="S1762" s="466" t="s">
        <v>3475</v>
      </c>
      <c r="T1762" s="2" t="s">
        <v>5914</v>
      </c>
      <c r="U1762" s="466" t="s">
        <v>3475</v>
      </c>
    </row>
    <row r="1763" spans="1:21" hidden="1" x14ac:dyDescent="0.35">
      <c r="A1763" s="466" t="s">
        <v>5349</v>
      </c>
      <c r="B1763" s="535" t="s">
        <v>5329</v>
      </c>
      <c r="C1763" s="467">
        <v>42257</v>
      </c>
      <c r="D1763" s="467">
        <v>42257</v>
      </c>
      <c r="E1763" s="467"/>
      <c r="F1763" s="493" t="s">
        <v>3904</v>
      </c>
      <c r="G1763" s="493" t="s">
        <v>5288</v>
      </c>
      <c r="H1763" s="433" t="s">
        <v>5163</v>
      </c>
      <c r="I1763" s="484">
        <f t="shared" si="127"/>
        <v>4976.125</v>
      </c>
      <c r="J1763" s="375">
        <f t="shared" si="128"/>
        <v>1282.294853846154</v>
      </c>
      <c r="K1763" s="376">
        <f t="shared" si="125"/>
        <v>712.44302079692307</v>
      </c>
      <c r="L1763" s="367">
        <f t="shared" si="126"/>
        <v>142.48860415938461</v>
      </c>
      <c r="M1763" s="367" t="s">
        <v>6169</v>
      </c>
      <c r="N1763" s="463" t="s">
        <v>3785</v>
      </c>
      <c r="O1763" s="463" t="s">
        <v>3786</v>
      </c>
      <c r="P1763" s="464" t="s">
        <v>3659</v>
      </c>
      <c r="Q1763" s="431">
        <v>0.2</v>
      </c>
      <c r="R1763" s="430">
        <v>1900002437</v>
      </c>
      <c r="S1763" s="466" t="s">
        <v>3475</v>
      </c>
      <c r="T1763" s="2" t="s">
        <v>5914</v>
      </c>
      <c r="U1763" s="466" t="s">
        <v>3475</v>
      </c>
    </row>
    <row r="1764" spans="1:21" hidden="1" x14ac:dyDescent="0.35">
      <c r="A1764" s="466" t="s">
        <v>5350</v>
      </c>
      <c r="B1764" s="535" t="s">
        <v>5329</v>
      </c>
      <c r="C1764" s="467">
        <v>42257</v>
      </c>
      <c r="D1764" s="467">
        <v>42257</v>
      </c>
      <c r="E1764" s="467"/>
      <c r="F1764" s="493" t="s">
        <v>3904</v>
      </c>
      <c r="G1764" s="493" t="s">
        <v>5288</v>
      </c>
      <c r="H1764" s="433" t="s">
        <v>5163</v>
      </c>
      <c r="I1764" s="484">
        <f t="shared" si="127"/>
        <v>4976.125</v>
      </c>
      <c r="J1764" s="375">
        <f t="shared" si="128"/>
        <v>1282.294853846154</v>
      </c>
      <c r="K1764" s="376">
        <f t="shared" si="125"/>
        <v>712.44302079692307</v>
      </c>
      <c r="L1764" s="367">
        <f t="shared" si="126"/>
        <v>142.48860415938461</v>
      </c>
      <c r="M1764" s="367" t="s">
        <v>6169</v>
      </c>
      <c r="N1764" s="463" t="s">
        <v>3785</v>
      </c>
      <c r="O1764" s="463" t="s">
        <v>3786</v>
      </c>
      <c r="P1764" s="464" t="s">
        <v>3659</v>
      </c>
      <c r="Q1764" s="431">
        <v>0.2</v>
      </c>
      <c r="R1764" s="430">
        <v>1900002437</v>
      </c>
      <c r="S1764" s="466" t="s">
        <v>3475</v>
      </c>
      <c r="T1764" s="2" t="s">
        <v>5914</v>
      </c>
      <c r="U1764" s="466" t="s">
        <v>3475</v>
      </c>
    </row>
    <row r="1765" spans="1:21" hidden="1" x14ac:dyDescent="0.35">
      <c r="A1765" s="494" t="s">
        <v>5351</v>
      </c>
      <c r="B1765" s="535" t="s">
        <v>5329</v>
      </c>
      <c r="C1765" s="467">
        <v>42257</v>
      </c>
      <c r="D1765" s="467">
        <v>42257</v>
      </c>
      <c r="E1765" s="467"/>
      <c r="F1765" s="493" t="s">
        <v>3904</v>
      </c>
      <c r="G1765" s="493" t="s">
        <v>5288</v>
      </c>
      <c r="H1765" s="433" t="s">
        <v>5163</v>
      </c>
      <c r="I1765" s="484">
        <f t="shared" si="127"/>
        <v>4976.125</v>
      </c>
      <c r="J1765" s="375">
        <f t="shared" si="128"/>
        <v>1282.294853846154</v>
      </c>
      <c r="K1765" s="376">
        <f t="shared" si="125"/>
        <v>712.44302079692307</v>
      </c>
      <c r="L1765" s="367">
        <f t="shared" si="126"/>
        <v>142.48860415938461</v>
      </c>
      <c r="M1765" s="367" t="s">
        <v>6169</v>
      </c>
      <c r="N1765" s="463" t="s">
        <v>3785</v>
      </c>
      <c r="O1765" s="463" t="s">
        <v>3786</v>
      </c>
      <c r="P1765" s="464" t="s">
        <v>3659</v>
      </c>
      <c r="Q1765" s="431">
        <v>0.2</v>
      </c>
      <c r="R1765" s="430">
        <v>1900002437</v>
      </c>
      <c r="S1765" s="466" t="s">
        <v>3475</v>
      </c>
      <c r="T1765" s="2" t="s">
        <v>5914</v>
      </c>
      <c r="U1765" s="466" t="s">
        <v>3475</v>
      </c>
    </row>
    <row r="1766" spans="1:21" hidden="1" x14ac:dyDescent="0.35">
      <c r="A1766" s="466" t="s">
        <v>5352</v>
      </c>
      <c r="B1766" s="535" t="s">
        <v>5329</v>
      </c>
      <c r="C1766" s="467">
        <v>42257</v>
      </c>
      <c r="D1766" s="467">
        <v>42257</v>
      </c>
      <c r="E1766" s="467"/>
      <c r="F1766" s="493" t="s">
        <v>3904</v>
      </c>
      <c r="G1766" s="493" t="s">
        <v>5288</v>
      </c>
      <c r="H1766" s="433" t="s">
        <v>5163</v>
      </c>
      <c r="I1766" s="484">
        <f t="shared" si="127"/>
        <v>4976.125</v>
      </c>
      <c r="J1766" s="375">
        <f t="shared" si="128"/>
        <v>1282.294853846154</v>
      </c>
      <c r="K1766" s="376">
        <f t="shared" si="125"/>
        <v>712.44302079692307</v>
      </c>
      <c r="L1766" s="367">
        <f t="shared" si="126"/>
        <v>142.48860415938461</v>
      </c>
      <c r="M1766" s="367" t="s">
        <v>6169</v>
      </c>
      <c r="N1766" s="463" t="s">
        <v>3785</v>
      </c>
      <c r="O1766" s="463" t="s">
        <v>3786</v>
      </c>
      <c r="P1766" s="464" t="s">
        <v>3659</v>
      </c>
      <c r="Q1766" s="431">
        <v>0.2</v>
      </c>
      <c r="R1766" s="430">
        <v>1900002437</v>
      </c>
      <c r="S1766" s="466" t="s">
        <v>3475</v>
      </c>
      <c r="T1766" s="2" t="s">
        <v>5914</v>
      </c>
      <c r="U1766" s="466" t="s">
        <v>3475</v>
      </c>
    </row>
    <row r="1767" spans="1:21" hidden="1" x14ac:dyDescent="0.35">
      <c r="A1767" s="466" t="s">
        <v>5353</v>
      </c>
      <c r="B1767" s="535" t="s">
        <v>5329</v>
      </c>
      <c r="C1767" s="467">
        <v>42257</v>
      </c>
      <c r="D1767" s="467">
        <v>42257</v>
      </c>
      <c r="E1767" s="467"/>
      <c r="F1767" s="493" t="s">
        <v>3904</v>
      </c>
      <c r="G1767" s="493" t="s">
        <v>5288</v>
      </c>
      <c r="H1767" s="433" t="s">
        <v>5163</v>
      </c>
      <c r="I1767" s="484">
        <f t="shared" si="127"/>
        <v>4976.125</v>
      </c>
      <c r="J1767" s="375">
        <f t="shared" si="128"/>
        <v>1282.294853846154</v>
      </c>
      <c r="K1767" s="376">
        <f t="shared" si="125"/>
        <v>712.44302079692307</v>
      </c>
      <c r="L1767" s="367">
        <f t="shared" si="126"/>
        <v>142.48860415938461</v>
      </c>
      <c r="M1767" s="367" t="s">
        <v>6169</v>
      </c>
      <c r="N1767" s="463" t="s">
        <v>3785</v>
      </c>
      <c r="O1767" s="463" t="s">
        <v>3786</v>
      </c>
      <c r="P1767" s="464" t="s">
        <v>3659</v>
      </c>
      <c r="Q1767" s="431">
        <v>0.2</v>
      </c>
      <c r="R1767" s="430">
        <v>1900002437</v>
      </c>
      <c r="S1767" s="466" t="s">
        <v>3475</v>
      </c>
      <c r="T1767" s="2" t="s">
        <v>5914</v>
      </c>
      <c r="U1767" s="466" t="s">
        <v>3475</v>
      </c>
    </row>
    <row r="1768" spans="1:21" hidden="1" x14ac:dyDescent="0.35">
      <c r="A1768" s="494" t="s">
        <v>5354</v>
      </c>
      <c r="B1768" s="535" t="s">
        <v>5329</v>
      </c>
      <c r="C1768" s="467">
        <v>42257</v>
      </c>
      <c r="D1768" s="467">
        <v>42257</v>
      </c>
      <c r="E1768" s="467"/>
      <c r="F1768" s="493" t="s">
        <v>3904</v>
      </c>
      <c r="G1768" s="493" t="s">
        <v>5288</v>
      </c>
      <c r="H1768" s="433" t="s">
        <v>5163</v>
      </c>
      <c r="I1768" s="484">
        <f t="shared" si="127"/>
        <v>4976.125</v>
      </c>
      <c r="J1768" s="375">
        <f t="shared" si="128"/>
        <v>1282.294853846154</v>
      </c>
      <c r="K1768" s="376">
        <f t="shared" si="125"/>
        <v>712.44302079692307</v>
      </c>
      <c r="L1768" s="367">
        <f t="shared" si="126"/>
        <v>142.48860415938461</v>
      </c>
      <c r="M1768" s="367" t="s">
        <v>6169</v>
      </c>
      <c r="N1768" s="463" t="s">
        <v>3785</v>
      </c>
      <c r="O1768" s="463" t="s">
        <v>3786</v>
      </c>
      <c r="P1768" s="464" t="s">
        <v>3659</v>
      </c>
      <c r="Q1768" s="431">
        <v>0.2</v>
      </c>
      <c r="R1768" s="430">
        <v>1900002437</v>
      </c>
      <c r="S1768" s="466" t="s">
        <v>3475</v>
      </c>
      <c r="T1768" s="2" t="s">
        <v>5914</v>
      </c>
      <c r="U1768" s="466" t="s">
        <v>3475</v>
      </c>
    </row>
    <row r="1769" spans="1:21" hidden="1" x14ac:dyDescent="0.35">
      <c r="A1769" s="466" t="s">
        <v>5355</v>
      </c>
      <c r="B1769" s="535" t="s">
        <v>5329</v>
      </c>
      <c r="C1769" s="467">
        <v>42257</v>
      </c>
      <c r="D1769" s="467">
        <v>42257</v>
      </c>
      <c r="E1769" s="467"/>
      <c r="F1769" s="493" t="s">
        <v>3904</v>
      </c>
      <c r="G1769" s="493" t="s">
        <v>5288</v>
      </c>
      <c r="H1769" s="433" t="s">
        <v>5163</v>
      </c>
      <c r="I1769" s="484">
        <f t="shared" si="127"/>
        <v>4976.125</v>
      </c>
      <c r="J1769" s="375">
        <f t="shared" si="128"/>
        <v>1282.294853846154</v>
      </c>
      <c r="K1769" s="376">
        <f t="shared" si="125"/>
        <v>712.44302079692307</v>
      </c>
      <c r="L1769" s="367">
        <f t="shared" si="126"/>
        <v>142.48860415938461</v>
      </c>
      <c r="M1769" s="367" t="s">
        <v>6169</v>
      </c>
      <c r="N1769" s="463" t="s">
        <v>3785</v>
      </c>
      <c r="O1769" s="463" t="s">
        <v>3786</v>
      </c>
      <c r="P1769" s="464" t="s">
        <v>3659</v>
      </c>
      <c r="Q1769" s="431">
        <v>0.2</v>
      </c>
      <c r="R1769" s="430">
        <v>1900002437</v>
      </c>
      <c r="S1769" s="466" t="s">
        <v>3475</v>
      </c>
      <c r="T1769" s="2" t="s">
        <v>5914</v>
      </c>
      <c r="U1769" s="466" t="s">
        <v>3475</v>
      </c>
    </row>
    <row r="1770" spans="1:21" hidden="1" x14ac:dyDescent="0.35">
      <c r="A1770" s="466" t="s">
        <v>5356</v>
      </c>
      <c r="B1770" s="535" t="s">
        <v>5329</v>
      </c>
      <c r="C1770" s="467">
        <v>42257</v>
      </c>
      <c r="D1770" s="467">
        <v>42257</v>
      </c>
      <c r="E1770" s="467"/>
      <c r="F1770" s="493" t="s">
        <v>3904</v>
      </c>
      <c r="G1770" s="493" t="s">
        <v>5288</v>
      </c>
      <c r="H1770" s="433" t="s">
        <v>5163</v>
      </c>
      <c r="I1770" s="484">
        <f t="shared" si="127"/>
        <v>4976.125</v>
      </c>
      <c r="J1770" s="375">
        <f t="shared" si="128"/>
        <v>1282.294853846154</v>
      </c>
      <c r="K1770" s="376">
        <f t="shared" si="125"/>
        <v>712.44302079692307</v>
      </c>
      <c r="L1770" s="367">
        <f t="shared" si="126"/>
        <v>142.48860415938461</v>
      </c>
      <c r="M1770" s="367" t="s">
        <v>6169</v>
      </c>
      <c r="N1770" s="463" t="s">
        <v>3785</v>
      </c>
      <c r="O1770" s="463" t="s">
        <v>3786</v>
      </c>
      <c r="P1770" s="464" t="s">
        <v>3659</v>
      </c>
      <c r="Q1770" s="431">
        <v>0.2</v>
      </c>
      <c r="R1770" s="430">
        <v>1900002437</v>
      </c>
      <c r="S1770" s="466" t="s">
        <v>3475</v>
      </c>
      <c r="T1770" s="2" t="s">
        <v>5914</v>
      </c>
      <c r="U1770" s="466" t="s">
        <v>3475</v>
      </c>
    </row>
    <row r="1771" spans="1:21" hidden="1" x14ac:dyDescent="0.35">
      <c r="A1771" s="466" t="s">
        <v>5357</v>
      </c>
      <c r="B1771" s="535" t="s">
        <v>5329</v>
      </c>
      <c r="C1771" s="467">
        <v>42257</v>
      </c>
      <c r="D1771" s="467">
        <v>42257</v>
      </c>
      <c r="E1771" s="467"/>
      <c r="F1771" s="493" t="s">
        <v>3904</v>
      </c>
      <c r="G1771" s="493" t="s">
        <v>5288</v>
      </c>
      <c r="H1771" s="433" t="s">
        <v>5163</v>
      </c>
      <c r="I1771" s="484">
        <f t="shared" si="127"/>
        <v>4976.125</v>
      </c>
      <c r="J1771" s="375">
        <f t="shared" si="128"/>
        <v>1282.294853846154</v>
      </c>
      <c r="K1771" s="376">
        <f t="shared" si="125"/>
        <v>712.44302079692307</v>
      </c>
      <c r="L1771" s="367">
        <f t="shared" si="126"/>
        <v>142.48860415938461</v>
      </c>
      <c r="M1771" s="367" t="s">
        <v>6169</v>
      </c>
      <c r="N1771" s="463" t="s">
        <v>3785</v>
      </c>
      <c r="O1771" s="463" t="s">
        <v>3786</v>
      </c>
      <c r="P1771" s="464" t="s">
        <v>3659</v>
      </c>
      <c r="Q1771" s="431">
        <v>0.2</v>
      </c>
      <c r="R1771" s="430">
        <v>1900002437</v>
      </c>
      <c r="S1771" s="466" t="s">
        <v>3475</v>
      </c>
      <c r="T1771" s="2" t="s">
        <v>5914</v>
      </c>
      <c r="U1771" s="466" t="s">
        <v>3475</v>
      </c>
    </row>
    <row r="1772" spans="1:21" hidden="1" x14ac:dyDescent="0.35">
      <c r="A1772" s="494" t="s">
        <v>5358</v>
      </c>
      <c r="B1772" s="535" t="s">
        <v>5329</v>
      </c>
      <c r="C1772" s="467">
        <v>42257</v>
      </c>
      <c r="D1772" s="467">
        <v>42257</v>
      </c>
      <c r="E1772" s="467"/>
      <c r="F1772" s="493" t="s">
        <v>3904</v>
      </c>
      <c r="G1772" s="493" t="s">
        <v>5288</v>
      </c>
      <c r="H1772" s="433" t="s">
        <v>5163</v>
      </c>
      <c r="I1772" s="484">
        <f t="shared" si="127"/>
        <v>4976.125</v>
      </c>
      <c r="J1772" s="375">
        <f t="shared" si="128"/>
        <v>1282.294853846154</v>
      </c>
      <c r="K1772" s="376">
        <f t="shared" si="125"/>
        <v>712.44302079692307</v>
      </c>
      <c r="L1772" s="367">
        <f t="shared" si="126"/>
        <v>142.48860415938461</v>
      </c>
      <c r="M1772" s="367" t="s">
        <v>6169</v>
      </c>
      <c r="N1772" s="463" t="s">
        <v>3785</v>
      </c>
      <c r="O1772" s="463" t="s">
        <v>3786</v>
      </c>
      <c r="P1772" s="464" t="s">
        <v>3659</v>
      </c>
      <c r="Q1772" s="431">
        <v>0.2</v>
      </c>
      <c r="R1772" s="430">
        <v>1900002437</v>
      </c>
      <c r="S1772" s="466" t="s">
        <v>3475</v>
      </c>
      <c r="T1772" s="2" t="s">
        <v>5914</v>
      </c>
      <c r="U1772" s="466" t="s">
        <v>3475</v>
      </c>
    </row>
    <row r="1773" spans="1:21" hidden="1" x14ac:dyDescent="0.35">
      <c r="A1773" s="494" t="s">
        <v>5359</v>
      </c>
      <c r="B1773" s="535" t="s">
        <v>5329</v>
      </c>
      <c r="C1773" s="467">
        <v>42257</v>
      </c>
      <c r="D1773" s="467">
        <v>42257</v>
      </c>
      <c r="E1773" s="467"/>
      <c r="F1773" s="493" t="s">
        <v>3904</v>
      </c>
      <c r="G1773" s="493" t="s">
        <v>5288</v>
      </c>
      <c r="H1773" s="433" t="s">
        <v>5163</v>
      </c>
      <c r="I1773" s="484">
        <f t="shared" si="127"/>
        <v>4976.125</v>
      </c>
      <c r="J1773" s="375">
        <f t="shared" si="128"/>
        <v>1282.294853846154</v>
      </c>
      <c r="K1773" s="376">
        <f t="shared" si="125"/>
        <v>712.44302079692307</v>
      </c>
      <c r="L1773" s="367">
        <f t="shared" si="126"/>
        <v>142.48860415938461</v>
      </c>
      <c r="M1773" s="367" t="s">
        <v>6169</v>
      </c>
      <c r="N1773" s="463" t="s">
        <v>3785</v>
      </c>
      <c r="O1773" s="463" t="s">
        <v>3786</v>
      </c>
      <c r="P1773" s="464" t="s">
        <v>3659</v>
      </c>
      <c r="Q1773" s="431">
        <v>0.2</v>
      </c>
      <c r="R1773" s="430">
        <v>1900002437</v>
      </c>
      <c r="S1773" s="466" t="s">
        <v>3475</v>
      </c>
      <c r="T1773" s="2" t="s">
        <v>5914</v>
      </c>
      <c r="U1773" s="466" t="s">
        <v>3475</v>
      </c>
    </row>
    <row r="1774" spans="1:21" hidden="1" x14ac:dyDescent="0.35">
      <c r="A1774" s="466" t="s">
        <v>5360</v>
      </c>
      <c r="B1774" s="535" t="s">
        <v>5329</v>
      </c>
      <c r="C1774" s="467">
        <v>42257</v>
      </c>
      <c r="D1774" s="467">
        <v>42257</v>
      </c>
      <c r="E1774" s="467"/>
      <c r="F1774" s="493" t="s">
        <v>3904</v>
      </c>
      <c r="G1774" s="493" t="s">
        <v>5288</v>
      </c>
      <c r="H1774" s="433" t="s">
        <v>5163</v>
      </c>
      <c r="I1774" s="484">
        <f t="shared" si="127"/>
        <v>4976.125</v>
      </c>
      <c r="J1774" s="375">
        <f t="shared" si="128"/>
        <v>1282.294853846154</v>
      </c>
      <c r="K1774" s="376">
        <f t="shared" si="125"/>
        <v>712.44302079692307</v>
      </c>
      <c r="L1774" s="367">
        <f t="shared" si="126"/>
        <v>142.48860415938461</v>
      </c>
      <c r="M1774" s="367" t="s">
        <v>6169</v>
      </c>
      <c r="N1774" s="463" t="s">
        <v>3785</v>
      </c>
      <c r="O1774" s="463" t="s">
        <v>3786</v>
      </c>
      <c r="P1774" s="464" t="s">
        <v>3659</v>
      </c>
      <c r="Q1774" s="431">
        <v>0.2</v>
      </c>
      <c r="R1774" s="430">
        <v>1900002437</v>
      </c>
      <c r="S1774" s="466" t="s">
        <v>3475</v>
      </c>
      <c r="T1774" s="2" t="s">
        <v>5914</v>
      </c>
      <c r="U1774" s="466" t="s">
        <v>3475</v>
      </c>
    </row>
    <row r="1775" spans="1:21" hidden="1" x14ac:dyDescent="0.35">
      <c r="A1775" s="466" t="s">
        <v>5361</v>
      </c>
      <c r="B1775" s="535" t="s">
        <v>5329</v>
      </c>
      <c r="C1775" s="467">
        <v>42257</v>
      </c>
      <c r="D1775" s="467">
        <v>42257</v>
      </c>
      <c r="E1775" s="467"/>
      <c r="F1775" s="493" t="s">
        <v>3904</v>
      </c>
      <c r="G1775" s="493" t="s">
        <v>5288</v>
      </c>
      <c r="H1775" s="433" t="s">
        <v>5163</v>
      </c>
      <c r="I1775" s="484">
        <f t="shared" si="127"/>
        <v>4976.125</v>
      </c>
      <c r="J1775" s="375">
        <f t="shared" si="128"/>
        <v>1282.294853846154</v>
      </c>
      <c r="K1775" s="376">
        <f t="shared" si="125"/>
        <v>712.44302079692307</v>
      </c>
      <c r="L1775" s="367">
        <f t="shared" si="126"/>
        <v>142.48860415938461</v>
      </c>
      <c r="M1775" s="367" t="s">
        <v>6169</v>
      </c>
      <c r="N1775" s="463" t="s">
        <v>3785</v>
      </c>
      <c r="O1775" s="463" t="s">
        <v>3786</v>
      </c>
      <c r="P1775" s="464" t="s">
        <v>3659</v>
      </c>
      <c r="Q1775" s="431">
        <v>0.2</v>
      </c>
      <c r="R1775" s="430">
        <v>1900002437</v>
      </c>
      <c r="S1775" s="466" t="s">
        <v>3475</v>
      </c>
      <c r="T1775" s="2" t="s">
        <v>5914</v>
      </c>
      <c r="U1775" s="466" t="s">
        <v>3475</v>
      </c>
    </row>
    <row r="1776" spans="1:21" hidden="1" x14ac:dyDescent="0.35">
      <c r="A1776" s="466" t="s">
        <v>5362</v>
      </c>
      <c r="B1776" s="535" t="s">
        <v>5329</v>
      </c>
      <c r="C1776" s="467">
        <v>42257</v>
      </c>
      <c r="D1776" s="467">
        <v>42257</v>
      </c>
      <c r="E1776" s="467"/>
      <c r="F1776" s="493" t="s">
        <v>3904</v>
      </c>
      <c r="G1776" s="493" t="s">
        <v>5288</v>
      </c>
      <c r="H1776" s="433" t="s">
        <v>5163</v>
      </c>
      <c r="I1776" s="484">
        <f t="shared" si="127"/>
        <v>4976.125</v>
      </c>
      <c r="J1776" s="375">
        <f t="shared" si="128"/>
        <v>1282.294853846154</v>
      </c>
      <c r="K1776" s="376">
        <f t="shared" si="125"/>
        <v>712.44302079692307</v>
      </c>
      <c r="L1776" s="367">
        <f t="shared" si="126"/>
        <v>142.48860415938461</v>
      </c>
      <c r="M1776" s="367" t="s">
        <v>6169</v>
      </c>
      <c r="N1776" s="463" t="s">
        <v>3785</v>
      </c>
      <c r="O1776" s="463" t="s">
        <v>3786</v>
      </c>
      <c r="P1776" s="464" t="s">
        <v>3659</v>
      </c>
      <c r="Q1776" s="431">
        <v>0.2</v>
      </c>
      <c r="R1776" s="430">
        <v>1900002437</v>
      </c>
      <c r="S1776" s="466" t="s">
        <v>3475</v>
      </c>
      <c r="T1776" s="2" t="s">
        <v>5914</v>
      </c>
      <c r="U1776" s="466" t="s">
        <v>3475</v>
      </c>
    </row>
    <row r="1777" spans="1:21" hidden="1" x14ac:dyDescent="0.35">
      <c r="A1777" s="494" t="s">
        <v>5363</v>
      </c>
      <c r="B1777" s="535" t="s">
        <v>5329</v>
      </c>
      <c r="C1777" s="467">
        <v>42257</v>
      </c>
      <c r="D1777" s="467">
        <v>42257</v>
      </c>
      <c r="E1777" s="467"/>
      <c r="F1777" s="493" t="s">
        <v>3904</v>
      </c>
      <c r="G1777" s="493" t="s">
        <v>5288</v>
      </c>
      <c r="H1777" s="433" t="s">
        <v>5163</v>
      </c>
      <c r="I1777" s="484">
        <f t="shared" si="127"/>
        <v>4976.125</v>
      </c>
      <c r="J1777" s="375">
        <f t="shared" si="128"/>
        <v>1282.294853846154</v>
      </c>
      <c r="K1777" s="376">
        <f t="shared" si="125"/>
        <v>712.44302079692307</v>
      </c>
      <c r="L1777" s="367">
        <f t="shared" si="126"/>
        <v>142.48860415938461</v>
      </c>
      <c r="M1777" s="367" t="s">
        <v>6169</v>
      </c>
      <c r="N1777" s="463" t="s">
        <v>3785</v>
      </c>
      <c r="O1777" s="463" t="s">
        <v>3786</v>
      </c>
      <c r="P1777" s="464" t="s">
        <v>3659</v>
      </c>
      <c r="Q1777" s="431">
        <v>0.2</v>
      </c>
      <c r="R1777" s="430">
        <v>1900002437</v>
      </c>
      <c r="S1777" s="466" t="s">
        <v>3475</v>
      </c>
      <c r="T1777" s="2" t="s">
        <v>5914</v>
      </c>
      <c r="U1777" s="466" t="s">
        <v>3475</v>
      </c>
    </row>
    <row r="1778" spans="1:21" hidden="1" x14ac:dyDescent="0.35">
      <c r="A1778" s="466" t="s">
        <v>5364</v>
      </c>
      <c r="B1778" s="535" t="s">
        <v>5329</v>
      </c>
      <c r="C1778" s="467">
        <v>42257</v>
      </c>
      <c r="D1778" s="467">
        <v>42257</v>
      </c>
      <c r="E1778" s="467"/>
      <c r="F1778" s="493" t="s">
        <v>3904</v>
      </c>
      <c r="G1778" s="493" t="s">
        <v>5288</v>
      </c>
      <c r="H1778" s="433" t="s">
        <v>5163</v>
      </c>
      <c r="I1778" s="484">
        <f t="shared" si="127"/>
        <v>4976.125</v>
      </c>
      <c r="J1778" s="375">
        <f t="shared" si="128"/>
        <v>1282.294853846154</v>
      </c>
      <c r="K1778" s="376">
        <f t="shared" si="125"/>
        <v>712.44302079692307</v>
      </c>
      <c r="L1778" s="367">
        <f t="shared" si="126"/>
        <v>142.48860415938461</v>
      </c>
      <c r="M1778" s="367" t="s">
        <v>6169</v>
      </c>
      <c r="N1778" s="463" t="s">
        <v>3785</v>
      </c>
      <c r="O1778" s="463" t="s">
        <v>3786</v>
      </c>
      <c r="P1778" s="464" t="s">
        <v>3659</v>
      </c>
      <c r="Q1778" s="431">
        <v>0.2</v>
      </c>
      <c r="R1778" s="430">
        <v>1900002437</v>
      </c>
      <c r="S1778" s="466" t="s">
        <v>3475</v>
      </c>
      <c r="T1778" s="2" t="s">
        <v>5914</v>
      </c>
      <c r="U1778" s="466" t="s">
        <v>3475</v>
      </c>
    </row>
    <row r="1779" spans="1:21" hidden="1" x14ac:dyDescent="0.35">
      <c r="A1779" s="466" t="s">
        <v>5365</v>
      </c>
      <c r="B1779" s="535" t="s">
        <v>5329</v>
      </c>
      <c r="C1779" s="467">
        <v>42257</v>
      </c>
      <c r="D1779" s="467">
        <v>42257</v>
      </c>
      <c r="E1779" s="467"/>
      <c r="F1779" s="493" t="s">
        <v>3904</v>
      </c>
      <c r="G1779" s="493" t="s">
        <v>5288</v>
      </c>
      <c r="H1779" s="433" t="s">
        <v>5163</v>
      </c>
      <c r="I1779" s="484">
        <f t="shared" si="127"/>
        <v>4976.125</v>
      </c>
      <c r="J1779" s="375">
        <f t="shared" si="128"/>
        <v>1282.294853846154</v>
      </c>
      <c r="K1779" s="376">
        <f t="shared" si="125"/>
        <v>712.44302079692307</v>
      </c>
      <c r="L1779" s="367">
        <f t="shared" si="126"/>
        <v>142.48860415938461</v>
      </c>
      <c r="M1779" s="367" t="s">
        <v>6169</v>
      </c>
      <c r="N1779" s="463" t="s">
        <v>3785</v>
      </c>
      <c r="O1779" s="463" t="s">
        <v>3786</v>
      </c>
      <c r="P1779" s="464" t="s">
        <v>3659</v>
      </c>
      <c r="Q1779" s="431">
        <v>0.2</v>
      </c>
      <c r="R1779" s="430">
        <v>1900002437</v>
      </c>
      <c r="S1779" s="466" t="s">
        <v>3475</v>
      </c>
      <c r="T1779" s="2" t="s">
        <v>5914</v>
      </c>
      <c r="U1779" s="466" t="s">
        <v>3475</v>
      </c>
    </row>
    <row r="1780" spans="1:21" hidden="1" x14ac:dyDescent="0.35">
      <c r="A1780" s="494" t="s">
        <v>5366</v>
      </c>
      <c r="B1780" s="535" t="s">
        <v>5329</v>
      </c>
      <c r="C1780" s="467">
        <v>42257</v>
      </c>
      <c r="D1780" s="467">
        <v>42257</v>
      </c>
      <c r="E1780" s="467"/>
      <c r="F1780" s="493" t="s">
        <v>3904</v>
      </c>
      <c r="G1780" s="493" t="s">
        <v>5288</v>
      </c>
      <c r="H1780" s="433" t="s">
        <v>5163</v>
      </c>
      <c r="I1780" s="484">
        <f t="shared" si="127"/>
        <v>4976.125</v>
      </c>
      <c r="J1780" s="375">
        <f t="shared" si="128"/>
        <v>1282.294853846154</v>
      </c>
      <c r="K1780" s="376">
        <f t="shared" si="125"/>
        <v>712.44302079692307</v>
      </c>
      <c r="L1780" s="367">
        <f t="shared" si="126"/>
        <v>142.48860415938461</v>
      </c>
      <c r="M1780" s="367" t="s">
        <v>6169</v>
      </c>
      <c r="N1780" s="463" t="s">
        <v>3785</v>
      </c>
      <c r="O1780" s="463" t="s">
        <v>3786</v>
      </c>
      <c r="P1780" s="464" t="s">
        <v>3659</v>
      </c>
      <c r="Q1780" s="431">
        <v>0.2</v>
      </c>
      <c r="R1780" s="430">
        <v>1900002437</v>
      </c>
      <c r="S1780" s="466" t="s">
        <v>3475</v>
      </c>
      <c r="T1780" s="2" t="s">
        <v>5914</v>
      </c>
      <c r="U1780" s="466" t="s">
        <v>3475</v>
      </c>
    </row>
    <row r="1781" spans="1:21" hidden="1" x14ac:dyDescent="0.35">
      <c r="A1781" s="466" t="s">
        <v>5367</v>
      </c>
      <c r="B1781" s="535" t="s">
        <v>5329</v>
      </c>
      <c r="C1781" s="467">
        <v>42257</v>
      </c>
      <c r="D1781" s="467">
        <v>42257</v>
      </c>
      <c r="E1781" s="467"/>
      <c r="F1781" s="493" t="s">
        <v>3904</v>
      </c>
      <c r="G1781" s="493" t="s">
        <v>5288</v>
      </c>
      <c r="H1781" s="433" t="s">
        <v>5163</v>
      </c>
      <c r="I1781" s="484">
        <f t="shared" si="127"/>
        <v>4976.125</v>
      </c>
      <c r="J1781" s="375">
        <f t="shared" si="128"/>
        <v>1282.294853846154</v>
      </c>
      <c r="K1781" s="376">
        <f t="shared" si="125"/>
        <v>712.44302079692307</v>
      </c>
      <c r="L1781" s="367">
        <f t="shared" si="126"/>
        <v>142.48860415938461</v>
      </c>
      <c r="M1781" s="367" t="s">
        <v>6169</v>
      </c>
      <c r="N1781" s="463" t="s">
        <v>3785</v>
      </c>
      <c r="O1781" s="463" t="s">
        <v>3786</v>
      </c>
      <c r="P1781" s="464" t="s">
        <v>3659</v>
      </c>
      <c r="Q1781" s="431">
        <v>0.2</v>
      </c>
      <c r="R1781" s="430">
        <v>1900002437</v>
      </c>
      <c r="S1781" s="466" t="s">
        <v>3475</v>
      </c>
      <c r="T1781" s="2" t="s">
        <v>5914</v>
      </c>
      <c r="U1781" s="466" t="s">
        <v>3475</v>
      </c>
    </row>
    <row r="1782" spans="1:21" hidden="1" x14ac:dyDescent="0.35">
      <c r="A1782" s="466" t="s">
        <v>5368</v>
      </c>
      <c r="B1782" s="535" t="s">
        <v>5329</v>
      </c>
      <c r="C1782" s="467">
        <v>42257</v>
      </c>
      <c r="D1782" s="467">
        <v>42257</v>
      </c>
      <c r="E1782" s="467"/>
      <c r="F1782" s="493" t="s">
        <v>3904</v>
      </c>
      <c r="G1782" s="493" t="s">
        <v>5288</v>
      </c>
      <c r="H1782" s="433" t="s">
        <v>5163</v>
      </c>
      <c r="I1782" s="484">
        <f t="shared" si="127"/>
        <v>4976.125</v>
      </c>
      <c r="J1782" s="375">
        <f t="shared" si="128"/>
        <v>1282.294853846154</v>
      </c>
      <c r="K1782" s="376">
        <f t="shared" si="125"/>
        <v>712.44302079692307</v>
      </c>
      <c r="L1782" s="367">
        <f t="shared" si="126"/>
        <v>142.48860415938461</v>
      </c>
      <c r="M1782" s="367" t="s">
        <v>6169</v>
      </c>
      <c r="N1782" s="463" t="s">
        <v>3785</v>
      </c>
      <c r="O1782" s="463" t="s">
        <v>3786</v>
      </c>
      <c r="P1782" s="464" t="s">
        <v>3659</v>
      </c>
      <c r="Q1782" s="431">
        <v>0.2</v>
      </c>
      <c r="R1782" s="430">
        <v>1900002437</v>
      </c>
      <c r="S1782" s="466" t="s">
        <v>3475</v>
      </c>
      <c r="T1782" s="2" t="s">
        <v>5914</v>
      </c>
      <c r="U1782" s="466" t="s">
        <v>3475</v>
      </c>
    </row>
    <row r="1783" spans="1:21" hidden="1" x14ac:dyDescent="0.35">
      <c r="A1783" s="466" t="s">
        <v>5369</v>
      </c>
      <c r="B1783" s="535" t="s">
        <v>5329</v>
      </c>
      <c r="C1783" s="467">
        <v>42257</v>
      </c>
      <c r="D1783" s="467">
        <v>42257</v>
      </c>
      <c r="E1783" s="467"/>
      <c r="F1783" s="493" t="s">
        <v>3904</v>
      </c>
      <c r="G1783" s="493" t="s">
        <v>5288</v>
      </c>
      <c r="H1783" s="433" t="s">
        <v>5163</v>
      </c>
      <c r="I1783" s="484">
        <f t="shared" si="127"/>
        <v>4976.125</v>
      </c>
      <c r="J1783" s="375">
        <f t="shared" si="128"/>
        <v>1282.294853846154</v>
      </c>
      <c r="K1783" s="376">
        <f t="shared" si="125"/>
        <v>712.44302079692307</v>
      </c>
      <c r="L1783" s="367">
        <f t="shared" si="126"/>
        <v>142.48860415938461</v>
      </c>
      <c r="M1783" s="367" t="s">
        <v>6169</v>
      </c>
      <c r="N1783" s="463" t="s">
        <v>3785</v>
      </c>
      <c r="O1783" s="463" t="s">
        <v>3786</v>
      </c>
      <c r="P1783" s="464" t="s">
        <v>3659</v>
      </c>
      <c r="Q1783" s="431">
        <v>0.2</v>
      </c>
      <c r="R1783" s="430">
        <v>1900002437</v>
      </c>
      <c r="S1783" s="466" t="s">
        <v>3475</v>
      </c>
      <c r="T1783" s="2" t="s">
        <v>5914</v>
      </c>
      <c r="U1783" s="466" t="s">
        <v>3475</v>
      </c>
    </row>
    <row r="1784" spans="1:21" hidden="1" x14ac:dyDescent="0.35">
      <c r="A1784" s="494" t="s">
        <v>5370</v>
      </c>
      <c r="B1784" s="535" t="s">
        <v>5329</v>
      </c>
      <c r="C1784" s="467">
        <v>42257</v>
      </c>
      <c r="D1784" s="467">
        <v>42257</v>
      </c>
      <c r="E1784" s="467"/>
      <c r="F1784" s="493" t="s">
        <v>3904</v>
      </c>
      <c r="G1784" s="493" t="s">
        <v>5288</v>
      </c>
      <c r="H1784" s="433" t="s">
        <v>5163</v>
      </c>
      <c r="I1784" s="484">
        <f t="shared" si="127"/>
        <v>4976.125</v>
      </c>
      <c r="J1784" s="375">
        <f t="shared" si="128"/>
        <v>1282.294853846154</v>
      </c>
      <c r="K1784" s="376">
        <f t="shared" si="125"/>
        <v>712.44302079692307</v>
      </c>
      <c r="L1784" s="367">
        <f t="shared" si="126"/>
        <v>142.48860415938461</v>
      </c>
      <c r="M1784" s="367" t="s">
        <v>6169</v>
      </c>
      <c r="N1784" s="463" t="s">
        <v>3785</v>
      </c>
      <c r="O1784" s="463" t="s">
        <v>3786</v>
      </c>
      <c r="P1784" s="464" t="s">
        <v>3659</v>
      </c>
      <c r="Q1784" s="431">
        <v>0.2</v>
      </c>
      <c r="R1784" s="430">
        <v>1900002437</v>
      </c>
      <c r="S1784" s="466" t="s">
        <v>3475</v>
      </c>
      <c r="T1784" s="2" t="s">
        <v>5914</v>
      </c>
      <c r="U1784" s="466" t="s">
        <v>3475</v>
      </c>
    </row>
    <row r="1785" spans="1:21" hidden="1" x14ac:dyDescent="0.35">
      <c r="A1785" s="494" t="s">
        <v>5371</v>
      </c>
      <c r="B1785" s="535" t="s">
        <v>5329</v>
      </c>
      <c r="C1785" s="467">
        <v>42257</v>
      </c>
      <c r="D1785" s="467">
        <v>42257</v>
      </c>
      <c r="E1785" s="467"/>
      <c r="F1785" s="493" t="s">
        <v>3904</v>
      </c>
      <c r="G1785" s="493" t="s">
        <v>5288</v>
      </c>
      <c r="H1785" s="433" t="s">
        <v>5163</v>
      </c>
      <c r="I1785" s="484">
        <f t="shared" si="127"/>
        <v>4976.125</v>
      </c>
      <c r="J1785" s="375">
        <f t="shared" si="128"/>
        <v>1282.294853846154</v>
      </c>
      <c r="K1785" s="376">
        <f t="shared" ref="K1785:K1807" si="129">+J1785*0.5556</f>
        <v>712.44302079692307</v>
      </c>
      <c r="L1785" s="367">
        <f t="shared" ref="L1785:L1831" si="130">+K1785*Q1785</f>
        <v>142.48860415938461</v>
      </c>
      <c r="M1785" s="367" t="s">
        <v>6169</v>
      </c>
      <c r="N1785" s="463" t="s">
        <v>3785</v>
      </c>
      <c r="O1785" s="463" t="s">
        <v>3786</v>
      </c>
      <c r="P1785" s="464" t="s">
        <v>3659</v>
      </c>
      <c r="Q1785" s="431">
        <v>0.2</v>
      </c>
      <c r="R1785" s="430">
        <v>1900002437</v>
      </c>
      <c r="S1785" s="466" t="s">
        <v>3475</v>
      </c>
      <c r="T1785" s="2" t="s">
        <v>5914</v>
      </c>
      <c r="U1785" s="466" t="s">
        <v>3475</v>
      </c>
    </row>
    <row r="1786" spans="1:21" hidden="1" x14ac:dyDescent="0.35">
      <c r="A1786" s="466" t="s">
        <v>5372</v>
      </c>
      <c r="B1786" s="535" t="s">
        <v>5329</v>
      </c>
      <c r="C1786" s="467">
        <v>42257</v>
      </c>
      <c r="D1786" s="467">
        <v>42257</v>
      </c>
      <c r="E1786" s="467"/>
      <c r="F1786" s="493" t="s">
        <v>3904</v>
      </c>
      <c r="G1786" s="493" t="s">
        <v>5288</v>
      </c>
      <c r="H1786" s="433" t="s">
        <v>5163</v>
      </c>
      <c r="I1786" s="484">
        <f t="shared" si="127"/>
        <v>4976.125</v>
      </c>
      <c r="J1786" s="375">
        <f t="shared" si="128"/>
        <v>1282.294853846154</v>
      </c>
      <c r="K1786" s="376">
        <f t="shared" si="129"/>
        <v>712.44302079692307</v>
      </c>
      <c r="L1786" s="367">
        <f t="shared" si="130"/>
        <v>142.48860415938461</v>
      </c>
      <c r="M1786" s="367" t="s">
        <v>6169</v>
      </c>
      <c r="N1786" s="463" t="s">
        <v>3785</v>
      </c>
      <c r="O1786" s="463" t="s">
        <v>3786</v>
      </c>
      <c r="P1786" s="464" t="s">
        <v>3659</v>
      </c>
      <c r="Q1786" s="431">
        <v>0.2</v>
      </c>
      <c r="R1786" s="430">
        <v>1900002437</v>
      </c>
      <c r="S1786" s="466" t="s">
        <v>3475</v>
      </c>
      <c r="T1786" s="2" t="s">
        <v>5914</v>
      </c>
      <c r="U1786" s="466" t="s">
        <v>3475</v>
      </c>
    </row>
    <row r="1787" spans="1:21" hidden="1" x14ac:dyDescent="0.35">
      <c r="A1787" s="466" t="s">
        <v>5373</v>
      </c>
      <c r="B1787" s="535" t="s">
        <v>5329</v>
      </c>
      <c r="C1787" s="467">
        <v>42257</v>
      </c>
      <c r="D1787" s="467">
        <v>42257</v>
      </c>
      <c r="E1787" s="467"/>
      <c r="F1787" s="493" t="s">
        <v>3904</v>
      </c>
      <c r="G1787" s="493" t="s">
        <v>5288</v>
      </c>
      <c r="H1787" s="433" t="s">
        <v>5163</v>
      </c>
      <c r="I1787" s="484">
        <f t="shared" si="127"/>
        <v>4976.125</v>
      </c>
      <c r="J1787" s="375">
        <f t="shared" si="128"/>
        <v>1282.294853846154</v>
      </c>
      <c r="K1787" s="376">
        <f t="shared" si="129"/>
        <v>712.44302079692307</v>
      </c>
      <c r="L1787" s="367">
        <f t="shared" si="130"/>
        <v>142.48860415938461</v>
      </c>
      <c r="M1787" s="367" t="s">
        <v>6169</v>
      </c>
      <c r="N1787" s="463" t="s">
        <v>3785</v>
      </c>
      <c r="O1787" s="463" t="s">
        <v>3786</v>
      </c>
      <c r="P1787" s="464" t="s">
        <v>3659</v>
      </c>
      <c r="Q1787" s="431">
        <v>0.2</v>
      </c>
      <c r="R1787" s="430">
        <v>1900002437</v>
      </c>
      <c r="S1787" s="466" t="s">
        <v>3475</v>
      </c>
      <c r="T1787" s="2" t="s">
        <v>5914</v>
      </c>
      <c r="U1787" s="466" t="s">
        <v>3475</v>
      </c>
    </row>
    <row r="1788" spans="1:21" hidden="1" x14ac:dyDescent="0.35">
      <c r="A1788" s="466" t="s">
        <v>5374</v>
      </c>
      <c r="B1788" s="535" t="s">
        <v>5329</v>
      </c>
      <c r="C1788" s="467">
        <v>42257</v>
      </c>
      <c r="D1788" s="467">
        <v>42257</v>
      </c>
      <c r="E1788" s="467"/>
      <c r="F1788" s="493" t="s">
        <v>3904</v>
      </c>
      <c r="G1788" s="493" t="s">
        <v>5288</v>
      </c>
      <c r="H1788" s="433" t="s">
        <v>5163</v>
      </c>
      <c r="I1788" s="484">
        <f t="shared" si="127"/>
        <v>4976.125</v>
      </c>
      <c r="J1788" s="375">
        <f t="shared" si="128"/>
        <v>1282.294853846154</v>
      </c>
      <c r="K1788" s="376">
        <f t="shared" si="129"/>
        <v>712.44302079692307</v>
      </c>
      <c r="L1788" s="367">
        <f t="shared" si="130"/>
        <v>142.48860415938461</v>
      </c>
      <c r="M1788" s="367" t="s">
        <v>6169</v>
      </c>
      <c r="N1788" s="463" t="s">
        <v>3785</v>
      </c>
      <c r="O1788" s="463" t="s">
        <v>3786</v>
      </c>
      <c r="P1788" s="464" t="s">
        <v>3659</v>
      </c>
      <c r="Q1788" s="431">
        <v>0.2</v>
      </c>
      <c r="R1788" s="430">
        <v>1900002437</v>
      </c>
      <c r="S1788" s="466" t="s">
        <v>3475</v>
      </c>
      <c r="T1788" s="2" t="s">
        <v>5914</v>
      </c>
      <c r="U1788" s="466" t="s">
        <v>3475</v>
      </c>
    </row>
    <row r="1789" spans="1:21" hidden="1" x14ac:dyDescent="0.35">
      <c r="A1789" s="494" t="s">
        <v>5375</v>
      </c>
      <c r="B1789" s="535" t="s">
        <v>5329</v>
      </c>
      <c r="C1789" s="467">
        <v>42257</v>
      </c>
      <c r="D1789" s="467">
        <v>42257</v>
      </c>
      <c r="E1789" s="467"/>
      <c r="F1789" s="493" t="s">
        <v>3904</v>
      </c>
      <c r="G1789" s="493" t="s">
        <v>5288</v>
      </c>
      <c r="H1789" s="433" t="s">
        <v>5163</v>
      </c>
      <c r="I1789" s="484">
        <f t="shared" si="127"/>
        <v>4976.125</v>
      </c>
      <c r="J1789" s="375">
        <f t="shared" si="128"/>
        <v>1282.294853846154</v>
      </c>
      <c r="K1789" s="376">
        <f t="shared" si="129"/>
        <v>712.44302079692307</v>
      </c>
      <c r="L1789" s="367">
        <f t="shared" si="130"/>
        <v>142.48860415938461</v>
      </c>
      <c r="M1789" s="367" t="s">
        <v>6169</v>
      </c>
      <c r="N1789" s="463" t="s">
        <v>3785</v>
      </c>
      <c r="O1789" s="463" t="s">
        <v>3786</v>
      </c>
      <c r="P1789" s="464" t="s">
        <v>3659</v>
      </c>
      <c r="Q1789" s="431">
        <v>0.2</v>
      </c>
      <c r="R1789" s="430">
        <v>1900002437</v>
      </c>
      <c r="S1789" s="466" t="s">
        <v>3475</v>
      </c>
      <c r="T1789" s="2" t="s">
        <v>5914</v>
      </c>
      <c r="U1789" s="466" t="s">
        <v>3475</v>
      </c>
    </row>
    <row r="1790" spans="1:21" hidden="1" x14ac:dyDescent="0.35">
      <c r="A1790" s="466" t="s">
        <v>5376</v>
      </c>
      <c r="B1790" s="535" t="s">
        <v>5329</v>
      </c>
      <c r="C1790" s="467">
        <v>42257</v>
      </c>
      <c r="D1790" s="467">
        <v>42257</v>
      </c>
      <c r="E1790" s="467"/>
      <c r="F1790" s="493" t="s">
        <v>3904</v>
      </c>
      <c r="G1790" s="493" t="s">
        <v>5288</v>
      </c>
      <c r="H1790" s="433" t="s">
        <v>5163</v>
      </c>
      <c r="I1790" s="484">
        <f t="shared" si="127"/>
        <v>4976.125</v>
      </c>
      <c r="J1790" s="375">
        <f t="shared" si="128"/>
        <v>1282.294853846154</v>
      </c>
      <c r="K1790" s="376">
        <f t="shared" si="129"/>
        <v>712.44302079692307</v>
      </c>
      <c r="L1790" s="367">
        <f t="shared" si="130"/>
        <v>142.48860415938461</v>
      </c>
      <c r="M1790" s="367" t="s">
        <v>6169</v>
      </c>
      <c r="N1790" s="463" t="s">
        <v>3785</v>
      </c>
      <c r="O1790" s="463" t="s">
        <v>3786</v>
      </c>
      <c r="P1790" s="464" t="s">
        <v>3659</v>
      </c>
      <c r="Q1790" s="431">
        <v>0.2</v>
      </c>
      <c r="R1790" s="430">
        <v>1900002437</v>
      </c>
      <c r="S1790" s="466" t="s">
        <v>3475</v>
      </c>
      <c r="T1790" s="2" t="s">
        <v>5914</v>
      </c>
      <c r="U1790" s="466" t="s">
        <v>3475</v>
      </c>
    </row>
    <row r="1791" spans="1:21" hidden="1" x14ac:dyDescent="0.35">
      <c r="A1791" s="466" t="s">
        <v>5377</v>
      </c>
      <c r="B1791" s="535" t="s">
        <v>5329</v>
      </c>
      <c r="C1791" s="467">
        <v>42257</v>
      </c>
      <c r="D1791" s="467">
        <v>42257</v>
      </c>
      <c r="E1791" s="467"/>
      <c r="F1791" s="493" t="s">
        <v>3904</v>
      </c>
      <c r="G1791" s="493" t="s">
        <v>5288</v>
      </c>
      <c r="H1791" s="433" t="s">
        <v>5163</v>
      </c>
      <c r="I1791" s="484">
        <f t="shared" si="127"/>
        <v>4976.125</v>
      </c>
      <c r="J1791" s="375">
        <f t="shared" si="128"/>
        <v>1282.294853846154</v>
      </c>
      <c r="K1791" s="376">
        <f t="shared" si="129"/>
        <v>712.44302079692307</v>
      </c>
      <c r="L1791" s="367">
        <f t="shared" si="130"/>
        <v>142.48860415938461</v>
      </c>
      <c r="M1791" s="367" t="s">
        <v>6169</v>
      </c>
      <c r="N1791" s="463" t="s">
        <v>3785</v>
      </c>
      <c r="O1791" s="463" t="s">
        <v>3786</v>
      </c>
      <c r="P1791" s="464" t="s">
        <v>3659</v>
      </c>
      <c r="Q1791" s="431">
        <v>0.2</v>
      </c>
      <c r="R1791" s="430">
        <v>1900002437</v>
      </c>
      <c r="S1791" s="466" t="s">
        <v>3475</v>
      </c>
      <c r="T1791" s="2" t="s">
        <v>5914</v>
      </c>
      <c r="U1791" s="466" t="s">
        <v>3475</v>
      </c>
    </row>
    <row r="1792" spans="1:21" hidden="1" x14ac:dyDescent="0.35">
      <c r="A1792" s="494" t="s">
        <v>5378</v>
      </c>
      <c r="B1792" s="535" t="s">
        <v>5329</v>
      </c>
      <c r="C1792" s="467">
        <v>42257</v>
      </c>
      <c r="D1792" s="467">
        <v>42257</v>
      </c>
      <c r="E1792" s="467"/>
      <c r="F1792" s="493" t="s">
        <v>3904</v>
      </c>
      <c r="G1792" s="493" t="s">
        <v>5288</v>
      </c>
      <c r="H1792" s="433" t="s">
        <v>5163</v>
      </c>
      <c r="I1792" s="484">
        <f t="shared" si="127"/>
        <v>4976.125</v>
      </c>
      <c r="J1792" s="375">
        <f t="shared" si="128"/>
        <v>1282.294853846154</v>
      </c>
      <c r="K1792" s="376">
        <f t="shared" si="129"/>
        <v>712.44302079692307</v>
      </c>
      <c r="L1792" s="367">
        <f t="shared" si="130"/>
        <v>142.48860415938461</v>
      </c>
      <c r="M1792" s="367" t="s">
        <v>6169</v>
      </c>
      <c r="N1792" s="463" t="s">
        <v>3785</v>
      </c>
      <c r="O1792" s="463" t="s">
        <v>3786</v>
      </c>
      <c r="P1792" s="464" t="s">
        <v>3659</v>
      </c>
      <c r="Q1792" s="431">
        <v>0.2</v>
      </c>
      <c r="R1792" s="430">
        <v>1900002437</v>
      </c>
      <c r="S1792" s="466" t="s">
        <v>3475</v>
      </c>
      <c r="T1792" s="2" t="s">
        <v>5914</v>
      </c>
      <c r="U1792" s="466" t="s">
        <v>3475</v>
      </c>
    </row>
    <row r="1793" spans="1:21" hidden="1" x14ac:dyDescent="0.35">
      <c r="A1793" s="466" t="s">
        <v>5379</v>
      </c>
      <c r="B1793" s="535" t="s">
        <v>5329</v>
      </c>
      <c r="C1793" s="467">
        <v>42257</v>
      </c>
      <c r="D1793" s="467">
        <v>42257</v>
      </c>
      <c r="E1793" s="467"/>
      <c r="F1793" s="493" t="s">
        <v>3904</v>
      </c>
      <c r="G1793" s="493" t="s">
        <v>5288</v>
      </c>
      <c r="H1793" s="433" t="s">
        <v>5163</v>
      </c>
      <c r="I1793" s="484">
        <f t="shared" si="127"/>
        <v>4976.125</v>
      </c>
      <c r="J1793" s="375">
        <f t="shared" si="128"/>
        <v>1282.294853846154</v>
      </c>
      <c r="K1793" s="376">
        <f t="shared" si="129"/>
        <v>712.44302079692307</v>
      </c>
      <c r="L1793" s="367">
        <f t="shared" si="130"/>
        <v>142.48860415938461</v>
      </c>
      <c r="M1793" s="367" t="s">
        <v>6169</v>
      </c>
      <c r="N1793" s="463" t="s">
        <v>3785</v>
      </c>
      <c r="O1793" s="463" t="s">
        <v>3786</v>
      </c>
      <c r="P1793" s="464" t="s">
        <v>3659</v>
      </c>
      <c r="Q1793" s="431">
        <v>0.2</v>
      </c>
      <c r="R1793" s="430">
        <v>1900002437</v>
      </c>
      <c r="S1793" s="466" t="s">
        <v>3475</v>
      </c>
      <c r="T1793" s="2" t="s">
        <v>5914</v>
      </c>
      <c r="U1793" s="466" t="s">
        <v>3475</v>
      </c>
    </row>
    <row r="1794" spans="1:21" hidden="1" x14ac:dyDescent="0.35">
      <c r="A1794" s="466" t="s">
        <v>5380</v>
      </c>
      <c r="B1794" s="535" t="s">
        <v>5329</v>
      </c>
      <c r="C1794" s="467">
        <v>42257</v>
      </c>
      <c r="D1794" s="467">
        <v>42257</v>
      </c>
      <c r="E1794" s="467"/>
      <c r="F1794" s="493" t="s">
        <v>3904</v>
      </c>
      <c r="G1794" s="493" t="s">
        <v>5288</v>
      </c>
      <c r="H1794" s="433" t="s">
        <v>5163</v>
      </c>
      <c r="I1794" s="484">
        <f t="shared" si="127"/>
        <v>4976.125</v>
      </c>
      <c r="J1794" s="375">
        <f t="shared" si="128"/>
        <v>1282.294853846154</v>
      </c>
      <c r="K1794" s="376">
        <f t="shared" si="129"/>
        <v>712.44302079692307</v>
      </c>
      <c r="L1794" s="367">
        <f t="shared" si="130"/>
        <v>142.48860415938461</v>
      </c>
      <c r="M1794" s="367" t="s">
        <v>6169</v>
      </c>
      <c r="N1794" s="463" t="s">
        <v>3785</v>
      </c>
      <c r="O1794" s="463" t="s">
        <v>3786</v>
      </c>
      <c r="P1794" s="464" t="s">
        <v>3659</v>
      </c>
      <c r="Q1794" s="431">
        <v>0.2</v>
      </c>
      <c r="R1794" s="430">
        <v>1900002437</v>
      </c>
      <c r="S1794" s="466" t="s">
        <v>3475</v>
      </c>
      <c r="T1794" s="2" t="s">
        <v>5914</v>
      </c>
      <c r="U1794" s="466" t="s">
        <v>3475</v>
      </c>
    </row>
    <row r="1795" spans="1:21" hidden="1" x14ac:dyDescent="0.35">
      <c r="A1795" s="466" t="s">
        <v>5381</v>
      </c>
      <c r="B1795" s="535" t="s">
        <v>5329</v>
      </c>
      <c r="C1795" s="467">
        <v>42257</v>
      </c>
      <c r="D1795" s="467">
        <v>42257</v>
      </c>
      <c r="E1795" s="467"/>
      <c r="F1795" s="493" t="s">
        <v>3904</v>
      </c>
      <c r="G1795" s="493" t="s">
        <v>5288</v>
      </c>
      <c r="H1795" s="433" t="s">
        <v>5163</v>
      </c>
      <c r="I1795" s="484">
        <f t="shared" si="127"/>
        <v>4976.125</v>
      </c>
      <c r="J1795" s="375">
        <f t="shared" si="128"/>
        <v>1282.294853846154</v>
      </c>
      <c r="K1795" s="376">
        <f t="shared" si="129"/>
        <v>712.44302079692307</v>
      </c>
      <c r="L1795" s="367">
        <f t="shared" si="130"/>
        <v>142.48860415938461</v>
      </c>
      <c r="M1795" s="367" t="s">
        <v>6169</v>
      </c>
      <c r="N1795" s="463" t="s">
        <v>3785</v>
      </c>
      <c r="O1795" s="463" t="s">
        <v>3786</v>
      </c>
      <c r="P1795" s="464" t="s">
        <v>3659</v>
      </c>
      <c r="Q1795" s="431">
        <v>0.2</v>
      </c>
      <c r="R1795" s="430">
        <v>1900002437</v>
      </c>
      <c r="S1795" s="466" t="s">
        <v>3475</v>
      </c>
      <c r="T1795" s="2" t="s">
        <v>5914</v>
      </c>
      <c r="U1795" s="466" t="s">
        <v>3475</v>
      </c>
    </row>
    <row r="1796" spans="1:21" hidden="1" x14ac:dyDescent="0.35">
      <c r="A1796" s="494" t="s">
        <v>5382</v>
      </c>
      <c r="B1796" s="535" t="s">
        <v>5329</v>
      </c>
      <c r="C1796" s="467">
        <v>42257</v>
      </c>
      <c r="D1796" s="467">
        <v>42257</v>
      </c>
      <c r="E1796" s="467"/>
      <c r="F1796" s="493" t="s">
        <v>3904</v>
      </c>
      <c r="G1796" s="493" t="s">
        <v>5288</v>
      </c>
      <c r="H1796" s="433" t="s">
        <v>5163</v>
      </c>
      <c r="I1796" s="484">
        <f t="shared" si="127"/>
        <v>4976.125</v>
      </c>
      <c r="J1796" s="375">
        <f t="shared" si="128"/>
        <v>1282.294853846154</v>
      </c>
      <c r="K1796" s="376">
        <f t="shared" si="129"/>
        <v>712.44302079692307</v>
      </c>
      <c r="L1796" s="367">
        <f t="shared" si="130"/>
        <v>142.48860415938461</v>
      </c>
      <c r="M1796" s="367" t="s">
        <v>6169</v>
      </c>
      <c r="N1796" s="463" t="s">
        <v>3785</v>
      </c>
      <c r="O1796" s="463" t="s">
        <v>3786</v>
      </c>
      <c r="P1796" s="464" t="s">
        <v>3659</v>
      </c>
      <c r="Q1796" s="431">
        <v>0.2</v>
      </c>
      <c r="R1796" s="430">
        <v>1900002437</v>
      </c>
      <c r="S1796" s="466" t="s">
        <v>3475</v>
      </c>
      <c r="T1796" s="2" t="s">
        <v>5914</v>
      </c>
      <c r="U1796" s="466" t="s">
        <v>3475</v>
      </c>
    </row>
    <row r="1797" spans="1:21" hidden="1" x14ac:dyDescent="0.35">
      <c r="A1797" s="494" t="s">
        <v>5383</v>
      </c>
      <c r="B1797" s="535" t="s">
        <v>5329</v>
      </c>
      <c r="C1797" s="467">
        <v>42257</v>
      </c>
      <c r="D1797" s="467">
        <v>42257</v>
      </c>
      <c r="E1797" s="467"/>
      <c r="F1797" s="493" t="s">
        <v>3904</v>
      </c>
      <c r="G1797" s="493" t="s">
        <v>5288</v>
      </c>
      <c r="H1797" s="433" t="s">
        <v>5163</v>
      </c>
      <c r="I1797" s="484">
        <f t="shared" si="127"/>
        <v>4976.125</v>
      </c>
      <c r="J1797" s="375">
        <f t="shared" si="128"/>
        <v>1282.294853846154</v>
      </c>
      <c r="K1797" s="376">
        <f t="shared" si="129"/>
        <v>712.44302079692307</v>
      </c>
      <c r="L1797" s="367">
        <f t="shared" si="130"/>
        <v>142.48860415938461</v>
      </c>
      <c r="M1797" s="367" t="s">
        <v>6169</v>
      </c>
      <c r="N1797" s="463" t="s">
        <v>3785</v>
      </c>
      <c r="O1797" s="463" t="s">
        <v>3786</v>
      </c>
      <c r="P1797" s="464" t="s">
        <v>3659</v>
      </c>
      <c r="Q1797" s="431">
        <v>0.2</v>
      </c>
      <c r="R1797" s="430">
        <v>1900002437</v>
      </c>
      <c r="S1797" s="466" t="s">
        <v>3475</v>
      </c>
      <c r="T1797" s="2" t="s">
        <v>5914</v>
      </c>
      <c r="U1797" s="466" t="s">
        <v>3475</v>
      </c>
    </row>
    <row r="1798" spans="1:21" hidden="1" x14ac:dyDescent="0.35">
      <c r="A1798" s="466" t="s">
        <v>5384</v>
      </c>
      <c r="B1798" s="535" t="s">
        <v>5329</v>
      </c>
      <c r="C1798" s="467">
        <v>42257</v>
      </c>
      <c r="D1798" s="467">
        <v>42257</v>
      </c>
      <c r="E1798" s="467"/>
      <c r="F1798" s="493" t="s">
        <v>3904</v>
      </c>
      <c r="G1798" s="493" t="s">
        <v>5288</v>
      </c>
      <c r="H1798" s="433" t="s">
        <v>5163</v>
      </c>
      <c r="I1798" s="484">
        <f t="shared" si="127"/>
        <v>4976.125</v>
      </c>
      <c r="J1798" s="375">
        <f t="shared" si="128"/>
        <v>1282.294853846154</v>
      </c>
      <c r="K1798" s="376">
        <f t="shared" si="129"/>
        <v>712.44302079692307</v>
      </c>
      <c r="L1798" s="367">
        <f t="shared" si="130"/>
        <v>142.48860415938461</v>
      </c>
      <c r="M1798" s="367" t="s">
        <v>6169</v>
      </c>
      <c r="N1798" s="463" t="s">
        <v>3785</v>
      </c>
      <c r="O1798" s="463" t="s">
        <v>3786</v>
      </c>
      <c r="P1798" s="464" t="s">
        <v>3659</v>
      </c>
      <c r="Q1798" s="431">
        <v>0.2</v>
      </c>
      <c r="R1798" s="430">
        <v>1900002437</v>
      </c>
      <c r="S1798" s="466" t="s">
        <v>3475</v>
      </c>
      <c r="T1798" s="2" t="s">
        <v>5914</v>
      </c>
      <c r="U1798" s="466" t="s">
        <v>3475</v>
      </c>
    </row>
    <row r="1799" spans="1:21" hidden="1" x14ac:dyDescent="0.35">
      <c r="A1799" s="466" t="s">
        <v>5385</v>
      </c>
      <c r="B1799" s="535" t="s">
        <v>5329</v>
      </c>
      <c r="C1799" s="467">
        <v>42257</v>
      </c>
      <c r="D1799" s="467">
        <v>42257</v>
      </c>
      <c r="E1799" s="467"/>
      <c r="F1799" s="493" t="s">
        <v>3904</v>
      </c>
      <c r="G1799" s="493" t="s">
        <v>5288</v>
      </c>
      <c r="H1799" s="433" t="s">
        <v>5163</v>
      </c>
      <c r="I1799" s="484">
        <f t="shared" si="127"/>
        <v>4976.125</v>
      </c>
      <c r="J1799" s="375">
        <f t="shared" si="128"/>
        <v>1282.294853846154</v>
      </c>
      <c r="K1799" s="376">
        <f t="shared" si="129"/>
        <v>712.44302079692307</v>
      </c>
      <c r="L1799" s="367">
        <f t="shared" si="130"/>
        <v>142.48860415938461</v>
      </c>
      <c r="M1799" s="367" t="s">
        <v>6169</v>
      </c>
      <c r="N1799" s="463" t="s">
        <v>3785</v>
      </c>
      <c r="O1799" s="463" t="s">
        <v>3786</v>
      </c>
      <c r="P1799" s="464" t="s">
        <v>3659</v>
      </c>
      <c r="Q1799" s="431">
        <v>0.2</v>
      </c>
      <c r="R1799" s="430">
        <v>1900002437</v>
      </c>
      <c r="S1799" s="466" t="s">
        <v>3475</v>
      </c>
      <c r="T1799" s="2" t="s">
        <v>5914</v>
      </c>
      <c r="U1799" s="466" t="s">
        <v>3475</v>
      </c>
    </row>
    <row r="1800" spans="1:21" hidden="1" x14ac:dyDescent="0.35">
      <c r="A1800" s="466" t="s">
        <v>5386</v>
      </c>
      <c r="B1800" s="535" t="s">
        <v>5329</v>
      </c>
      <c r="C1800" s="467">
        <v>42257</v>
      </c>
      <c r="D1800" s="467">
        <v>42257</v>
      </c>
      <c r="E1800" s="467"/>
      <c r="F1800" s="493" t="s">
        <v>3904</v>
      </c>
      <c r="G1800" s="493" t="s">
        <v>5288</v>
      </c>
      <c r="H1800" s="433" t="s">
        <v>5163</v>
      </c>
      <c r="I1800" s="484">
        <f t="shared" si="127"/>
        <v>4976.125</v>
      </c>
      <c r="J1800" s="375">
        <f t="shared" si="128"/>
        <v>1282.294853846154</v>
      </c>
      <c r="K1800" s="376">
        <f t="shared" si="129"/>
        <v>712.44302079692307</v>
      </c>
      <c r="L1800" s="367">
        <f t="shared" si="130"/>
        <v>142.48860415938461</v>
      </c>
      <c r="M1800" s="367" t="s">
        <v>6169</v>
      </c>
      <c r="N1800" s="463" t="s">
        <v>3785</v>
      </c>
      <c r="O1800" s="463" t="s">
        <v>3786</v>
      </c>
      <c r="P1800" s="464" t="s">
        <v>3659</v>
      </c>
      <c r="Q1800" s="431">
        <v>0.2</v>
      </c>
      <c r="R1800" s="430">
        <v>1900002437</v>
      </c>
      <c r="S1800" s="466" t="s">
        <v>3475</v>
      </c>
      <c r="T1800" s="2" t="s">
        <v>5914</v>
      </c>
      <c r="U1800" s="466" t="s">
        <v>3475</v>
      </c>
    </row>
    <row r="1801" spans="1:21" hidden="1" x14ac:dyDescent="0.35">
      <c r="A1801" s="494" t="s">
        <v>5387</v>
      </c>
      <c r="B1801" s="535" t="s">
        <v>5329</v>
      </c>
      <c r="C1801" s="467">
        <v>42257</v>
      </c>
      <c r="D1801" s="467">
        <v>42257</v>
      </c>
      <c r="E1801" s="467"/>
      <c r="F1801" s="493" t="s">
        <v>3904</v>
      </c>
      <c r="G1801" s="493" t="s">
        <v>5288</v>
      </c>
      <c r="H1801" s="433" t="s">
        <v>5163</v>
      </c>
      <c r="I1801" s="484">
        <f t="shared" si="127"/>
        <v>4976.125</v>
      </c>
      <c r="J1801" s="375">
        <f t="shared" si="128"/>
        <v>1282.294853846154</v>
      </c>
      <c r="K1801" s="376">
        <f t="shared" si="129"/>
        <v>712.44302079692307</v>
      </c>
      <c r="L1801" s="367">
        <f t="shared" si="130"/>
        <v>142.48860415938461</v>
      </c>
      <c r="M1801" s="367" t="s">
        <v>6169</v>
      </c>
      <c r="N1801" s="463" t="s">
        <v>3785</v>
      </c>
      <c r="O1801" s="463" t="s">
        <v>3786</v>
      </c>
      <c r="P1801" s="464" t="s">
        <v>3659</v>
      </c>
      <c r="Q1801" s="431">
        <v>0.2</v>
      </c>
      <c r="R1801" s="430">
        <v>1900002437</v>
      </c>
      <c r="S1801" s="466" t="s">
        <v>3475</v>
      </c>
      <c r="T1801" s="2" t="s">
        <v>5914</v>
      </c>
      <c r="U1801" s="466" t="s">
        <v>3475</v>
      </c>
    </row>
    <row r="1802" spans="1:21" hidden="1" x14ac:dyDescent="0.35">
      <c r="A1802" s="466" t="s">
        <v>5388</v>
      </c>
      <c r="B1802" s="535" t="s">
        <v>5329</v>
      </c>
      <c r="C1802" s="467">
        <v>42257</v>
      </c>
      <c r="D1802" s="467">
        <v>42257</v>
      </c>
      <c r="E1802" s="467"/>
      <c r="F1802" s="493" t="s">
        <v>3904</v>
      </c>
      <c r="G1802" s="493" t="s">
        <v>5288</v>
      </c>
      <c r="H1802" s="433" t="s">
        <v>5163</v>
      </c>
      <c r="I1802" s="484">
        <f t="shared" si="127"/>
        <v>4976.125</v>
      </c>
      <c r="J1802" s="375">
        <f t="shared" si="128"/>
        <v>1282.294853846154</v>
      </c>
      <c r="K1802" s="376">
        <f t="shared" si="129"/>
        <v>712.44302079692307</v>
      </c>
      <c r="L1802" s="367">
        <f t="shared" si="130"/>
        <v>142.48860415938461</v>
      </c>
      <c r="M1802" s="367" t="s">
        <v>6169</v>
      </c>
      <c r="N1802" s="463" t="s">
        <v>3785</v>
      </c>
      <c r="O1802" s="463" t="s">
        <v>3786</v>
      </c>
      <c r="P1802" s="464" t="s">
        <v>3659</v>
      </c>
      <c r="Q1802" s="431">
        <v>0.2</v>
      </c>
      <c r="R1802" s="430">
        <v>1900002437</v>
      </c>
      <c r="S1802" s="466" t="s">
        <v>3475</v>
      </c>
      <c r="T1802" s="2" t="s">
        <v>5914</v>
      </c>
      <c r="U1802" s="466" t="s">
        <v>3475</v>
      </c>
    </row>
    <row r="1803" spans="1:21" hidden="1" x14ac:dyDescent="0.35">
      <c r="A1803" s="466" t="s">
        <v>5389</v>
      </c>
      <c r="B1803" s="535" t="s">
        <v>5329</v>
      </c>
      <c r="C1803" s="467">
        <v>42257</v>
      </c>
      <c r="D1803" s="467">
        <v>42257</v>
      </c>
      <c r="E1803" s="467"/>
      <c r="F1803" s="493" t="s">
        <v>3904</v>
      </c>
      <c r="G1803" s="493" t="s">
        <v>5288</v>
      </c>
      <c r="H1803" s="433" t="s">
        <v>5163</v>
      </c>
      <c r="I1803" s="484">
        <f t="shared" si="127"/>
        <v>4976.125</v>
      </c>
      <c r="J1803" s="375">
        <f t="shared" si="128"/>
        <v>1282.294853846154</v>
      </c>
      <c r="K1803" s="376">
        <f t="shared" si="129"/>
        <v>712.44302079692307</v>
      </c>
      <c r="L1803" s="367">
        <f t="shared" si="130"/>
        <v>142.48860415938461</v>
      </c>
      <c r="M1803" s="367" t="s">
        <v>6169</v>
      </c>
      <c r="N1803" s="463" t="s">
        <v>3785</v>
      </c>
      <c r="O1803" s="463" t="s">
        <v>3786</v>
      </c>
      <c r="P1803" s="464" t="s">
        <v>3659</v>
      </c>
      <c r="Q1803" s="431">
        <v>0.2</v>
      </c>
      <c r="R1803" s="430">
        <v>1900002437</v>
      </c>
      <c r="S1803" s="466" t="s">
        <v>3475</v>
      </c>
      <c r="T1803" s="2" t="s">
        <v>5914</v>
      </c>
      <c r="U1803" s="466" t="s">
        <v>3475</v>
      </c>
    </row>
    <row r="1804" spans="1:21" hidden="1" x14ac:dyDescent="0.35">
      <c r="A1804" s="494" t="s">
        <v>5390</v>
      </c>
      <c r="B1804" s="535" t="s">
        <v>5329</v>
      </c>
      <c r="C1804" s="467">
        <v>42257</v>
      </c>
      <c r="D1804" s="467">
        <v>42257</v>
      </c>
      <c r="E1804" s="467"/>
      <c r="F1804" s="493" t="s">
        <v>3904</v>
      </c>
      <c r="G1804" s="493" t="s">
        <v>5288</v>
      </c>
      <c r="H1804" s="433" t="s">
        <v>5163</v>
      </c>
      <c r="I1804" s="484">
        <f t="shared" si="127"/>
        <v>4976.125</v>
      </c>
      <c r="J1804" s="375">
        <f t="shared" si="128"/>
        <v>1282.294853846154</v>
      </c>
      <c r="K1804" s="376">
        <f t="shared" si="129"/>
        <v>712.44302079692307</v>
      </c>
      <c r="L1804" s="367">
        <f t="shared" si="130"/>
        <v>142.48860415938461</v>
      </c>
      <c r="M1804" s="367" t="s">
        <v>6169</v>
      </c>
      <c r="N1804" s="463" t="s">
        <v>3785</v>
      </c>
      <c r="O1804" s="463" t="s">
        <v>3786</v>
      </c>
      <c r="P1804" s="464" t="s">
        <v>3659</v>
      </c>
      <c r="Q1804" s="431">
        <v>0.2</v>
      </c>
      <c r="R1804" s="430">
        <v>1900002437</v>
      </c>
      <c r="S1804" s="466" t="s">
        <v>3475</v>
      </c>
      <c r="T1804" s="2" t="s">
        <v>5914</v>
      </c>
      <c r="U1804" s="466" t="s">
        <v>3475</v>
      </c>
    </row>
    <row r="1805" spans="1:21" hidden="1" x14ac:dyDescent="0.35">
      <c r="A1805" s="466" t="s">
        <v>5391</v>
      </c>
      <c r="B1805" s="535" t="s">
        <v>5329</v>
      </c>
      <c r="C1805" s="467">
        <v>42257</v>
      </c>
      <c r="D1805" s="467">
        <v>42257</v>
      </c>
      <c r="E1805" s="467"/>
      <c r="F1805" s="493" t="s">
        <v>3904</v>
      </c>
      <c r="G1805" s="493" t="s">
        <v>5288</v>
      </c>
      <c r="H1805" s="433" t="s">
        <v>5163</v>
      </c>
      <c r="I1805" s="484">
        <f t="shared" si="127"/>
        <v>4976.125</v>
      </c>
      <c r="J1805" s="375">
        <f t="shared" si="128"/>
        <v>1282.294853846154</v>
      </c>
      <c r="K1805" s="376">
        <f t="shared" si="129"/>
        <v>712.44302079692307</v>
      </c>
      <c r="L1805" s="367">
        <f t="shared" si="130"/>
        <v>142.48860415938461</v>
      </c>
      <c r="M1805" s="367" t="s">
        <v>6169</v>
      </c>
      <c r="N1805" s="463" t="s">
        <v>3785</v>
      </c>
      <c r="O1805" s="463" t="s">
        <v>3786</v>
      </c>
      <c r="P1805" s="464" t="s">
        <v>3659</v>
      </c>
      <c r="Q1805" s="431">
        <v>0.2</v>
      </c>
      <c r="R1805" s="430">
        <v>1900002437</v>
      </c>
      <c r="S1805" s="466" t="s">
        <v>3475</v>
      </c>
      <c r="T1805" s="2" t="s">
        <v>5914</v>
      </c>
      <c r="U1805" s="466" t="s">
        <v>3475</v>
      </c>
    </row>
    <row r="1806" spans="1:21" hidden="1" x14ac:dyDescent="0.35">
      <c r="A1806" s="466" t="s">
        <v>5392</v>
      </c>
      <c r="B1806" s="535" t="s">
        <v>5329</v>
      </c>
      <c r="C1806" s="467">
        <v>42257</v>
      </c>
      <c r="D1806" s="467">
        <v>42257</v>
      </c>
      <c r="E1806" s="467"/>
      <c r="F1806" s="493" t="s">
        <v>3904</v>
      </c>
      <c r="G1806" s="493" t="s">
        <v>5288</v>
      </c>
      <c r="H1806" s="433" t="s">
        <v>5163</v>
      </c>
      <c r="I1806" s="484">
        <f t="shared" si="127"/>
        <v>4976.125</v>
      </c>
      <c r="J1806" s="375">
        <f t="shared" si="128"/>
        <v>1282.294853846154</v>
      </c>
      <c r="K1806" s="376">
        <f t="shared" si="129"/>
        <v>712.44302079692307</v>
      </c>
      <c r="L1806" s="367">
        <f t="shared" si="130"/>
        <v>142.48860415938461</v>
      </c>
      <c r="M1806" s="367" t="s">
        <v>6169</v>
      </c>
      <c r="N1806" s="463" t="s">
        <v>3785</v>
      </c>
      <c r="O1806" s="463" t="s">
        <v>3786</v>
      </c>
      <c r="P1806" s="464" t="s">
        <v>3659</v>
      </c>
      <c r="Q1806" s="431">
        <v>0.2</v>
      </c>
      <c r="R1806" s="430">
        <v>1900002437</v>
      </c>
      <c r="S1806" s="466" t="s">
        <v>3475</v>
      </c>
      <c r="T1806" s="2" t="s">
        <v>5914</v>
      </c>
      <c r="U1806" s="466" t="s">
        <v>3475</v>
      </c>
    </row>
    <row r="1807" spans="1:21" hidden="1" x14ac:dyDescent="0.35">
      <c r="A1807" s="466" t="s">
        <v>5393</v>
      </c>
      <c r="B1807" s="535" t="s">
        <v>5329</v>
      </c>
      <c r="C1807" s="467">
        <v>42257</v>
      </c>
      <c r="D1807" s="467">
        <v>42257</v>
      </c>
      <c r="E1807" s="467"/>
      <c r="F1807" s="493" t="s">
        <v>3904</v>
      </c>
      <c r="G1807" s="493" t="s">
        <v>5288</v>
      </c>
      <c r="H1807" s="433" t="s">
        <v>5163</v>
      </c>
      <c r="I1807" s="484">
        <f>+(275275/65)*1.175</f>
        <v>4976.125</v>
      </c>
      <c r="J1807" s="375">
        <f>+(70935.46/65)*1.175</f>
        <v>1282.294853846154</v>
      </c>
      <c r="K1807" s="376">
        <f t="shared" si="129"/>
        <v>712.44302079692307</v>
      </c>
      <c r="L1807" s="367">
        <f t="shared" si="130"/>
        <v>142.48860415938461</v>
      </c>
      <c r="M1807" s="367" t="s">
        <v>6169</v>
      </c>
      <c r="N1807" s="463" t="s">
        <v>3785</v>
      </c>
      <c r="O1807" s="463" t="s">
        <v>3786</v>
      </c>
      <c r="P1807" s="464" t="s">
        <v>3659</v>
      </c>
      <c r="Q1807" s="431">
        <v>0.2</v>
      </c>
      <c r="R1807" s="430">
        <v>1900002437</v>
      </c>
      <c r="S1807" s="466" t="s">
        <v>3475</v>
      </c>
      <c r="T1807" s="2" t="s">
        <v>5914</v>
      </c>
      <c r="U1807" s="466" t="s">
        <v>3475</v>
      </c>
    </row>
    <row r="1808" spans="1:21" hidden="1" x14ac:dyDescent="0.35">
      <c r="A1808" s="494" t="s">
        <v>5394</v>
      </c>
      <c r="B1808" s="535" t="s">
        <v>5395</v>
      </c>
      <c r="C1808" s="467">
        <v>42257</v>
      </c>
      <c r="D1808" s="467">
        <v>42257</v>
      </c>
      <c r="E1808" s="467"/>
      <c r="F1808" s="493" t="s">
        <v>3904</v>
      </c>
      <c r="G1808" s="493" t="s">
        <v>5396</v>
      </c>
      <c r="H1808" s="433" t="s">
        <v>5163</v>
      </c>
      <c r="I1808" s="484">
        <f t="shared" ref="I1808:I1817" si="131">+(23646.3/10)*1.175</f>
        <v>2778.4402500000001</v>
      </c>
      <c r="J1808" s="375">
        <f t="shared" ref="J1808:J1817" si="132">+(6093.4/10)*1.175</f>
        <v>715.97449999999992</v>
      </c>
      <c r="K1808" s="376">
        <f>+(J1808*0.5556)-11.19</f>
        <v>386.60543219999994</v>
      </c>
      <c r="L1808" s="367">
        <f t="shared" si="130"/>
        <v>77.321086439999988</v>
      </c>
      <c r="M1808" s="367" t="s">
        <v>6169</v>
      </c>
      <c r="N1808" s="463" t="s">
        <v>3785</v>
      </c>
      <c r="O1808" s="463" t="s">
        <v>3786</v>
      </c>
      <c r="P1808" s="464" t="s">
        <v>3659</v>
      </c>
      <c r="Q1808" s="431">
        <v>0.2</v>
      </c>
      <c r="R1808" s="430">
        <v>1900002437</v>
      </c>
      <c r="S1808" s="466" t="s">
        <v>3475</v>
      </c>
      <c r="T1808" s="2" t="s">
        <v>5914</v>
      </c>
      <c r="U1808" s="466" t="s">
        <v>3475</v>
      </c>
    </row>
    <row r="1809" spans="1:21" hidden="1" x14ac:dyDescent="0.35">
      <c r="A1809" s="494" t="s">
        <v>5397</v>
      </c>
      <c r="B1809" s="535" t="s">
        <v>5395</v>
      </c>
      <c r="C1809" s="467">
        <v>42257</v>
      </c>
      <c r="D1809" s="467">
        <v>42257</v>
      </c>
      <c r="E1809" s="467"/>
      <c r="F1809" s="493" t="s">
        <v>3904</v>
      </c>
      <c r="G1809" s="493" t="s">
        <v>5396</v>
      </c>
      <c r="H1809" s="433" t="s">
        <v>5163</v>
      </c>
      <c r="I1809" s="484">
        <f t="shared" si="131"/>
        <v>2778.4402500000001</v>
      </c>
      <c r="J1809" s="375">
        <f t="shared" si="132"/>
        <v>715.97449999999992</v>
      </c>
      <c r="K1809" s="376">
        <f t="shared" ref="K1809:K1831" si="133">+J1809*0.5556</f>
        <v>397.79543219999994</v>
      </c>
      <c r="L1809" s="367">
        <f t="shared" si="130"/>
        <v>79.559086439999987</v>
      </c>
      <c r="M1809" s="367" t="s">
        <v>6169</v>
      </c>
      <c r="N1809" s="463" t="s">
        <v>3785</v>
      </c>
      <c r="O1809" s="463" t="s">
        <v>3786</v>
      </c>
      <c r="P1809" s="464" t="s">
        <v>3659</v>
      </c>
      <c r="Q1809" s="431">
        <v>0.2</v>
      </c>
      <c r="R1809" s="430">
        <v>1900002437</v>
      </c>
      <c r="S1809" s="466" t="s">
        <v>3475</v>
      </c>
      <c r="T1809" s="2" t="s">
        <v>5914</v>
      </c>
      <c r="U1809" s="466" t="s">
        <v>3475</v>
      </c>
    </row>
    <row r="1810" spans="1:21" hidden="1" x14ac:dyDescent="0.35">
      <c r="A1810" s="466" t="s">
        <v>5398</v>
      </c>
      <c r="B1810" s="535" t="s">
        <v>5395</v>
      </c>
      <c r="C1810" s="467">
        <v>42257</v>
      </c>
      <c r="D1810" s="467">
        <v>42257</v>
      </c>
      <c r="E1810" s="467"/>
      <c r="F1810" s="493" t="s">
        <v>3904</v>
      </c>
      <c r="G1810" s="493" t="s">
        <v>5396</v>
      </c>
      <c r="H1810" s="433" t="s">
        <v>5163</v>
      </c>
      <c r="I1810" s="484">
        <f t="shared" si="131"/>
        <v>2778.4402500000001</v>
      </c>
      <c r="J1810" s="375">
        <f t="shared" si="132"/>
        <v>715.97449999999992</v>
      </c>
      <c r="K1810" s="376">
        <f t="shared" si="133"/>
        <v>397.79543219999994</v>
      </c>
      <c r="L1810" s="367">
        <f t="shared" si="130"/>
        <v>79.559086439999987</v>
      </c>
      <c r="M1810" s="367" t="s">
        <v>6169</v>
      </c>
      <c r="N1810" s="463" t="s">
        <v>3785</v>
      </c>
      <c r="O1810" s="463" t="s">
        <v>3786</v>
      </c>
      <c r="P1810" s="464" t="s">
        <v>3659</v>
      </c>
      <c r="Q1810" s="431">
        <v>0.2</v>
      </c>
      <c r="R1810" s="430">
        <v>1900002437</v>
      </c>
      <c r="S1810" s="466" t="s">
        <v>3475</v>
      </c>
      <c r="T1810" s="2" t="s">
        <v>5914</v>
      </c>
      <c r="U1810" s="466" t="s">
        <v>3475</v>
      </c>
    </row>
    <row r="1811" spans="1:21" hidden="1" x14ac:dyDescent="0.35">
      <c r="A1811" s="466" t="s">
        <v>5399</v>
      </c>
      <c r="B1811" s="535" t="s">
        <v>5395</v>
      </c>
      <c r="C1811" s="467">
        <v>42257</v>
      </c>
      <c r="D1811" s="467">
        <v>42257</v>
      </c>
      <c r="E1811" s="467"/>
      <c r="F1811" s="493" t="s">
        <v>3904</v>
      </c>
      <c r="G1811" s="493" t="s">
        <v>5396</v>
      </c>
      <c r="H1811" s="433" t="s">
        <v>5163</v>
      </c>
      <c r="I1811" s="484">
        <f t="shared" si="131"/>
        <v>2778.4402500000001</v>
      </c>
      <c r="J1811" s="375">
        <f t="shared" si="132"/>
        <v>715.97449999999992</v>
      </c>
      <c r="K1811" s="376">
        <f t="shared" si="133"/>
        <v>397.79543219999994</v>
      </c>
      <c r="L1811" s="367">
        <f t="shared" si="130"/>
        <v>79.559086439999987</v>
      </c>
      <c r="M1811" s="367" t="s">
        <v>6169</v>
      </c>
      <c r="N1811" s="463" t="s">
        <v>3785</v>
      </c>
      <c r="O1811" s="463" t="s">
        <v>3786</v>
      </c>
      <c r="P1811" s="464" t="s">
        <v>3659</v>
      </c>
      <c r="Q1811" s="431">
        <v>0.2</v>
      </c>
      <c r="R1811" s="430">
        <v>1900002437</v>
      </c>
      <c r="S1811" s="466" t="s">
        <v>3475</v>
      </c>
      <c r="T1811" s="2" t="s">
        <v>5914</v>
      </c>
      <c r="U1811" s="466" t="s">
        <v>3475</v>
      </c>
    </row>
    <row r="1812" spans="1:21" hidden="1" x14ac:dyDescent="0.35">
      <c r="A1812" s="466" t="s">
        <v>5400</v>
      </c>
      <c r="B1812" s="535" t="s">
        <v>5395</v>
      </c>
      <c r="C1812" s="467">
        <v>42257</v>
      </c>
      <c r="D1812" s="467">
        <v>42257</v>
      </c>
      <c r="E1812" s="467"/>
      <c r="F1812" s="493" t="s">
        <v>3904</v>
      </c>
      <c r="G1812" s="493" t="s">
        <v>5396</v>
      </c>
      <c r="H1812" s="433" t="s">
        <v>5163</v>
      </c>
      <c r="I1812" s="484">
        <f t="shared" si="131"/>
        <v>2778.4402500000001</v>
      </c>
      <c r="J1812" s="375">
        <f t="shared" si="132"/>
        <v>715.97449999999992</v>
      </c>
      <c r="K1812" s="376">
        <f t="shared" si="133"/>
        <v>397.79543219999994</v>
      </c>
      <c r="L1812" s="367">
        <f t="shared" si="130"/>
        <v>79.559086439999987</v>
      </c>
      <c r="M1812" s="367" t="s">
        <v>6169</v>
      </c>
      <c r="N1812" s="463" t="s">
        <v>3785</v>
      </c>
      <c r="O1812" s="463" t="s">
        <v>3786</v>
      </c>
      <c r="P1812" s="464" t="s">
        <v>3659</v>
      </c>
      <c r="Q1812" s="431">
        <v>0.2</v>
      </c>
      <c r="R1812" s="430">
        <v>1900002437</v>
      </c>
      <c r="S1812" s="466" t="s">
        <v>3475</v>
      </c>
      <c r="T1812" s="2" t="s">
        <v>5914</v>
      </c>
      <c r="U1812" s="466" t="s">
        <v>3475</v>
      </c>
    </row>
    <row r="1813" spans="1:21" hidden="1" x14ac:dyDescent="0.35">
      <c r="A1813" s="494" t="s">
        <v>5401</v>
      </c>
      <c r="B1813" s="535" t="s">
        <v>5395</v>
      </c>
      <c r="C1813" s="467">
        <v>42257</v>
      </c>
      <c r="D1813" s="467">
        <v>42257</v>
      </c>
      <c r="E1813" s="467"/>
      <c r="F1813" s="493" t="s">
        <v>3904</v>
      </c>
      <c r="G1813" s="493" t="s">
        <v>5396</v>
      </c>
      <c r="H1813" s="433" t="s">
        <v>5163</v>
      </c>
      <c r="I1813" s="484">
        <f t="shared" si="131"/>
        <v>2778.4402500000001</v>
      </c>
      <c r="J1813" s="375">
        <f t="shared" si="132"/>
        <v>715.97449999999992</v>
      </c>
      <c r="K1813" s="376">
        <f t="shared" si="133"/>
        <v>397.79543219999994</v>
      </c>
      <c r="L1813" s="367">
        <f t="shared" si="130"/>
        <v>79.559086439999987</v>
      </c>
      <c r="M1813" s="367" t="s">
        <v>6169</v>
      </c>
      <c r="N1813" s="463" t="s">
        <v>3785</v>
      </c>
      <c r="O1813" s="463" t="s">
        <v>3786</v>
      </c>
      <c r="P1813" s="464" t="s">
        <v>3659</v>
      </c>
      <c r="Q1813" s="431">
        <v>0.2</v>
      </c>
      <c r="R1813" s="430">
        <v>1900002437</v>
      </c>
      <c r="S1813" s="466" t="s">
        <v>3475</v>
      </c>
      <c r="T1813" s="2" t="s">
        <v>5914</v>
      </c>
      <c r="U1813" s="466" t="s">
        <v>3475</v>
      </c>
    </row>
    <row r="1814" spans="1:21" hidden="1" x14ac:dyDescent="0.35">
      <c r="A1814" s="466" t="s">
        <v>5402</v>
      </c>
      <c r="B1814" s="535" t="s">
        <v>5395</v>
      </c>
      <c r="C1814" s="467">
        <v>42257</v>
      </c>
      <c r="D1814" s="467">
        <v>42257</v>
      </c>
      <c r="E1814" s="467"/>
      <c r="F1814" s="493" t="s">
        <v>3904</v>
      </c>
      <c r="G1814" s="493" t="s">
        <v>5396</v>
      </c>
      <c r="H1814" s="433" t="s">
        <v>5163</v>
      </c>
      <c r="I1814" s="484">
        <f t="shared" si="131"/>
        <v>2778.4402500000001</v>
      </c>
      <c r="J1814" s="375">
        <f t="shared" si="132"/>
        <v>715.97449999999992</v>
      </c>
      <c r="K1814" s="376">
        <f t="shared" si="133"/>
        <v>397.79543219999994</v>
      </c>
      <c r="L1814" s="367">
        <f t="shared" si="130"/>
        <v>79.559086439999987</v>
      </c>
      <c r="M1814" s="367" t="s">
        <v>6169</v>
      </c>
      <c r="N1814" s="463" t="s">
        <v>3785</v>
      </c>
      <c r="O1814" s="463" t="s">
        <v>3786</v>
      </c>
      <c r="P1814" s="464" t="s">
        <v>3659</v>
      </c>
      <c r="Q1814" s="431">
        <v>0.2</v>
      </c>
      <c r="R1814" s="430">
        <v>1900002437</v>
      </c>
      <c r="S1814" s="466" t="s">
        <v>3475</v>
      </c>
      <c r="T1814" s="2" t="s">
        <v>5914</v>
      </c>
      <c r="U1814" s="466" t="s">
        <v>3475</v>
      </c>
    </row>
    <row r="1815" spans="1:21" hidden="1" x14ac:dyDescent="0.35">
      <c r="A1815" s="466" t="s">
        <v>5403</v>
      </c>
      <c r="B1815" s="535" t="s">
        <v>5395</v>
      </c>
      <c r="C1815" s="467">
        <v>42257</v>
      </c>
      <c r="D1815" s="467">
        <v>42257</v>
      </c>
      <c r="E1815" s="467"/>
      <c r="F1815" s="493" t="s">
        <v>3904</v>
      </c>
      <c r="G1815" s="493" t="s">
        <v>5396</v>
      </c>
      <c r="H1815" s="433" t="s">
        <v>5163</v>
      </c>
      <c r="I1815" s="484">
        <f t="shared" si="131"/>
        <v>2778.4402500000001</v>
      </c>
      <c r="J1815" s="375">
        <f t="shared" si="132"/>
        <v>715.97449999999992</v>
      </c>
      <c r="K1815" s="376">
        <f t="shared" si="133"/>
        <v>397.79543219999994</v>
      </c>
      <c r="L1815" s="367">
        <f t="shared" si="130"/>
        <v>79.559086439999987</v>
      </c>
      <c r="M1815" s="367" t="s">
        <v>6169</v>
      </c>
      <c r="N1815" s="463" t="s">
        <v>3785</v>
      </c>
      <c r="O1815" s="463" t="s">
        <v>3786</v>
      </c>
      <c r="P1815" s="464" t="s">
        <v>3659</v>
      </c>
      <c r="Q1815" s="431">
        <v>0.2</v>
      </c>
      <c r="R1815" s="430">
        <v>1900002437</v>
      </c>
      <c r="S1815" s="466" t="s">
        <v>3475</v>
      </c>
      <c r="T1815" s="2" t="s">
        <v>5914</v>
      </c>
      <c r="U1815" s="466" t="s">
        <v>3475</v>
      </c>
    </row>
    <row r="1816" spans="1:21" hidden="1" x14ac:dyDescent="0.35">
      <c r="A1816" s="494" t="s">
        <v>5404</v>
      </c>
      <c r="B1816" s="535" t="s">
        <v>5395</v>
      </c>
      <c r="C1816" s="467">
        <v>42257</v>
      </c>
      <c r="D1816" s="467">
        <v>42257</v>
      </c>
      <c r="E1816" s="467"/>
      <c r="F1816" s="493" t="s">
        <v>3904</v>
      </c>
      <c r="G1816" s="493" t="s">
        <v>5396</v>
      </c>
      <c r="H1816" s="433" t="s">
        <v>5163</v>
      </c>
      <c r="I1816" s="484">
        <f t="shared" si="131"/>
        <v>2778.4402500000001</v>
      </c>
      <c r="J1816" s="375">
        <f t="shared" si="132"/>
        <v>715.97449999999992</v>
      </c>
      <c r="K1816" s="376">
        <f t="shared" si="133"/>
        <v>397.79543219999994</v>
      </c>
      <c r="L1816" s="367">
        <f t="shared" si="130"/>
        <v>79.559086439999987</v>
      </c>
      <c r="M1816" s="367" t="s">
        <v>6169</v>
      </c>
      <c r="N1816" s="463" t="s">
        <v>3785</v>
      </c>
      <c r="O1816" s="463" t="s">
        <v>3786</v>
      </c>
      <c r="P1816" s="464" t="s">
        <v>3659</v>
      </c>
      <c r="Q1816" s="431">
        <v>0.2</v>
      </c>
      <c r="R1816" s="430">
        <v>1900002437</v>
      </c>
      <c r="S1816" s="466" t="s">
        <v>3475</v>
      </c>
      <c r="T1816" s="2" t="s">
        <v>5914</v>
      </c>
      <c r="U1816" s="466" t="s">
        <v>3475</v>
      </c>
    </row>
    <row r="1817" spans="1:21" hidden="1" x14ac:dyDescent="0.35">
      <c r="A1817" s="466" t="s">
        <v>5405</v>
      </c>
      <c r="B1817" s="535" t="s">
        <v>5395</v>
      </c>
      <c r="C1817" s="467">
        <v>42257</v>
      </c>
      <c r="D1817" s="467">
        <v>42257</v>
      </c>
      <c r="E1817" s="467"/>
      <c r="F1817" s="493" t="s">
        <v>3904</v>
      </c>
      <c r="G1817" s="493" t="s">
        <v>5396</v>
      </c>
      <c r="H1817" s="433" t="s">
        <v>5163</v>
      </c>
      <c r="I1817" s="484">
        <f t="shared" si="131"/>
        <v>2778.4402500000001</v>
      </c>
      <c r="J1817" s="375">
        <f t="shared" si="132"/>
        <v>715.97449999999992</v>
      </c>
      <c r="K1817" s="376">
        <f t="shared" si="133"/>
        <v>397.79543219999994</v>
      </c>
      <c r="L1817" s="367">
        <f t="shared" si="130"/>
        <v>79.559086439999987</v>
      </c>
      <c r="M1817" s="367" t="s">
        <v>6169</v>
      </c>
      <c r="N1817" s="463" t="s">
        <v>3785</v>
      </c>
      <c r="O1817" s="463" t="s">
        <v>3786</v>
      </c>
      <c r="P1817" s="464" t="s">
        <v>3659</v>
      </c>
      <c r="Q1817" s="431">
        <v>0.2</v>
      </c>
      <c r="R1817" s="430">
        <v>1900002437</v>
      </c>
      <c r="S1817" s="466" t="s">
        <v>3475</v>
      </c>
      <c r="T1817" s="2" t="s">
        <v>5914</v>
      </c>
      <c r="U1817" s="466" t="s">
        <v>3475</v>
      </c>
    </row>
    <row r="1818" spans="1:21" hidden="1" x14ac:dyDescent="0.35">
      <c r="A1818" s="482" t="s">
        <v>5406</v>
      </c>
      <c r="B1818" s="432" t="s">
        <v>2601</v>
      </c>
      <c r="C1818" s="436">
        <v>42257</v>
      </c>
      <c r="D1818" s="436">
        <v>42257</v>
      </c>
      <c r="E1818" s="496" t="s">
        <v>2602</v>
      </c>
      <c r="F1818" s="483" t="s">
        <v>3904</v>
      </c>
      <c r="G1818" s="483" t="s">
        <v>5168</v>
      </c>
      <c r="H1818" s="432" t="s">
        <v>5163</v>
      </c>
      <c r="I1818" s="484">
        <v>4961.9075000000012</v>
      </c>
      <c r="J1818" s="484">
        <v>1278.6310833333334</v>
      </c>
      <c r="K1818" s="371">
        <f t="shared" si="133"/>
        <v>710.40742990000001</v>
      </c>
      <c r="L1818" s="366">
        <f t="shared" si="130"/>
        <v>142.08148598</v>
      </c>
      <c r="M1818" s="366" t="s">
        <v>6169</v>
      </c>
      <c r="N1818" s="432" t="s">
        <v>3785</v>
      </c>
      <c r="O1818" s="432" t="s">
        <v>3786</v>
      </c>
      <c r="P1818" s="438" t="s">
        <v>3659</v>
      </c>
      <c r="Q1818" s="481">
        <v>0.2</v>
      </c>
      <c r="R1818" s="444">
        <v>1900002437</v>
      </c>
      <c r="S1818" s="531" t="s">
        <v>2600</v>
      </c>
      <c r="T1818" s="527" t="s">
        <v>5915</v>
      </c>
    </row>
    <row r="1819" spans="1:21" hidden="1" x14ac:dyDescent="0.35">
      <c r="A1819" s="482" t="s">
        <v>5407</v>
      </c>
      <c r="B1819" s="432" t="s">
        <v>2601</v>
      </c>
      <c r="C1819" s="436">
        <v>42257</v>
      </c>
      <c r="D1819" s="436">
        <v>42257</v>
      </c>
      <c r="E1819" s="496" t="s">
        <v>2604</v>
      </c>
      <c r="F1819" s="483" t="s">
        <v>3904</v>
      </c>
      <c r="G1819" s="483" t="s">
        <v>5168</v>
      </c>
      <c r="H1819" s="432" t="s">
        <v>5163</v>
      </c>
      <c r="I1819" s="484">
        <v>4961.9075000000012</v>
      </c>
      <c r="J1819" s="484">
        <v>1278.6310833333334</v>
      </c>
      <c r="K1819" s="371">
        <f t="shared" si="133"/>
        <v>710.40742990000001</v>
      </c>
      <c r="L1819" s="366">
        <f t="shared" si="130"/>
        <v>142.08148598</v>
      </c>
      <c r="M1819" s="366" t="s">
        <v>6169</v>
      </c>
      <c r="N1819" s="432" t="s">
        <v>3785</v>
      </c>
      <c r="O1819" s="432" t="s">
        <v>3786</v>
      </c>
      <c r="P1819" s="438" t="s">
        <v>3659</v>
      </c>
      <c r="Q1819" s="481">
        <v>0.2</v>
      </c>
      <c r="R1819" s="444">
        <v>1900002437</v>
      </c>
      <c r="S1819" s="466" t="s">
        <v>2603</v>
      </c>
      <c r="T1819" s="2" t="s">
        <v>5915</v>
      </c>
    </row>
    <row r="1820" spans="1:21" hidden="1" x14ac:dyDescent="0.35">
      <c r="A1820" s="482" t="s">
        <v>5408</v>
      </c>
      <c r="B1820" s="432" t="s">
        <v>2606</v>
      </c>
      <c r="C1820" s="436">
        <v>42257</v>
      </c>
      <c r="D1820" s="436">
        <v>42257</v>
      </c>
      <c r="E1820" s="497" t="s">
        <v>2607</v>
      </c>
      <c r="F1820" s="483" t="s">
        <v>3904</v>
      </c>
      <c r="G1820" s="483" t="s">
        <v>5168</v>
      </c>
      <c r="H1820" s="432" t="s">
        <v>5163</v>
      </c>
      <c r="I1820" s="484">
        <v>4961.9075000000012</v>
      </c>
      <c r="J1820" s="484">
        <v>1278.6310833333334</v>
      </c>
      <c r="K1820" s="371">
        <f t="shared" si="133"/>
        <v>710.40742990000001</v>
      </c>
      <c r="L1820" s="366">
        <f t="shared" si="130"/>
        <v>142.08148598</v>
      </c>
      <c r="M1820" s="366" t="s">
        <v>6169</v>
      </c>
      <c r="N1820" s="432" t="s">
        <v>3785</v>
      </c>
      <c r="O1820" s="432" t="s">
        <v>3786</v>
      </c>
      <c r="P1820" s="438" t="s">
        <v>3659</v>
      </c>
      <c r="Q1820" s="481">
        <v>0.2</v>
      </c>
      <c r="R1820" s="444">
        <v>1900002437</v>
      </c>
      <c r="S1820" s="466" t="s">
        <v>2605</v>
      </c>
      <c r="T1820" s="2" t="s">
        <v>5915</v>
      </c>
    </row>
    <row r="1821" spans="1:21" hidden="1" x14ac:dyDescent="0.35">
      <c r="A1821" s="482" t="s">
        <v>5409</v>
      </c>
      <c r="B1821" s="432" t="s">
        <v>2590</v>
      </c>
      <c r="C1821" s="436">
        <v>42257</v>
      </c>
      <c r="D1821" s="436">
        <v>42257</v>
      </c>
      <c r="E1821" s="497" t="s">
        <v>2609</v>
      </c>
      <c r="F1821" s="483" t="s">
        <v>3904</v>
      </c>
      <c r="G1821" s="483" t="s">
        <v>5168</v>
      </c>
      <c r="H1821" s="432" t="s">
        <v>5163</v>
      </c>
      <c r="I1821" s="484">
        <v>4961.9075000000012</v>
      </c>
      <c r="J1821" s="484">
        <v>1278.6310833333334</v>
      </c>
      <c r="K1821" s="371">
        <f t="shared" si="133"/>
        <v>710.40742990000001</v>
      </c>
      <c r="L1821" s="366">
        <f t="shared" si="130"/>
        <v>142.08148598</v>
      </c>
      <c r="M1821" s="366" t="s">
        <v>6169</v>
      </c>
      <c r="N1821" s="432" t="s">
        <v>3785</v>
      </c>
      <c r="O1821" s="432" t="s">
        <v>3786</v>
      </c>
      <c r="P1821" s="438" t="s">
        <v>3659</v>
      </c>
      <c r="Q1821" s="481">
        <v>0.2</v>
      </c>
      <c r="R1821" s="444">
        <v>1900002437</v>
      </c>
      <c r="S1821" s="466" t="s">
        <v>2608</v>
      </c>
      <c r="T1821" s="2" t="s">
        <v>5915</v>
      </c>
    </row>
    <row r="1822" spans="1:21" hidden="1" x14ac:dyDescent="0.35">
      <c r="A1822" s="482" t="s">
        <v>5410</v>
      </c>
      <c r="B1822" s="432" t="s">
        <v>2618</v>
      </c>
      <c r="C1822" s="436">
        <v>42257</v>
      </c>
      <c r="D1822" s="436">
        <v>42257</v>
      </c>
      <c r="E1822" s="497" t="s">
        <v>2619</v>
      </c>
      <c r="F1822" s="483" t="s">
        <v>3904</v>
      </c>
      <c r="G1822" s="483" t="s">
        <v>5168</v>
      </c>
      <c r="H1822" s="432" t="s">
        <v>5163</v>
      </c>
      <c r="I1822" s="484">
        <v>4961.9075000000012</v>
      </c>
      <c r="J1822" s="484">
        <v>1278.6310833333334</v>
      </c>
      <c r="K1822" s="371">
        <f t="shared" si="133"/>
        <v>710.40742990000001</v>
      </c>
      <c r="L1822" s="366">
        <f t="shared" si="130"/>
        <v>142.08148598</v>
      </c>
      <c r="M1822" s="366" t="s">
        <v>6169</v>
      </c>
      <c r="N1822" s="432" t="s">
        <v>3785</v>
      </c>
      <c r="O1822" s="432" t="s">
        <v>3786</v>
      </c>
      <c r="P1822" s="438" t="s">
        <v>3659</v>
      </c>
      <c r="Q1822" s="481">
        <v>0.2</v>
      </c>
      <c r="R1822" s="444">
        <v>1900002437</v>
      </c>
      <c r="S1822" s="466" t="s">
        <v>6449</v>
      </c>
      <c r="T1822" s="2" t="s">
        <v>5915</v>
      </c>
    </row>
    <row r="1823" spans="1:21" hidden="1" x14ac:dyDescent="0.35">
      <c r="A1823" s="482" t="s">
        <v>5411</v>
      </c>
      <c r="B1823" s="432" t="s">
        <v>2620</v>
      </c>
      <c r="C1823" s="436">
        <v>42257</v>
      </c>
      <c r="D1823" s="436">
        <v>42257</v>
      </c>
      <c r="E1823" s="497" t="s">
        <v>2621</v>
      </c>
      <c r="F1823" s="483" t="s">
        <v>3904</v>
      </c>
      <c r="G1823" s="483" t="s">
        <v>5168</v>
      </c>
      <c r="H1823" s="432" t="s">
        <v>5163</v>
      </c>
      <c r="I1823" s="484">
        <v>4961.9075000000012</v>
      </c>
      <c r="J1823" s="484">
        <v>1278.6310833333334</v>
      </c>
      <c r="K1823" s="371">
        <f t="shared" si="133"/>
        <v>710.40742990000001</v>
      </c>
      <c r="L1823" s="366">
        <f t="shared" si="130"/>
        <v>142.08148598</v>
      </c>
      <c r="M1823" s="366" t="s">
        <v>6169</v>
      </c>
      <c r="N1823" s="432" t="s">
        <v>3785</v>
      </c>
      <c r="O1823" s="432" t="s">
        <v>3786</v>
      </c>
      <c r="P1823" s="438" t="s">
        <v>3659</v>
      </c>
      <c r="Q1823" s="481">
        <v>0.2</v>
      </c>
      <c r="R1823" s="444">
        <v>1900002437</v>
      </c>
      <c r="S1823" s="466" t="s">
        <v>6449</v>
      </c>
      <c r="T1823" s="2" t="s">
        <v>5915</v>
      </c>
    </row>
    <row r="1824" spans="1:21" hidden="1" x14ac:dyDescent="0.35">
      <c r="A1824" s="482" t="s">
        <v>5412</v>
      </c>
      <c r="B1824" s="432" t="s">
        <v>2618</v>
      </c>
      <c r="C1824" s="436">
        <v>42257</v>
      </c>
      <c r="D1824" s="436">
        <v>42257</v>
      </c>
      <c r="E1824" s="497" t="s">
        <v>2622</v>
      </c>
      <c r="F1824" s="483" t="s">
        <v>3904</v>
      </c>
      <c r="G1824" s="483" t="s">
        <v>5168</v>
      </c>
      <c r="H1824" s="432" t="s">
        <v>5163</v>
      </c>
      <c r="I1824" s="484">
        <v>2665.78125</v>
      </c>
      <c r="J1824" s="484">
        <v>686.94416666666666</v>
      </c>
      <c r="K1824" s="371">
        <f t="shared" si="133"/>
        <v>381.666179</v>
      </c>
      <c r="L1824" s="366">
        <f t="shared" si="130"/>
        <v>76.333235799999997</v>
      </c>
      <c r="M1824" s="366" t="s">
        <v>6169</v>
      </c>
      <c r="N1824" s="432" t="s">
        <v>3785</v>
      </c>
      <c r="O1824" s="432" t="s">
        <v>3786</v>
      </c>
      <c r="P1824" s="438" t="s">
        <v>3659</v>
      </c>
      <c r="Q1824" s="481">
        <v>0.2</v>
      </c>
      <c r="R1824" s="444">
        <v>1900002437</v>
      </c>
      <c r="S1824" s="466" t="s">
        <v>6449</v>
      </c>
      <c r="T1824" s="2" t="s">
        <v>5915</v>
      </c>
    </row>
    <row r="1825" spans="1:21" hidden="1" x14ac:dyDescent="0.35">
      <c r="A1825" s="482" t="s">
        <v>5413</v>
      </c>
      <c r="B1825" s="432" t="s">
        <v>2623</v>
      </c>
      <c r="C1825" s="436">
        <v>42257</v>
      </c>
      <c r="D1825" s="436">
        <v>42257</v>
      </c>
      <c r="E1825" s="497" t="s">
        <v>2624</v>
      </c>
      <c r="F1825" s="483" t="s">
        <v>3904</v>
      </c>
      <c r="G1825" s="483" t="s">
        <v>5168</v>
      </c>
      <c r="H1825" s="432" t="s">
        <v>5163</v>
      </c>
      <c r="I1825" s="484">
        <v>2665.78125</v>
      </c>
      <c r="J1825" s="484">
        <v>686.94416666666666</v>
      </c>
      <c r="K1825" s="371">
        <f t="shared" si="133"/>
        <v>381.666179</v>
      </c>
      <c r="L1825" s="366">
        <f t="shared" si="130"/>
        <v>76.333235799999997</v>
      </c>
      <c r="M1825" s="366" t="s">
        <v>6169</v>
      </c>
      <c r="N1825" s="432" t="s">
        <v>3785</v>
      </c>
      <c r="O1825" s="432" t="s">
        <v>3786</v>
      </c>
      <c r="P1825" s="438" t="s">
        <v>3659</v>
      </c>
      <c r="Q1825" s="481">
        <v>0.2</v>
      </c>
      <c r="R1825" s="444">
        <v>1900002437</v>
      </c>
      <c r="S1825" s="466" t="s">
        <v>6449</v>
      </c>
      <c r="T1825" s="2" t="s">
        <v>5915</v>
      </c>
    </row>
    <row r="1826" spans="1:21" hidden="1" x14ac:dyDescent="0.35">
      <c r="A1826" s="482" t="s">
        <v>5414</v>
      </c>
      <c r="B1826" s="432" t="s">
        <v>2618</v>
      </c>
      <c r="C1826" s="436">
        <v>42257</v>
      </c>
      <c r="D1826" s="436">
        <v>42257</v>
      </c>
      <c r="E1826" s="497" t="s">
        <v>2627</v>
      </c>
      <c r="F1826" s="483" t="s">
        <v>3904</v>
      </c>
      <c r="G1826" s="483" t="s">
        <v>5168</v>
      </c>
      <c r="H1826" s="432" t="s">
        <v>5163</v>
      </c>
      <c r="I1826" s="484">
        <v>2665.78125</v>
      </c>
      <c r="J1826" s="484">
        <v>686.94416666666666</v>
      </c>
      <c r="K1826" s="371">
        <f t="shared" si="133"/>
        <v>381.666179</v>
      </c>
      <c r="L1826" s="366">
        <f t="shared" si="130"/>
        <v>76.333235799999997</v>
      </c>
      <c r="M1826" s="366" t="s">
        <v>6169</v>
      </c>
      <c r="N1826" s="432" t="s">
        <v>3785</v>
      </c>
      <c r="O1826" s="432" t="s">
        <v>3786</v>
      </c>
      <c r="P1826" s="438" t="s">
        <v>3659</v>
      </c>
      <c r="Q1826" s="481">
        <v>0.2</v>
      </c>
      <c r="R1826" s="444">
        <v>1900002437</v>
      </c>
      <c r="S1826" s="466" t="s">
        <v>6449</v>
      </c>
      <c r="T1826" s="2" t="s">
        <v>5915</v>
      </c>
    </row>
    <row r="1827" spans="1:21" hidden="1" x14ac:dyDescent="0.35">
      <c r="A1827" s="482" t="s">
        <v>5415</v>
      </c>
      <c r="B1827" s="432" t="s">
        <v>2630</v>
      </c>
      <c r="C1827" s="436">
        <v>42257</v>
      </c>
      <c r="D1827" s="436">
        <v>42257</v>
      </c>
      <c r="E1827" s="497" t="s">
        <v>2631</v>
      </c>
      <c r="F1827" s="483" t="s">
        <v>3904</v>
      </c>
      <c r="G1827" s="483" t="s">
        <v>5168</v>
      </c>
      <c r="H1827" s="432" t="s">
        <v>5163</v>
      </c>
      <c r="I1827" s="484">
        <v>2665.78125</v>
      </c>
      <c r="J1827" s="484">
        <v>686.94416666666666</v>
      </c>
      <c r="K1827" s="371">
        <f t="shared" si="133"/>
        <v>381.666179</v>
      </c>
      <c r="L1827" s="366">
        <f t="shared" si="130"/>
        <v>76.333235799999997</v>
      </c>
      <c r="M1827" s="366" t="s">
        <v>6169</v>
      </c>
      <c r="N1827" s="432" t="s">
        <v>3785</v>
      </c>
      <c r="O1827" s="432" t="s">
        <v>3786</v>
      </c>
      <c r="P1827" s="438" t="s">
        <v>3659</v>
      </c>
      <c r="Q1827" s="481">
        <v>0.2</v>
      </c>
      <c r="R1827" s="444">
        <v>1900002437</v>
      </c>
      <c r="S1827" s="466" t="s">
        <v>6449</v>
      </c>
      <c r="T1827" s="524" t="s">
        <v>5915</v>
      </c>
    </row>
    <row r="1828" spans="1:21" hidden="1" x14ac:dyDescent="0.35">
      <c r="A1828" s="482" t="s">
        <v>5416</v>
      </c>
      <c r="B1828" s="542" t="s">
        <v>5417</v>
      </c>
      <c r="C1828" s="436">
        <v>42257</v>
      </c>
      <c r="D1828" s="436">
        <v>42257</v>
      </c>
      <c r="E1828" s="497"/>
      <c r="F1828" s="483" t="s">
        <v>3904</v>
      </c>
      <c r="G1828" s="483" t="s">
        <v>5168</v>
      </c>
      <c r="H1828" s="432" t="s">
        <v>5163</v>
      </c>
      <c r="I1828" s="484">
        <v>2665.78125</v>
      </c>
      <c r="J1828" s="484">
        <v>686.94416666666666</v>
      </c>
      <c r="K1828" s="371">
        <f t="shared" si="133"/>
        <v>381.666179</v>
      </c>
      <c r="L1828" s="366">
        <f t="shared" si="130"/>
        <v>76.333235799999997</v>
      </c>
      <c r="M1828" s="366" t="s">
        <v>6169</v>
      </c>
      <c r="N1828" s="432" t="s">
        <v>3785</v>
      </c>
      <c r="O1828" s="432" t="s">
        <v>3786</v>
      </c>
      <c r="P1828" s="438" t="s">
        <v>3659</v>
      </c>
      <c r="Q1828" s="481">
        <v>0.2</v>
      </c>
      <c r="R1828" s="444">
        <v>1900002437</v>
      </c>
      <c r="S1828" s="466" t="s">
        <v>3475</v>
      </c>
      <c r="T1828" s="2" t="s">
        <v>5914</v>
      </c>
      <c r="U1828" s="466" t="s">
        <v>3475</v>
      </c>
    </row>
    <row r="1829" spans="1:21" hidden="1" x14ac:dyDescent="0.35">
      <c r="A1829" s="482" t="s">
        <v>5418</v>
      </c>
      <c r="B1829" s="542" t="s">
        <v>5417</v>
      </c>
      <c r="C1829" s="436">
        <v>42257</v>
      </c>
      <c r="D1829" s="436">
        <v>42257</v>
      </c>
      <c r="E1829" s="497"/>
      <c r="F1829" s="483" t="s">
        <v>3904</v>
      </c>
      <c r="G1829" s="483" t="s">
        <v>5168</v>
      </c>
      <c r="H1829" s="432" t="s">
        <v>5163</v>
      </c>
      <c r="I1829" s="484">
        <v>2665.78125</v>
      </c>
      <c r="J1829" s="484">
        <v>686.94416666666666</v>
      </c>
      <c r="K1829" s="371">
        <f t="shared" si="133"/>
        <v>381.666179</v>
      </c>
      <c r="L1829" s="366">
        <f t="shared" si="130"/>
        <v>76.333235799999997</v>
      </c>
      <c r="M1829" s="366" t="s">
        <v>6169</v>
      </c>
      <c r="N1829" s="432" t="s">
        <v>3785</v>
      </c>
      <c r="O1829" s="432" t="s">
        <v>3786</v>
      </c>
      <c r="P1829" s="438" t="s">
        <v>3659</v>
      </c>
      <c r="Q1829" s="481">
        <v>0.2</v>
      </c>
      <c r="R1829" s="444">
        <v>1900002437</v>
      </c>
      <c r="S1829" s="466" t="s">
        <v>3475</v>
      </c>
      <c r="T1829" s="2" t="s">
        <v>5914</v>
      </c>
      <c r="U1829" s="466" t="s">
        <v>3475</v>
      </c>
    </row>
    <row r="1830" spans="1:21" hidden="1" x14ac:dyDescent="0.35">
      <c r="A1830" s="482" t="s">
        <v>5419</v>
      </c>
      <c r="B1830" s="432" t="s">
        <v>5420</v>
      </c>
      <c r="C1830" s="436">
        <v>42257</v>
      </c>
      <c r="D1830" s="436">
        <v>42257</v>
      </c>
      <c r="E1830" s="497" t="s">
        <v>3535</v>
      </c>
      <c r="F1830" s="483" t="s">
        <v>3904</v>
      </c>
      <c r="G1830" s="483" t="s">
        <v>5421</v>
      </c>
      <c r="H1830" s="432" t="s">
        <v>5163</v>
      </c>
      <c r="I1830" s="484">
        <v>71798.375</v>
      </c>
      <c r="J1830" s="484">
        <v>18501.685125</v>
      </c>
      <c r="K1830" s="371">
        <f t="shared" si="133"/>
        <v>10279.536255449999</v>
      </c>
      <c r="L1830" s="366">
        <f t="shared" si="130"/>
        <v>2055.90725109</v>
      </c>
      <c r="M1830" s="366" t="s">
        <v>6169</v>
      </c>
      <c r="N1830" s="432" t="s">
        <v>1377</v>
      </c>
      <c r="O1830" s="432" t="s">
        <v>3786</v>
      </c>
      <c r="P1830" s="438" t="s">
        <v>3659</v>
      </c>
      <c r="Q1830" s="481">
        <v>0.2</v>
      </c>
      <c r="R1830" s="444">
        <v>1900002437</v>
      </c>
      <c r="S1830" s="531" t="s">
        <v>1377</v>
      </c>
      <c r="T1830" s="527" t="s">
        <v>5915</v>
      </c>
    </row>
    <row r="1831" spans="1:21" hidden="1" x14ac:dyDescent="0.35">
      <c r="A1831" s="482" t="s">
        <v>5422</v>
      </c>
      <c r="B1831" s="432" t="s">
        <v>5420</v>
      </c>
      <c r="C1831" s="436">
        <v>42257</v>
      </c>
      <c r="D1831" s="436">
        <v>42257</v>
      </c>
      <c r="E1831" s="497" t="s">
        <v>3536</v>
      </c>
      <c r="F1831" s="483" t="s">
        <v>3904</v>
      </c>
      <c r="G1831" s="483" t="s">
        <v>5421</v>
      </c>
      <c r="H1831" s="432" t="s">
        <v>5163</v>
      </c>
      <c r="I1831" s="484">
        <v>71798.375</v>
      </c>
      <c r="J1831" s="484">
        <v>18501.685125</v>
      </c>
      <c r="K1831" s="371">
        <f t="shared" si="133"/>
        <v>10279.536255449999</v>
      </c>
      <c r="L1831" s="366">
        <f t="shared" si="130"/>
        <v>2055.90725109</v>
      </c>
      <c r="M1831" s="366" t="s">
        <v>6169</v>
      </c>
      <c r="N1831" s="432" t="s">
        <v>3785</v>
      </c>
      <c r="O1831" s="432" t="s">
        <v>3786</v>
      </c>
      <c r="P1831" s="438" t="s">
        <v>3659</v>
      </c>
      <c r="Q1831" s="481">
        <v>0.2</v>
      </c>
      <c r="R1831" s="444">
        <v>1900002437</v>
      </c>
      <c r="S1831" s="526" t="s">
        <v>2504</v>
      </c>
      <c r="T1831" s="524" t="s">
        <v>5915</v>
      </c>
    </row>
    <row r="1832" spans="1:21" hidden="1" x14ac:dyDescent="0.35">
      <c r="A1832" s="466" t="s">
        <v>5423</v>
      </c>
      <c r="B1832" s="540" t="s">
        <v>5424</v>
      </c>
      <c r="C1832" s="443">
        <v>42461</v>
      </c>
      <c r="D1832" s="443">
        <v>42461</v>
      </c>
      <c r="E1832" s="443"/>
      <c r="F1832" s="466">
        <v>2325161</v>
      </c>
      <c r="G1832" s="463" t="s">
        <v>5302</v>
      </c>
      <c r="H1832" s="433" t="s">
        <v>5163</v>
      </c>
      <c r="I1832" s="368">
        <f>+(36172.21*1.175)</f>
        <v>42502.346749999997</v>
      </c>
      <c r="J1832" s="368">
        <f>9495.07*1.175</f>
        <v>11156.707249999999</v>
      </c>
      <c r="K1832" s="366">
        <f>+J1832*0.5556</f>
        <v>6198.6665480999991</v>
      </c>
      <c r="L1832" s="368">
        <f t="shared" ref="L1832:L1850" si="134">+K1832*Q1832</f>
        <v>1239.73330962</v>
      </c>
      <c r="M1832" s="368" t="s">
        <v>6169</v>
      </c>
      <c r="N1832" s="463" t="s">
        <v>3785</v>
      </c>
      <c r="O1832" s="477" t="s">
        <v>3978</v>
      </c>
      <c r="P1832" s="464" t="s">
        <v>3659</v>
      </c>
      <c r="Q1832" s="431">
        <v>0.2</v>
      </c>
      <c r="R1832" s="430">
        <v>1900000649</v>
      </c>
      <c r="S1832" s="2" t="s">
        <v>3475</v>
      </c>
      <c r="T1832" s="2" t="s">
        <v>5914</v>
      </c>
      <c r="U1832" s="2" t="s">
        <v>3475</v>
      </c>
    </row>
    <row r="1833" spans="1:21" hidden="1" x14ac:dyDescent="0.35">
      <c r="A1833" s="466" t="s">
        <v>5425</v>
      </c>
      <c r="B1833" s="540" t="s">
        <v>5426</v>
      </c>
      <c r="C1833" s="443">
        <v>42461</v>
      </c>
      <c r="D1833" s="443">
        <v>42461</v>
      </c>
      <c r="E1833" s="443"/>
      <c r="F1833" s="466">
        <v>2325161</v>
      </c>
      <c r="G1833" s="463" t="s">
        <v>5302</v>
      </c>
      <c r="H1833" s="433" t="s">
        <v>5163</v>
      </c>
      <c r="I1833" s="469">
        <f>+(68584.42*1.175)</f>
        <v>80586.693499999994</v>
      </c>
      <c r="J1833" s="368">
        <f>18003.14*1.175</f>
        <v>21153.6895</v>
      </c>
      <c r="K1833" s="366">
        <f>+J1833*0.5556</f>
        <v>11752.989886199999</v>
      </c>
      <c r="L1833" s="368">
        <f t="shared" si="134"/>
        <v>2350.5979772400001</v>
      </c>
      <c r="M1833" s="368" t="s">
        <v>6169</v>
      </c>
      <c r="N1833" s="463" t="s">
        <v>3785</v>
      </c>
      <c r="O1833" s="433" t="s">
        <v>3978</v>
      </c>
      <c r="P1833" s="464" t="s">
        <v>3659</v>
      </c>
      <c r="Q1833" s="431">
        <v>0.2</v>
      </c>
      <c r="R1833" s="430">
        <v>1900000649</v>
      </c>
      <c r="S1833" s="2" t="s">
        <v>3475</v>
      </c>
      <c r="T1833" s="2" t="s">
        <v>5914</v>
      </c>
      <c r="U1833" s="2" t="s">
        <v>3475</v>
      </c>
    </row>
    <row r="1834" spans="1:21" hidden="1" x14ac:dyDescent="0.35">
      <c r="A1834" s="466" t="s">
        <v>5427</v>
      </c>
      <c r="B1834" s="477" t="s">
        <v>5428</v>
      </c>
      <c r="C1834" s="443">
        <v>42461</v>
      </c>
      <c r="D1834" s="443">
        <v>42461</v>
      </c>
      <c r="E1834" s="443"/>
      <c r="F1834" s="444">
        <v>2325161</v>
      </c>
      <c r="G1834" s="433" t="s">
        <v>5429</v>
      </c>
      <c r="H1834" s="433" t="s">
        <v>5163</v>
      </c>
      <c r="I1834" s="469">
        <f>+(43164.75/3)*1.175</f>
        <v>16906.193750000002</v>
      </c>
      <c r="J1834" s="368">
        <f>+(11330.58/3)*1.175</f>
        <v>4437.8105000000005</v>
      </c>
      <c r="K1834" s="366">
        <f>+J1834*0.5556</f>
        <v>2465.6475138000001</v>
      </c>
      <c r="L1834" s="368">
        <f t="shared" si="134"/>
        <v>493.12950276000004</v>
      </c>
      <c r="M1834" s="368" t="s">
        <v>6169</v>
      </c>
      <c r="N1834" s="463" t="s">
        <v>3785</v>
      </c>
      <c r="O1834" s="433" t="s">
        <v>3978</v>
      </c>
      <c r="P1834" s="464" t="s">
        <v>3659</v>
      </c>
      <c r="Q1834" s="431">
        <v>0.2</v>
      </c>
      <c r="R1834" s="430">
        <v>1900000649</v>
      </c>
      <c r="S1834" s="9" t="s">
        <v>5921</v>
      </c>
      <c r="T1834" s="527" t="s">
        <v>5914</v>
      </c>
      <c r="U1834" s="9" t="s">
        <v>5921</v>
      </c>
    </row>
    <row r="1835" spans="1:21" hidden="1" x14ac:dyDescent="0.35">
      <c r="A1835" s="466" t="s">
        <v>5430</v>
      </c>
      <c r="B1835" s="477" t="s">
        <v>5431</v>
      </c>
      <c r="C1835" s="467">
        <v>42461</v>
      </c>
      <c r="D1835" s="467">
        <v>42461</v>
      </c>
      <c r="E1835" s="467"/>
      <c r="F1835" s="498">
        <v>2325161</v>
      </c>
      <c r="G1835" s="493" t="s">
        <v>5429</v>
      </c>
      <c r="H1835" s="433" t="s">
        <v>5163</v>
      </c>
      <c r="I1835" s="469">
        <f>+(43164.75/3)*1.175</f>
        <v>16906.193750000002</v>
      </c>
      <c r="J1835" s="368">
        <f>+(11330.58/3)*1.175</f>
        <v>4437.8105000000005</v>
      </c>
      <c r="K1835" s="366">
        <f>+J1835*0.5556</f>
        <v>2465.6475138000001</v>
      </c>
      <c r="L1835" s="368">
        <f t="shared" si="134"/>
        <v>493.12950276000004</v>
      </c>
      <c r="M1835" s="368" t="s">
        <v>6169</v>
      </c>
      <c r="N1835" s="463" t="s">
        <v>3785</v>
      </c>
      <c r="O1835" s="433" t="s">
        <v>3978</v>
      </c>
      <c r="P1835" s="464" t="s">
        <v>3659</v>
      </c>
      <c r="Q1835" s="431">
        <v>0.2</v>
      </c>
      <c r="R1835" s="430">
        <v>1900000649</v>
      </c>
      <c r="S1835" s="9" t="s">
        <v>5921</v>
      </c>
      <c r="T1835" s="2" t="s">
        <v>5914</v>
      </c>
      <c r="U1835" s="9" t="s">
        <v>5921</v>
      </c>
    </row>
    <row r="1836" spans="1:21" hidden="1" x14ac:dyDescent="0.35">
      <c r="A1836" s="466" t="s">
        <v>5432</v>
      </c>
      <c r="B1836" s="477" t="s">
        <v>5433</v>
      </c>
      <c r="C1836" s="467">
        <v>42461</v>
      </c>
      <c r="D1836" s="467">
        <v>42461</v>
      </c>
      <c r="E1836" s="467"/>
      <c r="F1836" s="498">
        <v>2325161</v>
      </c>
      <c r="G1836" s="493" t="s">
        <v>5429</v>
      </c>
      <c r="H1836" s="433" t="s">
        <v>5163</v>
      </c>
      <c r="I1836" s="469">
        <f>+(43164.75/3)*1.175</f>
        <v>16906.193750000002</v>
      </c>
      <c r="J1836" s="368">
        <f>+(11330.58/3)*1.175</f>
        <v>4437.8105000000005</v>
      </c>
      <c r="K1836" s="366">
        <f>+J1836*0.5556</f>
        <v>2465.6475138000001</v>
      </c>
      <c r="L1836" s="368">
        <f t="shared" si="134"/>
        <v>493.12950276000004</v>
      </c>
      <c r="M1836" s="368" t="s">
        <v>6169</v>
      </c>
      <c r="N1836" s="463" t="s">
        <v>3785</v>
      </c>
      <c r="O1836" s="433" t="s">
        <v>3978</v>
      </c>
      <c r="P1836" s="464" t="s">
        <v>3659</v>
      </c>
      <c r="Q1836" s="431">
        <v>0.2</v>
      </c>
      <c r="R1836" s="430">
        <v>1900000649</v>
      </c>
      <c r="S1836" s="9" t="s">
        <v>5921</v>
      </c>
      <c r="T1836" s="2" t="s">
        <v>5914</v>
      </c>
      <c r="U1836" s="9" t="s">
        <v>5921</v>
      </c>
    </row>
    <row r="1837" spans="1:21" hidden="1" x14ac:dyDescent="0.35">
      <c r="A1837" s="466" t="s">
        <v>5434</v>
      </c>
      <c r="B1837" s="463" t="s">
        <v>5435</v>
      </c>
      <c r="C1837" s="467">
        <v>42705</v>
      </c>
      <c r="D1837" s="467">
        <v>42705</v>
      </c>
      <c r="E1837" s="467" t="s">
        <v>3522</v>
      </c>
      <c r="F1837" s="498">
        <v>6945601</v>
      </c>
      <c r="G1837" s="463" t="s">
        <v>5302</v>
      </c>
      <c r="H1837" s="433" t="s">
        <v>5163</v>
      </c>
      <c r="I1837" s="484">
        <f>7769*1.175</f>
        <v>9128.5750000000007</v>
      </c>
      <c r="J1837" s="375">
        <f>2039.33*1.1753</f>
        <v>2396.8245489999999</v>
      </c>
      <c r="K1837" s="376">
        <f>+J1837*(0.555555555555556)</f>
        <v>1331.5691938888899</v>
      </c>
      <c r="L1837" s="368">
        <f t="shared" si="134"/>
        <v>266.31383877777802</v>
      </c>
      <c r="M1837" s="368" t="s">
        <v>6169</v>
      </c>
      <c r="N1837" s="463" t="s">
        <v>3785</v>
      </c>
      <c r="O1837" s="463" t="s">
        <v>3941</v>
      </c>
      <c r="P1837" s="464" t="s">
        <v>3659</v>
      </c>
      <c r="Q1837" s="431">
        <v>0.2</v>
      </c>
      <c r="R1837" s="430">
        <v>1900000653</v>
      </c>
      <c r="S1837" s="466" t="s">
        <v>2617</v>
      </c>
      <c r="T1837" s="2" t="s">
        <v>5915</v>
      </c>
    </row>
    <row r="1838" spans="1:21" hidden="1" x14ac:dyDescent="0.35">
      <c r="A1838" s="466" t="s">
        <v>5436</v>
      </c>
      <c r="B1838" s="463" t="s">
        <v>5437</v>
      </c>
      <c r="C1838" s="467">
        <v>42705</v>
      </c>
      <c r="D1838" s="467">
        <v>42705</v>
      </c>
      <c r="E1838" s="467" t="s">
        <v>3496</v>
      </c>
      <c r="F1838" s="493" t="s">
        <v>3968</v>
      </c>
      <c r="G1838" s="463" t="s">
        <v>5302</v>
      </c>
      <c r="H1838" s="463" t="s">
        <v>5163</v>
      </c>
      <c r="I1838" s="484">
        <f>+(16851.18/2)*1.175</f>
        <v>9900.0682500000003</v>
      </c>
      <c r="J1838" s="375">
        <f>+(4423.37/2)*1.175</f>
        <v>2598.729875</v>
      </c>
      <c r="K1838" s="376">
        <f>+J1838*(0.555555555555556)</f>
        <v>1443.7388194444457</v>
      </c>
      <c r="L1838" s="368">
        <f t="shared" si="134"/>
        <v>288.74776388888915</v>
      </c>
      <c r="M1838" s="368" t="s">
        <v>6169</v>
      </c>
      <c r="N1838" s="463" t="s">
        <v>3785</v>
      </c>
      <c r="O1838" s="463" t="s">
        <v>3941</v>
      </c>
      <c r="P1838" s="464" t="s">
        <v>3659</v>
      </c>
      <c r="Q1838" s="431">
        <v>0.2</v>
      </c>
      <c r="R1838" s="430">
        <v>1900000655</v>
      </c>
      <c r="S1838" s="194" t="s">
        <v>3497</v>
      </c>
      <c r="T1838" s="2" t="s">
        <v>5915</v>
      </c>
    </row>
    <row r="1839" spans="1:21" hidden="1" x14ac:dyDescent="0.35">
      <c r="A1839" s="466" t="s">
        <v>5438</v>
      </c>
      <c r="B1839" s="463" t="s">
        <v>5437</v>
      </c>
      <c r="C1839" s="467">
        <v>42705</v>
      </c>
      <c r="D1839" s="467">
        <v>42705</v>
      </c>
      <c r="E1839" s="467" t="s">
        <v>3504</v>
      </c>
      <c r="F1839" s="493" t="s">
        <v>3968</v>
      </c>
      <c r="G1839" s="463" t="s">
        <v>5302</v>
      </c>
      <c r="H1839" s="463" t="s">
        <v>5163</v>
      </c>
      <c r="I1839" s="484">
        <f>+(16851.18/2)*1.175</f>
        <v>9900.0682500000003</v>
      </c>
      <c r="J1839" s="375">
        <f>+(4423.37/2)*1.175</f>
        <v>2598.729875</v>
      </c>
      <c r="K1839" s="376">
        <f>+J1839*(0.555555555555556)</f>
        <v>1443.7388194444457</v>
      </c>
      <c r="L1839" s="368">
        <f t="shared" si="134"/>
        <v>288.74776388888915</v>
      </c>
      <c r="M1839" s="368" t="s">
        <v>6169</v>
      </c>
      <c r="N1839" s="463" t="s">
        <v>3785</v>
      </c>
      <c r="O1839" s="463" t="s">
        <v>3941</v>
      </c>
      <c r="P1839" s="464" t="s">
        <v>3659</v>
      </c>
      <c r="Q1839" s="431">
        <v>0.2</v>
      </c>
      <c r="R1839" s="430">
        <v>1900000655</v>
      </c>
      <c r="S1839" s="194" t="s">
        <v>3505</v>
      </c>
      <c r="T1839" s="2" t="s">
        <v>5915</v>
      </c>
    </row>
    <row r="1840" spans="1:21" hidden="1" x14ac:dyDescent="0.35">
      <c r="A1840" s="482" t="s">
        <v>5321</v>
      </c>
      <c r="B1840" s="432" t="s">
        <v>5439</v>
      </c>
      <c r="C1840" s="436">
        <v>42461</v>
      </c>
      <c r="D1840" s="436">
        <v>42461</v>
      </c>
      <c r="E1840" s="436" t="s">
        <v>2625</v>
      </c>
      <c r="F1840" s="483">
        <v>2325161</v>
      </c>
      <c r="G1840" s="483" t="s">
        <v>5168</v>
      </c>
      <c r="H1840" s="432" t="s">
        <v>5163</v>
      </c>
      <c r="I1840" s="484">
        <f>+(6985.56/2)*1.175</f>
        <v>4104.0165000000006</v>
      </c>
      <c r="J1840" s="484">
        <f>+(1833.68/2)*1.175</f>
        <v>1077.287</v>
      </c>
      <c r="K1840" s="371">
        <f t="shared" ref="K1840:K1850" si="135">+J1840*(0.5556)</f>
        <v>598.54065720000006</v>
      </c>
      <c r="L1840" s="366">
        <f t="shared" si="134"/>
        <v>119.70813144000002</v>
      </c>
      <c r="M1840" s="366" t="s">
        <v>6169</v>
      </c>
      <c r="N1840" s="432" t="s">
        <v>3785</v>
      </c>
      <c r="O1840" s="432" t="s">
        <v>3978</v>
      </c>
      <c r="P1840" s="438" t="s">
        <v>3659</v>
      </c>
      <c r="Q1840" s="481">
        <v>0.2</v>
      </c>
      <c r="R1840" s="444">
        <v>1900000649</v>
      </c>
      <c r="S1840" s="466" t="s">
        <v>6449</v>
      </c>
      <c r="T1840" s="2" t="s">
        <v>5915</v>
      </c>
    </row>
    <row r="1841" spans="1:20" hidden="1" x14ac:dyDescent="0.35">
      <c r="A1841" s="482" t="s">
        <v>5322</v>
      </c>
      <c r="B1841" s="432" t="s">
        <v>5439</v>
      </c>
      <c r="C1841" s="436">
        <v>42461</v>
      </c>
      <c r="D1841" s="436">
        <v>42461</v>
      </c>
      <c r="E1841" s="436" t="s">
        <v>2626</v>
      </c>
      <c r="F1841" s="483">
        <v>2325161</v>
      </c>
      <c r="G1841" s="483" t="s">
        <v>5168</v>
      </c>
      <c r="H1841" s="432" t="s">
        <v>5163</v>
      </c>
      <c r="I1841" s="484">
        <f>+(6985.56/2)*1.175</f>
        <v>4104.0165000000006</v>
      </c>
      <c r="J1841" s="484">
        <f>+(1833.68/2)*1.175</f>
        <v>1077.287</v>
      </c>
      <c r="K1841" s="371">
        <f t="shared" si="135"/>
        <v>598.54065720000006</v>
      </c>
      <c r="L1841" s="366">
        <f t="shared" si="134"/>
        <v>119.70813144000002</v>
      </c>
      <c r="M1841" s="366" t="s">
        <v>6169</v>
      </c>
      <c r="N1841" s="432" t="s">
        <v>3785</v>
      </c>
      <c r="O1841" s="432" t="s">
        <v>3978</v>
      </c>
      <c r="P1841" s="438" t="s">
        <v>3659</v>
      </c>
      <c r="Q1841" s="481">
        <v>0.2</v>
      </c>
      <c r="R1841" s="444">
        <v>1900000649</v>
      </c>
      <c r="S1841" s="466" t="s">
        <v>6449</v>
      </c>
      <c r="T1841" s="2" t="s">
        <v>5915</v>
      </c>
    </row>
    <row r="1842" spans="1:20" hidden="1" x14ac:dyDescent="0.35">
      <c r="A1842" s="482" t="s">
        <v>5324</v>
      </c>
      <c r="B1842" s="432" t="s">
        <v>5440</v>
      </c>
      <c r="C1842" s="436">
        <v>42461</v>
      </c>
      <c r="D1842" s="436">
        <v>42461</v>
      </c>
      <c r="E1842" s="436" t="s">
        <v>2637</v>
      </c>
      <c r="F1842" s="483">
        <v>2325161</v>
      </c>
      <c r="G1842" s="483" t="s">
        <v>5168</v>
      </c>
      <c r="H1842" s="432" t="s">
        <v>5163</v>
      </c>
      <c r="I1842" s="484">
        <f>+(3973.35/3)*1.175</f>
        <v>1556.2287500000002</v>
      </c>
      <c r="J1842" s="484">
        <f>+(1042.99/3)*1.175</f>
        <v>408.50441666666671</v>
      </c>
      <c r="K1842" s="371">
        <f t="shared" si="135"/>
        <v>226.96505390000002</v>
      </c>
      <c r="L1842" s="366">
        <f t="shared" si="134"/>
        <v>45.393010780000004</v>
      </c>
      <c r="M1842" s="366" t="s">
        <v>6169</v>
      </c>
      <c r="N1842" s="432" t="s">
        <v>3785</v>
      </c>
      <c r="O1842" s="432" t="s">
        <v>3978</v>
      </c>
      <c r="P1842" s="438" t="s">
        <v>3659</v>
      </c>
      <c r="Q1842" s="481">
        <v>0.2</v>
      </c>
      <c r="R1842" s="444">
        <v>1900000649</v>
      </c>
      <c r="S1842" s="466" t="s">
        <v>6449</v>
      </c>
      <c r="T1842" s="2" t="s">
        <v>5915</v>
      </c>
    </row>
    <row r="1843" spans="1:20" hidden="1" x14ac:dyDescent="0.35">
      <c r="A1843" s="482" t="s">
        <v>5325</v>
      </c>
      <c r="B1843" s="432" t="s">
        <v>5440</v>
      </c>
      <c r="C1843" s="436">
        <v>42461</v>
      </c>
      <c r="D1843" s="436">
        <v>42461</v>
      </c>
      <c r="E1843" s="436" t="s">
        <v>2632</v>
      </c>
      <c r="F1843" s="483">
        <v>2325161</v>
      </c>
      <c r="G1843" s="483" t="s">
        <v>5168</v>
      </c>
      <c r="H1843" s="432" t="s">
        <v>5163</v>
      </c>
      <c r="I1843" s="484">
        <f>+(3973.35/3)*1.175</f>
        <v>1556.2287500000002</v>
      </c>
      <c r="J1843" s="484">
        <f>+(1042.99/3)*1.175</f>
        <v>408.50441666666671</v>
      </c>
      <c r="K1843" s="371">
        <f t="shared" si="135"/>
        <v>226.96505390000002</v>
      </c>
      <c r="L1843" s="366">
        <f t="shared" si="134"/>
        <v>45.393010780000004</v>
      </c>
      <c r="M1843" s="366" t="s">
        <v>6169</v>
      </c>
      <c r="N1843" s="432" t="s">
        <v>3785</v>
      </c>
      <c r="O1843" s="432" t="s">
        <v>3978</v>
      </c>
      <c r="P1843" s="438" t="s">
        <v>3659</v>
      </c>
      <c r="Q1843" s="481">
        <v>0.2</v>
      </c>
      <c r="R1843" s="444">
        <v>1900000649</v>
      </c>
      <c r="S1843" s="466" t="s">
        <v>6449</v>
      </c>
      <c r="T1843" s="2" t="s">
        <v>5915</v>
      </c>
    </row>
    <row r="1844" spans="1:20" hidden="1" x14ac:dyDescent="0.35">
      <c r="A1844" s="482" t="s">
        <v>5326</v>
      </c>
      <c r="B1844" s="432" t="s">
        <v>5440</v>
      </c>
      <c r="C1844" s="436">
        <v>42461</v>
      </c>
      <c r="D1844" s="436">
        <v>42461</v>
      </c>
      <c r="E1844" s="436" t="s">
        <v>2633</v>
      </c>
      <c r="F1844" s="483">
        <v>2325161</v>
      </c>
      <c r="G1844" s="483" t="s">
        <v>5168</v>
      </c>
      <c r="H1844" s="432" t="s">
        <v>5163</v>
      </c>
      <c r="I1844" s="484">
        <f>+(3973.35/3)*1.175</f>
        <v>1556.2287500000002</v>
      </c>
      <c r="J1844" s="484">
        <f>+(1042.99/3)*1.175</f>
        <v>408.50441666666671</v>
      </c>
      <c r="K1844" s="371">
        <f t="shared" si="135"/>
        <v>226.96505390000002</v>
      </c>
      <c r="L1844" s="366">
        <f t="shared" si="134"/>
        <v>45.393010780000004</v>
      </c>
      <c r="M1844" s="366" t="s">
        <v>6169</v>
      </c>
      <c r="N1844" s="432" t="s">
        <v>3785</v>
      </c>
      <c r="O1844" s="432" t="s">
        <v>3978</v>
      </c>
      <c r="P1844" s="438" t="s">
        <v>3659</v>
      </c>
      <c r="Q1844" s="481">
        <v>0.2</v>
      </c>
      <c r="R1844" s="444">
        <v>1900000649</v>
      </c>
      <c r="S1844" s="466" t="s">
        <v>6449</v>
      </c>
      <c r="T1844" s="2" t="s">
        <v>5915</v>
      </c>
    </row>
    <row r="1845" spans="1:20" hidden="1" x14ac:dyDescent="0.35">
      <c r="A1845" s="482" t="s">
        <v>5327</v>
      </c>
      <c r="B1845" s="432" t="s">
        <v>5441</v>
      </c>
      <c r="C1845" s="436">
        <v>42461</v>
      </c>
      <c r="D1845" s="436">
        <v>42461</v>
      </c>
      <c r="E1845" s="436" t="s">
        <v>2615</v>
      </c>
      <c r="F1845" s="483">
        <v>2325161</v>
      </c>
      <c r="G1845" s="483" t="s">
        <v>5168</v>
      </c>
      <c r="H1845" s="432" t="s">
        <v>5163</v>
      </c>
      <c r="I1845" s="484">
        <f>+(12965.88/4)*1.175</f>
        <v>3808.7272499999999</v>
      </c>
      <c r="J1845" s="484">
        <f>+(3403.49/4)*1.175</f>
        <v>999.77518750000002</v>
      </c>
      <c r="K1845" s="371">
        <f t="shared" si="135"/>
        <v>555.47509417499998</v>
      </c>
      <c r="L1845" s="366">
        <f t="shared" si="134"/>
        <v>111.095018835</v>
      </c>
      <c r="M1845" s="366" t="s">
        <v>6169</v>
      </c>
      <c r="N1845" s="432" t="s">
        <v>3785</v>
      </c>
      <c r="O1845" s="432" t="s">
        <v>3978</v>
      </c>
      <c r="P1845" s="438" t="s">
        <v>3659</v>
      </c>
      <c r="Q1845" s="481">
        <v>0.2</v>
      </c>
      <c r="R1845" s="444">
        <v>1900000649</v>
      </c>
      <c r="S1845" s="466" t="s">
        <v>2613</v>
      </c>
      <c r="T1845" s="2" t="s">
        <v>5915</v>
      </c>
    </row>
    <row r="1846" spans="1:20" hidden="1" x14ac:dyDescent="0.35">
      <c r="A1846" s="482" t="s">
        <v>5328</v>
      </c>
      <c r="B1846" s="432" t="s">
        <v>5441</v>
      </c>
      <c r="C1846" s="436">
        <v>42461</v>
      </c>
      <c r="D1846" s="436">
        <v>42461</v>
      </c>
      <c r="E1846" s="436" t="s">
        <v>2616</v>
      </c>
      <c r="F1846" s="483">
        <v>2325161</v>
      </c>
      <c r="G1846" s="483" t="s">
        <v>5168</v>
      </c>
      <c r="H1846" s="432" t="s">
        <v>5163</v>
      </c>
      <c r="I1846" s="484">
        <f>+(12965.88/4)*1.175</f>
        <v>3808.7272499999999</v>
      </c>
      <c r="J1846" s="484">
        <f>+(3403.49/4)*1.175</f>
        <v>999.77518750000002</v>
      </c>
      <c r="K1846" s="371">
        <f t="shared" si="135"/>
        <v>555.47509417499998</v>
      </c>
      <c r="L1846" s="366">
        <f t="shared" si="134"/>
        <v>111.095018835</v>
      </c>
      <c r="M1846" s="366" t="s">
        <v>6169</v>
      </c>
      <c r="N1846" s="432" t="s">
        <v>3785</v>
      </c>
      <c r="O1846" s="432" t="s">
        <v>3978</v>
      </c>
      <c r="P1846" s="438" t="s">
        <v>3659</v>
      </c>
      <c r="Q1846" s="481">
        <v>0.2</v>
      </c>
      <c r="R1846" s="444">
        <v>1900000649</v>
      </c>
      <c r="S1846" s="466" t="s">
        <v>1620</v>
      </c>
      <c r="T1846" s="2" t="s">
        <v>5915</v>
      </c>
    </row>
    <row r="1847" spans="1:20" hidden="1" x14ac:dyDescent="0.35">
      <c r="A1847" s="482" t="s">
        <v>5330</v>
      </c>
      <c r="B1847" s="432" t="s">
        <v>5442</v>
      </c>
      <c r="C1847" s="436">
        <v>42461</v>
      </c>
      <c r="D1847" s="436">
        <v>42461</v>
      </c>
      <c r="E1847" s="436" t="s">
        <v>2579</v>
      </c>
      <c r="F1847" s="483">
        <v>2325161</v>
      </c>
      <c r="G1847" s="483" t="s">
        <v>5168</v>
      </c>
      <c r="H1847" s="432" t="s">
        <v>5163</v>
      </c>
      <c r="I1847" s="484">
        <f>+(12965.88/4)*1.175</f>
        <v>3808.7272499999999</v>
      </c>
      <c r="J1847" s="484">
        <f>+(3403.49/4)*1.175</f>
        <v>999.77518750000002</v>
      </c>
      <c r="K1847" s="371">
        <f t="shared" si="135"/>
        <v>555.47509417499998</v>
      </c>
      <c r="L1847" s="366">
        <f t="shared" si="134"/>
        <v>111.095018835</v>
      </c>
      <c r="M1847" s="366" t="s">
        <v>6169</v>
      </c>
      <c r="N1847" s="432" t="s">
        <v>3785</v>
      </c>
      <c r="O1847" s="432" t="s">
        <v>3978</v>
      </c>
      <c r="P1847" s="438" t="s">
        <v>3659</v>
      </c>
      <c r="Q1847" s="481">
        <v>0.2</v>
      </c>
      <c r="R1847" s="444">
        <v>1900000649</v>
      </c>
      <c r="S1847" s="466" t="s">
        <v>2577</v>
      </c>
      <c r="T1847" s="2" t="s">
        <v>5915</v>
      </c>
    </row>
    <row r="1848" spans="1:20" hidden="1" x14ac:dyDescent="0.35">
      <c r="A1848" s="482" t="s">
        <v>5331</v>
      </c>
      <c r="B1848" s="432" t="s">
        <v>5442</v>
      </c>
      <c r="C1848" s="436">
        <v>42461</v>
      </c>
      <c r="D1848" s="436">
        <v>42461</v>
      </c>
      <c r="E1848" s="436" t="s">
        <v>2581</v>
      </c>
      <c r="F1848" s="483">
        <v>2325161</v>
      </c>
      <c r="G1848" s="483" t="s">
        <v>5168</v>
      </c>
      <c r="H1848" s="432" t="s">
        <v>5163</v>
      </c>
      <c r="I1848" s="484">
        <f>+(12965.88/4)*1.175</f>
        <v>3808.7272499999999</v>
      </c>
      <c r="J1848" s="484">
        <f>+(3403.49/4)*1.175</f>
        <v>999.77518750000002</v>
      </c>
      <c r="K1848" s="371">
        <f t="shared" si="135"/>
        <v>555.47509417499998</v>
      </c>
      <c r="L1848" s="366">
        <f t="shared" si="134"/>
        <v>111.095018835</v>
      </c>
      <c r="M1848" s="366" t="s">
        <v>6169</v>
      </c>
      <c r="N1848" s="432" t="s">
        <v>3785</v>
      </c>
      <c r="O1848" s="432" t="s">
        <v>3978</v>
      </c>
      <c r="P1848" s="438" t="s">
        <v>3659</v>
      </c>
      <c r="Q1848" s="481">
        <v>0.2</v>
      </c>
      <c r="R1848" s="444">
        <v>1900000649</v>
      </c>
      <c r="S1848" s="466" t="s">
        <v>2580</v>
      </c>
      <c r="T1848" s="2" t="s">
        <v>5915</v>
      </c>
    </row>
    <row r="1849" spans="1:20" hidden="1" x14ac:dyDescent="0.35">
      <c r="A1849" s="482" t="s">
        <v>5443</v>
      </c>
      <c r="B1849" s="432" t="s">
        <v>5444</v>
      </c>
      <c r="C1849" s="436">
        <v>42461</v>
      </c>
      <c r="D1849" s="436">
        <v>42461</v>
      </c>
      <c r="E1849" s="436" t="s">
        <v>3558</v>
      </c>
      <c r="F1849" s="499">
        <v>2325161</v>
      </c>
      <c r="G1849" s="499" t="s">
        <v>5270</v>
      </c>
      <c r="H1849" s="432" t="s">
        <v>5163</v>
      </c>
      <c r="I1849" s="369">
        <f>+(16788.92/2)*1.175</f>
        <v>9863.4904999999999</v>
      </c>
      <c r="J1849" s="377">
        <f>(4407.03/2)*1.175</f>
        <v>2589.1301250000001</v>
      </c>
      <c r="K1849" s="371">
        <f t="shared" si="135"/>
        <v>1438.5206974499999</v>
      </c>
      <c r="L1849" s="366">
        <f t="shared" si="134"/>
        <v>287.70413948999999</v>
      </c>
      <c r="M1849" s="366" t="s">
        <v>6169</v>
      </c>
      <c r="N1849" s="432" t="s">
        <v>3785</v>
      </c>
      <c r="O1849" s="432" t="s">
        <v>3978</v>
      </c>
      <c r="P1849" s="438" t="s">
        <v>3659</v>
      </c>
      <c r="Q1849" s="481">
        <v>0.2</v>
      </c>
      <c r="R1849" s="435">
        <v>1900000649</v>
      </c>
      <c r="S1849" s="466" t="s">
        <v>3556</v>
      </c>
      <c r="T1849" s="2" t="s">
        <v>5915</v>
      </c>
    </row>
    <row r="1850" spans="1:20" hidden="1" x14ac:dyDescent="0.35">
      <c r="A1850" s="482" t="s">
        <v>5445</v>
      </c>
      <c r="B1850" s="432" t="s">
        <v>5446</v>
      </c>
      <c r="C1850" s="436">
        <v>42462</v>
      </c>
      <c r="D1850" s="436">
        <v>42462</v>
      </c>
      <c r="E1850" s="436" t="s">
        <v>3560</v>
      </c>
      <c r="F1850" s="499">
        <v>2325161</v>
      </c>
      <c r="G1850" s="499" t="s">
        <v>5270</v>
      </c>
      <c r="H1850" s="432" t="s">
        <v>5163</v>
      </c>
      <c r="I1850" s="369">
        <f>+(16788.92/2)*1.175</f>
        <v>9863.4904999999999</v>
      </c>
      <c r="J1850" s="377">
        <f>(4407.03/2)*1.175</f>
        <v>2589.1301250000001</v>
      </c>
      <c r="K1850" s="371">
        <f t="shared" si="135"/>
        <v>1438.5206974499999</v>
      </c>
      <c r="L1850" s="366">
        <f t="shared" si="134"/>
        <v>287.70413948999999</v>
      </c>
      <c r="M1850" s="366" t="s">
        <v>6169</v>
      </c>
      <c r="N1850" s="432" t="s">
        <v>3785</v>
      </c>
      <c r="O1850" s="432" t="s">
        <v>3978</v>
      </c>
      <c r="P1850" s="438" t="s">
        <v>3659</v>
      </c>
      <c r="Q1850" s="481">
        <v>0.2</v>
      </c>
      <c r="R1850" s="435">
        <v>1900000649</v>
      </c>
      <c r="S1850" s="466" t="s">
        <v>3553</v>
      </c>
      <c r="T1850" s="2" t="s">
        <v>5915</v>
      </c>
    </row>
    <row r="1851" spans="1:20" x14ac:dyDescent="0.35">
      <c r="A1851" s="494" t="s">
        <v>3975</v>
      </c>
      <c r="B1851" s="477" t="s">
        <v>5447</v>
      </c>
      <c r="C1851" s="443">
        <v>43012</v>
      </c>
      <c r="D1851" s="443">
        <v>43012</v>
      </c>
      <c r="E1851" s="443" t="s">
        <v>1980</v>
      </c>
      <c r="F1851" s="433" t="s">
        <v>5448</v>
      </c>
      <c r="G1851" s="433" t="s">
        <v>5278</v>
      </c>
      <c r="H1851" s="463" t="s">
        <v>5449</v>
      </c>
      <c r="I1851" s="469">
        <f t="shared" ref="I1851:I1864" si="136">91184.7/40</f>
        <v>2279.6174999999998</v>
      </c>
      <c r="J1851" s="368">
        <f t="shared" ref="J1851:J1864" si="137">20335.39/40</f>
        <v>508.38475</v>
      </c>
      <c r="K1851" s="376">
        <f t="shared" ref="K1851:K1914" si="138">+J1851*(0.5556)</f>
        <v>282.45856709999998</v>
      </c>
      <c r="L1851" s="368">
        <f t="shared" ref="L1851:L1914" si="139">+K1851*Q1851</f>
        <v>56.491713419999996</v>
      </c>
      <c r="M1851" s="368" t="s">
        <v>6169</v>
      </c>
      <c r="N1851" s="463" t="s">
        <v>3785</v>
      </c>
      <c r="O1851" s="433" t="s">
        <v>3978</v>
      </c>
      <c r="P1851" s="464" t="s">
        <v>3659</v>
      </c>
      <c r="Q1851" s="431">
        <v>0.2</v>
      </c>
      <c r="R1851" s="430">
        <v>1900001764</v>
      </c>
      <c r="S1851" s="466" t="s">
        <v>752</v>
      </c>
      <c r="T1851" s="2" t="s">
        <v>5915</v>
      </c>
    </row>
    <row r="1852" spans="1:20" x14ac:dyDescent="0.35">
      <c r="A1852" s="494" t="s">
        <v>3979</v>
      </c>
      <c r="B1852" s="477" t="s">
        <v>5447</v>
      </c>
      <c r="C1852" s="443">
        <v>43012</v>
      </c>
      <c r="D1852" s="443">
        <v>43012</v>
      </c>
      <c r="E1852" s="443" t="s">
        <v>1981</v>
      </c>
      <c r="F1852" s="433" t="s">
        <v>5448</v>
      </c>
      <c r="G1852" s="433" t="s">
        <v>5278</v>
      </c>
      <c r="H1852" s="463" t="s">
        <v>5449</v>
      </c>
      <c r="I1852" s="469">
        <f t="shared" si="136"/>
        <v>2279.6174999999998</v>
      </c>
      <c r="J1852" s="368">
        <f t="shared" si="137"/>
        <v>508.38475</v>
      </c>
      <c r="K1852" s="376">
        <f t="shared" si="138"/>
        <v>282.45856709999998</v>
      </c>
      <c r="L1852" s="368">
        <f t="shared" si="139"/>
        <v>56.491713419999996</v>
      </c>
      <c r="M1852" s="368" t="s">
        <v>6169</v>
      </c>
      <c r="N1852" s="463" t="s">
        <v>3785</v>
      </c>
      <c r="O1852" s="433" t="s">
        <v>3978</v>
      </c>
      <c r="P1852" s="464" t="s">
        <v>3659</v>
      </c>
      <c r="Q1852" s="431">
        <v>0.2</v>
      </c>
      <c r="R1852" s="430">
        <v>1900001764</v>
      </c>
      <c r="S1852" s="466" t="s">
        <v>760</v>
      </c>
      <c r="T1852" s="2" t="s">
        <v>5915</v>
      </c>
    </row>
    <row r="1853" spans="1:20" x14ac:dyDescent="0.35">
      <c r="A1853" s="494" t="s">
        <v>3980</v>
      </c>
      <c r="B1853" s="477" t="s">
        <v>5447</v>
      </c>
      <c r="C1853" s="443">
        <v>43012</v>
      </c>
      <c r="D1853" s="443">
        <v>43012</v>
      </c>
      <c r="E1853" s="443" t="s">
        <v>1982</v>
      </c>
      <c r="F1853" s="433" t="s">
        <v>5448</v>
      </c>
      <c r="G1853" s="433" t="s">
        <v>5278</v>
      </c>
      <c r="H1853" s="463" t="s">
        <v>5449</v>
      </c>
      <c r="I1853" s="469">
        <f t="shared" si="136"/>
        <v>2279.6174999999998</v>
      </c>
      <c r="J1853" s="368">
        <f t="shared" si="137"/>
        <v>508.38475</v>
      </c>
      <c r="K1853" s="376">
        <f t="shared" si="138"/>
        <v>282.45856709999998</v>
      </c>
      <c r="L1853" s="368">
        <f t="shared" si="139"/>
        <v>56.491713419999996</v>
      </c>
      <c r="M1853" s="368" t="s">
        <v>6169</v>
      </c>
      <c r="N1853" s="463" t="s">
        <v>3785</v>
      </c>
      <c r="O1853" s="433" t="s">
        <v>3978</v>
      </c>
      <c r="P1853" s="464" t="s">
        <v>3659</v>
      </c>
      <c r="Q1853" s="431">
        <v>0.2</v>
      </c>
      <c r="R1853" s="430">
        <v>1900001764</v>
      </c>
      <c r="S1853" s="466" t="s">
        <v>756</v>
      </c>
      <c r="T1853" s="2" t="s">
        <v>5915</v>
      </c>
    </row>
    <row r="1854" spans="1:20" x14ac:dyDescent="0.35">
      <c r="A1854" s="494" t="s">
        <v>3981</v>
      </c>
      <c r="B1854" s="477" t="s">
        <v>5447</v>
      </c>
      <c r="C1854" s="443">
        <v>43012</v>
      </c>
      <c r="D1854" s="443">
        <v>43012</v>
      </c>
      <c r="E1854" s="443" t="s">
        <v>1983</v>
      </c>
      <c r="F1854" s="433" t="s">
        <v>5448</v>
      </c>
      <c r="G1854" s="433" t="s">
        <v>5278</v>
      </c>
      <c r="H1854" s="463" t="s">
        <v>5449</v>
      </c>
      <c r="I1854" s="469">
        <f t="shared" si="136"/>
        <v>2279.6174999999998</v>
      </c>
      <c r="J1854" s="368">
        <f t="shared" si="137"/>
        <v>508.38475</v>
      </c>
      <c r="K1854" s="376">
        <f t="shared" si="138"/>
        <v>282.45856709999998</v>
      </c>
      <c r="L1854" s="368">
        <f t="shared" si="139"/>
        <v>56.491713419999996</v>
      </c>
      <c r="M1854" s="368" t="s">
        <v>6169</v>
      </c>
      <c r="N1854" s="463" t="s">
        <v>3785</v>
      </c>
      <c r="O1854" s="433" t="s">
        <v>3978</v>
      </c>
      <c r="P1854" s="464" t="s">
        <v>3659</v>
      </c>
      <c r="Q1854" s="431">
        <v>0.2</v>
      </c>
      <c r="R1854" s="430">
        <v>1900001764</v>
      </c>
      <c r="S1854" s="466" t="s">
        <v>765</v>
      </c>
      <c r="T1854" s="2" t="s">
        <v>5915</v>
      </c>
    </row>
    <row r="1855" spans="1:20" x14ac:dyDescent="0.35">
      <c r="A1855" s="494" t="s">
        <v>3982</v>
      </c>
      <c r="B1855" s="477" t="s">
        <v>5447</v>
      </c>
      <c r="C1855" s="443">
        <v>43012</v>
      </c>
      <c r="D1855" s="443">
        <v>43012</v>
      </c>
      <c r="E1855" s="443" t="s">
        <v>1984</v>
      </c>
      <c r="F1855" s="433" t="s">
        <v>5448</v>
      </c>
      <c r="G1855" s="433" t="s">
        <v>5278</v>
      </c>
      <c r="H1855" s="463" t="s">
        <v>5449</v>
      </c>
      <c r="I1855" s="469">
        <f t="shared" si="136"/>
        <v>2279.6174999999998</v>
      </c>
      <c r="J1855" s="368">
        <f t="shared" si="137"/>
        <v>508.38475</v>
      </c>
      <c r="K1855" s="376">
        <f t="shared" si="138"/>
        <v>282.45856709999998</v>
      </c>
      <c r="L1855" s="368">
        <f t="shared" si="139"/>
        <v>56.491713419999996</v>
      </c>
      <c r="M1855" s="368" t="s">
        <v>6169</v>
      </c>
      <c r="N1855" s="463" t="s">
        <v>3785</v>
      </c>
      <c r="O1855" s="433" t="s">
        <v>3978</v>
      </c>
      <c r="P1855" s="464" t="s">
        <v>3659</v>
      </c>
      <c r="Q1855" s="431">
        <v>0.2</v>
      </c>
      <c r="R1855" s="430">
        <v>1900001764</v>
      </c>
      <c r="S1855" s="466" t="s">
        <v>768</v>
      </c>
      <c r="T1855" s="2" t="s">
        <v>5915</v>
      </c>
    </row>
    <row r="1856" spans="1:20" x14ac:dyDescent="0.35">
      <c r="A1856" s="494" t="s">
        <v>3983</v>
      </c>
      <c r="B1856" s="477" t="s">
        <v>5447</v>
      </c>
      <c r="C1856" s="443">
        <v>43012</v>
      </c>
      <c r="D1856" s="443">
        <v>43012</v>
      </c>
      <c r="E1856" s="443" t="s">
        <v>1985</v>
      </c>
      <c r="F1856" s="433" t="s">
        <v>5448</v>
      </c>
      <c r="G1856" s="433" t="s">
        <v>5278</v>
      </c>
      <c r="H1856" s="463" t="s">
        <v>5449</v>
      </c>
      <c r="I1856" s="469">
        <f t="shared" si="136"/>
        <v>2279.6174999999998</v>
      </c>
      <c r="J1856" s="368">
        <f t="shared" si="137"/>
        <v>508.38475</v>
      </c>
      <c r="K1856" s="376">
        <f t="shared" si="138"/>
        <v>282.45856709999998</v>
      </c>
      <c r="L1856" s="368">
        <f t="shared" si="139"/>
        <v>56.491713419999996</v>
      </c>
      <c r="M1856" s="368" t="s">
        <v>6169</v>
      </c>
      <c r="N1856" s="463" t="s">
        <v>3785</v>
      </c>
      <c r="O1856" s="433" t="s">
        <v>3978</v>
      </c>
      <c r="P1856" s="464" t="s">
        <v>3659</v>
      </c>
      <c r="Q1856" s="431">
        <v>0.2</v>
      </c>
      <c r="R1856" s="430">
        <v>1900001764</v>
      </c>
      <c r="S1856" s="466" t="s">
        <v>707</v>
      </c>
      <c r="T1856" s="2" t="s">
        <v>5915</v>
      </c>
    </row>
    <row r="1857" spans="1:20" x14ac:dyDescent="0.35">
      <c r="A1857" s="494" t="s">
        <v>3984</v>
      </c>
      <c r="B1857" s="477" t="s">
        <v>5447</v>
      </c>
      <c r="C1857" s="443">
        <v>43012</v>
      </c>
      <c r="D1857" s="443">
        <v>43012</v>
      </c>
      <c r="E1857" s="443" t="s">
        <v>1987</v>
      </c>
      <c r="F1857" s="433" t="s">
        <v>5448</v>
      </c>
      <c r="G1857" s="433" t="s">
        <v>5278</v>
      </c>
      <c r="H1857" s="463" t="s">
        <v>5449</v>
      </c>
      <c r="I1857" s="469">
        <f t="shared" si="136"/>
        <v>2279.6174999999998</v>
      </c>
      <c r="J1857" s="368">
        <f t="shared" si="137"/>
        <v>508.38475</v>
      </c>
      <c r="K1857" s="376">
        <f t="shared" si="138"/>
        <v>282.45856709999998</v>
      </c>
      <c r="L1857" s="368">
        <f t="shared" si="139"/>
        <v>56.491713419999996</v>
      </c>
      <c r="M1857" s="368" t="s">
        <v>6169</v>
      </c>
      <c r="N1857" s="463" t="s">
        <v>3785</v>
      </c>
      <c r="O1857" s="433" t="s">
        <v>3978</v>
      </c>
      <c r="P1857" s="464" t="s">
        <v>3659</v>
      </c>
      <c r="Q1857" s="431">
        <v>0.2</v>
      </c>
      <c r="R1857" s="430">
        <v>1900001764</v>
      </c>
      <c r="S1857" s="466" t="s">
        <v>1986</v>
      </c>
      <c r="T1857" s="2" t="s">
        <v>5915</v>
      </c>
    </row>
    <row r="1858" spans="1:20" x14ac:dyDescent="0.35">
      <c r="A1858" s="494" t="s">
        <v>3987</v>
      </c>
      <c r="B1858" s="477" t="s">
        <v>5447</v>
      </c>
      <c r="C1858" s="443">
        <v>43012</v>
      </c>
      <c r="D1858" s="443">
        <v>43012</v>
      </c>
      <c r="E1858" s="443" t="s">
        <v>1988</v>
      </c>
      <c r="F1858" s="433" t="s">
        <v>5448</v>
      </c>
      <c r="G1858" s="433" t="s">
        <v>5278</v>
      </c>
      <c r="H1858" s="463" t="s">
        <v>5449</v>
      </c>
      <c r="I1858" s="469">
        <f t="shared" si="136"/>
        <v>2279.6174999999998</v>
      </c>
      <c r="J1858" s="368">
        <f t="shared" si="137"/>
        <v>508.38475</v>
      </c>
      <c r="K1858" s="376">
        <f t="shared" si="138"/>
        <v>282.45856709999998</v>
      </c>
      <c r="L1858" s="368">
        <f t="shared" si="139"/>
        <v>56.491713419999996</v>
      </c>
      <c r="M1858" s="368" t="s">
        <v>6169</v>
      </c>
      <c r="N1858" s="463" t="s">
        <v>3785</v>
      </c>
      <c r="O1858" s="433" t="s">
        <v>3978</v>
      </c>
      <c r="P1858" s="464" t="s">
        <v>3659</v>
      </c>
      <c r="Q1858" s="431">
        <v>0.2</v>
      </c>
      <c r="R1858" s="430">
        <v>1900001764</v>
      </c>
      <c r="S1858" s="466" t="s">
        <v>775</v>
      </c>
      <c r="T1858" s="2" t="s">
        <v>5915</v>
      </c>
    </row>
    <row r="1859" spans="1:20" x14ac:dyDescent="0.35">
      <c r="A1859" s="494" t="s">
        <v>3988</v>
      </c>
      <c r="B1859" s="477" t="s">
        <v>5447</v>
      </c>
      <c r="C1859" s="443">
        <v>43012</v>
      </c>
      <c r="D1859" s="443">
        <v>43012</v>
      </c>
      <c r="E1859" s="443" t="s">
        <v>1992</v>
      </c>
      <c r="F1859" s="433" t="s">
        <v>5448</v>
      </c>
      <c r="G1859" s="433" t="s">
        <v>5278</v>
      </c>
      <c r="H1859" s="463" t="s">
        <v>5449</v>
      </c>
      <c r="I1859" s="469">
        <f t="shared" si="136"/>
        <v>2279.6174999999998</v>
      </c>
      <c r="J1859" s="368">
        <f t="shared" si="137"/>
        <v>508.38475</v>
      </c>
      <c r="K1859" s="376">
        <f t="shared" si="138"/>
        <v>282.45856709999998</v>
      </c>
      <c r="L1859" s="368">
        <f t="shared" si="139"/>
        <v>56.491713419999996</v>
      </c>
      <c r="M1859" s="368" t="s">
        <v>6169</v>
      </c>
      <c r="N1859" s="463" t="s">
        <v>3785</v>
      </c>
      <c r="O1859" s="433" t="s">
        <v>3978</v>
      </c>
      <c r="P1859" s="464" t="s">
        <v>3659</v>
      </c>
      <c r="Q1859" s="431">
        <v>0.2</v>
      </c>
      <c r="R1859" s="430">
        <v>1900001764</v>
      </c>
      <c r="S1859" s="466" t="s">
        <v>801</v>
      </c>
      <c r="T1859" s="2" t="s">
        <v>5915</v>
      </c>
    </row>
    <row r="1860" spans="1:20" x14ac:dyDescent="0.35">
      <c r="A1860" s="494" t="s">
        <v>3990</v>
      </c>
      <c r="B1860" s="477" t="s">
        <v>5447</v>
      </c>
      <c r="C1860" s="443">
        <v>43012</v>
      </c>
      <c r="D1860" s="443">
        <v>43012</v>
      </c>
      <c r="E1860" s="443" t="s">
        <v>1994</v>
      </c>
      <c r="F1860" s="433" t="s">
        <v>5448</v>
      </c>
      <c r="G1860" s="433" t="s">
        <v>5278</v>
      </c>
      <c r="H1860" s="463" t="s">
        <v>5449</v>
      </c>
      <c r="I1860" s="469">
        <f t="shared" si="136"/>
        <v>2279.6174999999998</v>
      </c>
      <c r="J1860" s="368">
        <f t="shared" si="137"/>
        <v>508.38475</v>
      </c>
      <c r="K1860" s="376">
        <f t="shared" si="138"/>
        <v>282.45856709999998</v>
      </c>
      <c r="L1860" s="368">
        <f t="shared" si="139"/>
        <v>56.491713419999996</v>
      </c>
      <c r="M1860" s="368" t="s">
        <v>6169</v>
      </c>
      <c r="N1860" s="463" t="s">
        <v>3785</v>
      </c>
      <c r="O1860" s="433" t="s">
        <v>3978</v>
      </c>
      <c r="P1860" s="464" t="s">
        <v>3659</v>
      </c>
      <c r="Q1860" s="431">
        <v>0.2</v>
      </c>
      <c r="R1860" s="430">
        <v>1900001764</v>
      </c>
      <c r="S1860" s="466" t="s">
        <v>797</v>
      </c>
      <c r="T1860" s="2" t="s">
        <v>5915</v>
      </c>
    </row>
    <row r="1861" spans="1:20" x14ac:dyDescent="0.35">
      <c r="A1861" s="494" t="s">
        <v>3991</v>
      </c>
      <c r="B1861" s="477" t="s">
        <v>5447</v>
      </c>
      <c r="C1861" s="443">
        <v>43012</v>
      </c>
      <c r="D1861" s="443">
        <v>43012</v>
      </c>
      <c r="E1861" s="443" t="s">
        <v>1996</v>
      </c>
      <c r="F1861" s="433" t="s">
        <v>5448</v>
      </c>
      <c r="G1861" s="433" t="s">
        <v>5278</v>
      </c>
      <c r="H1861" s="463" t="s">
        <v>5449</v>
      </c>
      <c r="I1861" s="469">
        <f t="shared" si="136"/>
        <v>2279.6174999999998</v>
      </c>
      <c r="J1861" s="368">
        <f t="shared" si="137"/>
        <v>508.38475</v>
      </c>
      <c r="K1861" s="376">
        <f t="shared" si="138"/>
        <v>282.45856709999998</v>
      </c>
      <c r="L1861" s="368">
        <f t="shared" si="139"/>
        <v>56.491713419999996</v>
      </c>
      <c r="M1861" s="368" t="s">
        <v>6169</v>
      </c>
      <c r="N1861" s="463" t="s">
        <v>3785</v>
      </c>
      <c r="O1861" s="433" t="s">
        <v>3978</v>
      </c>
      <c r="P1861" s="464" t="s">
        <v>3659</v>
      </c>
      <c r="Q1861" s="431">
        <v>0.2</v>
      </c>
      <c r="R1861" s="430">
        <v>1900001764</v>
      </c>
      <c r="S1861" s="466" t="s">
        <v>787</v>
      </c>
      <c r="T1861" s="2" t="s">
        <v>5915</v>
      </c>
    </row>
    <row r="1862" spans="1:20" x14ac:dyDescent="0.35">
      <c r="A1862" s="494" t="s">
        <v>3992</v>
      </c>
      <c r="B1862" s="477" t="s">
        <v>5447</v>
      </c>
      <c r="C1862" s="443">
        <v>43012</v>
      </c>
      <c r="D1862" s="443">
        <v>43012</v>
      </c>
      <c r="E1862" s="443" t="s">
        <v>1999</v>
      </c>
      <c r="F1862" s="433" t="s">
        <v>5448</v>
      </c>
      <c r="G1862" s="433" t="s">
        <v>5278</v>
      </c>
      <c r="H1862" s="463" t="s">
        <v>5449</v>
      </c>
      <c r="I1862" s="469">
        <f t="shared" si="136"/>
        <v>2279.6174999999998</v>
      </c>
      <c r="J1862" s="368">
        <f t="shared" si="137"/>
        <v>508.38475</v>
      </c>
      <c r="K1862" s="376">
        <f t="shared" si="138"/>
        <v>282.45856709999998</v>
      </c>
      <c r="L1862" s="368">
        <f t="shared" si="139"/>
        <v>56.491713419999996</v>
      </c>
      <c r="M1862" s="368" t="s">
        <v>6169</v>
      </c>
      <c r="N1862" s="463" t="s">
        <v>3785</v>
      </c>
      <c r="O1862" s="433" t="s">
        <v>3978</v>
      </c>
      <c r="P1862" s="464" t="s">
        <v>3659</v>
      </c>
      <c r="Q1862" s="431">
        <v>0.2</v>
      </c>
      <c r="R1862" s="430">
        <v>1900001764</v>
      </c>
      <c r="S1862" s="466" t="s">
        <v>1998</v>
      </c>
      <c r="T1862" s="2" t="s">
        <v>5915</v>
      </c>
    </row>
    <row r="1863" spans="1:20" x14ac:dyDescent="0.35">
      <c r="A1863" s="494" t="s">
        <v>5450</v>
      </c>
      <c r="B1863" s="477" t="s">
        <v>5447</v>
      </c>
      <c r="C1863" s="443">
        <v>43012</v>
      </c>
      <c r="D1863" s="443">
        <v>43012</v>
      </c>
      <c r="E1863" s="443" t="s">
        <v>2002</v>
      </c>
      <c r="F1863" s="433" t="s">
        <v>5448</v>
      </c>
      <c r="G1863" s="433" t="s">
        <v>5278</v>
      </c>
      <c r="H1863" s="463" t="s">
        <v>5449</v>
      </c>
      <c r="I1863" s="469">
        <f t="shared" si="136"/>
        <v>2279.6174999999998</v>
      </c>
      <c r="J1863" s="368">
        <f t="shared" si="137"/>
        <v>508.38475</v>
      </c>
      <c r="K1863" s="376">
        <f t="shared" si="138"/>
        <v>282.45856709999998</v>
      </c>
      <c r="L1863" s="368">
        <f t="shared" si="139"/>
        <v>56.491713419999996</v>
      </c>
      <c r="M1863" s="368" t="s">
        <v>6169</v>
      </c>
      <c r="N1863" s="463" t="s">
        <v>3785</v>
      </c>
      <c r="O1863" s="433" t="s">
        <v>3978</v>
      </c>
      <c r="P1863" s="464" t="s">
        <v>3659</v>
      </c>
      <c r="Q1863" s="431">
        <v>0.2</v>
      </c>
      <c r="R1863" s="430">
        <v>1900001764</v>
      </c>
      <c r="S1863" s="466" t="s">
        <v>2001</v>
      </c>
      <c r="T1863" s="2" t="s">
        <v>5915</v>
      </c>
    </row>
    <row r="1864" spans="1:20" x14ac:dyDescent="0.35">
      <c r="A1864" s="494" t="s">
        <v>5451</v>
      </c>
      <c r="B1864" s="477" t="s">
        <v>5447</v>
      </c>
      <c r="C1864" s="443">
        <v>43012</v>
      </c>
      <c r="D1864" s="443">
        <v>43012</v>
      </c>
      <c r="E1864" s="443" t="s">
        <v>2004</v>
      </c>
      <c r="F1864" s="433" t="s">
        <v>5448</v>
      </c>
      <c r="G1864" s="433" t="s">
        <v>5278</v>
      </c>
      <c r="H1864" s="463" t="s">
        <v>5449</v>
      </c>
      <c r="I1864" s="469">
        <f t="shared" si="136"/>
        <v>2279.6174999999998</v>
      </c>
      <c r="J1864" s="368">
        <f t="shared" si="137"/>
        <v>508.38475</v>
      </c>
      <c r="K1864" s="376">
        <f t="shared" si="138"/>
        <v>282.45856709999998</v>
      </c>
      <c r="L1864" s="368">
        <f t="shared" si="139"/>
        <v>56.491713419999996</v>
      </c>
      <c r="M1864" s="368" t="s">
        <v>6169</v>
      </c>
      <c r="N1864" s="463" t="s">
        <v>3785</v>
      </c>
      <c r="O1864" s="433" t="s">
        <v>3978</v>
      </c>
      <c r="P1864" s="464" t="s">
        <v>3659</v>
      </c>
      <c r="Q1864" s="431">
        <v>0.2</v>
      </c>
      <c r="R1864" s="430">
        <v>1900001764</v>
      </c>
      <c r="S1864" s="466" t="s">
        <v>514</v>
      </c>
      <c r="T1864" s="2" t="s">
        <v>5915</v>
      </c>
    </row>
    <row r="1865" spans="1:20" x14ac:dyDescent="0.35">
      <c r="A1865" s="494" t="s">
        <v>5452</v>
      </c>
      <c r="B1865" s="433" t="s">
        <v>5453</v>
      </c>
      <c r="C1865" s="467">
        <v>42861</v>
      </c>
      <c r="D1865" s="467">
        <v>42861</v>
      </c>
      <c r="E1865" s="464" t="s">
        <v>2012</v>
      </c>
      <c r="F1865" s="493" t="s">
        <v>5454</v>
      </c>
      <c r="G1865" s="433" t="s">
        <v>5278</v>
      </c>
      <c r="H1865" s="463" t="s">
        <v>5449</v>
      </c>
      <c r="I1865" s="500">
        <f t="shared" ref="I1865:I1904" si="140">106448.89/40</f>
        <v>2661.2222499999998</v>
      </c>
      <c r="J1865" s="500">
        <f t="shared" ref="J1865:J1904" si="141">25120.15/40</f>
        <v>628.00375000000008</v>
      </c>
      <c r="K1865" s="376">
        <f t="shared" si="138"/>
        <v>348.91888350000005</v>
      </c>
      <c r="L1865" s="368">
        <f t="shared" si="139"/>
        <v>69.783776700000018</v>
      </c>
      <c r="M1865" s="368" t="s">
        <v>6169</v>
      </c>
      <c r="N1865" s="463" t="s">
        <v>3785</v>
      </c>
      <c r="O1865" s="433" t="s">
        <v>3978</v>
      </c>
      <c r="P1865" s="464" t="s">
        <v>3659</v>
      </c>
      <c r="Q1865" s="431">
        <v>0.2</v>
      </c>
      <c r="R1865" s="430">
        <v>1900002848</v>
      </c>
      <c r="S1865" s="466" t="s">
        <v>2010</v>
      </c>
      <c r="T1865" s="2" t="s">
        <v>5915</v>
      </c>
    </row>
    <row r="1866" spans="1:20" x14ac:dyDescent="0.35">
      <c r="A1866" s="494" t="s">
        <v>5455</v>
      </c>
      <c r="B1866" s="433" t="s">
        <v>5453</v>
      </c>
      <c r="C1866" s="467">
        <v>42861</v>
      </c>
      <c r="D1866" s="467">
        <v>42861</v>
      </c>
      <c r="E1866" s="467" t="s">
        <v>2116</v>
      </c>
      <c r="F1866" s="493" t="s">
        <v>5454</v>
      </c>
      <c r="G1866" s="433" t="s">
        <v>5278</v>
      </c>
      <c r="H1866" s="463" t="s">
        <v>5449</v>
      </c>
      <c r="I1866" s="500">
        <f t="shared" si="140"/>
        <v>2661.2222499999998</v>
      </c>
      <c r="J1866" s="500">
        <f t="shared" si="141"/>
        <v>628.00375000000008</v>
      </c>
      <c r="K1866" s="376">
        <f t="shared" si="138"/>
        <v>348.91888350000005</v>
      </c>
      <c r="L1866" s="368">
        <f t="shared" si="139"/>
        <v>69.783776700000018</v>
      </c>
      <c r="M1866" s="368" t="s">
        <v>6169</v>
      </c>
      <c r="N1866" s="463" t="s">
        <v>3785</v>
      </c>
      <c r="O1866" s="433" t="s">
        <v>3978</v>
      </c>
      <c r="P1866" s="464" t="s">
        <v>3659</v>
      </c>
      <c r="Q1866" s="431">
        <v>0.2</v>
      </c>
      <c r="R1866" s="430">
        <v>1900002848</v>
      </c>
      <c r="S1866" s="466" t="s">
        <v>421</v>
      </c>
      <c r="T1866" s="2" t="s">
        <v>5915</v>
      </c>
    </row>
    <row r="1867" spans="1:20" x14ac:dyDescent="0.35">
      <c r="A1867" s="494" t="s">
        <v>5456</v>
      </c>
      <c r="B1867" s="433" t="s">
        <v>5453</v>
      </c>
      <c r="C1867" s="467">
        <v>42861</v>
      </c>
      <c r="D1867" s="467">
        <v>42861</v>
      </c>
      <c r="E1867" s="467" t="s">
        <v>2118</v>
      </c>
      <c r="F1867" s="493" t="s">
        <v>5454</v>
      </c>
      <c r="G1867" s="433" t="s">
        <v>5278</v>
      </c>
      <c r="H1867" s="463" t="s">
        <v>5449</v>
      </c>
      <c r="I1867" s="500">
        <f t="shared" si="140"/>
        <v>2661.2222499999998</v>
      </c>
      <c r="J1867" s="500">
        <f t="shared" si="141"/>
        <v>628.00375000000008</v>
      </c>
      <c r="K1867" s="376">
        <f t="shared" si="138"/>
        <v>348.91888350000005</v>
      </c>
      <c r="L1867" s="368">
        <f t="shared" si="139"/>
        <v>69.783776700000018</v>
      </c>
      <c r="M1867" s="368" t="s">
        <v>6169</v>
      </c>
      <c r="N1867" s="463" t="s">
        <v>3785</v>
      </c>
      <c r="O1867" s="433" t="s">
        <v>3978</v>
      </c>
      <c r="P1867" s="464" t="s">
        <v>3659</v>
      </c>
      <c r="Q1867" s="431">
        <v>0.2</v>
      </c>
      <c r="R1867" s="430">
        <v>1900002848</v>
      </c>
      <c r="S1867" s="466" t="s">
        <v>997</v>
      </c>
      <c r="T1867" s="2" t="s">
        <v>5915</v>
      </c>
    </row>
    <row r="1868" spans="1:20" x14ac:dyDescent="0.35">
      <c r="A1868" s="494" t="s">
        <v>5457</v>
      </c>
      <c r="B1868" s="433" t="s">
        <v>5453</v>
      </c>
      <c r="C1868" s="467">
        <v>42861</v>
      </c>
      <c r="D1868" s="467">
        <v>42861</v>
      </c>
      <c r="E1868" s="467" t="s">
        <v>2122</v>
      </c>
      <c r="F1868" s="493" t="s">
        <v>5454</v>
      </c>
      <c r="G1868" s="433" t="s">
        <v>5278</v>
      </c>
      <c r="H1868" s="463" t="s">
        <v>5449</v>
      </c>
      <c r="I1868" s="500">
        <f t="shared" si="140"/>
        <v>2661.2222499999998</v>
      </c>
      <c r="J1868" s="500">
        <f t="shared" si="141"/>
        <v>628.00375000000008</v>
      </c>
      <c r="K1868" s="376">
        <f t="shared" si="138"/>
        <v>348.91888350000005</v>
      </c>
      <c r="L1868" s="368">
        <f t="shared" si="139"/>
        <v>69.783776700000018</v>
      </c>
      <c r="M1868" s="368" t="s">
        <v>6169</v>
      </c>
      <c r="N1868" s="463" t="s">
        <v>3785</v>
      </c>
      <c r="O1868" s="433" t="s">
        <v>3978</v>
      </c>
      <c r="P1868" s="464" t="s">
        <v>3659</v>
      </c>
      <c r="Q1868" s="431">
        <v>0.2</v>
      </c>
      <c r="R1868" s="430">
        <v>1900002848</v>
      </c>
      <c r="S1868" s="466" t="s">
        <v>1000</v>
      </c>
      <c r="T1868" s="2" t="s">
        <v>5915</v>
      </c>
    </row>
    <row r="1869" spans="1:20" x14ac:dyDescent="0.35">
      <c r="A1869" s="494" t="s">
        <v>5458</v>
      </c>
      <c r="B1869" s="433" t="s">
        <v>5453</v>
      </c>
      <c r="C1869" s="467">
        <v>42861</v>
      </c>
      <c r="D1869" s="467">
        <v>42861</v>
      </c>
      <c r="E1869" s="467" t="s">
        <v>2129</v>
      </c>
      <c r="F1869" s="493" t="s">
        <v>5454</v>
      </c>
      <c r="G1869" s="433" t="s">
        <v>5278</v>
      </c>
      <c r="H1869" s="463" t="s">
        <v>5449</v>
      </c>
      <c r="I1869" s="500">
        <f t="shared" si="140"/>
        <v>2661.2222499999998</v>
      </c>
      <c r="J1869" s="500">
        <f t="shared" si="141"/>
        <v>628.00375000000008</v>
      </c>
      <c r="K1869" s="376">
        <f t="shared" si="138"/>
        <v>348.91888350000005</v>
      </c>
      <c r="L1869" s="368">
        <f t="shared" si="139"/>
        <v>69.783776700000018</v>
      </c>
      <c r="M1869" s="368" t="s">
        <v>6169</v>
      </c>
      <c r="N1869" s="463" t="s">
        <v>3785</v>
      </c>
      <c r="O1869" s="433" t="s">
        <v>3978</v>
      </c>
      <c r="P1869" s="464" t="s">
        <v>3659</v>
      </c>
      <c r="Q1869" s="431">
        <v>0.2</v>
      </c>
      <c r="R1869" s="430">
        <v>1900002848</v>
      </c>
      <c r="S1869" s="466" t="s">
        <v>950</v>
      </c>
      <c r="T1869" s="2" t="s">
        <v>5915</v>
      </c>
    </row>
    <row r="1870" spans="1:20" x14ac:dyDescent="0.35">
      <c r="A1870" s="494" t="s">
        <v>5459</v>
      </c>
      <c r="B1870" s="433" t="s">
        <v>5453</v>
      </c>
      <c r="C1870" s="467">
        <v>42861</v>
      </c>
      <c r="D1870" s="467">
        <v>42861</v>
      </c>
      <c r="E1870" s="467" t="s">
        <v>2132</v>
      </c>
      <c r="F1870" s="493" t="s">
        <v>5454</v>
      </c>
      <c r="G1870" s="433" t="s">
        <v>5278</v>
      </c>
      <c r="H1870" s="463" t="s">
        <v>5449</v>
      </c>
      <c r="I1870" s="500">
        <f t="shared" si="140"/>
        <v>2661.2222499999998</v>
      </c>
      <c r="J1870" s="500">
        <f t="shared" si="141"/>
        <v>628.00375000000008</v>
      </c>
      <c r="K1870" s="376">
        <f t="shared" si="138"/>
        <v>348.91888350000005</v>
      </c>
      <c r="L1870" s="368">
        <f t="shared" si="139"/>
        <v>69.783776700000018</v>
      </c>
      <c r="M1870" s="368" t="s">
        <v>6169</v>
      </c>
      <c r="N1870" s="463" t="s">
        <v>3785</v>
      </c>
      <c r="O1870" s="433" t="s">
        <v>3978</v>
      </c>
      <c r="P1870" s="464" t="s">
        <v>3659</v>
      </c>
      <c r="Q1870" s="431">
        <v>0.2</v>
      </c>
      <c r="R1870" s="430">
        <v>1900002848</v>
      </c>
      <c r="S1870" s="466" t="s">
        <v>2131</v>
      </c>
      <c r="T1870" s="2" t="s">
        <v>5915</v>
      </c>
    </row>
    <row r="1871" spans="1:20" x14ac:dyDescent="0.35">
      <c r="A1871" s="494" t="s">
        <v>5460</v>
      </c>
      <c r="B1871" s="433" t="s">
        <v>5453</v>
      </c>
      <c r="C1871" s="467">
        <v>42861</v>
      </c>
      <c r="D1871" s="467">
        <v>42861</v>
      </c>
      <c r="E1871" s="467" t="s">
        <v>2156</v>
      </c>
      <c r="F1871" s="493" t="s">
        <v>5454</v>
      </c>
      <c r="G1871" s="433" t="s">
        <v>5278</v>
      </c>
      <c r="H1871" s="463" t="s">
        <v>5449</v>
      </c>
      <c r="I1871" s="500">
        <f t="shared" si="140"/>
        <v>2661.2222499999998</v>
      </c>
      <c r="J1871" s="500">
        <f t="shared" si="141"/>
        <v>628.00375000000008</v>
      </c>
      <c r="K1871" s="376">
        <f t="shared" si="138"/>
        <v>348.91888350000005</v>
      </c>
      <c r="L1871" s="368">
        <f t="shared" si="139"/>
        <v>69.783776700000018</v>
      </c>
      <c r="M1871" s="368" t="s">
        <v>6169</v>
      </c>
      <c r="N1871" s="463" t="s">
        <v>3785</v>
      </c>
      <c r="O1871" s="433" t="s">
        <v>3978</v>
      </c>
      <c r="P1871" s="464" t="s">
        <v>3659</v>
      </c>
      <c r="Q1871" s="431">
        <v>0.2</v>
      </c>
      <c r="R1871" s="430">
        <v>1900002848</v>
      </c>
      <c r="S1871" s="466" t="s">
        <v>938</v>
      </c>
      <c r="T1871" s="2" t="s">
        <v>5915</v>
      </c>
    </row>
    <row r="1872" spans="1:20" x14ac:dyDescent="0.35">
      <c r="A1872" s="494" t="s">
        <v>3993</v>
      </c>
      <c r="B1872" s="433" t="s">
        <v>5453</v>
      </c>
      <c r="C1872" s="467">
        <v>42861</v>
      </c>
      <c r="D1872" s="467">
        <v>42861</v>
      </c>
      <c r="E1872" s="467" t="s">
        <v>2164</v>
      </c>
      <c r="F1872" s="493" t="s">
        <v>5454</v>
      </c>
      <c r="G1872" s="433" t="s">
        <v>5278</v>
      </c>
      <c r="H1872" s="463" t="s">
        <v>5449</v>
      </c>
      <c r="I1872" s="500">
        <f t="shared" si="140"/>
        <v>2661.2222499999998</v>
      </c>
      <c r="J1872" s="500">
        <f t="shared" si="141"/>
        <v>628.00375000000008</v>
      </c>
      <c r="K1872" s="376">
        <f t="shared" si="138"/>
        <v>348.91888350000005</v>
      </c>
      <c r="L1872" s="368">
        <f t="shared" si="139"/>
        <v>69.783776700000018</v>
      </c>
      <c r="M1872" s="368" t="s">
        <v>6169</v>
      </c>
      <c r="N1872" s="463" t="s">
        <v>3785</v>
      </c>
      <c r="O1872" s="433" t="s">
        <v>3978</v>
      </c>
      <c r="P1872" s="464" t="s">
        <v>3659</v>
      </c>
      <c r="Q1872" s="431">
        <v>0.2</v>
      </c>
      <c r="R1872" s="430">
        <v>1900002848</v>
      </c>
      <c r="S1872" s="466" t="s">
        <v>2163</v>
      </c>
      <c r="T1872" s="2" t="s">
        <v>5915</v>
      </c>
    </row>
    <row r="1873" spans="1:20" x14ac:dyDescent="0.35">
      <c r="A1873" s="494" t="s">
        <v>3994</v>
      </c>
      <c r="B1873" s="433" t="s">
        <v>5453</v>
      </c>
      <c r="C1873" s="467">
        <v>42861</v>
      </c>
      <c r="D1873" s="467">
        <v>42861</v>
      </c>
      <c r="E1873" s="467" t="s">
        <v>2185</v>
      </c>
      <c r="F1873" s="493" t="s">
        <v>5454</v>
      </c>
      <c r="G1873" s="433" t="s">
        <v>5278</v>
      </c>
      <c r="H1873" s="463" t="s">
        <v>5449</v>
      </c>
      <c r="I1873" s="500">
        <f t="shared" si="140"/>
        <v>2661.2222499999998</v>
      </c>
      <c r="J1873" s="500">
        <f t="shared" si="141"/>
        <v>628.00375000000008</v>
      </c>
      <c r="K1873" s="376">
        <f t="shared" si="138"/>
        <v>348.91888350000005</v>
      </c>
      <c r="L1873" s="368">
        <f t="shared" si="139"/>
        <v>69.783776700000018</v>
      </c>
      <c r="M1873" s="368" t="s">
        <v>6169</v>
      </c>
      <c r="N1873" s="463" t="s">
        <v>3785</v>
      </c>
      <c r="O1873" s="433" t="s">
        <v>3978</v>
      </c>
      <c r="P1873" s="464" t="s">
        <v>3659</v>
      </c>
      <c r="Q1873" s="431">
        <v>0.2</v>
      </c>
      <c r="R1873" s="430">
        <v>1900002848</v>
      </c>
      <c r="S1873" s="466" t="s">
        <v>2184</v>
      </c>
      <c r="T1873" s="2" t="s">
        <v>5915</v>
      </c>
    </row>
    <row r="1874" spans="1:20" x14ac:dyDescent="0.35">
      <c r="A1874" s="494" t="s">
        <v>3995</v>
      </c>
      <c r="B1874" s="433" t="s">
        <v>5453</v>
      </c>
      <c r="C1874" s="467">
        <v>42861</v>
      </c>
      <c r="D1874" s="467">
        <v>42861</v>
      </c>
      <c r="E1874" s="467" t="s">
        <v>2187</v>
      </c>
      <c r="F1874" s="493" t="s">
        <v>5454</v>
      </c>
      <c r="G1874" s="433" t="s">
        <v>5278</v>
      </c>
      <c r="H1874" s="463" t="s">
        <v>5449</v>
      </c>
      <c r="I1874" s="500">
        <f t="shared" si="140"/>
        <v>2661.2222499999998</v>
      </c>
      <c r="J1874" s="500">
        <f t="shared" si="141"/>
        <v>628.00375000000008</v>
      </c>
      <c r="K1874" s="376">
        <f t="shared" si="138"/>
        <v>348.91888350000005</v>
      </c>
      <c r="L1874" s="368">
        <f t="shared" si="139"/>
        <v>69.783776700000018</v>
      </c>
      <c r="M1874" s="368" t="s">
        <v>6169</v>
      </c>
      <c r="N1874" s="463" t="s">
        <v>3785</v>
      </c>
      <c r="O1874" s="433" t="s">
        <v>3978</v>
      </c>
      <c r="P1874" s="464" t="s">
        <v>3659</v>
      </c>
      <c r="Q1874" s="431">
        <v>0.2</v>
      </c>
      <c r="R1874" s="430">
        <v>1900002848</v>
      </c>
      <c r="S1874" s="466" t="s">
        <v>1825</v>
      </c>
      <c r="T1874" s="2" t="s">
        <v>5915</v>
      </c>
    </row>
    <row r="1875" spans="1:20" x14ac:dyDescent="0.35">
      <c r="A1875" s="494" t="s">
        <v>3996</v>
      </c>
      <c r="B1875" s="433" t="s">
        <v>5453</v>
      </c>
      <c r="C1875" s="467">
        <v>42861</v>
      </c>
      <c r="D1875" s="467">
        <v>42861</v>
      </c>
      <c r="E1875" s="467" t="s">
        <v>2236</v>
      </c>
      <c r="F1875" s="493" t="s">
        <v>5454</v>
      </c>
      <c r="G1875" s="433" t="s">
        <v>5278</v>
      </c>
      <c r="H1875" s="463" t="s">
        <v>5449</v>
      </c>
      <c r="I1875" s="500">
        <f t="shared" si="140"/>
        <v>2661.2222499999998</v>
      </c>
      <c r="J1875" s="500">
        <f t="shared" si="141"/>
        <v>628.00375000000008</v>
      </c>
      <c r="K1875" s="376">
        <f t="shared" si="138"/>
        <v>348.91888350000005</v>
      </c>
      <c r="L1875" s="368">
        <f t="shared" si="139"/>
        <v>69.783776700000018</v>
      </c>
      <c r="M1875" s="368" t="s">
        <v>6169</v>
      </c>
      <c r="N1875" s="463" t="s">
        <v>3785</v>
      </c>
      <c r="O1875" s="433" t="s">
        <v>3978</v>
      </c>
      <c r="P1875" s="464" t="s">
        <v>3659</v>
      </c>
      <c r="Q1875" s="431">
        <v>0.2</v>
      </c>
      <c r="R1875" s="430">
        <v>1900002848</v>
      </c>
      <c r="S1875" s="466" t="s">
        <v>1059</v>
      </c>
      <c r="T1875" s="2" t="s">
        <v>5915</v>
      </c>
    </row>
    <row r="1876" spans="1:20" x14ac:dyDescent="0.35">
      <c r="A1876" s="494" t="s">
        <v>3997</v>
      </c>
      <c r="B1876" s="433" t="s">
        <v>5453</v>
      </c>
      <c r="C1876" s="467">
        <v>42861</v>
      </c>
      <c r="D1876" s="467">
        <v>42861</v>
      </c>
      <c r="E1876" s="467" t="s">
        <v>2262</v>
      </c>
      <c r="F1876" s="493" t="s">
        <v>5454</v>
      </c>
      <c r="G1876" s="433" t="s">
        <v>5278</v>
      </c>
      <c r="H1876" s="463" t="s">
        <v>5449</v>
      </c>
      <c r="I1876" s="500">
        <f t="shared" si="140"/>
        <v>2661.2222499999998</v>
      </c>
      <c r="J1876" s="500">
        <f t="shared" si="141"/>
        <v>628.00375000000008</v>
      </c>
      <c r="K1876" s="376">
        <f t="shared" si="138"/>
        <v>348.91888350000005</v>
      </c>
      <c r="L1876" s="368">
        <f t="shared" si="139"/>
        <v>69.783776700000018</v>
      </c>
      <c r="M1876" s="368" t="s">
        <v>6169</v>
      </c>
      <c r="N1876" s="463" t="s">
        <v>3785</v>
      </c>
      <c r="O1876" s="433" t="s">
        <v>3978</v>
      </c>
      <c r="P1876" s="464" t="s">
        <v>3659</v>
      </c>
      <c r="Q1876" s="431">
        <v>0.2</v>
      </c>
      <c r="R1876" s="430">
        <v>1900002848</v>
      </c>
      <c r="S1876" s="466" t="s">
        <v>613</v>
      </c>
      <c r="T1876" s="2" t="s">
        <v>5915</v>
      </c>
    </row>
    <row r="1877" spans="1:20" x14ac:dyDescent="0.35">
      <c r="A1877" s="494" t="s">
        <v>5461</v>
      </c>
      <c r="B1877" s="433" t="s">
        <v>5453</v>
      </c>
      <c r="C1877" s="467">
        <v>42861</v>
      </c>
      <c r="D1877" s="467">
        <v>42861</v>
      </c>
      <c r="E1877" s="467" t="s">
        <v>2279</v>
      </c>
      <c r="F1877" s="493" t="s">
        <v>5454</v>
      </c>
      <c r="G1877" s="433" t="s">
        <v>5278</v>
      </c>
      <c r="H1877" s="463" t="s">
        <v>5449</v>
      </c>
      <c r="I1877" s="500">
        <f t="shared" si="140"/>
        <v>2661.2222499999998</v>
      </c>
      <c r="J1877" s="500">
        <f t="shared" si="141"/>
        <v>628.00375000000008</v>
      </c>
      <c r="K1877" s="376">
        <f t="shared" si="138"/>
        <v>348.91888350000005</v>
      </c>
      <c r="L1877" s="368">
        <f t="shared" si="139"/>
        <v>69.783776700000018</v>
      </c>
      <c r="M1877" s="368" t="s">
        <v>6169</v>
      </c>
      <c r="N1877" s="463" t="s">
        <v>3785</v>
      </c>
      <c r="O1877" s="433" t="s">
        <v>3978</v>
      </c>
      <c r="P1877" s="464" t="s">
        <v>3659</v>
      </c>
      <c r="Q1877" s="431">
        <v>0.2</v>
      </c>
      <c r="R1877" s="430">
        <v>1900002848</v>
      </c>
      <c r="S1877" s="466" t="s">
        <v>1164</v>
      </c>
      <c r="T1877" s="2" t="s">
        <v>5915</v>
      </c>
    </row>
    <row r="1878" spans="1:20" x14ac:dyDescent="0.35">
      <c r="A1878" s="494" t="s">
        <v>5462</v>
      </c>
      <c r="B1878" s="433" t="s">
        <v>5453</v>
      </c>
      <c r="C1878" s="467">
        <v>42861</v>
      </c>
      <c r="D1878" s="467">
        <v>42861</v>
      </c>
      <c r="E1878" s="467" t="s">
        <v>2283</v>
      </c>
      <c r="F1878" s="493" t="s">
        <v>5454</v>
      </c>
      <c r="G1878" s="433" t="s">
        <v>5278</v>
      </c>
      <c r="H1878" s="463" t="s">
        <v>5449</v>
      </c>
      <c r="I1878" s="500">
        <f t="shared" si="140"/>
        <v>2661.2222499999998</v>
      </c>
      <c r="J1878" s="500">
        <f t="shared" si="141"/>
        <v>628.00375000000008</v>
      </c>
      <c r="K1878" s="376">
        <f t="shared" si="138"/>
        <v>348.91888350000005</v>
      </c>
      <c r="L1878" s="368">
        <f t="shared" si="139"/>
        <v>69.783776700000018</v>
      </c>
      <c r="M1878" s="368" t="s">
        <v>6169</v>
      </c>
      <c r="N1878" s="463" t="s">
        <v>3785</v>
      </c>
      <c r="O1878" s="433" t="s">
        <v>3978</v>
      </c>
      <c r="P1878" s="464" t="s">
        <v>3659</v>
      </c>
      <c r="Q1878" s="431">
        <v>0.2</v>
      </c>
      <c r="R1878" s="430">
        <v>1900002848</v>
      </c>
      <c r="S1878" s="466" t="s">
        <v>1174</v>
      </c>
      <c r="T1878" s="2" t="s">
        <v>5915</v>
      </c>
    </row>
    <row r="1879" spans="1:20" x14ac:dyDescent="0.35">
      <c r="A1879" s="494" t="s">
        <v>5463</v>
      </c>
      <c r="B1879" s="433" t="s">
        <v>5453</v>
      </c>
      <c r="C1879" s="467">
        <v>42861</v>
      </c>
      <c r="D1879" s="467">
        <v>42861</v>
      </c>
      <c r="E1879" s="467" t="s">
        <v>2291</v>
      </c>
      <c r="F1879" s="493" t="s">
        <v>5454</v>
      </c>
      <c r="G1879" s="433" t="s">
        <v>5278</v>
      </c>
      <c r="H1879" s="463" t="s">
        <v>5449</v>
      </c>
      <c r="I1879" s="500">
        <f t="shared" si="140"/>
        <v>2661.2222499999998</v>
      </c>
      <c r="J1879" s="500">
        <f t="shared" si="141"/>
        <v>628.00375000000008</v>
      </c>
      <c r="K1879" s="376">
        <f t="shared" si="138"/>
        <v>348.91888350000005</v>
      </c>
      <c r="L1879" s="368">
        <f t="shared" si="139"/>
        <v>69.783776700000018</v>
      </c>
      <c r="M1879" s="368" t="s">
        <v>6169</v>
      </c>
      <c r="N1879" s="463" t="s">
        <v>3785</v>
      </c>
      <c r="O1879" s="433" t="s">
        <v>3978</v>
      </c>
      <c r="P1879" s="464" t="s">
        <v>3659</v>
      </c>
      <c r="Q1879" s="431">
        <v>0.2</v>
      </c>
      <c r="R1879" s="430">
        <v>1900002848</v>
      </c>
      <c r="S1879" s="466" t="s">
        <v>1185</v>
      </c>
      <c r="T1879" s="2" t="s">
        <v>5915</v>
      </c>
    </row>
    <row r="1880" spans="1:20" x14ac:dyDescent="0.35">
      <c r="A1880" s="494" t="s">
        <v>5464</v>
      </c>
      <c r="B1880" s="433" t="s">
        <v>5453</v>
      </c>
      <c r="C1880" s="467">
        <v>42861</v>
      </c>
      <c r="D1880" s="467">
        <v>42861</v>
      </c>
      <c r="E1880" s="467" t="s">
        <v>2299</v>
      </c>
      <c r="F1880" s="493" t="s">
        <v>5454</v>
      </c>
      <c r="G1880" s="433" t="s">
        <v>5278</v>
      </c>
      <c r="H1880" s="463" t="s">
        <v>5449</v>
      </c>
      <c r="I1880" s="500">
        <f t="shared" si="140"/>
        <v>2661.2222499999998</v>
      </c>
      <c r="J1880" s="500">
        <f t="shared" si="141"/>
        <v>628.00375000000008</v>
      </c>
      <c r="K1880" s="376">
        <f t="shared" si="138"/>
        <v>348.91888350000005</v>
      </c>
      <c r="L1880" s="368">
        <f t="shared" si="139"/>
        <v>69.783776700000018</v>
      </c>
      <c r="M1880" s="368" t="s">
        <v>6169</v>
      </c>
      <c r="N1880" s="463" t="s">
        <v>3785</v>
      </c>
      <c r="O1880" s="433" t="s">
        <v>3978</v>
      </c>
      <c r="P1880" s="464" t="s">
        <v>3659</v>
      </c>
      <c r="Q1880" s="431">
        <v>0.2</v>
      </c>
      <c r="R1880" s="430">
        <v>1900002848</v>
      </c>
      <c r="S1880" s="466" t="s">
        <v>2298</v>
      </c>
      <c r="T1880" s="2" t="s">
        <v>5915</v>
      </c>
    </row>
    <row r="1881" spans="1:20" x14ac:dyDescent="0.35">
      <c r="A1881" s="494" t="s">
        <v>5465</v>
      </c>
      <c r="B1881" s="433" t="s">
        <v>5453</v>
      </c>
      <c r="C1881" s="467">
        <v>42861</v>
      </c>
      <c r="D1881" s="467">
        <v>42861</v>
      </c>
      <c r="E1881" s="467" t="s">
        <v>2354</v>
      </c>
      <c r="F1881" s="493" t="s">
        <v>5454</v>
      </c>
      <c r="G1881" s="433" t="s">
        <v>5278</v>
      </c>
      <c r="H1881" s="463" t="s">
        <v>5449</v>
      </c>
      <c r="I1881" s="500">
        <f t="shared" si="140"/>
        <v>2661.2222499999998</v>
      </c>
      <c r="J1881" s="500">
        <f t="shared" si="141"/>
        <v>628.00375000000008</v>
      </c>
      <c r="K1881" s="376">
        <f t="shared" si="138"/>
        <v>348.91888350000005</v>
      </c>
      <c r="L1881" s="368">
        <f t="shared" si="139"/>
        <v>69.783776700000018</v>
      </c>
      <c r="M1881" s="368" t="s">
        <v>6169</v>
      </c>
      <c r="N1881" s="463" t="s">
        <v>3785</v>
      </c>
      <c r="O1881" s="433" t="s">
        <v>3978</v>
      </c>
      <c r="P1881" s="464" t="s">
        <v>3659</v>
      </c>
      <c r="Q1881" s="431">
        <v>0.2</v>
      </c>
      <c r="R1881" s="430">
        <v>1900002848</v>
      </c>
      <c r="S1881" s="466" t="s">
        <v>1878</v>
      </c>
      <c r="T1881" s="2" t="s">
        <v>5915</v>
      </c>
    </row>
    <row r="1882" spans="1:20" x14ac:dyDescent="0.35">
      <c r="A1882" s="494" t="s">
        <v>5466</v>
      </c>
      <c r="B1882" s="433" t="s">
        <v>5453</v>
      </c>
      <c r="C1882" s="467">
        <v>42861</v>
      </c>
      <c r="D1882" s="467">
        <v>42861</v>
      </c>
      <c r="E1882" s="467" t="s">
        <v>2357</v>
      </c>
      <c r="F1882" s="493" t="s">
        <v>5454</v>
      </c>
      <c r="G1882" s="433" t="s">
        <v>5278</v>
      </c>
      <c r="H1882" s="463" t="s">
        <v>5449</v>
      </c>
      <c r="I1882" s="500">
        <f t="shared" si="140"/>
        <v>2661.2222499999998</v>
      </c>
      <c r="J1882" s="500">
        <f t="shared" si="141"/>
        <v>628.00375000000008</v>
      </c>
      <c r="K1882" s="376">
        <f t="shared" si="138"/>
        <v>348.91888350000005</v>
      </c>
      <c r="L1882" s="368">
        <f t="shared" si="139"/>
        <v>69.783776700000018</v>
      </c>
      <c r="M1882" s="368" t="s">
        <v>6169</v>
      </c>
      <c r="N1882" s="463" t="s">
        <v>3785</v>
      </c>
      <c r="O1882" s="433" t="s">
        <v>3978</v>
      </c>
      <c r="P1882" s="464" t="s">
        <v>3659</v>
      </c>
      <c r="Q1882" s="431">
        <v>0.2</v>
      </c>
      <c r="R1882" s="430">
        <v>1900002848</v>
      </c>
      <c r="S1882" s="466" t="s">
        <v>2356</v>
      </c>
      <c r="T1882" s="2" t="s">
        <v>5915</v>
      </c>
    </row>
    <row r="1883" spans="1:20" x14ac:dyDescent="0.35">
      <c r="A1883" s="494" t="s">
        <v>5467</v>
      </c>
      <c r="B1883" s="433" t="s">
        <v>5453</v>
      </c>
      <c r="C1883" s="467">
        <v>42861</v>
      </c>
      <c r="D1883" s="467">
        <v>42861</v>
      </c>
      <c r="E1883" s="467" t="s">
        <v>2367</v>
      </c>
      <c r="F1883" s="493" t="s">
        <v>5454</v>
      </c>
      <c r="G1883" s="433" t="s">
        <v>5278</v>
      </c>
      <c r="H1883" s="463" t="s">
        <v>5449</v>
      </c>
      <c r="I1883" s="500">
        <f t="shared" si="140"/>
        <v>2661.2222499999998</v>
      </c>
      <c r="J1883" s="500">
        <f t="shared" si="141"/>
        <v>628.00375000000008</v>
      </c>
      <c r="K1883" s="376">
        <f t="shared" si="138"/>
        <v>348.91888350000005</v>
      </c>
      <c r="L1883" s="368">
        <f t="shared" si="139"/>
        <v>69.783776700000018</v>
      </c>
      <c r="M1883" s="368" t="s">
        <v>6169</v>
      </c>
      <c r="N1883" s="463" t="s">
        <v>3785</v>
      </c>
      <c r="O1883" s="433" t="s">
        <v>3978</v>
      </c>
      <c r="P1883" s="464" t="s">
        <v>3659</v>
      </c>
      <c r="Q1883" s="431">
        <v>0.2</v>
      </c>
      <c r="R1883" s="430">
        <v>1900002848</v>
      </c>
      <c r="S1883" s="466" t="s">
        <v>2366</v>
      </c>
      <c r="T1883" s="2" t="s">
        <v>5915</v>
      </c>
    </row>
    <row r="1884" spans="1:20" x14ac:dyDescent="0.35">
      <c r="A1884" s="494" t="s">
        <v>5468</v>
      </c>
      <c r="B1884" s="433" t="s">
        <v>5453</v>
      </c>
      <c r="C1884" s="467">
        <v>42861</v>
      </c>
      <c r="D1884" s="467">
        <v>42861</v>
      </c>
      <c r="E1884" s="467" t="s">
        <v>2379</v>
      </c>
      <c r="F1884" s="493" t="s">
        <v>5454</v>
      </c>
      <c r="G1884" s="433" t="s">
        <v>5278</v>
      </c>
      <c r="H1884" s="463" t="s">
        <v>5449</v>
      </c>
      <c r="I1884" s="500">
        <f t="shared" si="140"/>
        <v>2661.2222499999998</v>
      </c>
      <c r="J1884" s="500">
        <f t="shared" si="141"/>
        <v>628.00375000000008</v>
      </c>
      <c r="K1884" s="376">
        <f t="shared" si="138"/>
        <v>348.91888350000005</v>
      </c>
      <c r="L1884" s="368">
        <f t="shared" si="139"/>
        <v>69.783776700000018</v>
      </c>
      <c r="M1884" s="368" t="s">
        <v>6169</v>
      </c>
      <c r="N1884" s="463" t="s">
        <v>3785</v>
      </c>
      <c r="O1884" s="433" t="s">
        <v>3978</v>
      </c>
      <c r="P1884" s="464" t="s">
        <v>3659</v>
      </c>
      <c r="Q1884" s="431">
        <v>0.2</v>
      </c>
      <c r="R1884" s="430">
        <v>1900002848</v>
      </c>
      <c r="S1884" s="466" t="s">
        <v>2378</v>
      </c>
      <c r="T1884" s="2" t="s">
        <v>5915</v>
      </c>
    </row>
    <row r="1885" spans="1:20" x14ac:dyDescent="0.35">
      <c r="A1885" s="494" t="s">
        <v>5469</v>
      </c>
      <c r="B1885" s="433" t="s">
        <v>5453</v>
      </c>
      <c r="C1885" s="467">
        <v>42861</v>
      </c>
      <c r="D1885" s="467">
        <v>42861</v>
      </c>
      <c r="E1885" s="467" t="s">
        <v>2381</v>
      </c>
      <c r="F1885" s="493" t="s">
        <v>5454</v>
      </c>
      <c r="G1885" s="433" t="s">
        <v>5278</v>
      </c>
      <c r="H1885" s="463" t="s">
        <v>5449</v>
      </c>
      <c r="I1885" s="500">
        <f t="shared" si="140"/>
        <v>2661.2222499999998</v>
      </c>
      <c r="J1885" s="500">
        <f t="shared" si="141"/>
        <v>628.00375000000008</v>
      </c>
      <c r="K1885" s="376">
        <f t="shared" si="138"/>
        <v>348.91888350000005</v>
      </c>
      <c r="L1885" s="368">
        <f t="shared" si="139"/>
        <v>69.783776700000018</v>
      </c>
      <c r="M1885" s="368" t="s">
        <v>6169</v>
      </c>
      <c r="N1885" s="463" t="s">
        <v>3785</v>
      </c>
      <c r="O1885" s="433" t="s">
        <v>3978</v>
      </c>
      <c r="P1885" s="464" t="s">
        <v>3659</v>
      </c>
      <c r="Q1885" s="431">
        <v>0.2</v>
      </c>
      <c r="R1885" s="430">
        <v>1900002848</v>
      </c>
      <c r="S1885" s="466" t="s">
        <v>1313</v>
      </c>
      <c r="T1885" s="2" t="s">
        <v>5915</v>
      </c>
    </row>
    <row r="1886" spans="1:20" x14ac:dyDescent="0.35">
      <c r="A1886" s="494" t="s">
        <v>5470</v>
      </c>
      <c r="B1886" s="433" t="s">
        <v>5453</v>
      </c>
      <c r="C1886" s="467">
        <v>42861</v>
      </c>
      <c r="D1886" s="467">
        <v>42861</v>
      </c>
      <c r="E1886" s="467" t="s">
        <v>2395</v>
      </c>
      <c r="F1886" s="493" t="s">
        <v>5454</v>
      </c>
      <c r="G1886" s="433" t="s">
        <v>5278</v>
      </c>
      <c r="H1886" s="463" t="s">
        <v>5449</v>
      </c>
      <c r="I1886" s="500">
        <f t="shared" si="140"/>
        <v>2661.2222499999998</v>
      </c>
      <c r="J1886" s="500">
        <f t="shared" si="141"/>
        <v>628.00375000000008</v>
      </c>
      <c r="K1886" s="376">
        <f t="shared" si="138"/>
        <v>348.91888350000005</v>
      </c>
      <c r="L1886" s="368">
        <f t="shared" si="139"/>
        <v>69.783776700000018</v>
      </c>
      <c r="M1886" s="368" t="s">
        <v>6169</v>
      </c>
      <c r="N1886" s="463" t="s">
        <v>3785</v>
      </c>
      <c r="O1886" s="433" t="s">
        <v>3978</v>
      </c>
      <c r="P1886" s="464" t="s">
        <v>3659</v>
      </c>
      <c r="Q1886" s="431">
        <v>0.2</v>
      </c>
      <c r="R1886" s="430">
        <v>1900002848</v>
      </c>
      <c r="S1886" s="466" t="s">
        <v>1341</v>
      </c>
      <c r="T1886" s="2" t="s">
        <v>5915</v>
      </c>
    </row>
    <row r="1887" spans="1:20" x14ac:dyDescent="0.35">
      <c r="A1887" s="494" t="s">
        <v>5471</v>
      </c>
      <c r="B1887" s="433" t="s">
        <v>5453</v>
      </c>
      <c r="C1887" s="467">
        <v>42861</v>
      </c>
      <c r="D1887" s="467">
        <v>42861</v>
      </c>
      <c r="E1887" s="467" t="s">
        <v>2407</v>
      </c>
      <c r="F1887" s="493" t="s">
        <v>5454</v>
      </c>
      <c r="G1887" s="433" t="s">
        <v>5278</v>
      </c>
      <c r="H1887" s="463" t="s">
        <v>5449</v>
      </c>
      <c r="I1887" s="500">
        <f t="shared" si="140"/>
        <v>2661.2222499999998</v>
      </c>
      <c r="J1887" s="500">
        <f t="shared" si="141"/>
        <v>628.00375000000008</v>
      </c>
      <c r="K1887" s="376">
        <f t="shared" si="138"/>
        <v>348.91888350000005</v>
      </c>
      <c r="L1887" s="368">
        <f t="shared" si="139"/>
        <v>69.783776700000018</v>
      </c>
      <c r="M1887" s="368" t="s">
        <v>6169</v>
      </c>
      <c r="N1887" s="463" t="s">
        <v>3785</v>
      </c>
      <c r="O1887" s="433" t="s">
        <v>3978</v>
      </c>
      <c r="P1887" s="464" t="s">
        <v>3659</v>
      </c>
      <c r="Q1887" s="431">
        <v>0.2</v>
      </c>
      <c r="R1887" s="430">
        <v>1900002848</v>
      </c>
      <c r="S1887" s="466" t="s">
        <v>2406</v>
      </c>
      <c r="T1887" s="2" t="s">
        <v>5915</v>
      </c>
    </row>
    <row r="1888" spans="1:20" x14ac:dyDescent="0.35">
      <c r="A1888" s="494" t="s">
        <v>5472</v>
      </c>
      <c r="B1888" s="433" t="s">
        <v>5453</v>
      </c>
      <c r="C1888" s="467">
        <v>42861</v>
      </c>
      <c r="D1888" s="467">
        <v>42861</v>
      </c>
      <c r="E1888" s="467" t="s">
        <v>2426</v>
      </c>
      <c r="F1888" s="493" t="s">
        <v>5454</v>
      </c>
      <c r="G1888" s="433" t="s">
        <v>5278</v>
      </c>
      <c r="H1888" s="463" t="s">
        <v>5449</v>
      </c>
      <c r="I1888" s="500">
        <f t="shared" si="140"/>
        <v>2661.2222499999998</v>
      </c>
      <c r="J1888" s="500">
        <f t="shared" si="141"/>
        <v>628.00375000000008</v>
      </c>
      <c r="K1888" s="376">
        <f t="shared" si="138"/>
        <v>348.91888350000005</v>
      </c>
      <c r="L1888" s="368">
        <f t="shared" si="139"/>
        <v>69.783776700000018</v>
      </c>
      <c r="M1888" s="368" t="s">
        <v>6169</v>
      </c>
      <c r="N1888" s="463" t="s">
        <v>3785</v>
      </c>
      <c r="O1888" s="433" t="s">
        <v>3978</v>
      </c>
      <c r="P1888" s="464" t="s">
        <v>3659</v>
      </c>
      <c r="Q1888" s="431">
        <v>0.2</v>
      </c>
      <c r="R1888" s="430">
        <v>1900002848</v>
      </c>
      <c r="S1888" s="466" t="s">
        <v>2427</v>
      </c>
      <c r="T1888" s="2" t="s">
        <v>5915</v>
      </c>
    </row>
    <row r="1889" spans="1:20" x14ac:dyDescent="0.35">
      <c r="A1889" s="494" t="s">
        <v>5473</v>
      </c>
      <c r="B1889" s="433" t="s">
        <v>5453</v>
      </c>
      <c r="C1889" s="467">
        <v>42861</v>
      </c>
      <c r="D1889" s="467">
        <v>42861</v>
      </c>
      <c r="E1889" s="467" t="s">
        <v>2428</v>
      </c>
      <c r="F1889" s="493" t="s">
        <v>5454</v>
      </c>
      <c r="G1889" s="433" t="s">
        <v>5278</v>
      </c>
      <c r="H1889" s="463" t="s">
        <v>5449</v>
      </c>
      <c r="I1889" s="500">
        <f t="shared" si="140"/>
        <v>2661.2222499999998</v>
      </c>
      <c r="J1889" s="500">
        <f t="shared" si="141"/>
        <v>628.00375000000008</v>
      </c>
      <c r="K1889" s="376">
        <f t="shared" si="138"/>
        <v>348.91888350000005</v>
      </c>
      <c r="L1889" s="368">
        <f t="shared" si="139"/>
        <v>69.783776700000018</v>
      </c>
      <c r="M1889" s="368" t="s">
        <v>6169</v>
      </c>
      <c r="N1889" s="463" t="s">
        <v>3785</v>
      </c>
      <c r="O1889" s="433" t="s">
        <v>3978</v>
      </c>
      <c r="P1889" s="464" t="s">
        <v>3659</v>
      </c>
      <c r="Q1889" s="431">
        <v>0.2</v>
      </c>
      <c r="R1889" s="430">
        <v>1900002848</v>
      </c>
      <c r="S1889" s="466" t="s">
        <v>2427</v>
      </c>
      <c r="T1889" s="2" t="s">
        <v>5915</v>
      </c>
    </row>
    <row r="1890" spans="1:20" x14ac:dyDescent="0.35">
      <c r="A1890" s="494" t="s">
        <v>5474</v>
      </c>
      <c r="B1890" s="433" t="s">
        <v>5453</v>
      </c>
      <c r="C1890" s="467">
        <v>42861</v>
      </c>
      <c r="D1890" s="467">
        <v>42861</v>
      </c>
      <c r="E1890" s="467" t="s">
        <v>2429</v>
      </c>
      <c r="F1890" s="493" t="s">
        <v>5454</v>
      </c>
      <c r="G1890" s="433" t="s">
        <v>5278</v>
      </c>
      <c r="H1890" s="463" t="s">
        <v>5449</v>
      </c>
      <c r="I1890" s="500">
        <f t="shared" si="140"/>
        <v>2661.2222499999998</v>
      </c>
      <c r="J1890" s="500">
        <f t="shared" si="141"/>
        <v>628.00375000000008</v>
      </c>
      <c r="K1890" s="376">
        <f t="shared" si="138"/>
        <v>348.91888350000005</v>
      </c>
      <c r="L1890" s="368">
        <f t="shared" si="139"/>
        <v>69.783776700000018</v>
      </c>
      <c r="M1890" s="368" t="s">
        <v>6169</v>
      </c>
      <c r="N1890" s="463" t="s">
        <v>3785</v>
      </c>
      <c r="O1890" s="433" t="s">
        <v>3978</v>
      </c>
      <c r="P1890" s="464" t="s">
        <v>3659</v>
      </c>
      <c r="Q1890" s="431">
        <v>0.2</v>
      </c>
      <c r="R1890" s="430">
        <v>1900002848</v>
      </c>
      <c r="S1890" s="466" t="s">
        <v>2427</v>
      </c>
      <c r="T1890" s="2" t="s">
        <v>5915</v>
      </c>
    </row>
    <row r="1891" spans="1:20" x14ac:dyDescent="0.35">
      <c r="A1891" s="494" t="s">
        <v>5475</v>
      </c>
      <c r="B1891" s="433" t="s">
        <v>5453</v>
      </c>
      <c r="C1891" s="467">
        <v>42861</v>
      </c>
      <c r="D1891" s="467">
        <v>42861</v>
      </c>
      <c r="E1891" s="467" t="s">
        <v>2430</v>
      </c>
      <c r="F1891" s="493" t="s">
        <v>5454</v>
      </c>
      <c r="G1891" s="433" t="s">
        <v>5278</v>
      </c>
      <c r="H1891" s="463" t="s">
        <v>5449</v>
      </c>
      <c r="I1891" s="500">
        <f t="shared" si="140"/>
        <v>2661.2222499999998</v>
      </c>
      <c r="J1891" s="500">
        <f t="shared" si="141"/>
        <v>628.00375000000008</v>
      </c>
      <c r="K1891" s="376">
        <f t="shared" si="138"/>
        <v>348.91888350000005</v>
      </c>
      <c r="L1891" s="368">
        <f t="shared" si="139"/>
        <v>69.783776700000018</v>
      </c>
      <c r="M1891" s="368" t="s">
        <v>6169</v>
      </c>
      <c r="N1891" s="463" t="s">
        <v>3785</v>
      </c>
      <c r="O1891" s="433" t="s">
        <v>3978</v>
      </c>
      <c r="P1891" s="464" t="s">
        <v>3659</v>
      </c>
      <c r="Q1891" s="431">
        <v>0.2</v>
      </c>
      <c r="R1891" s="430">
        <v>1900002848</v>
      </c>
      <c r="S1891" s="466" t="s">
        <v>2427</v>
      </c>
      <c r="T1891" s="2" t="s">
        <v>5915</v>
      </c>
    </row>
    <row r="1892" spans="1:20" x14ac:dyDescent="0.35">
      <c r="A1892" s="494" t="s">
        <v>5476</v>
      </c>
      <c r="B1892" s="433" t="s">
        <v>5453</v>
      </c>
      <c r="C1892" s="467">
        <v>42861</v>
      </c>
      <c r="D1892" s="467">
        <v>42861</v>
      </c>
      <c r="E1892" s="467" t="s">
        <v>2431</v>
      </c>
      <c r="F1892" s="493" t="s">
        <v>5454</v>
      </c>
      <c r="G1892" s="433" t="s">
        <v>5278</v>
      </c>
      <c r="H1892" s="463" t="s">
        <v>5449</v>
      </c>
      <c r="I1892" s="500">
        <f t="shared" si="140"/>
        <v>2661.2222499999998</v>
      </c>
      <c r="J1892" s="500">
        <f t="shared" si="141"/>
        <v>628.00375000000008</v>
      </c>
      <c r="K1892" s="376">
        <f t="shared" si="138"/>
        <v>348.91888350000005</v>
      </c>
      <c r="L1892" s="368">
        <f t="shared" si="139"/>
        <v>69.783776700000018</v>
      </c>
      <c r="M1892" s="368" t="s">
        <v>6169</v>
      </c>
      <c r="N1892" s="463" t="s">
        <v>3785</v>
      </c>
      <c r="O1892" s="433" t="s">
        <v>3978</v>
      </c>
      <c r="P1892" s="464" t="s">
        <v>3659</v>
      </c>
      <c r="Q1892" s="431">
        <v>0.2</v>
      </c>
      <c r="R1892" s="430">
        <v>1900002848</v>
      </c>
      <c r="S1892" s="466" t="s">
        <v>2427</v>
      </c>
      <c r="T1892" s="2" t="s">
        <v>5915</v>
      </c>
    </row>
    <row r="1893" spans="1:20" x14ac:dyDescent="0.35">
      <c r="A1893" s="494" t="s">
        <v>5477</v>
      </c>
      <c r="B1893" s="433" t="s">
        <v>5453</v>
      </c>
      <c r="C1893" s="467">
        <v>42861</v>
      </c>
      <c r="D1893" s="467">
        <v>42861</v>
      </c>
      <c r="E1893" s="467" t="s">
        <v>2432</v>
      </c>
      <c r="F1893" s="493" t="s">
        <v>5454</v>
      </c>
      <c r="G1893" s="433" t="s">
        <v>5278</v>
      </c>
      <c r="H1893" s="463" t="s">
        <v>5449</v>
      </c>
      <c r="I1893" s="500">
        <f t="shared" si="140"/>
        <v>2661.2222499999998</v>
      </c>
      <c r="J1893" s="500">
        <f t="shared" si="141"/>
        <v>628.00375000000008</v>
      </c>
      <c r="K1893" s="376">
        <f t="shared" si="138"/>
        <v>348.91888350000005</v>
      </c>
      <c r="L1893" s="368">
        <f t="shared" si="139"/>
        <v>69.783776700000018</v>
      </c>
      <c r="M1893" s="368" t="s">
        <v>6169</v>
      </c>
      <c r="N1893" s="463" t="s">
        <v>3785</v>
      </c>
      <c r="O1893" s="433" t="s">
        <v>3978</v>
      </c>
      <c r="P1893" s="464" t="s">
        <v>3659</v>
      </c>
      <c r="Q1893" s="431">
        <v>0.2</v>
      </c>
      <c r="R1893" s="430">
        <v>1900002848</v>
      </c>
      <c r="S1893" s="466" t="s">
        <v>2427</v>
      </c>
      <c r="T1893" s="2" t="s">
        <v>5915</v>
      </c>
    </row>
    <row r="1894" spans="1:20" x14ac:dyDescent="0.35">
      <c r="A1894" s="494" t="s">
        <v>5478</v>
      </c>
      <c r="B1894" s="433" t="s">
        <v>5453</v>
      </c>
      <c r="C1894" s="467">
        <v>42861</v>
      </c>
      <c r="D1894" s="467">
        <v>42861</v>
      </c>
      <c r="E1894" s="467" t="s">
        <v>2433</v>
      </c>
      <c r="F1894" s="493" t="s">
        <v>5454</v>
      </c>
      <c r="G1894" s="433" t="s">
        <v>5278</v>
      </c>
      <c r="H1894" s="463" t="s">
        <v>5449</v>
      </c>
      <c r="I1894" s="500">
        <f t="shared" si="140"/>
        <v>2661.2222499999998</v>
      </c>
      <c r="J1894" s="500">
        <f t="shared" si="141"/>
        <v>628.00375000000008</v>
      </c>
      <c r="K1894" s="376">
        <f t="shared" si="138"/>
        <v>348.91888350000005</v>
      </c>
      <c r="L1894" s="368">
        <f t="shared" si="139"/>
        <v>69.783776700000018</v>
      </c>
      <c r="M1894" s="368" t="s">
        <v>6169</v>
      </c>
      <c r="N1894" s="463" t="s">
        <v>3785</v>
      </c>
      <c r="O1894" s="433" t="s">
        <v>3978</v>
      </c>
      <c r="P1894" s="464" t="s">
        <v>3659</v>
      </c>
      <c r="Q1894" s="431">
        <v>0.2</v>
      </c>
      <c r="R1894" s="430">
        <v>1900002848</v>
      </c>
      <c r="S1894" s="466" t="s">
        <v>2427</v>
      </c>
      <c r="T1894" s="2" t="s">
        <v>5915</v>
      </c>
    </row>
    <row r="1895" spans="1:20" x14ac:dyDescent="0.35">
      <c r="A1895" s="494" t="s">
        <v>5479</v>
      </c>
      <c r="B1895" s="433" t="s">
        <v>5453</v>
      </c>
      <c r="C1895" s="467">
        <v>42861</v>
      </c>
      <c r="D1895" s="467">
        <v>42861</v>
      </c>
      <c r="E1895" s="467" t="s">
        <v>2434</v>
      </c>
      <c r="F1895" s="493" t="s">
        <v>5454</v>
      </c>
      <c r="G1895" s="433" t="s">
        <v>5278</v>
      </c>
      <c r="H1895" s="463" t="s">
        <v>5449</v>
      </c>
      <c r="I1895" s="500">
        <f t="shared" si="140"/>
        <v>2661.2222499999998</v>
      </c>
      <c r="J1895" s="500">
        <f t="shared" si="141"/>
        <v>628.00375000000008</v>
      </c>
      <c r="K1895" s="376">
        <f t="shared" si="138"/>
        <v>348.91888350000005</v>
      </c>
      <c r="L1895" s="368">
        <f t="shared" si="139"/>
        <v>69.783776700000018</v>
      </c>
      <c r="M1895" s="368" t="s">
        <v>6169</v>
      </c>
      <c r="N1895" s="463" t="s">
        <v>3785</v>
      </c>
      <c r="O1895" s="433" t="s">
        <v>3978</v>
      </c>
      <c r="P1895" s="464" t="s">
        <v>3659</v>
      </c>
      <c r="Q1895" s="431">
        <v>0.2</v>
      </c>
      <c r="R1895" s="430">
        <v>1900002848</v>
      </c>
      <c r="S1895" s="466" t="s">
        <v>2427</v>
      </c>
      <c r="T1895" s="2" t="s">
        <v>5915</v>
      </c>
    </row>
    <row r="1896" spans="1:20" x14ac:dyDescent="0.35">
      <c r="A1896" s="494" t="s">
        <v>5480</v>
      </c>
      <c r="B1896" s="433" t="s">
        <v>5453</v>
      </c>
      <c r="C1896" s="467">
        <v>42861</v>
      </c>
      <c r="D1896" s="467">
        <v>42861</v>
      </c>
      <c r="E1896" s="467" t="s">
        <v>2435</v>
      </c>
      <c r="F1896" s="493" t="s">
        <v>5454</v>
      </c>
      <c r="G1896" s="433" t="s">
        <v>5278</v>
      </c>
      <c r="H1896" s="463" t="s">
        <v>5449</v>
      </c>
      <c r="I1896" s="500">
        <f t="shared" si="140"/>
        <v>2661.2222499999998</v>
      </c>
      <c r="J1896" s="500">
        <f t="shared" si="141"/>
        <v>628.00375000000008</v>
      </c>
      <c r="K1896" s="376">
        <f t="shared" si="138"/>
        <v>348.91888350000005</v>
      </c>
      <c r="L1896" s="368">
        <f t="shared" si="139"/>
        <v>69.783776700000018</v>
      </c>
      <c r="M1896" s="368" t="s">
        <v>6169</v>
      </c>
      <c r="N1896" s="463" t="s">
        <v>3785</v>
      </c>
      <c r="O1896" s="433" t="s">
        <v>3978</v>
      </c>
      <c r="P1896" s="464" t="s">
        <v>3659</v>
      </c>
      <c r="Q1896" s="431">
        <v>0.2</v>
      </c>
      <c r="R1896" s="430">
        <v>1900002848</v>
      </c>
      <c r="S1896" s="466" t="s">
        <v>2427</v>
      </c>
      <c r="T1896" s="2" t="s">
        <v>5915</v>
      </c>
    </row>
    <row r="1897" spans="1:20" x14ac:dyDescent="0.35">
      <c r="A1897" s="494" t="s">
        <v>5481</v>
      </c>
      <c r="B1897" s="433" t="s">
        <v>5453</v>
      </c>
      <c r="C1897" s="467">
        <v>42861</v>
      </c>
      <c r="D1897" s="467">
        <v>42861</v>
      </c>
      <c r="E1897" s="467" t="s">
        <v>2436</v>
      </c>
      <c r="F1897" s="493" t="s">
        <v>5454</v>
      </c>
      <c r="G1897" s="433" t="s">
        <v>5278</v>
      </c>
      <c r="H1897" s="463" t="s">
        <v>5449</v>
      </c>
      <c r="I1897" s="500">
        <f t="shared" si="140"/>
        <v>2661.2222499999998</v>
      </c>
      <c r="J1897" s="500">
        <f t="shared" si="141"/>
        <v>628.00375000000008</v>
      </c>
      <c r="K1897" s="376">
        <f t="shared" si="138"/>
        <v>348.91888350000005</v>
      </c>
      <c r="L1897" s="368">
        <f t="shared" si="139"/>
        <v>69.783776700000018</v>
      </c>
      <c r="M1897" s="368" t="s">
        <v>6169</v>
      </c>
      <c r="N1897" s="463" t="s">
        <v>3785</v>
      </c>
      <c r="O1897" s="433" t="s">
        <v>3978</v>
      </c>
      <c r="P1897" s="464" t="s">
        <v>3659</v>
      </c>
      <c r="Q1897" s="431">
        <v>0.2</v>
      </c>
      <c r="R1897" s="430">
        <v>1900002848</v>
      </c>
      <c r="S1897" s="466" t="s">
        <v>2427</v>
      </c>
      <c r="T1897" s="2" t="s">
        <v>5915</v>
      </c>
    </row>
    <row r="1898" spans="1:20" x14ac:dyDescent="0.35">
      <c r="A1898" s="494" t="s">
        <v>5482</v>
      </c>
      <c r="B1898" s="433" t="s">
        <v>5453</v>
      </c>
      <c r="C1898" s="467">
        <v>42861</v>
      </c>
      <c r="D1898" s="467">
        <v>42861</v>
      </c>
      <c r="E1898" s="467" t="s">
        <v>2448</v>
      </c>
      <c r="F1898" s="493" t="s">
        <v>5454</v>
      </c>
      <c r="G1898" s="433" t="s">
        <v>5278</v>
      </c>
      <c r="H1898" s="463" t="s">
        <v>5449</v>
      </c>
      <c r="I1898" s="500">
        <f t="shared" si="140"/>
        <v>2661.2222499999998</v>
      </c>
      <c r="J1898" s="500">
        <f t="shared" si="141"/>
        <v>628.00375000000008</v>
      </c>
      <c r="K1898" s="376">
        <f t="shared" si="138"/>
        <v>348.91888350000005</v>
      </c>
      <c r="L1898" s="368">
        <f t="shared" si="139"/>
        <v>69.783776700000018</v>
      </c>
      <c r="M1898" s="368" t="s">
        <v>6169</v>
      </c>
      <c r="N1898" s="463" t="s">
        <v>3785</v>
      </c>
      <c r="O1898" s="433" t="s">
        <v>3978</v>
      </c>
      <c r="P1898" s="464" t="s">
        <v>3659</v>
      </c>
      <c r="Q1898" s="431">
        <v>0.2</v>
      </c>
      <c r="R1898" s="430">
        <v>1900002848</v>
      </c>
      <c r="S1898" s="466" t="s">
        <v>1377</v>
      </c>
      <c r="T1898" s="2" t="s">
        <v>5915</v>
      </c>
    </row>
    <row r="1899" spans="1:20" x14ac:dyDescent="0.35">
      <c r="A1899" s="494" t="s">
        <v>5483</v>
      </c>
      <c r="B1899" s="433" t="s">
        <v>5453</v>
      </c>
      <c r="C1899" s="467">
        <v>42861</v>
      </c>
      <c r="D1899" s="467">
        <v>42861</v>
      </c>
      <c r="E1899" s="467" t="s">
        <v>2450</v>
      </c>
      <c r="F1899" s="493" t="s">
        <v>5454</v>
      </c>
      <c r="G1899" s="433" t="s">
        <v>5278</v>
      </c>
      <c r="H1899" s="463" t="s">
        <v>5449</v>
      </c>
      <c r="I1899" s="500">
        <f t="shared" si="140"/>
        <v>2661.2222499999998</v>
      </c>
      <c r="J1899" s="500">
        <f t="shared" si="141"/>
        <v>628.00375000000008</v>
      </c>
      <c r="K1899" s="376">
        <f t="shared" si="138"/>
        <v>348.91888350000005</v>
      </c>
      <c r="L1899" s="368">
        <f t="shared" si="139"/>
        <v>69.783776700000018</v>
      </c>
      <c r="M1899" s="368" t="s">
        <v>6169</v>
      </c>
      <c r="N1899" s="463" t="s">
        <v>3785</v>
      </c>
      <c r="O1899" s="433" t="s">
        <v>3978</v>
      </c>
      <c r="P1899" s="464" t="s">
        <v>3659</v>
      </c>
      <c r="Q1899" s="431">
        <v>0.2</v>
      </c>
      <c r="R1899" s="430">
        <v>1900002848</v>
      </c>
      <c r="S1899" s="466" t="s">
        <v>1377</v>
      </c>
      <c r="T1899" s="2" t="s">
        <v>5915</v>
      </c>
    </row>
    <row r="1900" spans="1:20" x14ac:dyDescent="0.35">
      <c r="A1900" s="494" t="s">
        <v>5484</v>
      </c>
      <c r="B1900" s="433" t="s">
        <v>5453</v>
      </c>
      <c r="C1900" s="467">
        <v>42861</v>
      </c>
      <c r="D1900" s="467">
        <v>42861</v>
      </c>
      <c r="E1900" s="467" t="s">
        <v>2451</v>
      </c>
      <c r="F1900" s="493" t="s">
        <v>5454</v>
      </c>
      <c r="G1900" s="433" t="s">
        <v>5278</v>
      </c>
      <c r="H1900" s="463" t="s">
        <v>5449</v>
      </c>
      <c r="I1900" s="500">
        <f t="shared" si="140"/>
        <v>2661.2222499999998</v>
      </c>
      <c r="J1900" s="500">
        <f t="shared" si="141"/>
        <v>628.00375000000008</v>
      </c>
      <c r="K1900" s="376">
        <f t="shared" si="138"/>
        <v>348.91888350000005</v>
      </c>
      <c r="L1900" s="368">
        <f t="shared" si="139"/>
        <v>69.783776700000018</v>
      </c>
      <c r="M1900" s="368" t="s">
        <v>6169</v>
      </c>
      <c r="N1900" s="463" t="s">
        <v>3785</v>
      </c>
      <c r="O1900" s="433" t="s">
        <v>3978</v>
      </c>
      <c r="P1900" s="464" t="s">
        <v>3659</v>
      </c>
      <c r="Q1900" s="431">
        <v>0.2</v>
      </c>
      <c r="R1900" s="430">
        <v>1900002848</v>
      </c>
      <c r="S1900" s="466" t="s">
        <v>1377</v>
      </c>
      <c r="T1900" s="2" t="s">
        <v>5915</v>
      </c>
    </row>
    <row r="1901" spans="1:20" x14ac:dyDescent="0.35">
      <c r="A1901" s="494" t="s">
        <v>5485</v>
      </c>
      <c r="B1901" s="433" t="s">
        <v>5453</v>
      </c>
      <c r="C1901" s="467">
        <v>42861</v>
      </c>
      <c r="D1901" s="467">
        <v>42861</v>
      </c>
      <c r="E1901" s="467" t="s">
        <v>2452</v>
      </c>
      <c r="F1901" s="493" t="s">
        <v>5454</v>
      </c>
      <c r="G1901" s="433" t="s">
        <v>5278</v>
      </c>
      <c r="H1901" s="463" t="s">
        <v>5449</v>
      </c>
      <c r="I1901" s="500">
        <f t="shared" si="140"/>
        <v>2661.2222499999998</v>
      </c>
      <c r="J1901" s="500">
        <f t="shared" si="141"/>
        <v>628.00375000000008</v>
      </c>
      <c r="K1901" s="376">
        <f t="shared" si="138"/>
        <v>348.91888350000005</v>
      </c>
      <c r="L1901" s="368">
        <f t="shared" si="139"/>
        <v>69.783776700000018</v>
      </c>
      <c r="M1901" s="368" t="s">
        <v>6169</v>
      </c>
      <c r="N1901" s="463" t="s">
        <v>3785</v>
      </c>
      <c r="O1901" s="433" t="s">
        <v>3978</v>
      </c>
      <c r="P1901" s="464" t="s">
        <v>3659</v>
      </c>
      <c r="Q1901" s="431">
        <v>0.2</v>
      </c>
      <c r="R1901" s="430">
        <v>1900002848</v>
      </c>
      <c r="S1901" s="466" t="s">
        <v>1377</v>
      </c>
      <c r="T1901" s="2" t="s">
        <v>5915</v>
      </c>
    </row>
    <row r="1902" spans="1:20" x14ac:dyDescent="0.35">
      <c r="A1902" s="494" t="s">
        <v>5486</v>
      </c>
      <c r="B1902" s="433" t="s">
        <v>5453</v>
      </c>
      <c r="C1902" s="467">
        <v>42861</v>
      </c>
      <c r="D1902" s="467">
        <v>42861</v>
      </c>
      <c r="E1902" s="467" t="s">
        <v>2453</v>
      </c>
      <c r="F1902" s="493" t="s">
        <v>5454</v>
      </c>
      <c r="G1902" s="433" t="s">
        <v>5278</v>
      </c>
      <c r="H1902" s="463" t="s">
        <v>5449</v>
      </c>
      <c r="I1902" s="500">
        <f t="shared" si="140"/>
        <v>2661.2222499999998</v>
      </c>
      <c r="J1902" s="500">
        <f t="shared" si="141"/>
        <v>628.00375000000008</v>
      </c>
      <c r="K1902" s="376">
        <f t="shared" si="138"/>
        <v>348.91888350000005</v>
      </c>
      <c r="L1902" s="368">
        <f t="shared" si="139"/>
        <v>69.783776700000018</v>
      </c>
      <c r="M1902" s="368" t="s">
        <v>6169</v>
      </c>
      <c r="N1902" s="463" t="s">
        <v>3785</v>
      </c>
      <c r="O1902" s="433" t="s">
        <v>3978</v>
      </c>
      <c r="P1902" s="464" t="s">
        <v>3659</v>
      </c>
      <c r="Q1902" s="431">
        <v>0.2</v>
      </c>
      <c r="R1902" s="430">
        <v>1900002848</v>
      </c>
      <c r="S1902" s="466" t="s">
        <v>1377</v>
      </c>
      <c r="T1902" s="2" t="s">
        <v>5915</v>
      </c>
    </row>
    <row r="1903" spans="1:20" x14ac:dyDescent="0.35">
      <c r="A1903" s="494" t="s">
        <v>5487</v>
      </c>
      <c r="B1903" s="433" t="s">
        <v>5453</v>
      </c>
      <c r="C1903" s="467">
        <v>42861</v>
      </c>
      <c r="D1903" s="467">
        <v>42861</v>
      </c>
      <c r="E1903" s="467" t="s">
        <v>2454</v>
      </c>
      <c r="F1903" s="493" t="s">
        <v>5454</v>
      </c>
      <c r="G1903" s="433" t="s">
        <v>5278</v>
      </c>
      <c r="H1903" s="463" t="s">
        <v>5449</v>
      </c>
      <c r="I1903" s="500">
        <f t="shared" si="140"/>
        <v>2661.2222499999998</v>
      </c>
      <c r="J1903" s="500">
        <f t="shared" si="141"/>
        <v>628.00375000000008</v>
      </c>
      <c r="K1903" s="376">
        <f t="shared" si="138"/>
        <v>348.91888350000005</v>
      </c>
      <c r="L1903" s="368">
        <f t="shared" si="139"/>
        <v>69.783776700000018</v>
      </c>
      <c r="M1903" s="368" t="s">
        <v>6169</v>
      </c>
      <c r="N1903" s="463" t="s">
        <v>3785</v>
      </c>
      <c r="O1903" s="433" t="s">
        <v>3978</v>
      </c>
      <c r="P1903" s="464" t="s">
        <v>3659</v>
      </c>
      <c r="Q1903" s="431">
        <v>0.2</v>
      </c>
      <c r="R1903" s="430">
        <v>1900002848</v>
      </c>
      <c r="S1903" s="466" t="s">
        <v>1377</v>
      </c>
      <c r="T1903" s="2" t="s">
        <v>5915</v>
      </c>
    </row>
    <row r="1904" spans="1:20" x14ac:dyDescent="0.35">
      <c r="A1904" s="494" t="s">
        <v>5488</v>
      </c>
      <c r="B1904" s="433" t="s">
        <v>5453</v>
      </c>
      <c r="C1904" s="467">
        <v>42861</v>
      </c>
      <c r="D1904" s="467">
        <v>42861</v>
      </c>
      <c r="E1904" s="467" t="s">
        <v>2455</v>
      </c>
      <c r="F1904" s="493" t="s">
        <v>5454</v>
      </c>
      <c r="G1904" s="433" t="s">
        <v>5278</v>
      </c>
      <c r="H1904" s="463" t="s">
        <v>5449</v>
      </c>
      <c r="I1904" s="500">
        <f t="shared" si="140"/>
        <v>2661.2222499999998</v>
      </c>
      <c r="J1904" s="500">
        <f t="shared" si="141"/>
        <v>628.00375000000008</v>
      </c>
      <c r="K1904" s="376">
        <f t="shared" si="138"/>
        <v>348.91888350000005</v>
      </c>
      <c r="L1904" s="368">
        <f t="shared" si="139"/>
        <v>69.783776700000018</v>
      </c>
      <c r="M1904" s="368" t="s">
        <v>6169</v>
      </c>
      <c r="N1904" s="463" t="s">
        <v>3785</v>
      </c>
      <c r="O1904" s="433" t="s">
        <v>3978</v>
      </c>
      <c r="P1904" s="464" t="s">
        <v>3659</v>
      </c>
      <c r="Q1904" s="431">
        <v>0.2</v>
      </c>
      <c r="R1904" s="430">
        <v>1900002848</v>
      </c>
      <c r="S1904" s="466" t="s">
        <v>1377</v>
      </c>
      <c r="T1904" s="2" t="s">
        <v>5915</v>
      </c>
    </row>
    <row r="1905" spans="1:20" x14ac:dyDescent="0.35">
      <c r="A1905" s="494" t="s">
        <v>5489</v>
      </c>
      <c r="B1905" s="433" t="s">
        <v>5490</v>
      </c>
      <c r="C1905" s="467">
        <v>42861</v>
      </c>
      <c r="D1905" s="467">
        <v>42861</v>
      </c>
      <c r="E1905" s="467" t="s">
        <v>2007</v>
      </c>
      <c r="F1905" s="493" t="s">
        <v>5454</v>
      </c>
      <c r="G1905" s="433" t="s">
        <v>5278</v>
      </c>
      <c r="H1905" s="463" t="s">
        <v>5449</v>
      </c>
      <c r="I1905" s="500">
        <f t="shared" ref="I1905:I1934" si="142">68388.53/30</f>
        <v>2279.6176666666665</v>
      </c>
      <c r="J1905" s="500">
        <f t="shared" ref="J1905:J1934" si="143">16138.54/30</f>
        <v>537.95133333333331</v>
      </c>
      <c r="K1905" s="376">
        <f t="shared" si="138"/>
        <v>298.88576079999996</v>
      </c>
      <c r="L1905" s="368">
        <f t="shared" si="139"/>
        <v>59.777152159999993</v>
      </c>
      <c r="M1905" s="368" t="s">
        <v>6169</v>
      </c>
      <c r="N1905" s="463" t="s">
        <v>3785</v>
      </c>
      <c r="O1905" s="433" t="s">
        <v>3978</v>
      </c>
      <c r="P1905" s="464" t="s">
        <v>3659</v>
      </c>
      <c r="Q1905" s="431">
        <v>0.2</v>
      </c>
      <c r="R1905" s="430">
        <v>1900002848</v>
      </c>
      <c r="S1905" s="466" t="s">
        <v>2006</v>
      </c>
      <c r="T1905" s="2" t="s">
        <v>5915</v>
      </c>
    </row>
    <row r="1906" spans="1:20" x14ac:dyDescent="0.35">
      <c r="A1906" s="494" t="s">
        <v>5491</v>
      </c>
      <c r="B1906" s="433" t="s">
        <v>5490</v>
      </c>
      <c r="C1906" s="467">
        <v>42861</v>
      </c>
      <c r="D1906" s="467">
        <v>42861</v>
      </c>
      <c r="E1906" s="467" t="s">
        <v>2015</v>
      </c>
      <c r="F1906" s="493" t="s">
        <v>5454</v>
      </c>
      <c r="G1906" s="433" t="s">
        <v>5278</v>
      </c>
      <c r="H1906" s="463" t="s">
        <v>5449</v>
      </c>
      <c r="I1906" s="500">
        <f t="shared" si="142"/>
        <v>2279.6176666666665</v>
      </c>
      <c r="J1906" s="500">
        <f t="shared" si="143"/>
        <v>537.95133333333331</v>
      </c>
      <c r="K1906" s="376">
        <f t="shared" si="138"/>
        <v>298.88576079999996</v>
      </c>
      <c r="L1906" s="368">
        <f t="shared" si="139"/>
        <v>59.777152159999993</v>
      </c>
      <c r="M1906" s="368" t="s">
        <v>6169</v>
      </c>
      <c r="N1906" s="463" t="s">
        <v>3785</v>
      </c>
      <c r="O1906" s="433" t="s">
        <v>3978</v>
      </c>
      <c r="P1906" s="464" t="s">
        <v>3659</v>
      </c>
      <c r="Q1906" s="431">
        <v>0.2</v>
      </c>
      <c r="R1906" s="430">
        <v>1900002848</v>
      </c>
      <c r="S1906" s="466" t="s">
        <v>2014</v>
      </c>
      <c r="T1906" s="2" t="s">
        <v>5915</v>
      </c>
    </row>
    <row r="1907" spans="1:20" x14ac:dyDescent="0.35">
      <c r="A1907" s="494" t="s">
        <v>5492</v>
      </c>
      <c r="B1907" s="433" t="s">
        <v>5490</v>
      </c>
      <c r="C1907" s="467">
        <v>42861</v>
      </c>
      <c r="D1907" s="467">
        <v>42861</v>
      </c>
      <c r="E1907" s="467" t="s">
        <v>2017</v>
      </c>
      <c r="F1907" s="493" t="s">
        <v>5454</v>
      </c>
      <c r="G1907" s="433" t="s">
        <v>5278</v>
      </c>
      <c r="H1907" s="463" t="s">
        <v>5449</v>
      </c>
      <c r="I1907" s="500">
        <f t="shared" si="142"/>
        <v>2279.6176666666665</v>
      </c>
      <c r="J1907" s="500">
        <f t="shared" si="143"/>
        <v>537.95133333333331</v>
      </c>
      <c r="K1907" s="376">
        <f t="shared" si="138"/>
        <v>298.88576079999996</v>
      </c>
      <c r="L1907" s="368">
        <f t="shared" si="139"/>
        <v>59.777152159999993</v>
      </c>
      <c r="M1907" s="368" t="s">
        <v>6169</v>
      </c>
      <c r="N1907" s="463" t="s">
        <v>3785</v>
      </c>
      <c r="O1907" s="433" t="s">
        <v>3978</v>
      </c>
      <c r="P1907" s="464" t="s">
        <v>3659</v>
      </c>
      <c r="Q1907" s="431">
        <v>0.2</v>
      </c>
      <c r="R1907" s="430">
        <v>1900002848</v>
      </c>
      <c r="S1907" s="466" t="s">
        <v>784</v>
      </c>
      <c r="T1907" s="2" t="s">
        <v>5915</v>
      </c>
    </row>
    <row r="1908" spans="1:20" x14ac:dyDescent="0.35">
      <c r="A1908" s="494" t="s">
        <v>5493</v>
      </c>
      <c r="B1908" s="433" t="s">
        <v>5490</v>
      </c>
      <c r="C1908" s="467">
        <v>42861</v>
      </c>
      <c r="D1908" s="467">
        <v>42861</v>
      </c>
      <c r="E1908" s="467" t="s">
        <v>2019</v>
      </c>
      <c r="F1908" s="493" t="s">
        <v>5454</v>
      </c>
      <c r="G1908" s="433" t="s">
        <v>5278</v>
      </c>
      <c r="H1908" s="463" t="s">
        <v>5449</v>
      </c>
      <c r="I1908" s="500">
        <f t="shared" si="142"/>
        <v>2279.6176666666665</v>
      </c>
      <c r="J1908" s="500">
        <f t="shared" si="143"/>
        <v>537.95133333333331</v>
      </c>
      <c r="K1908" s="376">
        <f t="shared" si="138"/>
        <v>298.88576079999996</v>
      </c>
      <c r="L1908" s="368">
        <f t="shared" si="139"/>
        <v>59.777152159999993</v>
      </c>
      <c r="M1908" s="368" t="s">
        <v>6169</v>
      </c>
      <c r="N1908" s="463" t="s">
        <v>3785</v>
      </c>
      <c r="O1908" s="433" t="s">
        <v>3978</v>
      </c>
      <c r="P1908" s="464" t="s">
        <v>3659</v>
      </c>
      <c r="Q1908" s="431">
        <v>0.2</v>
      </c>
      <c r="R1908" s="430">
        <v>1900002848</v>
      </c>
      <c r="S1908" s="466" t="s">
        <v>2018</v>
      </c>
      <c r="T1908" s="2" t="s">
        <v>5915</v>
      </c>
    </row>
    <row r="1909" spans="1:20" x14ac:dyDescent="0.35">
      <c r="A1909" s="494" t="s">
        <v>5494</v>
      </c>
      <c r="B1909" s="433" t="s">
        <v>5490</v>
      </c>
      <c r="C1909" s="467">
        <v>42861</v>
      </c>
      <c r="D1909" s="467">
        <v>42861</v>
      </c>
      <c r="E1909" s="467" t="s">
        <v>2022</v>
      </c>
      <c r="F1909" s="493" t="s">
        <v>5454</v>
      </c>
      <c r="G1909" s="433" t="s">
        <v>5278</v>
      </c>
      <c r="H1909" s="463" t="s">
        <v>5449</v>
      </c>
      <c r="I1909" s="500">
        <f t="shared" si="142"/>
        <v>2279.6176666666665</v>
      </c>
      <c r="J1909" s="500">
        <f t="shared" si="143"/>
        <v>537.95133333333331</v>
      </c>
      <c r="K1909" s="376">
        <f t="shared" si="138"/>
        <v>298.88576079999996</v>
      </c>
      <c r="L1909" s="368">
        <f t="shared" si="139"/>
        <v>59.777152159999993</v>
      </c>
      <c r="M1909" s="368" t="s">
        <v>6169</v>
      </c>
      <c r="N1909" s="463" t="s">
        <v>3785</v>
      </c>
      <c r="O1909" s="433" t="s">
        <v>3978</v>
      </c>
      <c r="P1909" s="464" t="s">
        <v>3659</v>
      </c>
      <c r="Q1909" s="431">
        <v>0.2</v>
      </c>
      <c r="R1909" s="430">
        <v>1900002848</v>
      </c>
      <c r="S1909" s="466" t="s">
        <v>2021</v>
      </c>
      <c r="T1909" s="2" t="s">
        <v>5915</v>
      </c>
    </row>
    <row r="1910" spans="1:20" x14ac:dyDescent="0.35">
      <c r="A1910" s="494" t="s">
        <v>5495</v>
      </c>
      <c r="B1910" s="433" t="s">
        <v>5490</v>
      </c>
      <c r="C1910" s="467">
        <v>42861</v>
      </c>
      <c r="D1910" s="467">
        <v>42861</v>
      </c>
      <c r="E1910" s="467" t="s">
        <v>2024</v>
      </c>
      <c r="F1910" s="493" t="s">
        <v>5454</v>
      </c>
      <c r="G1910" s="433" t="s">
        <v>5278</v>
      </c>
      <c r="H1910" s="463" t="s">
        <v>5449</v>
      </c>
      <c r="I1910" s="500">
        <f t="shared" si="142"/>
        <v>2279.6176666666665</v>
      </c>
      <c r="J1910" s="500">
        <f t="shared" si="143"/>
        <v>537.95133333333331</v>
      </c>
      <c r="K1910" s="376">
        <f t="shared" si="138"/>
        <v>298.88576079999996</v>
      </c>
      <c r="L1910" s="368">
        <f t="shared" si="139"/>
        <v>59.777152159999993</v>
      </c>
      <c r="M1910" s="368" t="s">
        <v>6169</v>
      </c>
      <c r="N1910" s="463" t="s">
        <v>3785</v>
      </c>
      <c r="O1910" s="433" t="s">
        <v>3978</v>
      </c>
      <c r="P1910" s="464" t="s">
        <v>3659</v>
      </c>
      <c r="Q1910" s="431">
        <v>0.2</v>
      </c>
      <c r="R1910" s="430">
        <v>1900002848</v>
      </c>
      <c r="S1910" s="466" t="s">
        <v>1073</v>
      </c>
      <c r="T1910" s="2" t="s">
        <v>5915</v>
      </c>
    </row>
    <row r="1911" spans="1:20" x14ac:dyDescent="0.35">
      <c r="A1911" s="494" t="s">
        <v>5496</v>
      </c>
      <c r="B1911" s="433" t="s">
        <v>5490</v>
      </c>
      <c r="C1911" s="467">
        <v>42861</v>
      </c>
      <c r="D1911" s="467">
        <v>42861</v>
      </c>
      <c r="E1911" s="467" t="s">
        <v>2027</v>
      </c>
      <c r="F1911" s="493" t="s">
        <v>5454</v>
      </c>
      <c r="G1911" s="433" t="s">
        <v>5278</v>
      </c>
      <c r="H1911" s="463" t="s">
        <v>5449</v>
      </c>
      <c r="I1911" s="500">
        <f t="shared" si="142"/>
        <v>2279.6176666666665</v>
      </c>
      <c r="J1911" s="500">
        <f t="shared" si="143"/>
        <v>537.95133333333331</v>
      </c>
      <c r="K1911" s="376">
        <f t="shared" si="138"/>
        <v>298.88576079999996</v>
      </c>
      <c r="L1911" s="368">
        <f t="shared" si="139"/>
        <v>59.777152159999993</v>
      </c>
      <c r="M1911" s="368" t="s">
        <v>6169</v>
      </c>
      <c r="N1911" s="463" t="s">
        <v>3785</v>
      </c>
      <c r="O1911" s="433" t="s">
        <v>3978</v>
      </c>
      <c r="P1911" s="464" t="s">
        <v>3659</v>
      </c>
      <c r="Q1911" s="431">
        <v>0.2</v>
      </c>
      <c r="R1911" s="430">
        <v>1900002848</v>
      </c>
      <c r="S1911" s="466" t="s">
        <v>383</v>
      </c>
      <c r="T1911" s="2" t="s">
        <v>5915</v>
      </c>
    </row>
    <row r="1912" spans="1:20" x14ac:dyDescent="0.35">
      <c r="A1912" s="494" t="s">
        <v>5497</v>
      </c>
      <c r="B1912" s="433" t="s">
        <v>5490</v>
      </c>
      <c r="C1912" s="467">
        <v>42861</v>
      </c>
      <c r="D1912" s="467">
        <v>42861</v>
      </c>
      <c r="E1912" s="467" t="s">
        <v>2030</v>
      </c>
      <c r="F1912" s="493" t="s">
        <v>5454</v>
      </c>
      <c r="G1912" s="433" t="s">
        <v>5278</v>
      </c>
      <c r="H1912" s="463" t="s">
        <v>5449</v>
      </c>
      <c r="I1912" s="500">
        <f t="shared" si="142"/>
        <v>2279.6176666666665</v>
      </c>
      <c r="J1912" s="500">
        <f t="shared" si="143"/>
        <v>537.95133333333331</v>
      </c>
      <c r="K1912" s="376">
        <f t="shared" si="138"/>
        <v>298.88576079999996</v>
      </c>
      <c r="L1912" s="368">
        <f t="shared" si="139"/>
        <v>59.777152159999993</v>
      </c>
      <c r="M1912" s="368" t="s">
        <v>6169</v>
      </c>
      <c r="N1912" s="463" t="s">
        <v>3785</v>
      </c>
      <c r="O1912" s="433" t="s">
        <v>3978</v>
      </c>
      <c r="P1912" s="464" t="s">
        <v>3659</v>
      </c>
      <c r="Q1912" s="431">
        <v>0.2</v>
      </c>
      <c r="R1912" s="430">
        <v>1900002848</v>
      </c>
      <c r="S1912" s="466" t="s">
        <v>828</v>
      </c>
      <c r="T1912" s="2" t="s">
        <v>5915</v>
      </c>
    </row>
    <row r="1913" spans="1:20" x14ac:dyDescent="0.35">
      <c r="A1913" s="494" t="s">
        <v>5498</v>
      </c>
      <c r="B1913" s="433" t="s">
        <v>5490</v>
      </c>
      <c r="C1913" s="467">
        <v>42861</v>
      </c>
      <c r="D1913" s="467">
        <v>42861</v>
      </c>
      <c r="E1913" s="467" t="s">
        <v>2032</v>
      </c>
      <c r="F1913" s="493" t="s">
        <v>5454</v>
      </c>
      <c r="G1913" s="433" t="s">
        <v>5278</v>
      </c>
      <c r="H1913" s="463" t="s">
        <v>5449</v>
      </c>
      <c r="I1913" s="500">
        <f t="shared" si="142"/>
        <v>2279.6176666666665</v>
      </c>
      <c r="J1913" s="500">
        <f t="shared" si="143"/>
        <v>537.95133333333331</v>
      </c>
      <c r="K1913" s="376">
        <f t="shared" si="138"/>
        <v>298.88576079999996</v>
      </c>
      <c r="L1913" s="368">
        <f t="shared" si="139"/>
        <v>59.777152159999993</v>
      </c>
      <c r="M1913" s="368" t="s">
        <v>6169</v>
      </c>
      <c r="N1913" s="463" t="s">
        <v>3785</v>
      </c>
      <c r="O1913" s="433" t="s">
        <v>3978</v>
      </c>
      <c r="P1913" s="464" t="s">
        <v>3659</v>
      </c>
      <c r="Q1913" s="431">
        <v>0.2</v>
      </c>
      <c r="R1913" s="430">
        <v>1900002848</v>
      </c>
      <c r="S1913" s="466" t="s">
        <v>333</v>
      </c>
      <c r="T1913" s="2" t="s">
        <v>5915</v>
      </c>
    </row>
    <row r="1914" spans="1:20" x14ac:dyDescent="0.35">
      <c r="A1914" s="494" t="s">
        <v>5499</v>
      </c>
      <c r="B1914" s="433" t="s">
        <v>5490</v>
      </c>
      <c r="C1914" s="467">
        <v>42861</v>
      </c>
      <c r="D1914" s="467">
        <v>42861</v>
      </c>
      <c r="E1914" s="467" t="s">
        <v>2034</v>
      </c>
      <c r="F1914" s="493" t="s">
        <v>5454</v>
      </c>
      <c r="G1914" s="433" t="s">
        <v>5278</v>
      </c>
      <c r="H1914" s="463" t="s">
        <v>5449</v>
      </c>
      <c r="I1914" s="500">
        <f t="shared" si="142"/>
        <v>2279.6176666666665</v>
      </c>
      <c r="J1914" s="500">
        <f t="shared" si="143"/>
        <v>537.95133333333331</v>
      </c>
      <c r="K1914" s="376">
        <f t="shared" si="138"/>
        <v>298.88576079999996</v>
      </c>
      <c r="L1914" s="368">
        <f t="shared" si="139"/>
        <v>59.777152159999993</v>
      </c>
      <c r="M1914" s="368" t="s">
        <v>6169</v>
      </c>
      <c r="N1914" s="463" t="s">
        <v>3785</v>
      </c>
      <c r="O1914" s="433" t="s">
        <v>3978</v>
      </c>
      <c r="P1914" s="464" t="s">
        <v>3659</v>
      </c>
      <c r="Q1914" s="431">
        <v>0.2</v>
      </c>
      <c r="R1914" s="430">
        <v>1900002848</v>
      </c>
      <c r="S1914" s="466" t="s">
        <v>791</v>
      </c>
      <c r="T1914" s="2" t="s">
        <v>5915</v>
      </c>
    </row>
    <row r="1915" spans="1:20" x14ac:dyDescent="0.35">
      <c r="A1915" s="494" t="s">
        <v>5500</v>
      </c>
      <c r="B1915" s="433" t="s">
        <v>5490</v>
      </c>
      <c r="C1915" s="467">
        <v>42861</v>
      </c>
      <c r="D1915" s="467">
        <v>42861</v>
      </c>
      <c r="E1915" s="464" t="s">
        <v>2037</v>
      </c>
      <c r="F1915" s="493" t="s">
        <v>5454</v>
      </c>
      <c r="G1915" s="433" t="s">
        <v>5278</v>
      </c>
      <c r="H1915" s="463" t="s">
        <v>5449</v>
      </c>
      <c r="I1915" s="500">
        <f t="shared" si="142"/>
        <v>2279.6176666666665</v>
      </c>
      <c r="J1915" s="500">
        <f t="shared" si="143"/>
        <v>537.95133333333331</v>
      </c>
      <c r="K1915" s="376">
        <f t="shared" ref="K1915:K1977" si="144">+J1915*(0.5556)</f>
        <v>298.88576079999996</v>
      </c>
      <c r="L1915" s="368">
        <f t="shared" ref="L1915:L1977" si="145">+K1915*Q1915</f>
        <v>59.777152159999993</v>
      </c>
      <c r="M1915" s="368" t="s">
        <v>6169</v>
      </c>
      <c r="N1915" s="463" t="s">
        <v>3785</v>
      </c>
      <c r="O1915" s="433" t="s">
        <v>3978</v>
      </c>
      <c r="P1915" s="464" t="s">
        <v>3659</v>
      </c>
      <c r="Q1915" s="431">
        <v>0.2</v>
      </c>
      <c r="R1915" s="430">
        <v>1900002848</v>
      </c>
      <c r="S1915" s="466" t="s">
        <v>2036</v>
      </c>
      <c r="T1915" s="2" t="s">
        <v>5915</v>
      </c>
    </row>
    <row r="1916" spans="1:20" x14ac:dyDescent="0.35">
      <c r="A1916" s="494" t="s">
        <v>5501</v>
      </c>
      <c r="B1916" s="433" t="s">
        <v>5490</v>
      </c>
      <c r="C1916" s="467">
        <v>42861</v>
      </c>
      <c r="D1916" s="467">
        <v>42861</v>
      </c>
      <c r="E1916" s="464" t="s">
        <v>2040</v>
      </c>
      <c r="F1916" s="493" t="s">
        <v>5454</v>
      </c>
      <c r="G1916" s="433" t="s">
        <v>5278</v>
      </c>
      <c r="H1916" s="463" t="s">
        <v>5449</v>
      </c>
      <c r="I1916" s="500">
        <f t="shared" si="142"/>
        <v>2279.6176666666665</v>
      </c>
      <c r="J1916" s="500">
        <f t="shared" si="143"/>
        <v>537.95133333333331</v>
      </c>
      <c r="K1916" s="376">
        <f t="shared" si="144"/>
        <v>298.88576079999996</v>
      </c>
      <c r="L1916" s="368">
        <f t="shared" si="145"/>
        <v>59.777152159999993</v>
      </c>
      <c r="M1916" s="368" t="s">
        <v>6169</v>
      </c>
      <c r="N1916" s="463" t="s">
        <v>3785</v>
      </c>
      <c r="O1916" s="433" t="s">
        <v>3978</v>
      </c>
      <c r="P1916" s="464" t="s">
        <v>3659</v>
      </c>
      <c r="Q1916" s="431">
        <v>0.2</v>
      </c>
      <c r="R1916" s="430">
        <v>1900002848</v>
      </c>
      <c r="S1916" s="466" t="s">
        <v>2039</v>
      </c>
      <c r="T1916" s="2" t="s">
        <v>5915</v>
      </c>
    </row>
    <row r="1917" spans="1:20" x14ac:dyDescent="0.35">
      <c r="A1917" s="494" t="s">
        <v>5502</v>
      </c>
      <c r="B1917" s="433" t="s">
        <v>5490</v>
      </c>
      <c r="C1917" s="467">
        <v>42861</v>
      </c>
      <c r="D1917" s="467">
        <v>42861</v>
      </c>
      <c r="E1917" s="467" t="s">
        <v>2042</v>
      </c>
      <c r="F1917" s="493" t="s">
        <v>5454</v>
      </c>
      <c r="G1917" s="433" t="s">
        <v>5278</v>
      </c>
      <c r="H1917" s="463" t="s">
        <v>5449</v>
      </c>
      <c r="I1917" s="500">
        <f t="shared" si="142"/>
        <v>2279.6176666666665</v>
      </c>
      <c r="J1917" s="500">
        <f t="shared" si="143"/>
        <v>537.95133333333331</v>
      </c>
      <c r="K1917" s="376">
        <f t="shared" si="144"/>
        <v>298.88576079999996</v>
      </c>
      <c r="L1917" s="368">
        <f t="shared" si="145"/>
        <v>59.777152159999993</v>
      </c>
      <c r="M1917" s="368" t="s">
        <v>6169</v>
      </c>
      <c r="N1917" s="463" t="s">
        <v>3785</v>
      </c>
      <c r="O1917" s="433" t="s">
        <v>3978</v>
      </c>
      <c r="P1917" s="464" t="s">
        <v>3659</v>
      </c>
      <c r="Q1917" s="431">
        <v>0.2</v>
      </c>
      <c r="R1917" s="430">
        <v>1900002848</v>
      </c>
      <c r="S1917" s="466" t="s">
        <v>852</v>
      </c>
      <c r="T1917" s="2" t="s">
        <v>5915</v>
      </c>
    </row>
    <row r="1918" spans="1:20" x14ac:dyDescent="0.35">
      <c r="A1918" s="494" t="s">
        <v>5503</v>
      </c>
      <c r="B1918" s="433" t="s">
        <v>5490</v>
      </c>
      <c r="C1918" s="467">
        <v>42861</v>
      </c>
      <c r="D1918" s="467">
        <v>42861</v>
      </c>
      <c r="E1918" s="467" t="s">
        <v>2044</v>
      </c>
      <c r="F1918" s="493" t="s">
        <v>5454</v>
      </c>
      <c r="G1918" s="433" t="s">
        <v>5278</v>
      </c>
      <c r="H1918" s="463" t="s">
        <v>5449</v>
      </c>
      <c r="I1918" s="500">
        <f t="shared" si="142"/>
        <v>2279.6176666666665</v>
      </c>
      <c r="J1918" s="500">
        <f t="shared" si="143"/>
        <v>537.95133333333331</v>
      </c>
      <c r="K1918" s="376">
        <f t="shared" si="144"/>
        <v>298.88576079999996</v>
      </c>
      <c r="L1918" s="368">
        <f t="shared" si="145"/>
        <v>59.777152159999993</v>
      </c>
      <c r="M1918" s="368" t="s">
        <v>6169</v>
      </c>
      <c r="N1918" s="463" t="s">
        <v>3785</v>
      </c>
      <c r="O1918" s="433" t="s">
        <v>3978</v>
      </c>
      <c r="P1918" s="464" t="s">
        <v>3659</v>
      </c>
      <c r="Q1918" s="431">
        <v>0.2</v>
      </c>
      <c r="R1918" s="430">
        <v>1900002848</v>
      </c>
      <c r="S1918" s="466" t="s">
        <v>847</v>
      </c>
      <c r="T1918" s="2" t="s">
        <v>5915</v>
      </c>
    </row>
    <row r="1919" spans="1:20" x14ac:dyDescent="0.35">
      <c r="A1919" s="494" t="s">
        <v>5504</v>
      </c>
      <c r="B1919" s="433" t="s">
        <v>5490</v>
      </c>
      <c r="C1919" s="467">
        <v>42861</v>
      </c>
      <c r="D1919" s="467">
        <v>42861</v>
      </c>
      <c r="E1919" s="467" t="s">
        <v>2047</v>
      </c>
      <c r="F1919" s="493" t="s">
        <v>5454</v>
      </c>
      <c r="G1919" s="433" t="s">
        <v>5278</v>
      </c>
      <c r="H1919" s="463" t="s">
        <v>5449</v>
      </c>
      <c r="I1919" s="500">
        <f t="shared" si="142"/>
        <v>2279.6176666666665</v>
      </c>
      <c r="J1919" s="500">
        <f t="shared" si="143"/>
        <v>537.95133333333331</v>
      </c>
      <c r="K1919" s="376">
        <f t="shared" si="144"/>
        <v>298.88576079999996</v>
      </c>
      <c r="L1919" s="368">
        <f t="shared" si="145"/>
        <v>59.777152159999993</v>
      </c>
      <c r="M1919" s="368" t="s">
        <v>6169</v>
      </c>
      <c r="N1919" s="463" t="s">
        <v>3785</v>
      </c>
      <c r="O1919" s="433" t="s">
        <v>3978</v>
      </c>
      <c r="P1919" s="464" t="s">
        <v>3659</v>
      </c>
      <c r="Q1919" s="431">
        <v>0.2</v>
      </c>
      <c r="R1919" s="430">
        <v>1900002848</v>
      </c>
      <c r="S1919" s="466" t="s">
        <v>2046</v>
      </c>
      <c r="T1919" s="2" t="s">
        <v>5915</v>
      </c>
    </row>
    <row r="1920" spans="1:20" x14ac:dyDescent="0.35">
      <c r="A1920" s="494" t="s">
        <v>5505</v>
      </c>
      <c r="B1920" s="433" t="s">
        <v>5490</v>
      </c>
      <c r="C1920" s="467">
        <v>42861</v>
      </c>
      <c r="D1920" s="467">
        <v>42861</v>
      </c>
      <c r="E1920" s="467" t="s">
        <v>2050</v>
      </c>
      <c r="F1920" s="493" t="s">
        <v>5454</v>
      </c>
      <c r="G1920" s="433" t="s">
        <v>5278</v>
      </c>
      <c r="H1920" s="463" t="s">
        <v>5449</v>
      </c>
      <c r="I1920" s="500">
        <f t="shared" si="142"/>
        <v>2279.6176666666665</v>
      </c>
      <c r="J1920" s="500">
        <f t="shared" si="143"/>
        <v>537.95133333333331</v>
      </c>
      <c r="K1920" s="376">
        <f t="shared" si="144"/>
        <v>298.88576079999996</v>
      </c>
      <c r="L1920" s="368">
        <f t="shared" si="145"/>
        <v>59.777152159999993</v>
      </c>
      <c r="M1920" s="368" t="s">
        <v>6169</v>
      </c>
      <c r="N1920" s="463" t="s">
        <v>3785</v>
      </c>
      <c r="O1920" s="433" t="s">
        <v>3978</v>
      </c>
      <c r="P1920" s="464" t="s">
        <v>3659</v>
      </c>
      <c r="Q1920" s="431">
        <v>0.2</v>
      </c>
      <c r="R1920" s="430">
        <v>1900002848</v>
      </c>
      <c r="S1920" s="466" t="s">
        <v>2049</v>
      </c>
      <c r="T1920" s="2" t="s">
        <v>5915</v>
      </c>
    </row>
    <row r="1921" spans="1:21" x14ac:dyDescent="0.35">
      <c r="A1921" s="494" t="s">
        <v>5506</v>
      </c>
      <c r="B1921" s="433" t="s">
        <v>5490</v>
      </c>
      <c r="C1921" s="467">
        <v>42861</v>
      </c>
      <c r="D1921" s="467">
        <v>42861</v>
      </c>
      <c r="E1921" s="467" t="s">
        <v>2052</v>
      </c>
      <c r="F1921" s="493" t="s">
        <v>5454</v>
      </c>
      <c r="G1921" s="433" t="s">
        <v>5278</v>
      </c>
      <c r="H1921" s="463" t="s">
        <v>5449</v>
      </c>
      <c r="I1921" s="500">
        <f t="shared" si="142"/>
        <v>2279.6176666666665</v>
      </c>
      <c r="J1921" s="500">
        <f t="shared" si="143"/>
        <v>537.95133333333331</v>
      </c>
      <c r="K1921" s="376">
        <f t="shared" si="144"/>
        <v>298.88576079999996</v>
      </c>
      <c r="L1921" s="368">
        <f t="shared" si="145"/>
        <v>59.777152159999993</v>
      </c>
      <c r="M1921" s="368" t="s">
        <v>6169</v>
      </c>
      <c r="N1921" s="463" t="s">
        <v>3785</v>
      </c>
      <c r="O1921" s="433" t="s">
        <v>3978</v>
      </c>
      <c r="P1921" s="464" t="s">
        <v>3659</v>
      </c>
      <c r="Q1921" s="431">
        <v>0.2</v>
      </c>
      <c r="R1921" s="430">
        <v>1900002848</v>
      </c>
      <c r="S1921" s="466" t="s">
        <v>725</v>
      </c>
      <c r="T1921" s="2" t="s">
        <v>5915</v>
      </c>
    </row>
    <row r="1922" spans="1:21" x14ac:dyDescent="0.35">
      <c r="A1922" s="494" t="s">
        <v>5507</v>
      </c>
      <c r="B1922" s="433" t="s">
        <v>5490</v>
      </c>
      <c r="C1922" s="467">
        <v>42861</v>
      </c>
      <c r="D1922" s="467">
        <v>42861</v>
      </c>
      <c r="E1922" s="467" t="s">
        <v>2054</v>
      </c>
      <c r="F1922" s="493" t="s">
        <v>5454</v>
      </c>
      <c r="G1922" s="433" t="s">
        <v>5278</v>
      </c>
      <c r="H1922" s="463" t="s">
        <v>5449</v>
      </c>
      <c r="I1922" s="500">
        <f t="shared" si="142"/>
        <v>2279.6176666666665</v>
      </c>
      <c r="J1922" s="500">
        <f t="shared" si="143"/>
        <v>537.95133333333331</v>
      </c>
      <c r="K1922" s="376">
        <f t="shared" si="144"/>
        <v>298.88576079999996</v>
      </c>
      <c r="L1922" s="368">
        <f t="shared" si="145"/>
        <v>59.777152159999993</v>
      </c>
      <c r="M1922" s="368" t="s">
        <v>6169</v>
      </c>
      <c r="N1922" s="463" t="s">
        <v>3785</v>
      </c>
      <c r="O1922" s="433" t="s">
        <v>3978</v>
      </c>
      <c r="P1922" s="464" t="s">
        <v>3659</v>
      </c>
      <c r="Q1922" s="431">
        <v>0.2</v>
      </c>
      <c r="R1922" s="430">
        <v>1900002848</v>
      </c>
      <c r="S1922" s="466" t="s">
        <v>670</v>
      </c>
      <c r="T1922" s="2" t="s">
        <v>5915</v>
      </c>
    </row>
    <row r="1923" spans="1:21" x14ac:dyDescent="0.35">
      <c r="A1923" s="494" t="s">
        <v>5508</v>
      </c>
      <c r="B1923" s="433" t="s">
        <v>5490</v>
      </c>
      <c r="C1923" s="467">
        <v>42861</v>
      </c>
      <c r="D1923" s="467">
        <v>42861</v>
      </c>
      <c r="E1923" s="467" t="s">
        <v>2057</v>
      </c>
      <c r="F1923" s="493" t="s">
        <v>5454</v>
      </c>
      <c r="G1923" s="433" t="s">
        <v>5278</v>
      </c>
      <c r="H1923" s="463" t="s">
        <v>5449</v>
      </c>
      <c r="I1923" s="500">
        <f t="shared" si="142"/>
        <v>2279.6176666666665</v>
      </c>
      <c r="J1923" s="500">
        <f t="shared" si="143"/>
        <v>537.95133333333331</v>
      </c>
      <c r="K1923" s="376">
        <f t="shared" si="144"/>
        <v>298.88576079999996</v>
      </c>
      <c r="L1923" s="368">
        <f t="shared" si="145"/>
        <v>59.777152159999993</v>
      </c>
      <c r="M1923" s="368" t="s">
        <v>6169</v>
      </c>
      <c r="N1923" s="463" t="s">
        <v>3785</v>
      </c>
      <c r="O1923" s="433" t="s">
        <v>3978</v>
      </c>
      <c r="P1923" s="464" t="s">
        <v>3659</v>
      </c>
      <c r="Q1923" s="431">
        <v>0.2</v>
      </c>
      <c r="R1923" s="430">
        <v>1900002848</v>
      </c>
      <c r="S1923" s="466" t="s">
        <v>2056</v>
      </c>
      <c r="T1923" s="2" t="s">
        <v>5915</v>
      </c>
    </row>
    <row r="1924" spans="1:21" x14ac:dyDescent="0.35">
      <c r="A1924" s="494" t="s">
        <v>5509</v>
      </c>
      <c r="B1924" s="433" t="s">
        <v>5490</v>
      </c>
      <c r="C1924" s="467">
        <v>42861</v>
      </c>
      <c r="D1924" s="467">
        <v>42861</v>
      </c>
      <c r="E1924" s="467" t="s">
        <v>2060</v>
      </c>
      <c r="F1924" s="493" t="s">
        <v>5454</v>
      </c>
      <c r="G1924" s="433" t="s">
        <v>5278</v>
      </c>
      <c r="H1924" s="463" t="s">
        <v>5449</v>
      </c>
      <c r="I1924" s="500">
        <f t="shared" si="142"/>
        <v>2279.6176666666665</v>
      </c>
      <c r="J1924" s="500">
        <f t="shared" si="143"/>
        <v>537.95133333333331</v>
      </c>
      <c r="K1924" s="376">
        <f t="shared" si="144"/>
        <v>298.88576079999996</v>
      </c>
      <c r="L1924" s="368">
        <f t="shared" si="145"/>
        <v>59.777152159999993</v>
      </c>
      <c r="M1924" s="368" t="s">
        <v>6169</v>
      </c>
      <c r="N1924" s="463" t="s">
        <v>3785</v>
      </c>
      <c r="O1924" s="433" t="s">
        <v>3978</v>
      </c>
      <c r="P1924" s="464" t="s">
        <v>3659</v>
      </c>
      <c r="Q1924" s="431">
        <v>0.2</v>
      </c>
      <c r="R1924" s="430">
        <v>1900002848</v>
      </c>
      <c r="S1924" s="466" t="s">
        <v>2059</v>
      </c>
      <c r="T1924" s="2" t="s">
        <v>5915</v>
      </c>
    </row>
    <row r="1925" spans="1:21" x14ac:dyDescent="0.35">
      <c r="A1925" s="494" t="s">
        <v>5510</v>
      </c>
      <c r="B1925" s="433" t="s">
        <v>5490</v>
      </c>
      <c r="C1925" s="467">
        <v>42861</v>
      </c>
      <c r="D1925" s="467">
        <v>42861</v>
      </c>
      <c r="E1925" s="464" t="s">
        <v>2063</v>
      </c>
      <c r="F1925" s="493" t="s">
        <v>5454</v>
      </c>
      <c r="G1925" s="433" t="s">
        <v>5278</v>
      </c>
      <c r="H1925" s="463" t="s">
        <v>5449</v>
      </c>
      <c r="I1925" s="500">
        <f t="shared" si="142"/>
        <v>2279.6176666666665</v>
      </c>
      <c r="J1925" s="500">
        <f t="shared" si="143"/>
        <v>537.95133333333331</v>
      </c>
      <c r="K1925" s="376">
        <f t="shared" si="144"/>
        <v>298.88576079999996</v>
      </c>
      <c r="L1925" s="368">
        <f t="shared" si="145"/>
        <v>59.777152159999993</v>
      </c>
      <c r="M1925" s="368" t="s">
        <v>6169</v>
      </c>
      <c r="N1925" s="463" t="s">
        <v>3785</v>
      </c>
      <c r="O1925" s="433" t="s">
        <v>3978</v>
      </c>
      <c r="P1925" s="464" t="s">
        <v>3659</v>
      </c>
      <c r="Q1925" s="431">
        <v>0.2</v>
      </c>
      <c r="R1925" s="430">
        <v>1900002848</v>
      </c>
      <c r="S1925" s="466" t="s">
        <v>2062</v>
      </c>
      <c r="T1925" s="2" t="s">
        <v>5915</v>
      </c>
    </row>
    <row r="1926" spans="1:21" x14ac:dyDescent="0.35">
      <c r="A1926" s="494" t="s">
        <v>5511</v>
      </c>
      <c r="B1926" s="433" t="s">
        <v>5490</v>
      </c>
      <c r="C1926" s="467">
        <v>42861</v>
      </c>
      <c r="D1926" s="467">
        <v>42861</v>
      </c>
      <c r="E1926" s="464" t="s">
        <v>2065</v>
      </c>
      <c r="F1926" s="493" t="s">
        <v>5454</v>
      </c>
      <c r="G1926" s="433" t="s">
        <v>5278</v>
      </c>
      <c r="H1926" s="463" t="s">
        <v>5449</v>
      </c>
      <c r="I1926" s="500">
        <f t="shared" si="142"/>
        <v>2279.6176666666665</v>
      </c>
      <c r="J1926" s="500">
        <f t="shared" si="143"/>
        <v>537.95133333333331</v>
      </c>
      <c r="K1926" s="376">
        <f t="shared" si="144"/>
        <v>298.88576079999996</v>
      </c>
      <c r="L1926" s="368">
        <f t="shared" si="145"/>
        <v>59.777152159999993</v>
      </c>
      <c r="M1926" s="368" t="s">
        <v>6169</v>
      </c>
      <c r="N1926" s="463" t="s">
        <v>3785</v>
      </c>
      <c r="O1926" s="433" t="s">
        <v>3978</v>
      </c>
      <c r="P1926" s="464" t="s">
        <v>3659</v>
      </c>
      <c r="Q1926" s="431">
        <v>0.2</v>
      </c>
      <c r="R1926" s="430">
        <v>1900002848</v>
      </c>
      <c r="S1926" s="466" t="s">
        <v>886</v>
      </c>
      <c r="T1926" s="2" t="s">
        <v>5915</v>
      </c>
    </row>
    <row r="1927" spans="1:21" x14ac:dyDescent="0.35">
      <c r="A1927" s="494" t="s">
        <v>5512</v>
      </c>
      <c r="B1927" s="433" t="s">
        <v>5490</v>
      </c>
      <c r="C1927" s="467">
        <v>42861</v>
      </c>
      <c r="D1927" s="467">
        <v>42861</v>
      </c>
      <c r="E1927" s="467" t="s">
        <v>2067</v>
      </c>
      <c r="F1927" s="493" t="s">
        <v>5454</v>
      </c>
      <c r="G1927" s="433" t="s">
        <v>5278</v>
      </c>
      <c r="H1927" s="463" t="s">
        <v>5449</v>
      </c>
      <c r="I1927" s="500">
        <f t="shared" si="142"/>
        <v>2279.6176666666665</v>
      </c>
      <c r="J1927" s="500">
        <f t="shared" si="143"/>
        <v>537.95133333333331</v>
      </c>
      <c r="K1927" s="376">
        <f t="shared" si="144"/>
        <v>298.88576079999996</v>
      </c>
      <c r="L1927" s="368">
        <f t="shared" si="145"/>
        <v>59.777152159999993</v>
      </c>
      <c r="M1927" s="368" t="s">
        <v>6169</v>
      </c>
      <c r="N1927" s="463" t="s">
        <v>3785</v>
      </c>
      <c r="O1927" s="433" t="s">
        <v>3978</v>
      </c>
      <c r="P1927" s="464" t="s">
        <v>3659</v>
      </c>
      <c r="Q1927" s="431">
        <v>0.2</v>
      </c>
      <c r="R1927" s="430">
        <v>1900002848</v>
      </c>
      <c r="S1927" s="466" t="s">
        <v>583</v>
      </c>
      <c r="T1927" s="2" t="s">
        <v>5915</v>
      </c>
    </row>
    <row r="1928" spans="1:21" x14ac:dyDescent="0.35">
      <c r="A1928" s="494" t="s">
        <v>5513</v>
      </c>
      <c r="B1928" s="433" t="s">
        <v>5490</v>
      </c>
      <c r="C1928" s="467">
        <v>42861</v>
      </c>
      <c r="D1928" s="467">
        <v>42861</v>
      </c>
      <c r="E1928" s="467" t="s">
        <v>2069</v>
      </c>
      <c r="F1928" s="493" t="s">
        <v>5454</v>
      </c>
      <c r="G1928" s="433" t="s">
        <v>5278</v>
      </c>
      <c r="H1928" s="463" t="s">
        <v>5449</v>
      </c>
      <c r="I1928" s="500">
        <f t="shared" si="142"/>
        <v>2279.6176666666665</v>
      </c>
      <c r="J1928" s="500">
        <f t="shared" si="143"/>
        <v>537.95133333333331</v>
      </c>
      <c r="K1928" s="376">
        <f t="shared" si="144"/>
        <v>298.88576079999996</v>
      </c>
      <c r="L1928" s="368">
        <f t="shared" si="145"/>
        <v>59.777152159999993</v>
      </c>
      <c r="M1928" s="368" t="s">
        <v>6169</v>
      </c>
      <c r="N1928" s="463" t="s">
        <v>3785</v>
      </c>
      <c r="O1928" s="433" t="s">
        <v>3978</v>
      </c>
      <c r="P1928" s="464" t="s">
        <v>3659</v>
      </c>
      <c r="Q1928" s="431">
        <v>0.2</v>
      </c>
      <c r="R1928" s="430">
        <v>1900002848</v>
      </c>
      <c r="S1928" s="466" t="s">
        <v>577</v>
      </c>
      <c r="T1928" s="2" t="s">
        <v>5915</v>
      </c>
    </row>
    <row r="1929" spans="1:21" x14ac:dyDescent="0.35">
      <c r="A1929" s="494" t="s">
        <v>5514</v>
      </c>
      <c r="B1929" s="433" t="s">
        <v>5490</v>
      </c>
      <c r="C1929" s="467">
        <v>42861</v>
      </c>
      <c r="D1929" s="467">
        <v>42861</v>
      </c>
      <c r="E1929" s="467" t="s">
        <v>2072</v>
      </c>
      <c r="F1929" s="493" t="s">
        <v>5454</v>
      </c>
      <c r="G1929" s="433" t="s">
        <v>5278</v>
      </c>
      <c r="H1929" s="463" t="s">
        <v>5449</v>
      </c>
      <c r="I1929" s="500">
        <f t="shared" si="142"/>
        <v>2279.6176666666665</v>
      </c>
      <c r="J1929" s="500">
        <f t="shared" si="143"/>
        <v>537.95133333333331</v>
      </c>
      <c r="K1929" s="376">
        <f t="shared" si="144"/>
        <v>298.88576079999996</v>
      </c>
      <c r="L1929" s="368">
        <f t="shared" si="145"/>
        <v>59.777152159999993</v>
      </c>
      <c r="M1929" s="368" t="s">
        <v>6169</v>
      </c>
      <c r="N1929" s="463" t="s">
        <v>3785</v>
      </c>
      <c r="O1929" s="433" t="s">
        <v>3978</v>
      </c>
      <c r="P1929" s="464" t="s">
        <v>3659</v>
      </c>
      <c r="Q1929" s="431">
        <v>0.2</v>
      </c>
      <c r="R1929" s="430">
        <v>1900002848</v>
      </c>
      <c r="S1929" s="466" t="s">
        <v>2071</v>
      </c>
      <c r="T1929" s="2" t="s">
        <v>5915</v>
      </c>
    </row>
    <row r="1930" spans="1:21" x14ac:dyDescent="0.35">
      <c r="A1930" s="494" t="s">
        <v>5515</v>
      </c>
      <c r="B1930" s="433" t="s">
        <v>5490</v>
      </c>
      <c r="C1930" s="467">
        <v>42861</v>
      </c>
      <c r="D1930" s="467">
        <v>42861</v>
      </c>
      <c r="E1930" s="467" t="s">
        <v>2075</v>
      </c>
      <c r="F1930" s="493" t="s">
        <v>5454</v>
      </c>
      <c r="G1930" s="433" t="s">
        <v>5278</v>
      </c>
      <c r="H1930" s="463" t="s">
        <v>5449</v>
      </c>
      <c r="I1930" s="500">
        <f t="shared" si="142"/>
        <v>2279.6176666666665</v>
      </c>
      <c r="J1930" s="500">
        <f t="shared" si="143"/>
        <v>537.95133333333331</v>
      </c>
      <c r="K1930" s="376">
        <f t="shared" si="144"/>
        <v>298.88576079999996</v>
      </c>
      <c r="L1930" s="368">
        <f t="shared" si="145"/>
        <v>59.777152159999993</v>
      </c>
      <c r="M1930" s="368" t="s">
        <v>6169</v>
      </c>
      <c r="N1930" s="463" t="s">
        <v>3785</v>
      </c>
      <c r="O1930" s="433" t="s">
        <v>3978</v>
      </c>
      <c r="P1930" s="464" t="s">
        <v>3659</v>
      </c>
      <c r="Q1930" s="431">
        <v>0.2</v>
      </c>
      <c r="R1930" s="430">
        <v>1900002848</v>
      </c>
      <c r="S1930" s="466" t="s">
        <v>2074</v>
      </c>
      <c r="T1930" s="2" t="s">
        <v>5915</v>
      </c>
    </row>
    <row r="1931" spans="1:21" x14ac:dyDescent="0.35">
      <c r="A1931" s="494" t="s">
        <v>3998</v>
      </c>
      <c r="B1931" s="433" t="s">
        <v>5490</v>
      </c>
      <c r="C1931" s="467">
        <v>42861</v>
      </c>
      <c r="D1931" s="467">
        <v>42861</v>
      </c>
      <c r="E1931" s="467" t="s">
        <v>2077</v>
      </c>
      <c r="F1931" s="493" t="s">
        <v>5454</v>
      </c>
      <c r="G1931" s="433" t="s">
        <v>5278</v>
      </c>
      <c r="H1931" s="463" t="s">
        <v>5449</v>
      </c>
      <c r="I1931" s="500">
        <f t="shared" si="142"/>
        <v>2279.6176666666665</v>
      </c>
      <c r="J1931" s="500">
        <f t="shared" si="143"/>
        <v>537.95133333333331</v>
      </c>
      <c r="K1931" s="376">
        <f t="shared" si="144"/>
        <v>298.88576079999996</v>
      </c>
      <c r="L1931" s="368">
        <f t="shared" si="145"/>
        <v>59.777152159999993</v>
      </c>
      <c r="M1931" s="368" t="s">
        <v>6169</v>
      </c>
      <c r="N1931" s="463" t="s">
        <v>3785</v>
      </c>
      <c r="O1931" s="433" t="s">
        <v>3978</v>
      </c>
      <c r="P1931" s="464" t="s">
        <v>3659</v>
      </c>
      <c r="Q1931" s="431">
        <v>0.2</v>
      </c>
      <c r="R1931" s="430">
        <v>1900002848</v>
      </c>
      <c r="S1931" s="466" t="s">
        <v>586</v>
      </c>
      <c r="T1931" s="2" t="s">
        <v>5915</v>
      </c>
    </row>
    <row r="1932" spans="1:21" x14ac:dyDescent="0.35">
      <c r="A1932" s="494" t="s">
        <v>4000</v>
      </c>
      <c r="B1932" s="433" t="s">
        <v>5490</v>
      </c>
      <c r="C1932" s="467">
        <v>42861</v>
      </c>
      <c r="D1932" s="467">
        <v>42861</v>
      </c>
      <c r="E1932" s="467" t="s">
        <v>2080</v>
      </c>
      <c r="F1932" s="493" t="s">
        <v>5454</v>
      </c>
      <c r="G1932" s="433" t="s">
        <v>5278</v>
      </c>
      <c r="H1932" s="463" t="s">
        <v>5449</v>
      </c>
      <c r="I1932" s="500">
        <f t="shared" si="142"/>
        <v>2279.6176666666665</v>
      </c>
      <c r="J1932" s="500">
        <f t="shared" si="143"/>
        <v>537.95133333333331</v>
      </c>
      <c r="K1932" s="376">
        <f t="shared" si="144"/>
        <v>298.88576079999996</v>
      </c>
      <c r="L1932" s="368">
        <f t="shared" si="145"/>
        <v>59.777152159999993</v>
      </c>
      <c r="M1932" s="368" t="s">
        <v>6169</v>
      </c>
      <c r="N1932" s="463" t="s">
        <v>3785</v>
      </c>
      <c r="O1932" s="433" t="s">
        <v>3978</v>
      </c>
      <c r="P1932" s="464" t="s">
        <v>3659</v>
      </c>
      <c r="Q1932" s="431">
        <v>0.2</v>
      </c>
      <c r="R1932" s="430">
        <v>1900002848</v>
      </c>
      <c r="S1932" s="466" t="s">
        <v>2079</v>
      </c>
      <c r="T1932" s="2" t="s">
        <v>5915</v>
      </c>
    </row>
    <row r="1933" spans="1:21" x14ac:dyDescent="0.35">
      <c r="A1933" s="494" t="s">
        <v>4002</v>
      </c>
      <c r="B1933" s="433" t="s">
        <v>5490</v>
      </c>
      <c r="C1933" s="467">
        <v>42861</v>
      </c>
      <c r="D1933" s="467">
        <v>42861</v>
      </c>
      <c r="E1933" s="467" t="s">
        <v>2083</v>
      </c>
      <c r="F1933" s="493" t="s">
        <v>5454</v>
      </c>
      <c r="G1933" s="433" t="s">
        <v>5278</v>
      </c>
      <c r="H1933" s="463" t="s">
        <v>5449</v>
      </c>
      <c r="I1933" s="500">
        <f t="shared" si="142"/>
        <v>2279.6176666666665</v>
      </c>
      <c r="J1933" s="500">
        <f t="shared" si="143"/>
        <v>537.95133333333331</v>
      </c>
      <c r="K1933" s="376">
        <f t="shared" si="144"/>
        <v>298.88576079999996</v>
      </c>
      <c r="L1933" s="368">
        <f t="shared" si="145"/>
        <v>59.777152159999993</v>
      </c>
      <c r="M1933" s="368" t="s">
        <v>6169</v>
      </c>
      <c r="N1933" s="463" t="s">
        <v>3785</v>
      </c>
      <c r="O1933" s="433" t="s">
        <v>3978</v>
      </c>
      <c r="P1933" s="464" t="s">
        <v>3659</v>
      </c>
      <c r="Q1933" s="431">
        <v>0.2</v>
      </c>
      <c r="R1933" s="430">
        <v>1900002848</v>
      </c>
      <c r="S1933" s="466" t="s">
        <v>2082</v>
      </c>
      <c r="T1933" s="2" t="s">
        <v>5915</v>
      </c>
    </row>
    <row r="1934" spans="1:21" x14ac:dyDescent="0.35">
      <c r="A1934" s="494" t="s">
        <v>4003</v>
      </c>
      <c r="B1934" s="433" t="s">
        <v>5490</v>
      </c>
      <c r="C1934" s="467">
        <v>42861</v>
      </c>
      <c r="D1934" s="467">
        <v>42861</v>
      </c>
      <c r="E1934" s="467" t="s">
        <v>2085</v>
      </c>
      <c r="F1934" s="493" t="s">
        <v>5454</v>
      </c>
      <c r="G1934" s="433" t="s">
        <v>5278</v>
      </c>
      <c r="H1934" s="463" t="s">
        <v>5449</v>
      </c>
      <c r="I1934" s="500">
        <f t="shared" si="142"/>
        <v>2279.6176666666665</v>
      </c>
      <c r="J1934" s="500">
        <f t="shared" si="143"/>
        <v>537.95133333333331</v>
      </c>
      <c r="K1934" s="376">
        <f t="shared" si="144"/>
        <v>298.88576079999996</v>
      </c>
      <c r="L1934" s="368">
        <f t="shared" si="145"/>
        <v>59.777152159999993</v>
      </c>
      <c r="M1934" s="368" t="s">
        <v>6169</v>
      </c>
      <c r="N1934" s="463" t="s">
        <v>3785</v>
      </c>
      <c r="O1934" s="433" t="s">
        <v>3978</v>
      </c>
      <c r="P1934" s="464" t="s">
        <v>3659</v>
      </c>
      <c r="Q1934" s="431">
        <v>0.2</v>
      </c>
      <c r="R1934" s="430">
        <v>1900002848</v>
      </c>
      <c r="S1934" s="466" t="s">
        <v>892</v>
      </c>
      <c r="T1934" s="2" t="s">
        <v>5915</v>
      </c>
    </row>
    <row r="1935" spans="1:21" hidden="1" x14ac:dyDescent="0.35">
      <c r="A1935" s="494" t="s">
        <v>4004</v>
      </c>
      <c r="B1935" s="540" t="s">
        <v>5516</v>
      </c>
      <c r="C1935" s="467" t="s">
        <v>4016</v>
      </c>
      <c r="D1935" s="467" t="s">
        <v>4016</v>
      </c>
      <c r="E1935" s="467"/>
      <c r="F1935" s="493" t="s">
        <v>4017</v>
      </c>
      <c r="G1935" s="493" t="s">
        <v>5517</v>
      </c>
      <c r="H1935" s="463" t="s">
        <v>5449</v>
      </c>
      <c r="I1935" s="484">
        <f>4956.01/3</f>
        <v>1652.0033333333333</v>
      </c>
      <c r="J1935" s="484">
        <f>1169.54/3</f>
        <v>389.84666666666664</v>
      </c>
      <c r="K1935" s="376">
        <f t="shared" si="144"/>
        <v>216.59880799999996</v>
      </c>
      <c r="L1935" s="368">
        <f t="shared" si="145"/>
        <v>43.319761599999993</v>
      </c>
      <c r="M1935" s="368" t="s">
        <v>6169</v>
      </c>
      <c r="N1935" s="463" t="s">
        <v>3785</v>
      </c>
      <c r="O1935" s="463" t="s">
        <v>3986</v>
      </c>
      <c r="P1935" s="464" t="s">
        <v>3659</v>
      </c>
      <c r="Q1935" s="431">
        <v>0.2</v>
      </c>
      <c r="R1935" s="430">
        <v>1900003314</v>
      </c>
      <c r="S1935" s="466" t="s">
        <v>3475</v>
      </c>
      <c r="T1935" s="2" t="s">
        <v>5914</v>
      </c>
      <c r="U1935" s="466" t="s">
        <v>3475</v>
      </c>
    </row>
    <row r="1936" spans="1:21" hidden="1" x14ac:dyDescent="0.35">
      <c r="A1936" s="494" t="s">
        <v>4005</v>
      </c>
      <c r="B1936" s="540" t="s">
        <v>5516</v>
      </c>
      <c r="C1936" s="467" t="s">
        <v>4016</v>
      </c>
      <c r="D1936" s="467" t="s">
        <v>4016</v>
      </c>
      <c r="E1936" s="467"/>
      <c r="F1936" s="493" t="s">
        <v>4017</v>
      </c>
      <c r="G1936" s="493" t="s">
        <v>5517</v>
      </c>
      <c r="H1936" s="463" t="s">
        <v>5449</v>
      </c>
      <c r="I1936" s="484">
        <f>4956.01/3</f>
        <v>1652.0033333333333</v>
      </c>
      <c r="J1936" s="484">
        <f>1169.54/3</f>
        <v>389.84666666666664</v>
      </c>
      <c r="K1936" s="376">
        <f t="shared" si="144"/>
        <v>216.59880799999996</v>
      </c>
      <c r="L1936" s="368">
        <f t="shared" si="145"/>
        <v>43.319761599999993</v>
      </c>
      <c r="M1936" s="368" t="s">
        <v>6169</v>
      </c>
      <c r="N1936" s="463" t="s">
        <v>3785</v>
      </c>
      <c r="O1936" s="463" t="s">
        <v>3986</v>
      </c>
      <c r="P1936" s="464" t="s">
        <v>3659</v>
      </c>
      <c r="Q1936" s="431">
        <v>0.2</v>
      </c>
      <c r="R1936" s="430">
        <v>1900003314</v>
      </c>
      <c r="S1936" s="466" t="s">
        <v>3475</v>
      </c>
      <c r="T1936" s="2" t="s">
        <v>5914</v>
      </c>
      <c r="U1936" s="466" t="s">
        <v>3475</v>
      </c>
    </row>
    <row r="1937" spans="1:21" hidden="1" x14ac:dyDescent="0.35">
      <c r="A1937" s="494" t="s">
        <v>4006</v>
      </c>
      <c r="B1937" s="540" t="s">
        <v>5516</v>
      </c>
      <c r="C1937" s="467" t="s">
        <v>4016</v>
      </c>
      <c r="D1937" s="467" t="s">
        <v>4016</v>
      </c>
      <c r="E1937" s="467"/>
      <c r="F1937" s="493" t="s">
        <v>4017</v>
      </c>
      <c r="G1937" s="493" t="s">
        <v>5517</v>
      </c>
      <c r="H1937" s="463" t="s">
        <v>5449</v>
      </c>
      <c r="I1937" s="484">
        <f>4956.01/3</f>
        <v>1652.0033333333333</v>
      </c>
      <c r="J1937" s="484">
        <f>1169.54/3</f>
        <v>389.84666666666664</v>
      </c>
      <c r="K1937" s="376">
        <f t="shared" si="144"/>
        <v>216.59880799999996</v>
      </c>
      <c r="L1937" s="368">
        <f t="shared" si="145"/>
        <v>43.319761599999993</v>
      </c>
      <c r="M1937" s="368" t="s">
        <v>6169</v>
      </c>
      <c r="N1937" s="463" t="s">
        <v>3785</v>
      </c>
      <c r="O1937" s="463" t="s">
        <v>3986</v>
      </c>
      <c r="P1937" s="464" t="s">
        <v>3659</v>
      </c>
      <c r="Q1937" s="431">
        <v>0.2</v>
      </c>
      <c r="R1937" s="430">
        <v>1900003314</v>
      </c>
      <c r="S1937" s="466" t="s">
        <v>3475</v>
      </c>
      <c r="T1937" s="2" t="s">
        <v>5914</v>
      </c>
      <c r="U1937" s="466" t="s">
        <v>3475</v>
      </c>
    </row>
    <row r="1938" spans="1:21" hidden="1" x14ac:dyDescent="0.35">
      <c r="A1938" s="494" t="s">
        <v>4007</v>
      </c>
      <c r="B1938" s="540" t="s">
        <v>5518</v>
      </c>
      <c r="C1938" s="467" t="s">
        <v>4016</v>
      </c>
      <c r="D1938" s="467" t="s">
        <v>4016</v>
      </c>
      <c r="E1938" s="467"/>
      <c r="F1938" s="493" t="s">
        <v>4017</v>
      </c>
      <c r="G1938" s="493"/>
      <c r="H1938" s="463" t="s">
        <v>5449</v>
      </c>
      <c r="I1938" s="484">
        <f>510.01/5</f>
        <v>102.002</v>
      </c>
      <c r="J1938" s="484">
        <f>120.36/5</f>
        <v>24.071999999999999</v>
      </c>
      <c r="K1938" s="376">
        <f t="shared" si="144"/>
        <v>13.3744032</v>
      </c>
      <c r="L1938" s="368">
        <f t="shared" si="145"/>
        <v>2.67488064</v>
      </c>
      <c r="M1938" s="368" t="s">
        <v>6169</v>
      </c>
      <c r="N1938" s="463" t="s">
        <v>3785</v>
      </c>
      <c r="O1938" s="463" t="s">
        <v>3986</v>
      </c>
      <c r="P1938" s="464" t="s">
        <v>3659</v>
      </c>
      <c r="Q1938" s="431">
        <v>0.2</v>
      </c>
      <c r="R1938" s="430">
        <v>1900003314</v>
      </c>
      <c r="S1938" s="466" t="s">
        <v>3475</v>
      </c>
      <c r="T1938" s="2" t="s">
        <v>5914</v>
      </c>
      <c r="U1938" s="466" t="s">
        <v>3475</v>
      </c>
    </row>
    <row r="1939" spans="1:21" hidden="1" x14ac:dyDescent="0.35">
      <c r="A1939" s="494" t="s">
        <v>4008</v>
      </c>
      <c r="B1939" s="540" t="s">
        <v>5518</v>
      </c>
      <c r="C1939" s="467" t="s">
        <v>4016</v>
      </c>
      <c r="D1939" s="467" t="s">
        <v>4016</v>
      </c>
      <c r="E1939" s="467"/>
      <c r="F1939" s="493" t="s">
        <v>4017</v>
      </c>
      <c r="G1939" s="493"/>
      <c r="H1939" s="463" t="s">
        <v>5449</v>
      </c>
      <c r="I1939" s="484">
        <f>510.01/5</f>
        <v>102.002</v>
      </c>
      <c r="J1939" s="484">
        <f>120.36/5</f>
        <v>24.071999999999999</v>
      </c>
      <c r="K1939" s="376">
        <f t="shared" si="144"/>
        <v>13.3744032</v>
      </c>
      <c r="L1939" s="368">
        <f t="shared" si="145"/>
        <v>2.67488064</v>
      </c>
      <c r="M1939" s="368" t="s">
        <v>6169</v>
      </c>
      <c r="N1939" s="463" t="s">
        <v>3785</v>
      </c>
      <c r="O1939" s="463" t="s">
        <v>3986</v>
      </c>
      <c r="P1939" s="464" t="s">
        <v>3659</v>
      </c>
      <c r="Q1939" s="431">
        <v>0.2</v>
      </c>
      <c r="R1939" s="430">
        <v>1900003314</v>
      </c>
      <c r="S1939" s="466" t="s">
        <v>3475</v>
      </c>
      <c r="T1939" s="2" t="s">
        <v>5914</v>
      </c>
      <c r="U1939" s="466" t="s">
        <v>3475</v>
      </c>
    </row>
    <row r="1940" spans="1:21" hidden="1" x14ac:dyDescent="0.35">
      <c r="A1940" s="494" t="s">
        <v>4009</v>
      </c>
      <c r="B1940" s="540" t="s">
        <v>5518</v>
      </c>
      <c r="C1940" s="467" t="s">
        <v>4016</v>
      </c>
      <c r="D1940" s="467" t="s">
        <v>4016</v>
      </c>
      <c r="E1940" s="467"/>
      <c r="F1940" s="493" t="s">
        <v>4017</v>
      </c>
      <c r="G1940" s="493"/>
      <c r="H1940" s="463" t="s">
        <v>5449</v>
      </c>
      <c r="I1940" s="484">
        <f>510.01/5</f>
        <v>102.002</v>
      </c>
      <c r="J1940" s="484">
        <f>120.36/5</f>
        <v>24.071999999999999</v>
      </c>
      <c r="K1940" s="376">
        <f t="shared" si="144"/>
        <v>13.3744032</v>
      </c>
      <c r="L1940" s="368">
        <f t="shared" si="145"/>
        <v>2.67488064</v>
      </c>
      <c r="M1940" s="368" t="s">
        <v>6169</v>
      </c>
      <c r="N1940" s="463" t="s">
        <v>3785</v>
      </c>
      <c r="O1940" s="463" t="s">
        <v>3986</v>
      </c>
      <c r="P1940" s="464" t="s">
        <v>3659</v>
      </c>
      <c r="Q1940" s="431">
        <v>0.2</v>
      </c>
      <c r="R1940" s="430">
        <v>1900003314</v>
      </c>
      <c r="S1940" s="466" t="s">
        <v>3475</v>
      </c>
      <c r="T1940" s="2" t="s">
        <v>5914</v>
      </c>
      <c r="U1940" s="466" t="s">
        <v>3475</v>
      </c>
    </row>
    <row r="1941" spans="1:21" hidden="1" x14ac:dyDescent="0.35">
      <c r="A1941" s="494" t="s">
        <v>4010</v>
      </c>
      <c r="B1941" s="540" t="s">
        <v>5518</v>
      </c>
      <c r="C1941" s="467" t="s">
        <v>4016</v>
      </c>
      <c r="D1941" s="467" t="s">
        <v>4016</v>
      </c>
      <c r="E1941" s="467"/>
      <c r="F1941" s="493" t="s">
        <v>4017</v>
      </c>
      <c r="G1941" s="493"/>
      <c r="H1941" s="463" t="s">
        <v>5449</v>
      </c>
      <c r="I1941" s="484">
        <f>510.01/5</f>
        <v>102.002</v>
      </c>
      <c r="J1941" s="484">
        <f>120.36/5</f>
        <v>24.071999999999999</v>
      </c>
      <c r="K1941" s="376">
        <f t="shared" si="144"/>
        <v>13.3744032</v>
      </c>
      <c r="L1941" s="368">
        <f t="shared" si="145"/>
        <v>2.67488064</v>
      </c>
      <c r="M1941" s="368" t="s">
        <v>6169</v>
      </c>
      <c r="N1941" s="463" t="s">
        <v>3785</v>
      </c>
      <c r="O1941" s="463" t="s">
        <v>3986</v>
      </c>
      <c r="P1941" s="464" t="s">
        <v>3659</v>
      </c>
      <c r="Q1941" s="431">
        <v>0.2</v>
      </c>
      <c r="R1941" s="430">
        <v>1900003314</v>
      </c>
      <c r="S1941" s="466" t="s">
        <v>3475</v>
      </c>
      <c r="T1941" s="2" t="s">
        <v>5914</v>
      </c>
      <c r="U1941" s="466" t="s">
        <v>3475</v>
      </c>
    </row>
    <row r="1942" spans="1:21" hidden="1" x14ac:dyDescent="0.35">
      <c r="A1942" s="494" t="s">
        <v>4115</v>
      </c>
      <c r="B1942" s="540" t="s">
        <v>5518</v>
      </c>
      <c r="C1942" s="467" t="s">
        <v>4016</v>
      </c>
      <c r="D1942" s="467" t="s">
        <v>4016</v>
      </c>
      <c r="E1942" s="467"/>
      <c r="F1942" s="493" t="s">
        <v>4017</v>
      </c>
      <c r="G1942" s="493"/>
      <c r="H1942" s="463" t="s">
        <v>5449</v>
      </c>
      <c r="I1942" s="484">
        <f>510.01/5</f>
        <v>102.002</v>
      </c>
      <c r="J1942" s="484">
        <f>120.36/5</f>
        <v>24.071999999999999</v>
      </c>
      <c r="K1942" s="376">
        <f t="shared" si="144"/>
        <v>13.3744032</v>
      </c>
      <c r="L1942" s="368">
        <f t="shared" si="145"/>
        <v>2.67488064</v>
      </c>
      <c r="M1942" s="368" t="s">
        <v>6169</v>
      </c>
      <c r="N1942" s="463" t="s">
        <v>3785</v>
      </c>
      <c r="O1942" s="463" t="s">
        <v>3986</v>
      </c>
      <c r="P1942" s="464" t="s">
        <v>3659</v>
      </c>
      <c r="Q1942" s="431">
        <v>0.2</v>
      </c>
      <c r="R1942" s="430">
        <v>1900003314</v>
      </c>
      <c r="S1942" s="466" t="s">
        <v>3475</v>
      </c>
      <c r="T1942" s="2" t="s">
        <v>5914</v>
      </c>
      <c r="U1942" s="466" t="s">
        <v>3475</v>
      </c>
    </row>
    <row r="1943" spans="1:21" hidden="1" x14ac:dyDescent="0.35">
      <c r="A1943" s="494" t="s">
        <v>4117</v>
      </c>
      <c r="B1943" s="477" t="s">
        <v>2642</v>
      </c>
      <c r="C1943" s="467" t="s">
        <v>4016</v>
      </c>
      <c r="D1943" s="467" t="s">
        <v>4016</v>
      </c>
      <c r="E1943" s="467"/>
      <c r="F1943" s="493" t="s">
        <v>4017</v>
      </c>
      <c r="G1943" s="498" t="s">
        <v>5323</v>
      </c>
      <c r="H1943" s="463" t="s">
        <v>5449</v>
      </c>
      <c r="I1943" s="484">
        <f t="shared" ref="I1943:I1948" si="146">26800.42/6</f>
        <v>4466.7366666666667</v>
      </c>
      <c r="J1943" s="375">
        <f t="shared" ref="J1943:J1948" si="147">6324.45/6</f>
        <v>1054.075</v>
      </c>
      <c r="K1943" s="376">
        <f t="shared" si="144"/>
        <v>585.64407000000006</v>
      </c>
      <c r="L1943" s="368">
        <f t="shared" si="145"/>
        <v>117.12881400000002</v>
      </c>
      <c r="M1943" s="368" t="s">
        <v>6169</v>
      </c>
      <c r="N1943" s="463" t="s">
        <v>3785</v>
      </c>
      <c r="O1943" s="463" t="s">
        <v>3986</v>
      </c>
      <c r="P1943" s="464" t="s">
        <v>3659</v>
      </c>
      <c r="Q1943" s="431">
        <v>0.2</v>
      </c>
      <c r="R1943" s="430">
        <v>1900003314</v>
      </c>
      <c r="S1943" s="466" t="s">
        <v>5924</v>
      </c>
      <c r="T1943" s="2" t="s">
        <v>5915</v>
      </c>
      <c r="U1943" s="466" t="s">
        <v>5924</v>
      </c>
    </row>
    <row r="1944" spans="1:21" hidden="1" x14ac:dyDescent="0.35">
      <c r="A1944" s="494" t="s">
        <v>5519</v>
      </c>
      <c r="B1944" s="477" t="s">
        <v>2642</v>
      </c>
      <c r="C1944" s="467" t="s">
        <v>4016</v>
      </c>
      <c r="D1944" s="467" t="s">
        <v>4016</v>
      </c>
      <c r="E1944" s="467"/>
      <c r="F1944" s="493" t="s">
        <v>4017</v>
      </c>
      <c r="G1944" s="498" t="s">
        <v>5323</v>
      </c>
      <c r="H1944" s="463" t="s">
        <v>5449</v>
      </c>
      <c r="I1944" s="484">
        <f t="shared" si="146"/>
        <v>4466.7366666666667</v>
      </c>
      <c r="J1944" s="375">
        <f t="shared" si="147"/>
        <v>1054.075</v>
      </c>
      <c r="K1944" s="376">
        <f t="shared" si="144"/>
        <v>585.64407000000006</v>
      </c>
      <c r="L1944" s="368">
        <f t="shared" si="145"/>
        <v>117.12881400000002</v>
      </c>
      <c r="M1944" s="368" t="s">
        <v>6169</v>
      </c>
      <c r="N1944" s="463" t="s">
        <v>3785</v>
      </c>
      <c r="O1944" s="463" t="s">
        <v>3986</v>
      </c>
      <c r="P1944" s="464" t="s">
        <v>3659</v>
      </c>
      <c r="Q1944" s="431">
        <v>0.2</v>
      </c>
      <c r="R1944" s="430">
        <v>1900003314</v>
      </c>
      <c r="S1944" s="466" t="s">
        <v>3475</v>
      </c>
      <c r="T1944" s="2" t="s">
        <v>5914</v>
      </c>
      <c r="U1944" s="9" t="s">
        <v>3475</v>
      </c>
    </row>
    <row r="1945" spans="1:21" hidden="1" x14ac:dyDescent="0.35">
      <c r="A1945" s="494" t="s">
        <v>4118</v>
      </c>
      <c r="B1945" s="477" t="s">
        <v>2642</v>
      </c>
      <c r="C1945" s="467" t="s">
        <v>4016</v>
      </c>
      <c r="D1945" s="467" t="s">
        <v>4016</v>
      </c>
      <c r="E1945" s="467"/>
      <c r="F1945" s="493" t="s">
        <v>4017</v>
      </c>
      <c r="G1945" s="498" t="s">
        <v>5323</v>
      </c>
      <c r="H1945" s="463" t="s">
        <v>5449</v>
      </c>
      <c r="I1945" s="484">
        <f t="shared" si="146"/>
        <v>4466.7366666666667</v>
      </c>
      <c r="J1945" s="375">
        <f t="shared" si="147"/>
        <v>1054.075</v>
      </c>
      <c r="K1945" s="376">
        <f t="shared" si="144"/>
        <v>585.64407000000006</v>
      </c>
      <c r="L1945" s="368">
        <f t="shared" si="145"/>
        <v>117.12881400000002</v>
      </c>
      <c r="M1945" s="368" t="s">
        <v>6169</v>
      </c>
      <c r="N1945" s="463" t="s">
        <v>3785</v>
      </c>
      <c r="O1945" s="463" t="s">
        <v>3986</v>
      </c>
      <c r="P1945" s="464" t="s">
        <v>3659</v>
      </c>
      <c r="Q1945" s="431">
        <v>0.2</v>
      </c>
      <c r="R1945" s="430">
        <v>1900003314</v>
      </c>
      <c r="S1945" s="466" t="s">
        <v>3475</v>
      </c>
      <c r="T1945" s="2" t="s">
        <v>5914</v>
      </c>
      <c r="U1945" s="9" t="s">
        <v>3475</v>
      </c>
    </row>
    <row r="1946" spans="1:21" hidden="1" x14ac:dyDescent="0.35">
      <c r="A1946" s="494" t="s">
        <v>4121</v>
      </c>
      <c r="B1946" s="477" t="s">
        <v>2642</v>
      </c>
      <c r="C1946" s="467" t="s">
        <v>4016</v>
      </c>
      <c r="D1946" s="467" t="s">
        <v>4016</v>
      </c>
      <c r="E1946" s="467"/>
      <c r="F1946" s="493" t="s">
        <v>4017</v>
      </c>
      <c r="G1946" s="498" t="s">
        <v>5323</v>
      </c>
      <c r="H1946" s="463" t="s">
        <v>5449</v>
      </c>
      <c r="I1946" s="484">
        <f t="shared" si="146"/>
        <v>4466.7366666666667</v>
      </c>
      <c r="J1946" s="375">
        <f t="shared" si="147"/>
        <v>1054.075</v>
      </c>
      <c r="K1946" s="376">
        <f t="shared" si="144"/>
        <v>585.64407000000006</v>
      </c>
      <c r="L1946" s="368">
        <f t="shared" si="145"/>
        <v>117.12881400000002</v>
      </c>
      <c r="M1946" s="368" t="s">
        <v>6169</v>
      </c>
      <c r="N1946" s="463" t="s">
        <v>3785</v>
      </c>
      <c r="O1946" s="463" t="s">
        <v>3986</v>
      </c>
      <c r="P1946" s="464" t="s">
        <v>3659</v>
      </c>
      <c r="Q1946" s="431">
        <v>0.2</v>
      </c>
      <c r="R1946" s="430">
        <v>1900003314</v>
      </c>
      <c r="S1946" s="466" t="s">
        <v>3475</v>
      </c>
      <c r="T1946" s="2" t="s">
        <v>5914</v>
      </c>
      <c r="U1946" s="9" t="s">
        <v>3475</v>
      </c>
    </row>
    <row r="1947" spans="1:21" hidden="1" x14ac:dyDescent="0.35">
      <c r="A1947" s="494" t="s">
        <v>4122</v>
      </c>
      <c r="B1947" s="477" t="s">
        <v>2642</v>
      </c>
      <c r="C1947" s="467" t="s">
        <v>4016</v>
      </c>
      <c r="D1947" s="467" t="s">
        <v>4016</v>
      </c>
      <c r="E1947" s="467"/>
      <c r="F1947" s="493" t="s">
        <v>4017</v>
      </c>
      <c r="G1947" s="498" t="s">
        <v>5323</v>
      </c>
      <c r="H1947" s="463" t="s">
        <v>5449</v>
      </c>
      <c r="I1947" s="484">
        <f t="shared" si="146"/>
        <v>4466.7366666666667</v>
      </c>
      <c r="J1947" s="375">
        <f t="shared" si="147"/>
        <v>1054.075</v>
      </c>
      <c r="K1947" s="376">
        <f t="shared" si="144"/>
        <v>585.64407000000006</v>
      </c>
      <c r="L1947" s="368">
        <f t="shared" si="145"/>
        <v>117.12881400000002</v>
      </c>
      <c r="M1947" s="368" t="s">
        <v>6169</v>
      </c>
      <c r="N1947" s="463" t="s">
        <v>3785</v>
      </c>
      <c r="O1947" s="463" t="s">
        <v>3986</v>
      </c>
      <c r="P1947" s="464" t="s">
        <v>3659</v>
      </c>
      <c r="Q1947" s="431">
        <v>0.2</v>
      </c>
      <c r="R1947" s="430">
        <v>1900003314</v>
      </c>
      <c r="S1947" s="466" t="s">
        <v>3475</v>
      </c>
      <c r="T1947" s="2" t="s">
        <v>5914</v>
      </c>
      <c r="U1947" s="9" t="s">
        <v>3475</v>
      </c>
    </row>
    <row r="1948" spans="1:21" hidden="1" x14ac:dyDescent="0.35">
      <c r="A1948" s="494" t="s">
        <v>4123</v>
      </c>
      <c r="B1948" s="477" t="s">
        <v>2642</v>
      </c>
      <c r="C1948" s="467" t="s">
        <v>4016</v>
      </c>
      <c r="D1948" s="467" t="s">
        <v>4016</v>
      </c>
      <c r="E1948" s="467"/>
      <c r="F1948" s="493" t="s">
        <v>4017</v>
      </c>
      <c r="G1948" s="498" t="s">
        <v>5323</v>
      </c>
      <c r="H1948" s="463" t="s">
        <v>5449</v>
      </c>
      <c r="I1948" s="484">
        <f t="shared" si="146"/>
        <v>4466.7366666666667</v>
      </c>
      <c r="J1948" s="375">
        <f t="shared" si="147"/>
        <v>1054.075</v>
      </c>
      <c r="K1948" s="376">
        <f t="shared" si="144"/>
        <v>585.64407000000006</v>
      </c>
      <c r="L1948" s="368">
        <f t="shared" si="145"/>
        <v>117.12881400000002</v>
      </c>
      <c r="M1948" s="368" t="s">
        <v>6169</v>
      </c>
      <c r="N1948" s="463" t="s">
        <v>3785</v>
      </c>
      <c r="O1948" s="463" t="s">
        <v>3986</v>
      </c>
      <c r="P1948" s="464" t="s">
        <v>3659</v>
      </c>
      <c r="Q1948" s="431">
        <v>0.2</v>
      </c>
      <c r="R1948" s="430">
        <v>1900003314</v>
      </c>
      <c r="S1948" s="466" t="s">
        <v>3475</v>
      </c>
      <c r="T1948" s="2" t="s">
        <v>5914</v>
      </c>
      <c r="U1948" s="9" t="s">
        <v>3475</v>
      </c>
    </row>
    <row r="1949" spans="1:21" hidden="1" x14ac:dyDescent="0.35">
      <c r="A1949" s="494" t="s">
        <v>4124</v>
      </c>
      <c r="B1949" s="477" t="s">
        <v>2640</v>
      </c>
      <c r="C1949" s="467" t="s">
        <v>4016</v>
      </c>
      <c r="D1949" s="467" t="s">
        <v>4016</v>
      </c>
      <c r="E1949" s="467"/>
      <c r="F1949" s="493" t="s">
        <v>4017</v>
      </c>
      <c r="G1949" s="498" t="s">
        <v>5925</v>
      </c>
      <c r="H1949" s="463" t="s">
        <v>5449</v>
      </c>
      <c r="I1949" s="484">
        <f>29222.6/2</f>
        <v>14611.3</v>
      </c>
      <c r="J1949" s="375">
        <f>6896.04/2</f>
        <v>3448.02</v>
      </c>
      <c r="K1949" s="376">
        <f t="shared" si="144"/>
        <v>1915.719912</v>
      </c>
      <c r="L1949" s="368">
        <f t="shared" si="145"/>
        <v>383.14398240000003</v>
      </c>
      <c r="M1949" s="368" t="s">
        <v>6169</v>
      </c>
      <c r="N1949" s="463" t="s">
        <v>3785</v>
      </c>
      <c r="O1949" s="463" t="s">
        <v>3986</v>
      </c>
      <c r="P1949" s="464" t="s">
        <v>3659</v>
      </c>
      <c r="Q1949" s="431">
        <v>0.2</v>
      </c>
      <c r="R1949" s="430">
        <v>1900003314</v>
      </c>
      <c r="S1949" s="466" t="s">
        <v>2504</v>
      </c>
      <c r="T1949" s="2" t="s">
        <v>5915</v>
      </c>
      <c r="U1949" s="9" t="s">
        <v>2504</v>
      </c>
    </row>
    <row r="1950" spans="1:21" hidden="1" x14ac:dyDescent="0.35">
      <c r="A1950" s="494" t="s">
        <v>4125</v>
      </c>
      <c r="B1950" s="477" t="s">
        <v>2640</v>
      </c>
      <c r="C1950" s="467" t="s">
        <v>4016</v>
      </c>
      <c r="D1950" s="467" t="s">
        <v>4016</v>
      </c>
      <c r="E1950" s="467"/>
      <c r="F1950" s="493" t="s">
        <v>4017</v>
      </c>
      <c r="G1950" s="498" t="s">
        <v>5925</v>
      </c>
      <c r="H1950" s="463" t="s">
        <v>5449</v>
      </c>
      <c r="I1950" s="484">
        <f>29222.6/2</f>
        <v>14611.3</v>
      </c>
      <c r="J1950" s="375">
        <f>6896.04/2</f>
        <v>3448.02</v>
      </c>
      <c r="K1950" s="376">
        <f t="shared" si="144"/>
        <v>1915.719912</v>
      </c>
      <c r="L1950" s="368">
        <f t="shared" si="145"/>
        <v>383.14398240000003</v>
      </c>
      <c r="M1950" s="368" t="s">
        <v>6169</v>
      </c>
      <c r="N1950" s="463" t="s">
        <v>3785</v>
      </c>
      <c r="O1950" s="463" t="s">
        <v>3986</v>
      </c>
      <c r="P1950" s="464" t="s">
        <v>3659</v>
      </c>
      <c r="Q1950" s="431">
        <v>0.2</v>
      </c>
      <c r="R1950" s="430">
        <v>1900003314</v>
      </c>
      <c r="S1950" s="466" t="s">
        <v>2504</v>
      </c>
      <c r="T1950" s="2" t="s">
        <v>5915</v>
      </c>
      <c r="U1950" s="9" t="s">
        <v>2504</v>
      </c>
    </row>
    <row r="1951" spans="1:21" hidden="1" x14ac:dyDescent="0.35">
      <c r="A1951" s="494" t="s">
        <v>4126</v>
      </c>
      <c r="B1951" s="477" t="s">
        <v>3464</v>
      </c>
      <c r="C1951" s="467" t="s">
        <v>4016</v>
      </c>
      <c r="D1951" s="467" t="s">
        <v>4016</v>
      </c>
      <c r="E1951" s="467" t="s">
        <v>2729</v>
      </c>
      <c r="F1951" s="493" t="s">
        <v>4017</v>
      </c>
      <c r="G1951" s="493" t="s">
        <v>5520</v>
      </c>
      <c r="H1951" s="463" t="s">
        <v>5449</v>
      </c>
      <c r="I1951" s="484">
        <v>58503.72</v>
      </c>
      <c r="J1951" s="375">
        <v>13805.900000000001</v>
      </c>
      <c r="K1951" s="376">
        <f t="shared" si="144"/>
        <v>7670.5580400000008</v>
      </c>
      <c r="L1951" s="368">
        <f t="shared" si="145"/>
        <v>1534.1116080000002</v>
      </c>
      <c r="M1951" s="368" t="s">
        <v>6169</v>
      </c>
      <c r="N1951" s="463" t="s">
        <v>3785</v>
      </c>
      <c r="O1951" s="463" t="s">
        <v>3986</v>
      </c>
      <c r="P1951" s="464" t="s">
        <v>3659</v>
      </c>
      <c r="Q1951" s="431">
        <v>0.2</v>
      </c>
      <c r="R1951" s="430">
        <v>1900003314</v>
      </c>
      <c r="S1951" s="466" t="s">
        <v>2504</v>
      </c>
      <c r="T1951" s="2" t="s">
        <v>5915</v>
      </c>
    </row>
    <row r="1952" spans="1:21" hidden="1" x14ac:dyDescent="0.35">
      <c r="A1952" s="494" t="s">
        <v>4127</v>
      </c>
      <c r="B1952" s="477" t="s">
        <v>2641</v>
      </c>
      <c r="C1952" s="467" t="s">
        <v>4016</v>
      </c>
      <c r="D1952" s="467" t="s">
        <v>4016</v>
      </c>
      <c r="E1952" s="467" t="s">
        <v>2814</v>
      </c>
      <c r="F1952" s="493" t="s">
        <v>4017</v>
      </c>
      <c r="G1952" s="493" t="s">
        <v>5274</v>
      </c>
      <c r="H1952" s="463" t="s">
        <v>5449</v>
      </c>
      <c r="I1952" s="484">
        <f>92143.36/3</f>
        <v>30714.453333333335</v>
      </c>
      <c r="J1952" s="375">
        <f>21744.28/3</f>
        <v>7248.0933333333332</v>
      </c>
      <c r="K1952" s="376">
        <f t="shared" si="144"/>
        <v>4027.0406559999997</v>
      </c>
      <c r="L1952" s="368">
        <f t="shared" si="145"/>
        <v>805.40813119999996</v>
      </c>
      <c r="M1952" s="368" t="s">
        <v>6169</v>
      </c>
      <c r="N1952" s="463" t="s">
        <v>3785</v>
      </c>
      <c r="O1952" s="463" t="s">
        <v>3986</v>
      </c>
      <c r="P1952" s="464" t="s">
        <v>3659</v>
      </c>
      <c r="Q1952" s="431">
        <v>0.2</v>
      </c>
      <c r="R1952" s="430">
        <v>1900003314</v>
      </c>
      <c r="S1952" s="466" t="s">
        <v>2504</v>
      </c>
      <c r="T1952" s="2" t="s">
        <v>5915</v>
      </c>
    </row>
    <row r="1953" spans="1:21" hidden="1" x14ac:dyDescent="0.35">
      <c r="A1953" s="494" t="s">
        <v>4128</v>
      </c>
      <c r="B1953" s="477" t="s">
        <v>2641</v>
      </c>
      <c r="C1953" s="467" t="s">
        <v>4016</v>
      </c>
      <c r="D1953" s="467" t="s">
        <v>4016</v>
      </c>
      <c r="E1953" s="467" t="s">
        <v>2816</v>
      </c>
      <c r="F1953" s="493" t="s">
        <v>4017</v>
      </c>
      <c r="G1953" s="493" t="s">
        <v>5274</v>
      </c>
      <c r="H1953" s="463" t="s">
        <v>5449</v>
      </c>
      <c r="I1953" s="484">
        <f>92143.36/3</f>
        <v>30714.453333333335</v>
      </c>
      <c r="J1953" s="375">
        <f>21744.28/3</f>
        <v>7248.0933333333332</v>
      </c>
      <c r="K1953" s="376">
        <f t="shared" si="144"/>
        <v>4027.0406559999997</v>
      </c>
      <c r="L1953" s="368">
        <f t="shared" si="145"/>
        <v>805.40813119999996</v>
      </c>
      <c r="M1953" s="368" t="s">
        <v>6169</v>
      </c>
      <c r="N1953" s="463" t="s">
        <v>3785</v>
      </c>
      <c r="O1953" s="463" t="s">
        <v>3986</v>
      </c>
      <c r="P1953" s="464" t="s">
        <v>3659</v>
      </c>
      <c r="Q1953" s="431">
        <v>0.2</v>
      </c>
      <c r="R1953" s="430">
        <v>1900003314</v>
      </c>
      <c r="S1953" s="466" t="s">
        <v>2504</v>
      </c>
      <c r="T1953" s="2" t="s">
        <v>5915</v>
      </c>
    </row>
    <row r="1954" spans="1:21" hidden="1" x14ac:dyDescent="0.35">
      <c r="A1954" s="494" t="s">
        <v>4129</v>
      </c>
      <c r="B1954" s="477" t="s">
        <v>2641</v>
      </c>
      <c r="C1954" s="467" t="s">
        <v>4016</v>
      </c>
      <c r="D1954" s="467" t="s">
        <v>4016</v>
      </c>
      <c r="E1954" s="467" t="s">
        <v>2820</v>
      </c>
      <c r="F1954" s="493" t="s">
        <v>4017</v>
      </c>
      <c r="G1954" s="493" t="s">
        <v>5274</v>
      </c>
      <c r="H1954" s="463" t="s">
        <v>5449</v>
      </c>
      <c r="I1954" s="484">
        <f>92143.36/3</f>
        <v>30714.453333333335</v>
      </c>
      <c r="J1954" s="375">
        <f>21744.28/3</f>
        <v>7248.0933333333332</v>
      </c>
      <c r="K1954" s="376">
        <f t="shared" si="144"/>
        <v>4027.0406559999997</v>
      </c>
      <c r="L1954" s="368">
        <f t="shared" si="145"/>
        <v>805.40813119999996</v>
      </c>
      <c r="M1954" s="368" t="s">
        <v>6169</v>
      </c>
      <c r="N1954" s="463" t="s">
        <v>3785</v>
      </c>
      <c r="O1954" s="463" t="s">
        <v>3986</v>
      </c>
      <c r="P1954" s="464" t="s">
        <v>3659</v>
      </c>
      <c r="Q1954" s="431">
        <v>0.2</v>
      </c>
      <c r="R1954" s="430">
        <v>1900003314</v>
      </c>
      <c r="S1954" s="466" t="s">
        <v>2504</v>
      </c>
      <c r="T1954" s="2" t="s">
        <v>5915</v>
      </c>
    </row>
    <row r="1955" spans="1:21" hidden="1" x14ac:dyDescent="0.35">
      <c r="A1955" s="494" t="s">
        <v>4118</v>
      </c>
      <c r="B1955" s="540" t="s">
        <v>5521</v>
      </c>
      <c r="C1955" s="467" t="s">
        <v>4016</v>
      </c>
      <c r="D1955" s="467" t="s">
        <v>4016</v>
      </c>
      <c r="E1955" s="467"/>
      <c r="F1955" s="493" t="s">
        <v>4017</v>
      </c>
      <c r="G1955" s="493"/>
      <c r="H1955" s="463" t="s">
        <v>5449</v>
      </c>
      <c r="I1955" s="484">
        <f t="shared" ref="I1955:I1964" si="148">1680.02/10</f>
        <v>168.00200000000001</v>
      </c>
      <c r="J1955" s="375">
        <f t="shared" ref="J1955:J1964" si="149">396.46/10</f>
        <v>39.646000000000001</v>
      </c>
      <c r="K1955" s="376">
        <f t="shared" si="144"/>
        <v>22.0273176</v>
      </c>
      <c r="L1955" s="368">
        <f t="shared" si="145"/>
        <v>4.4054635200000005</v>
      </c>
      <c r="M1955" s="368" t="s">
        <v>6169</v>
      </c>
      <c r="N1955" s="463" t="s">
        <v>3785</v>
      </c>
      <c r="O1955" s="463" t="s">
        <v>3986</v>
      </c>
      <c r="P1955" s="464" t="s">
        <v>3659</v>
      </c>
      <c r="Q1955" s="431">
        <v>0.2</v>
      </c>
      <c r="R1955" s="430">
        <v>1900003314</v>
      </c>
      <c r="S1955" s="466" t="s">
        <v>3475</v>
      </c>
      <c r="T1955" s="2" t="s">
        <v>5914</v>
      </c>
      <c r="U1955" s="9" t="s">
        <v>3475</v>
      </c>
    </row>
    <row r="1956" spans="1:21" hidden="1" x14ac:dyDescent="0.35">
      <c r="A1956" s="494" t="s">
        <v>4121</v>
      </c>
      <c r="B1956" s="540" t="s">
        <v>5521</v>
      </c>
      <c r="C1956" s="467" t="s">
        <v>4016</v>
      </c>
      <c r="D1956" s="467" t="s">
        <v>4016</v>
      </c>
      <c r="E1956" s="467"/>
      <c r="F1956" s="493" t="s">
        <v>4017</v>
      </c>
      <c r="G1956" s="493"/>
      <c r="H1956" s="463" t="s">
        <v>5449</v>
      </c>
      <c r="I1956" s="484">
        <f t="shared" si="148"/>
        <v>168.00200000000001</v>
      </c>
      <c r="J1956" s="375">
        <f t="shared" si="149"/>
        <v>39.646000000000001</v>
      </c>
      <c r="K1956" s="376">
        <f t="shared" si="144"/>
        <v>22.0273176</v>
      </c>
      <c r="L1956" s="368">
        <f t="shared" si="145"/>
        <v>4.4054635200000005</v>
      </c>
      <c r="M1956" s="368" t="s">
        <v>6169</v>
      </c>
      <c r="N1956" s="463" t="s">
        <v>3785</v>
      </c>
      <c r="O1956" s="463" t="s">
        <v>3986</v>
      </c>
      <c r="P1956" s="464" t="s">
        <v>3659</v>
      </c>
      <c r="Q1956" s="431">
        <v>0.2</v>
      </c>
      <c r="R1956" s="430">
        <v>1900003314</v>
      </c>
      <c r="S1956" s="466" t="s">
        <v>3475</v>
      </c>
      <c r="T1956" s="2" t="s">
        <v>5914</v>
      </c>
      <c r="U1956" s="9" t="s">
        <v>3475</v>
      </c>
    </row>
    <row r="1957" spans="1:21" hidden="1" x14ac:dyDescent="0.35">
      <c r="A1957" s="494" t="s">
        <v>4122</v>
      </c>
      <c r="B1957" s="540" t="s">
        <v>5521</v>
      </c>
      <c r="C1957" s="467" t="s">
        <v>4016</v>
      </c>
      <c r="D1957" s="467" t="s">
        <v>4016</v>
      </c>
      <c r="E1957" s="467"/>
      <c r="F1957" s="493" t="s">
        <v>4017</v>
      </c>
      <c r="G1957" s="493"/>
      <c r="H1957" s="463" t="s">
        <v>5449</v>
      </c>
      <c r="I1957" s="484">
        <f t="shared" si="148"/>
        <v>168.00200000000001</v>
      </c>
      <c r="J1957" s="375">
        <f t="shared" si="149"/>
        <v>39.646000000000001</v>
      </c>
      <c r="K1957" s="376">
        <f t="shared" si="144"/>
        <v>22.0273176</v>
      </c>
      <c r="L1957" s="368">
        <f t="shared" si="145"/>
        <v>4.4054635200000005</v>
      </c>
      <c r="M1957" s="368" t="s">
        <v>6169</v>
      </c>
      <c r="N1957" s="463" t="s">
        <v>3785</v>
      </c>
      <c r="O1957" s="463" t="s">
        <v>3986</v>
      </c>
      <c r="P1957" s="464" t="s">
        <v>3659</v>
      </c>
      <c r="Q1957" s="431">
        <v>0.2</v>
      </c>
      <c r="R1957" s="430">
        <v>1900003314</v>
      </c>
      <c r="S1957" s="466" t="s">
        <v>3475</v>
      </c>
      <c r="T1957" s="2" t="s">
        <v>5914</v>
      </c>
      <c r="U1957" s="9" t="s">
        <v>3475</v>
      </c>
    </row>
    <row r="1958" spans="1:21" hidden="1" x14ac:dyDescent="0.35">
      <c r="A1958" s="494" t="s">
        <v>4123</v>
      </c>
      <c r="B1958" s="540" t="s">
        <v>5521</v>
      </c>
      <c r="C1958" s="467" t="s">
        <v>4016</v>
      </c>
      <c r="D1958" s="467" t="s">
        <v>4016</v>
      </c>
      <c r="E1958" s="467"/>
      <c r="F1958" s="493" t="s">
        <v>4017</v>
      </c>
      <c r="G1958" s="493"/>
      <c r="H1958" s="463" t="s">
        <v>5449</v>
      </c>
      <c r="I1958" s="484">
        <f t="shared" si="148"/>
        <v>168.00200000000001</v>
      </c>
      <c r="J1958" s="375">
        <f t="shared" si="149"/>
        <v>39.646000000000001</v>
      </c>
      <c r="K1958" s="376">
        <f t="shared" si="144"/>
        <v>22.0273176</v>
      </c>
      <c r="L1958" s="368">
        <f t="shared" si="145"/>
        <v>4.4054635200000005</v>
      </c>
      <c r="M1958" s="368" t="s">
        <v>6169</v>
      </c>
      <c r="N1958" s="463" t="s">
        <v>3785</v>
      </c>
      <c r="O1958" s="463" t="s">
        <v>3986</v>
      </c>
      <c r="P1958" s="464" t="s">
        <v>3659</v>
      </c>
      <c r="Q1958" s="431">
        <v>0.2</v>
      </c>
      <c r="R1958" s="430">
        <v>1900003314</v>
      </c>
      <c r="S1958" s="466" t="s">
        <v>3475</v>
      </c>
      <c r="T1958" s="2" t="s">
        <v>5914</v>
      </c>
      <c r="U1958" s="9" t="s">
        <v>3475</v>
      </c>
    </row>
    <row r="1959" spans="1:21" hidden="1" x14ac:dyDescent="0.35">
      <c r="A1959" s="494" t="s">
        <v>4124</v>
      </c>
      <c r="B1959" s="540" t="s">
        <v>5521</v>
      </c>
      <c r="C1959" s="467" t="s">
        <v>4016</v>
      </c>
      <c r="D1959" s="467" t="s">
        <v>4016</v>
      </c>
      <c r="E1959" s="467"/>
      <c r="F1959" s="493" t="s">
        <v>4017</v>
      </c>
      <c r="G1959" s="493"/>
      <c r="H1959" s="463" t="s">
        <v>5449</v>
      </c>
      <c r="I1959" s="484">
        <f t="shared" si="148"/>
        <v>168.00200000000001</v>
      </c>
      <c r="J1959" s="375">
        <f t="shared" si="149"/>
        <v>39.646000000000001</v>
      </c>
      <c r="K1959" s="376">
        <f t="shared" si="144"/>
        <v>22.0273176</v>
      </c>
      <c r="L1959" s="368">
        <f t="shared" si="145"/>
        <v>4.4054635200000005</v>
      </c>
      <c r="M1959" s="368" t="s">
        <v>6169</v>
      </c>
      <c r="N1959" s="463" t="s">
        <v>3785</v>
      </c>
      <c r="O1959" s="463" t="s">
        <v>3986</v>
      </c>
      <c r="P1959" s="464" t="s">
        <v>3659</v>
      </c>
      <c r="Q1959" s="431">
        <v>0.2</v>
      </c>
      <c r="R1959" s="430">
        <v>1900003314</v>
      </c>
      <c r="S1959" s="466" t="s">
        <v>3475</v>
      </c>
      <c r="T1959" s="2" t="s">
        <v>5914</v>
      </c>
      <c r="U1959" s="9" t="s">
        <v>3475</v>
      </c>
    </row>
    <row r="1960" spans="1:21" hidden="1" x14ac:dyDescent="0.35">
      <c r="A1960" s="494" t="s">
        <v>4125</v>
      </c>
      <c r="B1960" s="540" t="s">
        <v>5521</v>
      </c>
      <c r="C1960" s="467" t="s">
        <v>4016</v>
      </c>
      <c r="D1960" s="467" t="s">
        <v>4016</v>
      </c>
      <c r="E1960" s="467"/>
      <c r="F1960" s="493" t="s">
        <v>4017</v>
      </c>
      <c r="G1960" s="493"/>
      <c r="H1960" s="463" t="s">
        <v>5449</v>
      </c>
      <c r="I1960" s="484">
        <f t="shared" si="148"/>
        <v>168.00200000000001</v>
      </c>
      <c r="J1960" s="375">
        <f t="shared" si="149"/>
        <v>39.646000000000001</v>
      </c>
      <c r="K1960" s="376">
        <f t="shared" si="144"/>
        <v>22.0273176</v>
      </c>
      <c r="L1960" s="368">
        <f t="shared" si="145"/>
        <v>4.4054635200000005</v>
      </c>
      <c r="M1960" s="368" t="s">
        <v>6169</v>
      </c>
      <c r="N1960" s="463" t="s">
        <v>3785</v>
      </c>
      <c r="O1960" s="463" t="s">
        <v>3986</v>
      </c>
      <c r="P1960" s="464" t="s">
        <v>3659</v>
      </c>
      <c r="Q1960" s="431">
        <v>0.2</v>
      </c>
      <c r="R1960" s="430">
        <v>1900003314</v>
      </c>
      <c r="S1960" s="466" t="s">
        <v>3475</v>
      </c>
      <c r="T1960" s="2" t="s">
        <v>5914</v>
      </c>
      <c r="U1960" s="9" t="s">
        <v>3475</v>
      </c>
    </row>
    <row r="1961" spans="1:21" hidden="1" x14ac:dyDescent="0.35">
      <c r="A1961" s="494" t="s">
        <v>4126</v>
      </c>
      <c r="B1961" s="540" t="s">
        <v>5521</v>
      </c>
      <c r="C1961" s="467" t="s">
        <v>4016</v>
      </c>
      <c r="D1961" s="467" t="s">
        <v>4016</v>
      </c>
      <c r="E1961" s="467"/>
      <c r="F1961" s="493" t="s">
        <v>4017</v>
      </c>
      <c r="G1961" s="493"/>
      <c r="H1961" s="463" t="s">
        <v>5449</v>
      </c>
      <c r="I1961" s="484">
        <f t="shared" si="148"/>
        <v>168.00200000000001</v>
      </c>
      <c r="J1961" s="375">
        <f t="shared" si="149"/>
        <v>39.646000000000001</v>
      </c>
      <c r="K1961" s="376">
        <f t="shared" si="144"/>
        <v>22.0273176</v>
      </c>
      <c r="L1961" s="368">
        <f t="shared" si="145"/>
        <v>4.4054635200000005</v>
      </c>
      <c r="M1961" s="368" t="s">
        <v>6169</v>
      </c>
      <c r="N1961" s="463" t="s">
        <v>3785</v>
      </c>
      <c r="O1961" s="463" t="s">
        <v>3986</v>
      </c>
      <c r="P1961" s="464" t="s">
        <v>3659</v>
      </c>
      <c r="Q1961" s="431">
        <v>0.2</v>
      </c>
      <c r="R1961" s="430">
        <v>1900003314</v>
      </c>
      <c r="S1961" s="466" t="s">
        <v>3475</v>
      </c>
      <c r="T1961" s="2" t="s">
        <v>5914</v>
      </c>
      <c r="U1961" s="9" t="s">
        <v>3475</v>
      </c>
    </row>
    <row r="1962" spans="1:21" hidden="1" x14ac:dyDescent="0.35">
      <c r="A1962" s="494" t="s">
        <v>4127</v>
      </c>
      <c r="B1962" s="540" t="s">
        <v>5521</v>
      </c>
      <c r="C1962" s="467" t="s">
        <v>4016</v>
      </c>
      <c r="D1962" s="467" t="s">
        <v>4016</v>
      </c>
      <c r="E1962" s="467"/>
      <c r="F1962" s="493" t="s">
        <v>4017</v>
      </c>
      <c r="G1962" s="493"/>
      <c r="H1962" s="463" t="s">
        <v>5449</v>
      </c>
      <c r="I1962" s="484">
        <f t="shared" si="148"/>
        <v>168.00200000000001</v>
      </c>
      <c r="J1962" s="375">
        <f t="shared" si="149"/>
        <v>39.646000000000001</v>
      </c>
      <c r="K1962" s="376">
        <f t="shared" si="144"/>
        <v>22.0273176</v>
      </c>
      <c r="L1962" s="368">
        <f t="shared" si="145"/>
        <v>4.4054635200000005</v>
      </c>
      <c r="M1962" s="368" t="s">
        <v>6169</v>
      </c>
      <c r="N1962" s="463" t="s">
        <v>3785</v>
      </c>
      <c r="O1962" s="463" t="s">
        <v>3986</v>
      </c>
      <c r="P1962" s="464" t="s">
        <v>3659</v>
      </c>
      <c r="Q1962" s="431">
        <v>0.2</v>
      </c>
      <c r="R1962" s="430">
        <v>1900003314</v>
      </c>
      <c r="S1962" s="466" t="s">
        <v>3475</v>
      </c>
      <c r="T1962" s="2" t="s">
        <v>5914</v>
      </c>
      <c r="U1962" s="9" t="s">
        <v>3475</v>
      </c>
    </row>
    <row r="1963" spans="1:21" hidden="1" x14ac:dyDescent="0.35">
      <c r="A1963" s="494" t="s">
        <v>4128</v>
      </c>
      <c r="B1963" s="540" t="s">
        <v>5521</v>
      </c>
      <c r="C1963" s="467" t="s">
        <v>4016</v>
      </c>
      <c r="D1963" s="467" t="s">
        <v>4016</v>
      </c>
      <c r="E1963" s="467"/>
      <c r="F1963" s="493" t="s">
        <v>4017</v>
      </c>
      <c r="G1963" s="493"/>
      <c r="H1963" s="463" t="s">
        <v>5449</v>
      </c>
      <c r="I1963" s="484">
        <f t="shared" si="148"/>
        <v>168.00200000000001</v>
      </c>
      <c r="J1963" s="375">
        <f t="shared" si="149"/>
        <v>39.646000000000001</v>
      </c>
      <c r="K1963" s="376">
        <f t="shared" si="144"/>
        <v>22.0273176</v>
      </c>
      <c r="L1963" s="368">
        <f t="shared" si="145"/>
        <v>4.4054635200000005</v>
      </c>
      <c r="M1963" s="368" t="s">
        <v>6169</v>
      </c>
      <c r="N1963" s="463" t="s">
        <v>3785</v>
      </c>
      <c r="O1963" s="463" t="s">
        <v>3986</v>
      </c>
      <c r="P1963" s="464" t="s">
        <v>3659</v>
      </c>
      <c r="Q1963" s="431">
        <v>0.2</v>
      </c>
      <c r="R1963" s="430">
        <v>1900003314</v>
      </c>
      <c r="S1963" s="466" t="s">
        <v>3475</v>
      </c>
      <c r="T1963" s="2" t="s">
        <v>5914</v>
      </c>
      <c r="U1963" s="9" t="s">
        <v>3475</v>
      </c>
    </row>
    <row r="1964" spans="1:21" hidden="1" x14ac:dyDescent="0.35">
      <c r="A1964" s="494" t="s">
        <v>4129</v>
      </c>
      <c r="B1964" s="540" t="s">
        <v>5521</v>
      </c>
      <c r="C1964" s="467" t="s">
        <v>4016</v>
      </c>
      <c r="D1964" s="467" t="s">
        <v>4016</v>
      </c>
      <c r="E1964" s="467"/>
      <c r="F1964" s="493" t="s">
        <v>4017</v>
      </c>
      <c r="G1964" s="493"/>
      <c r="H1964" s="463" t="s">
        <v>5449</v>
      </c>
      <c r="I1964" s="484">
        <f t="shared" si="148"/>
        <v>168.00200000000001</v>
      </c>
      <c r="J1964" s="375">
        <f t="shared" si="149"/>
        <v>39.646000000000001</v>
      </c>
      <c r="K1964" s="376">
        <f t="shared" si="144"/>
        <v>22.0273176</v>
      </c>
      <c r="L1964" s="368">
        <f t="shared" si="145"/>
        <v>4.4054635200000005</v>
      </c>
      <c r="M1964" s="368" t="s">
        <v>6169</v>
      </c>
      <c r="N1964" s="463" t="s">
        <v>3785</v>
      </c>
      <c r="O1964" s="463" t="s">
        <v>3986</v>
      </c>
      <c r="P1964" s="464" t="s">
        <v>3659</v>
      </c>
      <c r="Q1964" s="431">
        <v>0.2</v>
      </c>
      <c r="R1964" s="430">
        <v>1900003314</v>
      </c>
      <c r="S1964" s="501" t="s">
        <v>3475</v>
      </c>
      <c r="T1964" s="2" t="s">
        <v>5914</v>
      </c>
      <c r="U1964" s="9" t="s">
        <v>3475</v>
      </c>
    </row>
    <row r="1965" spans="1:21" hidden="1" x14ac:dyDescent="0.35">
      <c r="A1965" s="494" t="s">
        <v>4130</v>
      </c>
      <c r="B1965" s="477" t="s">
        <v>3465</v>
      </c>
      <c r="C1965" s="467">
        <v>42984</v>
      </c>
      <c r="D1965" s="467">
        <v>42984</v>
      </c>
      <c r="E1965" s="467" t="s">
        <v>2727</v>
      </c>
      <c r="F1965" s="493" t="s">
        <v>5522</v>
      </c>
      <c r="G1965" s="493" t="s">
        <v>5520</v>
      </c>
      <c r="H1965" s="463" t="s">
        <v>5449</v>
      </c>
      <c r="I1965" s="484">
        <v>12358.91</v>
      </c>
      <c r="J1965" s="375">
        <v>2811.42</v>
      </c>
      <c r="K1965" s="376">
        <f t="shared" si="144"/>
        <v>1562.024952</v>
      </c>
      <c r="L1965" s="368">
        <f t="shared" si="145"/>
        <v>312.40499040000003</v>
      </c>
      <c r="M1965" s="368" t="s">
        <v>6169</v>
      </c>
      <c r="N1965" s="463" t="s">
        <v>3785</v>
      </c>
      <c r="O1965" s="463" t="s">
        <v>3986</v>
      </c>
      <c r="P1965" s="464" t="s">
        <v>3659</v>
      </c>
      <c r="Q1965" s="431">
        <v>0.2</v>
      </c>
      <c r="R1965" s="430">
        <v>1900006902</v>
      </c>
      <c r="S1965" s="466" t="s">
        <v>2504</v>
      </c>
      <c r="T1965" s="2" t="s">
        <v>5915</v>
      </c>
    </row>
    <row r="1966" spans="1:21" hidden="1" x14ac:dyDescent="0.35">
      <c r="A1966" s="494" t="s">
        <v>4131</v>
      </c>
      <c r="B1966" s="477" t="s">
        <v>2643</v>
      </c>
      <c r="C1966" s="467">
        <v>42984</v>
      </c>
      <c r="D1966" s="467">
        <v>42984</v>
      </c>
      <c r="E1966" s="467" t="s">
        <v>2804</v>
      </c>
      <c r="F1966" s="493" t="s">
        <v>5522</v>
      </c>
      <c r="G1966" s="493" t="s">
        <v>5274</v>
      </c>
      <c r="H1966" s="463" t="s">
        <v>5449</v>
      </c>
      <c r="I1966" s="484">
        <f>3750.46/3</f>
        <v>1250.1533333333334</v>
      </c>
      <c r="J1966" s="375">
        <f>853.16/3</f>
        <v>284.38666666666666</v>
      </c>
      <c r="K1966" s="376">
        <f t="shared" si="144"/>
        <v>158.00523199999998</v>
      </c>
      <c r="L1966" s="368">
        <f t="shared" si="145"/>
        <v>31.601046399999998</v>
      </c>
      <c r="M1966" s="368" t="s">
        <v>6169</v>
      </c>
      <c r="N1966" s="463" t="s">
        <v>3785</v>
      </c>
      <c r="O1966" s="463" t="s">
        <v>3986</v>
      </c>
      <c r="P1966" s="464" t="s">
        <v>3659</v>
      </c>
      <c r="Q1966" s="431">
        <v>0.2</v>
      </c>
      <c r="R1966" s="430">
        <v>1900006902</v>
      </c>
      <c r="S1966" s="466" t="s">
        <v>2504</v>
      </c>
      <c r="T1966" s="2" t="s">
        <v>5915</v>
      </c>
    </row>
    <row r="1967" spans="1:21" hidden="1" x14ac:dyDescent="0.35">
      <c r="A1967" s="494" t="s">
        <v>4132</v>
      </c>
      <c r="B1967" s="477" t="s">
        <v>2643</v>
      </c>
      <c r="C1967" s="467">
        <v>42984</v>
      </c>
      <c r="D1967" s="467">
        <v>42984</v>
      </c>
      <c r="E1967" s="467" t="s">
        <v>2806</v>
      </c>
      <c r="F1967" s="493" t="s">
        <v>5522</v>
      </c>
      <c r="G1967" s="493" t="s">
        <v>5274</v>
      </c>
      <c r="H1967" s="463" t="s">
        <v>5449</v>
      </c>
      <c r="I1967" s="484">
        <f>3750.46/3</f>
        <v>1250.1533333333334</v>
      </c>
      <c r="J1967" s="375">
        <f>853.16/3</f>
        <v>284.38666666666666</v>
      </c>
      <c r="K1967" s="376">
        <f t="shared" si="144"/>
        <v>158.00523199999998</v>
      </c>
      <c r="L1967" s="368">
        <f t="shared" si="145"/>
        <v>31.601046399999998</v>
      </c>
      <c r="M1967" s="368" t="s">
        <v>6169</v>
      </c>
      <c r="N1967" s="463" t="s">
        <v>3785</v>
      </c>
      <c r="O1967" s="463" t="s">
        <v>3986</v>
      </c>
      <c r="P1967" s="464" t="s">
        <v>3659</v>
      </c>
      <c r="Q1967" s="431">
        <v>0.2</v>
      </c>
      <c r="R1967" s="430">
        <v>1900006902</v>
      </c>
      <c r="S1967" s="466" t="s">
        <v>2504</v>
      </c>
      <c r="T1967" s="2" t="s">
        <v>5915</v>
      </c>
    </row>
    <row r="1968" spans="1:21" hidden="1" x14ac:dyDescent="0.35">
      <c r="A1968" s="494" t="s">
        <v>4133</v>
      </c>
      <c r="B1968" s="477" t="s">
        <v>2643</v>
      </c>
      <c r="C1968" s="467">
        <v>42984</v>
      </c>
      <c r="D1968" s="467">
        <v>42984</v>
      </c>
      <c r="E1968" s="467" t="s">
        <v>2812</v>
      </c>
      <c r="F1968" s="493" t="s">
        <v>5522</v>
      </c>
      <c r="G1968" s="493" t="s">
        <v>5274</v>
      </c>
      <c r="H1968" s="463" t="s">
        <v>5449</v>
      </c>
      <c r="I1968" s="484">
        <f>3750.46/3</f>
        <v>1250.1533333333334</v>
      </c>
      <c r="J1968" s="375">
        <f>853.16/3</f>
        <v>284.38666666666666</v>
      </c>
      <c r="K1968" s="376">
        <f t="shared" si="144"/>
        <v>158.00523199999998</v>
      </c>
      <c r="L1968" s="368">
        <f t="shared" si="145"/>
        <v>31.601046399999998</v>
      </c>
      <c r="M1968" s="368" t="s">
        <v>6169</v>
      </c>
      <c r="N1968" s="463" t="s">
        <v>3785</v>
      </c>
      <c r="O1968" s="463" t="s">
        <v>3986</v>
      </c>
      <c r="P1968" s="464" t="s">
        <v>3659</v>
      </c>
      <c r="Q1968" s="431">
        <v>0.2</v>
      </c>
      <c r="R1968" s="430">
        <v>1900006902</v>
      </c>
      <c r="S1968" s="526" t="s">
        <v>2504</v>
      </c>
      <c r="T1968" s="524" t="s">
        <v>5915</v>
      </c>
    </row>
    <row r="1969" spans="1:21" hidden="1" x14ac:dyDescent="0.35">
      <c r="A1969" s="494" t="s">
        <v>4134</v>
      </c>
      <c r="B1969" s="540" t="s">
        <v>5523</v>
      </c>
      <c r="C1969" s="467">
        <v>42984</v>
      </c>
      <c r="D1969" s="467">
        <v>42984</v>
      </c>
      <c r="E1969" s="467"/>
      <c r="F1969" s="493" t="s">
        <v>5522</v>
      </c>
      <c r="G1969" s="493"/>
      <c r="H1969" s="463" t="s">
        <v>5449</v>
      </c>
      <c r="I1969" s="484">
        <f>5694.61/2</f>
        <v>2847.3049999999998</v>
      </c>
      <c r="J1969" s="375">
        <f>1295.41/2</f>
        <v>647.70500000000004</v>
      </c>
      <c r="K1969" s="376">
        <f t="shared" si="144"/>
        <v>359.86489800000004</v>
      </c>
      <c r="L1969" s="368">
        <f t="shared" si="145"/>
        <v>71.972979600000016</v>
      </c>
      <c r="M1969" s="368" t="s">
        <v>6169</v>
      </c>
      <c r="N1969" s="463" t="s">
        <v>3785</v>
      </c>
      <c r="O1969" s="463" t="s">
        <v>3986</v>
      </c>
      <c r="P1969" s="464" t="s">
        <v>3659</v>
      </c>
      <c r="Q1969" s="431">
        <v>0.2</v>
      </c>
      <c r="R1969" s="430">
        <v>1900006902</v>
      </c>
      <c r="S1969" s="466" t="s">
        <v>3475</v>
      </c>
      <c r="T1969" s="2" t="s">
        <v>5914</v>
      </c>
      <c r="U1969" s="2" t="s">
        <v>3475</v>
      </c>
    </row>
    <row r="1970" spans="1:21" hidden="1" x14ac:dyDescent="0.35">
      <c r="A1970" s="494" t="s">
        <v>4135</v>
      </c>
      <c r="B1970" s="540" t="s">
        <v>5523</v>
      </c>
      <c r="C1970" s="467">
        <v>42984</v>
      </c>
      <c r="D1970" s="467">
        <v>42984</v>
      </c>
      <c r="E1970" s="467"/>
      <c r="F1970" s="493" t="s">
        <v>5522</v>
      </c>
      <c r="G1970" s="493"/>
      <c r="H1970" s="463" t="s">
        <v>5449</v>
      </c>
      <c r="I1970" s="484">
        <f>5694.61/2</f>
        <v>2847.3049999999998</v>
      </c>
      <c r="J1970" s="375">
        <f>1295.41/2</f>
        <v>647.70500000000004</v>
      </c>
      <c r="K1970" s="376">
        <f t="shared" si="144"/>
        <v>359.86489800000004</v>
      </c>
      <c r="L1970" s="368">
        <f t="shared" si="145"/>
        <v>71.972979600000016</v>
      </c>
      <c r="M1970" s="368" t="s">
        <v>6169</v>
      </c>
      <c r="N1970" s="463" t="s">
        <v>3785</v>
      </c>
      <c r="O1970" s="463" t="s">
        <v>3986</v>
      </c>
      <c r="P1970" s="464" t="s">
        <v>3659</v>
      </c>
      <c r="Q1970" s="431">
        <v>0.2</v>
      </c>
      <c r="R1970" s="430">
        <v>1900006902</v>
      </c>
      <c r="S1970" s="466" t="s">
        <v>3475</v>
      </c>
      <c r="T1970" s="2" t="s">
        <v>5914</v>
      </c>
      <c r="U1970" s="2" t="s">
        <v>3475</v>
      </c>
    </row>
    <row r="1971" spans="1:21" hidden="1" x14ac:dyDescent="0.35">
      <c r="A1971" s="494" t="s">
        <v>4138</v>
      </c>
      <c r="B1971" s="477" t="s">
        <v>3466</v>
      </c>
      <c r="C1971" s="467">
        <v>42984</v>
      </c>
      <c r="D1971" s="467">
        <v>42984</v>
      </c>
      <c r="E1971" s="463"/>
      <c r="F1971" s="493" t="s">
        <v>5522</v>
      </c>
      <c r="G1971" s="493" t="s">
        <v>5520</v>
      </c>
      <c r="H1971" s="463" t="s">
        <v>5449</v>
      </c>
      <c r="I1971" s="484">
        <v>2044.7</v>
      </c>
      <c r="J1971" s="375">
        <v>465.13</v>
      </c>
      <c r="K1971" s="376">
        <f t="shared" si="144"/>
        <v>258.42622799999998</v>
      </c>
      <c r="L1971" s="368">
        <f t="shared" si="145"/>
        <v>51.685245600000002</v>
      </c>
      <c r="M1971" s="368" t="s">
        <v>6169</v>
      </c>
      <c r="N1971" s="463" t="s">
        <v>3785</v>
      </c>
      <c r="O1971" s="463" t="s">
        <v>3986</v>
      </c>
      <c r="P1971" s="464" t="s">
        <v>3659</v>
      </c>
      <c r="Q1971" s="431">
        <v>0.2</v>
      </c>
      <c r="R1971" s="430">
        <v>1900006902</v>
      </c>
      <c r="S1971" s="531" t="s">
        <v>2504</v>
      </c>
      <c r="T1971" s="527" t="s">
        <v>5915</v>
      </c>
      <c r="U1971" s="9" t="s">
        <v>5917</v>
      </c>
    </row>
    <row r="1972" spans="1:21" hidden="1" x14ac:dyDescent="0.35">
      <c r="A1972" s="494" t="s">
        <v>4139</v>
      </c>
      <c r="B1972" s="477" t="s">
        <v>3467</v>
      </c>
      <c r="C1972" s="467">
        <v>42984</v>
      </c>
      <c r="D1972" s="467">
        <v>42984</v>
      </c>
      <c r="E1972" s="467"/>
      <c r="F1972" s="493" t="s">
        <v>5522</v>
      </c>
      <c r="G1972" s="493" t="s">
        <v>5520</v>
      </c>
      <c r="H1972" s="463" t="s">
        <v>5449</v>
      </c>
      <c r="I1972" s="484">
        <f>12724.54/3</f>
        <v>4241.5133333333333</v>
      </c>
      <c r="J1972" s="375">
        <f>2894.59/3</f>
        <v>964.86333333333334</v>
      </c>
      <c r="K1972" s="376">
        <f t="shared" si="144"/>
        <v>536.07806800000003</v>
      </c>
      <c r="L1972" s="368">
        <f t="shared" si="145"/>
        <v>107.21561360000001</v>
      </c>
      <c r="M1972" s="368" t="s">
        <v>6169</v>
      </c>
      <c r="N1972" s="463" t="s">
        <v>3785</v>
      </c>
      <c r="O1972" s="463" t="s">
        <v>3986</v>
      </c>
      <c r="P1972" s="464" t="s">
        <v>3659</v>
      </c>
      <c r="Q1972" s="431">
        <v>0.2</v>
      </c>
      <c r="R1972" s="430">
        <v>1900006902</v>
      </c>
      <c r="S1972" s="466" t="s">
        <v>2504</v>
      </c>
      <c r="T1972" s="2" t="s">
        <v>5915</v>
      </c>
      <c r="U1972" s="9" t="s">
        <v>5917</v>
      </c>
    </row>
    <row r="1973" spans="1:21" hidden="1" x14ac:dyDescent="0.35">
      <c r="A1973" s="494" t="s">
        <v>4140</v>
      </c>
      <c r="B1973" s="477" t="s">
        <v>3467</v>
      </c>
      <c r="C1973" s="467">
        <v>42984</v>
      </c>
      <c r="D1973" s="467">
        <v>42984</v>
      </c>
      <c r="E1973" s="467"/>
      <c r="F1973" s="493" t="s">
        <v>5522</v>
      </c>
      <c r="G1973" s="493" t="s">
        <v>5520</v>
      </c>
      <c r="H1973" s="463" t="s">
        <v>5449</v>
      </c>
      <c r="I1973" s="484">
        <f>12724.54/3</f>
        <v>4241.5133333333333</v>
      </c>
      <c r="J1973" s="375">
        <f>2894.59/3</f>
        <v>964.86333333333334</v>
      </c>
      <c r="K1973" s="376">
        <f t="shared" si="144"/>
        <v>536.07806800000003</v>
      </c>
      <c r="L1973" s="368">
        <f t="shared" si="145"/>
        <v>107.21561360000001</v>
      </c>
      <c r="M1973" s="368" t="s">
        <v>6169</v>
      </c>
      <c r="N1973" s="463" t="s">
        <v>3785</v>
      </c>
      <c r="O1973" s="463" t="s">
        <v>3986</v>
      </c>
      <c r="P1973" s="464" t="s">
        <v>3659</v>
      </c>
      <c r="Q1973" s="431">
        <v>0.2</v>
      </c>
      <c r="R1973" s="430">
        <v>1900006902</v>
      </c>
      <c r="S1973" s="466" t="s">
        <v>2504</v>
      </c>
      <c r="T1973" s="2" t="s">
        <v>5915</v>
      </c>
      <c r="U1973" s="9" t="s">
        <v>5917</v>
      </c>
    </row>
    <row r="1974" spans="1:21" hidden="1" x14ac:dyDescent="0.35">
      <c r="A1974" s="494" t="s">
        <v>4141</v>
      </c>
      <c r="B1974" s="477" t="s">
        <v>3467</v>
      </c>
      <c r="C1974" s="467">
        <v>42984</v>
      </c>
      <c r="D1974" s="467">
        <v>42984</v>
      </c>
      <c r="E1974" s="467"/>
      <c r="F1974" s="493" t="s">
        <v>5522</v>
      </c>
      <c r="G1974" s="493" t="s">
        <v>5520</v>
      </c>
      <c r="H1974" s="463" t="s">
        <v>5449</v>
      </c>
      <c r="I1974" s="484">
        <f>12724.54/3</f>
        <v>4241.5133333333333</v>
      </c>
      <c r="J1974" s="375">
        <f>2894.59/3</f>
        <v>964.86333333333334</v>
      </c>
      <c r="K1974" s="376">
        <f t="shared" si="144"/>
        <v>536.07806800000003</v>
      </c>
      <c r="L1974" s="368">
        <f t="shared" si="145"/>
        <v>107.21561360000001</v>
      </c>
      <c r="M1974" s="368" t="s">
        <v>6169</v>
      </c>
      <c r="N1974" s="463" t="s">
        <v>3785</v>
      </c>
      <c r="O1974" s="463" t="s">
        <v>3986</v>
      </c>
      <c r="P1974" s="464" t="s">
        <v>3659</v>
      </c>
      <c r="Q1974" s="431">
        <v>0.2</v>
      </c>
      <c r="R1974" s="430">
        <v>1900006902</v>
      </c>
      <c r="S1974" s="526" t="s">
        <v>2504</v>
      </c>
      <c r="T1974" s="524" t="s">
        <v>5915</v>
      </c>
      <c r="U1974" s="9" t="s">
        <v>5917</v>
      </c>
    </row>
    <row r="1975" spans="1:21" hidden="1" x14ac:dyDescent="0.35">
      <c r="A1975" s="494" t="s">
        <v>4139</v>
      </c>
      <c r="B1975" s="540" t="s">
        <v>5524</v>
      </c>
      <c r="C1975" s="467">
        <v>42984</v>
      </c>
      <c r="D1975" s="467">
        <v>42984</v>
      </c>
      <c r="E1975" s="467"/>
      <c r="F1975" s="493" t="s">
        <v>5522</v>
      </c>
      <c r="G1975" s="493"/>
      <c r="H1975" s="463" t="s">
        <v>5449</v>
      </c>
      <c r="I1975" s="484">
        <f>321.06/3</f>
        <v>107.02</v>
      </c>
      <c r="J1975" s="375">
        <f>73.04/3</f>
        <v>24.346666666666668</v>
      </c>
      <c r="K1975" s="376">
        <f t="shared" si="144"/>
        <v>13.527008</v>
      </c>
      <c r="L1975" s="368">
        <f t="shared" si="145"/>
        <v>2.7054016000000001</v>
      </c>
      <c r="M1975" s="368" t="s">
        <v>6169</v>
      </c>
      <c r="N1975" s="463" t="s">
        <v>3785</v>
      </c>
      <c r="O1975" s="463" t="s">
        <v>3986</v>
      </c>
      <c r="P1975" s="464" t="s">
        <v>3659</v>
      </c>
      <c r="Q1975" s="431">
        <v>0.2</v>
      </c>
      <c r="R1975" s="430">
        <v>1900006902</v>
      </c>
      <c r="S1975" s="466" t="s">
        <v>3475</v>
      </c>
      <c r="T1975" s="2" t="s">
        <v>5914</v>
      </c>
      <c r="U1975" s="2" t="s">
        <v>3475</v>
      </c>
    </row>
    <row r="1976" spans="1:21" hidden="1" x14ac:dyDescent="0.35">
      <c r="A1976" s="494" t="s">
        <v>4140</v>
      </c>
      <c r="B1976" s="540" t="s">
        <v>5524</v>
      </c>
      <c r="C1976" s="467">
        <v>42984</v>
      </c>
      <c r="D1976" s="467">
        <v>42984</v>
      </c>
      <c r="E1976" s="467"/>
      <c r="F1976" s="493" t="s">
        <v>5522</v>
      </c>
      <c r="G1976" s="493"/>
      <c r="H1976" s="463" t="s">
        <v>5449</v>
      </c>
      <c r="I1976" s="484">
        <f>321.06/3</f>
        <v>107.02</v>
      </c>
      <c r="J1976" s="375">
        <f>73.04/3</f>
        <v>24.346666666666668</v>
      </c>
      <c r="K1976" s="376">
        <f t="shared" si="144"/>
        <v>13.527008</v>
      </c>
      <c r="L1976" s="368">
        <f t="shared" si="145"/>
        <v>2.7054016000000001</v>
      </c>
      <c r="M1976" s="368" t="s">
        <v>6169</v>
      </c>
      <c r="N1976" s="463" t="s">
        <v>3785</v>
      </c>
      <c r="O1976" s="463" t="s">
        <v>3986</v>
      </c>
      <c r="P1976" s="464" t="s">
        <v>3659</v>
      </c>
      <c r="Q1976" s="431">
        <v>0.2</v>
      </c>
      <c r="R1976" s="430">
        <v>1900006902</v>
      </c>
      <c r="S1976" s="466" t="s">
        <v>3475</v>
      </c>
      <c r="T1976" s="2" t="s">
        <v>5914</v>
      </c>
      <c r="U1976" s="2" t="s">
        <v>3475</v>
      </c>
    </row>
    <row r="1977" spans="1:21" hidden="1" x14ac:dyDescent="0.35">
      <c r="A1977" s="494" t="s">
        <v>4141</v>
      </c>
      <c r="B1977" s="540" t="s">
        <v>5524</v>
      </c>
      <c r="C1977" s="467">
        <v>42984</v>
      </c>
      <c r="D1977" s="467">
        <v>42984</v>
      </c>
      <c r="E1977" s="467"/>
      <c r="F1977" s="493" t="s">
        <v>5522</v>
      </c>
      <c r="G1977" s="493"/>
      <c r="H1977" s="463" t="s">
        <v>5449</v>
      </c>
      <c r="I1977" s="484">
        <f>321.06/3</f>
        <v>107.02</v>
      </c>
      <c r="J1977" s="375">
        <f>73.04/3</f>
        <v>24.346666666666668</v>
      </c>
      <c r="K1977" s="376">
        <f t="shared" si="144"/>
        <v>13.527008</v>
      </c>
      <c r="L1977" s="368">
        <f t="shared" si="145"/>
        <v>2.7054016000000001</v>
      </c>
      <c r="M1977" s="368" t="s">
        <v>6169</v>
      </c>
      <c r="N1977" s="463" t="s">
        <v>3785</v>
      </c>
      <c r="O1977" s="463" t="s">
        <v>3986</v>
      </c>
      <c r="P1977" s="464" t="s">
        <v>3659</v>
      </c>
      <c r="Q1977" s="431">
        <v>0.2</v>
      </c>
      <c r="R1977" s="430">
        <v>1900006902</v>
      </c>
      <c r="S1977" s="466" t="s">
        <v>3475</v>
      </c>
      <c r="T1977" s="2" t="s">
        <v>5914</v>
      </c>
      <c r="U1977" s="2" t="s">
        <v>3475</v>
      </c>
    </row>
    <row r="1978" spans="1:21" hidden="1" x14ac:dyDescent="0.35">
      <c r="A1978" s="463" t="s">
        <v>5525</v>
      </c>
      <c r="B1978" s="433" t="s">
        <v>5526</v>
      </c>
      <c r="C1978" s="467" t="s">
        <v>5527</v>
      </c>
      <c r="D1978" s="467" t="s">
        <v>5527</v>
      </c>
      <c r="E1978" s="467"/>
      <c r="F1978" s="473" t="s">
        <v>5528</v>
      </c>
      <c r="G1978" s="473" t="s">
        <v>5923</v>
      </c>
      <c r="H1978" s="463" t="s">
        <v>5449</v>
      </c>
      <c r="I1978" s="378">
        <v>3228</v>
      </c>
      <c r="J1978" s="368">
        <v>735.98400000000004</v>
      </c>
      <c r="K1978" s="366">
        <f>+J1978*0.5556</f>
        <v>408.91271039999998</v>
      </c>
      <c r="L1978" s="502">
        <f>+Q1978*K1978</f>
        <v>81.782542079999999</v>
      </c>
      <c r="M1978" s="502" t="s">
        <v>6169</v>
      </c>
      <c r="N1978" s="463" t="s">
        <v>3785</v>
      </c>
      <c r="O1978" s="463" t="s">
        <v>5529</v>
      </c>
      <c r="P1978" s="464" t="s">
        <v>5530</v>
      </c>
      <c r="Q1978" s="431">
        <v>0.2</v>
      </c>
      <c r="R1978" s="464">
        <v>1900005175</v>
      </c>
      <c r="S1978" s="531" t="s">
        <v>3475</v>
      </c>
      <c r="T1978" s="527" t="s">
        <v>5914</v>
      </c>
      <c r="U1978" s="9" t="s">
        <v>3475</v>
      </c>
    </row>
    <row r="1979" spans="1:21" hidden="1" x14ac:dyDescent="0.35">
      <c r="A1979" s="463" t="s">
        <v>5531</v>
      </c>
      <c r="B1979" s="433" t="s">
        <v>5532</v>
      </c>
      <c r="C1979" s="467" t="s">
        <v>5527</v>
      </c>
      <c r="D1979" s="467" t="s">
        <v>5527</v>
      </c>
      <c r="E1979" s="467"/>
      <c r="F1979" s="473" t="s">
        <v>5528</v>
      </c>
      <c r="G1979" s="473" t="s">
        <v>5923</v>
      </c>
      <c r="H1979" s="463" t="s">
        <v>5449</v>
      </c>
      <c r="I1979" s="378">
        <v>1788</v>
      </c>
      <c r="J1979" s="368">
        <f>407.664+0.21</f>
        <v>407.87399999999997</v>
      </c>
      <c r="K1979" s="366">
        <f>+J1979*0.5556</f>
        <v>226.61479439999997</v>
      </c>
      <c r="L1979" s="502">
        <f>+Q1979*K1979</f>
        <v>45.322958879999995</v>
      </c>
      <c r="M1979" s="502" t="s">
        <v>6169</v>
      </c>
      <c r="N1979" s="463" t="s">
        <v>3785</v>
      </c>
      <c r="O1979" s="463" t="s">
        <v>5529</v>
      </c>
      <c r="P1979" s="464" t="s">
        <v>5530</v>
      </c>
      <c r="Q1979" s="431">
        <v>0.2</v>
      </c>
      <c r="R1979" s="464">
        <v>1900005175</v>
      </c>
      <c r="S1979" s="466" t="s">
        <v>3475</v>
      </c>
      <c r="T1979" s="2" t="s">
        <v>5914</v>
      </c>
      <c r="U1979" s="9" t="s">
        <v>3475</v>
      </c>
    </row>
    <row r="1980" spans="1:21" hidden="1" x14ac:dyDescent="0.35">
      <c r="A1980" s="494" t="s">
        <v>5519</v>
      </c>
      <c r="B1980" s="463" t="s">
        <v>5533</v>
      </c>
      <c r="C1980" s="467">
        <v>42861</v>
      </c>
      <c r="D1980" s="467">
        <v>42861</v>
      </c>
      <c r="E1980" s="467" t="s">
        <v>3518</v>
      </c>
      <c r="F1980" s="498" t="s">
        <v>5454</v>
      </c>
      <c r="G1980" s="498" t="s">
        <v>5302</v>
      </c>
      <c r="H1980" s="463" t="s">
        <v>5449</v>
      </c>
      <c r="I1980" s="500">
        <f>87555.01/2</f>
        <v>43777.504999999997</v>
      </c>
      <c r="J1980" s="500">
        <f>20661.51/2</f>
        <v>10330.754999999999</v>
      </c>
      <c r="K1980" s="500">
        <f>+J1980*(0.5556)</f>
        <v>5739.7674779999998</v>
      </c>
      <c r="L1980" s="366">
        <f>+K1980*Q1980</f>
        <v>1147.9534956</v>
      </c>
      <c r="M1980" s="366" t="s">
        <v>6169</v>
      </c>
      <c r="N1980" s="463" t="s">
        <v>3785</v>
      </c>
      <c r="O1980" s="463" t="s">
        <v>3978</v>
      </c>
      <c r="P1980" s="464" t="s">
        <v>3659</v>
      </c>
      <c r="Q1980" s="431">
        <v>0.2</v>
      </c>
      <c r="R1980" s="430">
        <v>1900002848</v>
      </c>
      <c r="S1980" s="466" t="s">
        <v>57</v>
      </c>
      <c r="T1980" s="2" t="s">
        <v>5915</v>
      </c>
    </row>
    <row r="1981" spans="1:21" hidden="1" x14ac:dyDescent="0.35">
      <c r="A1981" s="494" t="s">
        <v>4118</v>
      </c>
      <c r="B1981" s="463" t="s">
        <v>5533</v>
      </c>
      <c r="C1981" s="467">
        <v>42861</v>
      </c>
      <c r="D1981" s="467">
        <v>42861</v>
      </c>
      <c r="E1981" s="467" t="s">
        <v>3520</v>
      </c>
      <c r="F1981" s="498" t="s">
        <v>5454</v>
      </c>
      <c r="G1981" s="498" t="s">
        <v>5302</v>
      </c>
      <c r="H1981" s="463" t="s">
        <v>5449</v>
      </c>
      <c r="I1981" s="500">
        <f>87555.01/2</f>
        <v>43777.504999999997</v>
      </c>
      <c r="J1981" s="500">
        <f>20661.51/2</f>
        <v>10330.754999999999</v>
      </c>
      <c r="K1981" s="500">
        <f>+J1981*(0.5556)</f>
        <v>5739.7674779999998</v>
      </c>
      <c r="L1981" s="366">
        <f>+K1981*Q1981</f>
        <v>1147.9534956</v>
      </c>
      <c r="M1981" s="366" t="s">
        <v>6169</v>
      </c>
      <c r="N1981" s="463" t="s">
        <v>3785</v>
      </c>
      <c r="O1981" s="463" t="s">
        <v>3978</v>
      </c>
      <c r="P1981" s="464" t="s">
        <v>3659</v>
      </c>
      <c r="Q1981" s="431">
        <v>0.2</v>
      </c>
      <c r="R1981" s="430">
        <v>1900002848</v>
      </c>
      <c r="S1981" s="466" t="s">
        <v>57</v>
      </c>
      <c r="T1981" s="2" t="s">
        <v>5915</v>
      </c>
    </row>
    <row r="1982" spans="1:21" hidden="1" x14ac:dyDescent="0.35">
      <c r="A1982" s="494" t="s">
        <v>4121</v>
      </c>
      <c r="B1982" s="463" t="s">
        <v>5534</v>
      </c>
      <c r="C1982" s="467">
        <v>43117</v>
      </c>
      <c r="D1982" s="467">
        <v>43117</v>
      </c>
      <c r="E1982" s="467" t="s">
        <v>2594</v>
      </c>
      <c r="F1982" s="466">
        <v>74936</v>
      </c>
      <c r="G1982" s="466" t="s">
        <v>5168</v>
      </c>
      <c r="H1982" s="463" t="s">
        <v>5449</v>
      </c>
      <c r="I1982" s="502">
        <f t="shared" ref="I1982:I1987" si="150">J1982*4.41363</f>
        <v>2185.6222199500003</v>
      </c>
      <c r="J1982" s="502">
        <f t="shared" ref="J1982:J1987" si="151">2971.19/6</f>
        <v>495.19833333333332</v>
      </c>
      <c r="K1982" s="376">
        <f t="shared" ref="K1982:K2005" si="152">+J1982*(0.5556)</f>
        <v>275.13219399999997</v>
      </c>
      <c r="L1982" s="366">
        <f t="shared" ref="L1982:L2005" si="153">+K1982*Q1982</f>
        <v>55.026438799999994</v>
      </c>
      <c r="M1982" s="366" t="s">
        <v>6169</v>
      </c>
      <c r="N1982" s="463" t="s">
        <v>3785</v>
      </c>
      <c r="O1982" s="463" t="s">
        <v>3739</v>
      </c>
      <c r="P1982" s="464" t="s">
        <v>3659</v>
      </c>
      <c r="Q1982" s="431">
        <v>0.2</v>
      </c>
      <c r="R1982" s="464">
        <v>1900001863</v>
      </c>
      <c r="S1982" s="466" t="s">
        <v>2592</v>
      </c>
      <c r="T1982" s="2" t="s">
        <v>5915</v>
      </c>
    </row>
    <row r="1983" spans="1:21" hidden="1" x14ac:dyDescent="0.35">
      <c r="A1983" s="494" t="s">
        <v>4122</v>
      </c>
      <c r="B1983" s="463" t="s">
        <v>2587</v>
      </c>
      <c r="C1983" s="467">
        <v>43117</v>
      </c>
      <c r="D1983" s="467">
        <v>43117</v>
      </c>
      <c r="E1983" s="467" t="s">
        <v>2588</v>
      </c>
      <c r="F1983" s="466">
        <v>74936</v>
      </c>
      <c r="G1983" s="466" t="s">
        <v>5168</v>
      </c>
      <c r="H1983" s="463" t="s">
        <v>5449</v>
      </c>
      <c r="I1983" s="502">
        <f t="shared" si="150"/>
        <v>2185.6222199500003</v>
      </c>
      <c r="J1983" s="502">
        <f t="shared" si="151"/>
        <v>495.19833333333332</v>
      </c>
      <c r="K1983" s="376">
        <f t="shared" si="152"/>
        <v>275.13219399999997</v>
      </c>
      <c r="L1983" s="366">
        <f t="shared" si="153"/>
        <v>55.026438799999994</v>
      </c>
      <c r="M1983" s="366" t="s">
        <v>6169</v>
      </c>
      <c r="N1983" s="463" t="s">
        <v>3785</v>
      </c>
      <c r="O1983" s="463" t="s">
        <v>3739</v>
      </c>
      <c r="P1983" s="464" t="s">
        <v>3659</v>
      </c>
      <c r="Q1983" s="431">
        <v>0.2</v>
      </c>
      <c r="R1983" s="464">
        <v>1900001863</v>
      </c>
      <c r="S1983" s="466" t="s">
        <v>2586</v>
      </c>
      <c r="T1983" s="2" t="s">
        <v>5915</v>
      </c>
    </row>
    <row r="1984" spans="1:21" hidden="1" x14ac:dyDescent="0.35">
      <c r="A1984" s="494" t="s">
        <v>4123</v>
      </c>
      <c r="B1984" s="463" t="s">
        <v>2590</v>
      </c>
      <c r="C1984" s="467">
        <v>43117</v>
      </c>
      <c r="D1984" s="467">
        <v>43117</v>
      </c>
      <c r="E1984" s="467" t="s">
        <v>2591</v>
      </c>
      <c r="F1984" s="466">
        <v>74936</v>
      </c>
      <c r="G1984" s="466" t="s">
        <v>5168</v>
      </c>
      <c r="H1984" s="463" t="s">
        <v>5449</v>
      </c>
      <c r="I1984" s="502">
        <f t="shared" si="150"/>
        <v>2185.6222199500003</v>
      </c>
      <c r="J1984" s="502">
        <f t="shared" si="151"/>
        <v>495.19833333333332</v>
      </c>
      <c r="K1984" s="376">
        <f t="shared" si="152"/>
        <v>275.13219399999997</v>
      </c>
      <c r="L1984" s="366">
        <f t="shared" si="153"/>
        <v>55.026438799999994</v>
      </c>
      <c r="M1984" s="366" t="s">
        <v>6169</v>
      </c>
      <c r="N1984" s="463" t="s">
        <v>3785</v>
      </c>
      <c r="O1984" s="463" t="s">
        <v>3739</v>
      </c>
      <c r="P1984" s="464" t="s">
        <v>3659</v>
      </c>
      <c r="Q1984" s="431">
        <v>0.2</v>
      </c>
      <c r="R1984" s="464">
        <v>1900001863</v>
      </c>
      <c r="S1984" s="466" t="s">
        <v>2589</v>
      </c>
      <c r="T1984" s="2" t="s">
        <v>5915</v>
      </c>
    </row>
    <row r="1985" spans="1:20" hidden="1" x14ac:dyDescent="0.35">
      <c r="A1985" s="494" t="s">
        <v>4124</v>
      </c>
      <c r="B1985" s="463" t="s">
        <v>2587</v>
      </c>
      <c r="C1985" s="467">
        <v>43117</v>
      </c>
      <c r="D1985" s="467">
        <v>43117</v>
      </c>
      <c r="E1985" s="467" t="s">
        <v>2596</v>
      </c>
      <c r="F1985" s="466">
        <v>74936</v>
      </c>
      <c r="G1985" s="466" t="s">
        <v>5168</v>
      </c>
      <c r="H1985" s="463" t="s">
        <v>5449</v>
      </c>
      <c r="I1985" s="502">
        <f t="shared" si="150"/>
        <v>2185.6222199500003</v>
      </c>
      <c r="J1985" s="502">
        <f t="shared" si="151"/>
        <v>495.19833333333332</v>
      </c>
      <c r="K1985" s="376">
        <f t="shared" si="152"/>
        <v>275.13219399999997</v>
      </c>
      <c r="L1985" s="366">
        <f t="shared" si="153"/>
        <v>55.026438799999994</v>
      </c>
      <c r="M1985" s="366" t="s">
        <v>6169</v>
      </c>
      <c r="N1985" s="463" t="s">
        <v>3785</v>
      </c>
      <c r="O1985" s="463" t="s">
        <v>3739</v>
      </c>
      <c r="P1985" s="464" t="s">
        <v>3659</v>
      </c>
      <c r="Q1985" s="431">
        <v>0.2</v>
      </c>
      <c r="R1985" s="464">
        <v>1900001863</v>
      </c>
      <c r="S1985" s="466" t="s">
        <v>2595</v>
      </c>
      <c r="T1985" s="2" t="s">
        <v>5915</v>
      </c>
    </row>
    <row r="1986" spans="1:20" hidden="1" x14ac:dyDescent="0.35">
      <c r="A1986" s="494" t="s">
        <v>4125</v>
      </c>
      <c r="B1986" s="463" t="s">
        <v>2598</v>
      </c>
      <c r="C1986" s="467">
        <v>43117</v>
      </c>
      <c r="D1986" s="467">
        <v>43117</v>
      </c>
      <c r="E1986" s="467" t="s">
        <v>2599</v>
      </c>
      <c r="F1986" s="466">
        <v>74936</v>
      </c>
      <c r="G1986" s="466" t="s">
        <v>5168</v>
      </c>
      <c r="H1986" s="463" t="s">
        <v>5449</v>
      </c>
      <c r="I1986" s="502">
        <f t="shared" si="150"/>
        <v>2185.6222199500003</v>
      </c>
      <c r="J1986" s="502">
        <f t="shared" si="151"/>
        <v>495.19833333333332</v>
      </c>
      <c r="K1986" s="376">
        <f t="shared" si="152"/>
        <v>275.13219399999997</v>
      </c>
      <c r="L1986" s="366">
        <f t="shared" si="153"/>
        <v>55.026438799999994</v>
      </c>
      <c r="M1986" s="366" t="s">
        <v>6169</v>
      </c>
      <c r="N1986" s="463" t="s">
        <v>3785</v>
      </c>
      <c r="O1986" s="463" t="s">
        <v>3739</v>
      </c>
      <c r="P1986" s="464" t="s">
        <v>3659</v>
      </c>
      <c r="Q1986" s="431">
        <v>0.2</v>
      </c>
      <c r="R1986" s="464">
        <v>1900001863</v>
      </c>
      <c r="S1986" s="466" t="s">
        <v>2597</v>
      </c>
      <c r="T1986" s="2" t="s">
        <v>5915</v>
      </c>
    </row>
    <row r="1987" spans="1:20" hidden="1" x14ac:dyDescent="0.35">
      <c r="A1987" s="494" t="s">
        <v>4126</v>
      </c>
      <c r="B1987" s="463" t="s">
        <v>2611</v>
      </c>
      <c r="C1987" s="467">
        <v>43117</v>
      </c>
      <c r="D1987" s="467">
        <v>43117</v>
      </c>
      <c r="E1987" s="467" t="s">
        <v>2612</v>
      </c>
      <c r="F1987" s="466">
        <v>74936</v>
      </c>
      <c r="G1987" s="466" t="s">
        <v>5168</v>
      </c>
      <c r="H1987" s="463" t="s">
        <v>5449</v>
      </c>
      <c r="I1987" s="502">
        <f t="shared" si="150"/>
        <v>2185.6222199500003</v>
      </c>
      <c r="J1987" s="502">
        <f t="shared" si="151"/>
        <v>495.19833333333332</v>
      </c>
      <c r="K1987" s="376">
        <f t="shared" si="152"/>
        <v>275.13219399999997</v>
      </c>
      <c r="L1987" s="366">
        <f t="shared" si="153"/>
        <v>55.026438799999994</v>
      </c>
      <c r="M1987" s="366" t="s">
        <v>6169</v>
      </c>
      <c r="N1987" s="463" t="s">
        <v>3785</v>
      </c>
      <c r="O1987" s="463" t="s">
        <v>3739</v>
      </c>
      <c r="P1987" s="464" t="s">
        <v>3659</v>
      </c>
      <c r="Q1987" s="431">
        <v>0.2</v>
      </c>
      <c r="R1987" s="464">
        <v>1900001863</v>
      </c>
      <c r="S1987" s="466" t="s">
        <v>2610</v>
      </c>
      <c r="T1987" s="2" t="s">
        <v>5915</v>
      </c>
    </row>
    <row r="1988" spans="1:20" hidden="1" x14ac:dyDescent="0.35">
      <c r="A1988" s="494" t="s">
        <v>4128</v>
      </c>
      <c r="B1988" s="463" t="s">
        <v>2644</v>
      </c>
      <c r="C1988" s="467">
        <v>43382</v>
      </c>
      <c r="D1988" s="467">
        <v>43382</v>
      </c>
      <c r="E1988" s="467" t="s">
        <v>2674</v>
      </c>
      <c r="F1988" s="466" t="s">
        <v>5535</v>
      </c>
      <c r="G1988" s="493" t="s">
        <v>5274</v>
      </c>
      <c r="H1988" s="463" t="s">
        <v>5449</v>
      </c>
      <c r="I1988" s="502">
        <f>+(359579.71+12560.9)/10</f>
        <v>37214.061000000002</v>
      </c>
      <c r="J1988" s="502">
        <f>(75586.1+2267.58)/10</f>
        <v>7785.3680000000004</v>
      </c>
      <c r="K1988" s="376">
        <f t="shared" si="152"/>
        <v>4325.5504608000001</v>
      </c>
      <c r="L1988" s="366">
        <f t="shared" si="153"/>
        <v>865.11009216000002</v>
      </c>
      <c r="M1988" s="366" t="s">
        <v>6169</v>
      </c>
      <c r="N1988" s="463" t="s">
        <v>3785</v>
      </c>
      <c r="O1988" s="463" t="s">
        <v>4343</v>
      </c>
      <c r="P1988" s="464" t="s">
        <v>3659</v>
      </c>
      <c r="Q1988" s="431">
        <v>0.2</v>
      </c>
      <c r="R1988" s="464">
        <v>1900005497</v>
      </c>
      <c r="S1988" s="466" t="s">
        <v>2675</v>
      </c>
      <c r="T1988" s="2" t="s">
        <v>5915</v>
      </c>
    </row>
    <row r="1989" spans="1:20" hidden="1" x14ac:dyDescent="0.35">
      <c r="A1989" s="494" t="s">
        <v>4129</v>
      </c>
      <c r="B1989" s="463" t="s">
        <v>2644</v>
      </c>
      <c r="C1989" s="467">
        <v>43382</v>
      </c>
      <c r="D1989" s="467">
        <v>43382</v>
      </c>
      <c r="E1989" s="467" t="s">
        <v>2704</v>
      </c>
      <c r="F1989" s="466" t="s">
        <v>5535</v>
      </c>
      <c r="G1989" s="493" t="s">
        <v>5274</v>
      </c>
      <c r="H1989" s="463" t="s">
        <v>5449</v>
      </c>
      <c r="I1989" s="502">
        <f t="shared" ref="I1989:I1997" si="154">+(359579.71+12560.9)/10</f>
        <v>37214.061000000002</v>
      </c>
      <c r="J1989" s="502">
        <f t="shared" ref="J1989:J1997" si="155">(75586.1+2267.58)/10</f>
        <v>7785.3680000000004</v>
      </c>
      <c r="K1989" s="376">
        <f t="shared" si="152"/>
        <v>4325.5504608000001</v>
      </c>
      <c r="L1989" s="366">
        <f t="shared" si="153"/>
        <v>865.11009216000002</v>
      </c>
      <c r="M1989" s="366" t="s">
        <v>6169</v>
      </c>
      <c r="N1989" s="463" t="s">
        <v>3785</v>
      </c>
      <c r="O1989" s="463" t="s">
        <v>4343</v>
      </c>
      <c r="P1989" s="464" t="s">
        <v>3659</v>
      </c>
      <c r="Q1989" s="431">
        <v>0.2</v>
      </c>
      <c r="R1989" s="464">
        <v>1900005497</v>
      </c>
      <c r="S1989" s="466" t="s">
        <v>2701</v>
      </c>
      <c r="T1989" s="2" t="s">
        <v>5915</v>
      </c>
    </row>
    <row r="1990" spans="1:20" hidden="1" x14ac:dyDescent="0.35">
      <c r="A1990" s="494" t="s">
        <v>4130</v>
      </c>
      <c r="B1990" s="463" t="s">
        <v>2644</v>
      </c>
      <c r="C1990" s="467">
        <v>43382</v>
      </c>
      <c r="D1990" s="467">
        <v>43382</v>
      </c>
      <c r="E1990" s="467" t="s">
        <v>2706</v>
      </c>
      <c r="F1990" s="466" t="s">
        <v>5535</v>
      </c>
      <c r="G1990" s="493" t="s">
        <v>5274</v>
      </c>
      <c r="H1990" s="463" t="s">
        <v>5449</v>
      </c>
      <c r="I1990" s="502">
        <f t="shared" si="154"/>
        <v>37214.061000000002</v>
      </c>
      <c r="J1990" s="502">
        <f t="shared" si="155"/>
        <v>7785.3680000000004</v>
      </c>
      <c r="K1990" s="376">
        <f t="shared" si="152"/>
        <v>4325.5504608000001</v>
      </c>
      <c r="L1990" s="366">
        <f t="shared" si="153"/>
        <v>865.11009216000002</v>
      </c>
      <c r="M1990" s="366" t="s">
        <v>6169</v>
      </c>
      <c r="N1990" s="463" t="s">
        <v>3785</v>
      </c>
      <c r="O1990" s="463" t="s">
        <v>4343</v>
      </c>
      <c r="P1990" s="464" t="s">
        <v>3659</v>
      </c>
      <c r="Q1990" s="431">
        <v>0.2</v>
      </c>
      <c r="R1990" s="464">
        <v>1900005497</v>
      </c>
      <c r="S1990" s="466" t="s">
        <v>2701</v>
      </c>
      <c r="T1990" s="2" t="s">
        <v>5915</v>
      </c>
    </row>
    <row r="1991" spans="1:20" hidden="1" x14ac:dyDescent="0.35">
      <c r="A1991" s="494" t="s">
        <v>4131</v>
      </c>
      <c r="B1991" s="463" t="s">
        <v>2644</v>
      </c>
      <c r="C1991" s="467">
        <v>43382</v>
      </c>
      <c r="D1991" s="467">
        <v>43382</v>
      </c>
      <c r="E1991" s="467" t="s">
        <v>2925</v>
      </c>
      <c r="F1991" s="466" t="s">
        <v>5535</v>
      </c>
      <c r="G1991" s="493" t="s">
        <v>5274</v>
      </c>
      <c r="H1991" s="463" t="s">
        <v>5449</v>
      </c>
      <c r="I1991" s="502">
        <f t="shared" si="154"/>
        <v>37214.061000000002</v>
      </c>
      <c r="J1991" s="502">
        <f t="shared" si="155"/>
        <v>7785.3680000000004</v>
      </c>
      <c r="K1991" s="376">
        <f t="shared" si="152"/>
        <v>4325.5504608000001</v>
      </c>
      <c r="L1991" s="366">
        <f t="shared" si="153"/>
        <v>865.11009216000002</v>
      </c>
      <c r="M1991" s="366" t="s">
        <v>6169</v>
      </c>
      <c r="N1991" s="463" t="s">
        <v>3785</v>
      </c>
      <c r="O1991" s="463" t="s">
        <v>4343</v>
      </c>
      <c r="P1991" s="464" t="s">
        <v>3659</v>
      </c>
      <c r="Q1991" s="431">
        <v>0.2</v>
      </c>
      <c r="R1991" s="464">
        <v>1900005497</v>
      </c>
      <c r="S1991" s="466" t="s">
        <v>2504</v>
      </c>
      <c r="T1991" s="2" t="s">
        <v>5915</v>
      </c>
    </row>
    <row r="1992" spans="1:20" hidden="1" x14ac:dyDescent="0.35">
      <c r="A1992" s="494" t="s">
        <v>4132</v>
      </c>
      <c r="B1992" s="463" t="s">
        <v>2644</v>
      </c>
      <c r="C1992" s="467">
        <v>43382</v>
      </c>
      <c r="D1992" s="467">
        <v>43382</v>
      </c>
      <c r="E1992" s="467" t="s">
        <v>2933</v>
      </c>
      <c r="F1992" s="466" t="s">
        <v>5535</v>
      </c>
      <c r="G1992" s="493" t="s">
        <v>5274</v>
      </c>
      <c r="H1992" s="463" t="s">
        <v>5449</v>
      </c>
      <c r="I1992" s="502">
        <f t="shared" si="154"/>
        <v>37214.061000000002</v>
      </c>
      <c r="J1992" s="502">
        <f t="shared" si="155"/>
        <v>7785.3680000000004</v>
      </c>
      <c r="K1992" s="376">
        <f t="shared" si="152"/>
        <v>4325.5504608000001</v>
      </c>
      <c r="L1992" s="366">
        <f t="shared" si="153"/>
        <v>865.11009216000002</v>
      </c>
      <c r="M1992" s="366" t="s">
        <v>6169</v>
      </c>
      <c r="N1992" s="463" t="s">
        <v>3785</v>
      </c>
      <c r="O1992" s="463" t="s">
        <v>4343</v>
      </c>
      <c r="P1992" s="464" t="s">
        <v>3659</v>
      </c>
      <c r="Q1992" s="431">
        <v>0.2</v>
      </c>
      <c r="R1992" s="464">
        <v>1900005497</v>
      </c>
      <c r="S1992" s="466" t="s">
        <v>2675</v>
      </c>
      <c r="T1992" s="2" t="s">
        <v>5915</v>
      </c>
    </row>
    <row r="1993" spans="1:20" hidden="1" x14ac:dyDescent="0.35">
      <c r="A1993" s="494" t="s">
        <v>4133</v>
      </c>
      <c r="B1993" s="463" t="s">
        <v>2644</v>
      </c>
      <c r="C1993" s="467">
        <v>43382</v>
      </c>
      <c r="D1993" s="467">
        <v>43382</v>
      </c>
      <c r="E1993" s="467" t="s">
        <v>2935</v>
      </c>
      <c r="F1993" s="466" t="s">
        <v>5535</v>
      </c>
      <c r="G1993" s="493" t="s">
        <v>5274</v>
      </c>
      <c r="H1993" s="463" t="s">
        <v>5449</v>
      </c>
      <c r="I1993" s="502">
        <f t="shared" si="154"/>
        <v>37214.061000000002</v>
      </c>
      <c r="J1993" s="502">
        <f t="shared" si="155"/>
        <v>7785.3680000000004</v>
      </c>
      <c r="K1993" s="376">
        <f t="shared" si="152"/>
        <v>4325.5504608000001</v>
      </c>
      <c r="L1993" s="366">
        <f t="shared" si="153"/>
        <v>865.11009216000002</v>
      </c>
      <c r="M1993" s="366" t="s">
        <v>6169</v>
      </c>
      <c r="N1993" s="463" t="s">
        <v>3785</v>
      </c>
      <c r="O1993" s="463" t="s">
        <v>4343</v>
      </c>
      <c r="P1993" s="464" t="s">
        <v>3659</v>
      </c>
      <c r="Q1993" s="431">
        <v>0.2</v>
      </c>
      <c r="R1993" s="464">
        <v>1900005497</v>
      </c>
      <c r="S1993" s="466" t="s">
        <v>2675</v>
      </c>
      <c r="T1993" s="2" t="s">
        <v>5915</v>
      </c>
    </row>
    <row r="1994" spans="1:20" hidden="1" x14ac:dyDescent="0.35">
      <c r="A1994" s="494" t="s">
        <v>4134</v>
      </c>
      <c r="B1994" s="463" t="s">
        <v>2644</v>
      </c>
      <c r="C1994" s="467">
        <v>43382</v>
      </c>
      <c r="D1994" s="467">
        <v>43382</v>
      </c>
      <c r="E1994" s="467" t="s">
        <v>2937</v>
      </c>
      <c r="F1994" s="466" t="s">
        <v>5535</v>
      </c>
      <c r="G1994" s="493" t="s">
        <v>5274</v>
      </c>
      <c r="H1994" s="463" t="s">
        <v>5449</v>
      </c>
      <c r="I1994" s="502">
        <f t="shared" si="154"/>
        <v>37214.061000000002</v>
      </c>
      <c r="J1994" s="502">
        <f t="shared" si="155"/>
        <v>7785.3680000000004</v>
      </c>
      <c r="K1994" s="376">
        <f t="shared" si="152"/>
        <v>4325.5504608000001</v>
      </c>
      <c r="L1994" s="366">
        <f t="shared" si="153"/>
        <v>865.11009216000002</v>
      </c>
      <c r="M1994" s="366" t="s">
        <v>6169</v>
      </c>
      <c r="N1994" s="463" t="s">
        <v>3785</v>
      </c>
      <c r="O1994" s="463" t="s">
        <v>4343</v>
      </c>
      <c r="P1994" s="464" t="s">
        <v>3659</v>
      </c>
      <c r="Q1994" s="431">
        <v>0.2</v>
      </c>
      <c r="R1994" s="464">
        <v>1900005497</v>
      </c>
      <c r="S1994" s="466" t="s">
        <v>2675</v>
      </c>
      <c r="T1994" s="2" t="s">
        <v>5915</v>
      </c>
    </row>
    <row r="1995" spans="1:20" hidden="1" x14ac:dyDescent="0.35">
      <c r="A1995" s="494" t="s">
        <v>4135</v>
      </c>
      <c r="B1995" s="463" t="s">
        <v>5536</v>
      </c>
      <c r="C1995" s="467">
        <v>43382</v>
      </c>
      <c r="D1995" s="467">
        <v>43382</v>
      </c>
      <c r="E1995" s="467" t="s">
        <v>2952</v>
      </c>
      <c r="F1995" s="466" t="s">
        <v>5535</v>
      </c>
      <c r="G1995" s="493" t="s">
        <v>5274</v>
      </c>
      <c r="H1995" s="463" t="s">
        <v>5449</v>
      </c>
      <c r="I1995" s="502">
        <f t="shared" si="154"/>
        <v>37214.061000000002</v>
      </c>
      <c r="J1995" s="502">
        <f t="shared" si="155"/>
        <v>7785.3680000000004</v>
      </c>
      <c r="K1995" s="376">
        <f t="shared" si="152"/>
        <v>4325.5504608000001</v>
      </c>
      <c r="L1995" s="366">
        <f t="shared" si="153"/>
        <v>865.11009216000002</v>
      </c>
      <c r="M1995" s="366" t="s">
        <v>6169</v>
      </c>
      <c r="N1995" s="463" t="s">
        <v>3785</v>
      </c>
      <c r="O1995" s="463" t="s">
        <v>4343</v>
      </c>
      <c r="P1995" s="464" t="s">
        <v>3659</v>
      </c>
      <c r="Q1995" s="431">
        <v>0.2</v>
      </c>
      <c r="R1995" s="464">
        <v>1900005497</v>
      </c>
      <c r="S1995" s="466" t="s">
        <v>1377</v>
      </c>
      <c r="T1995" s="2" t="s">
        <v>5915</v>
      </c>
    </row>
    <row r="1996" spans="1:20" hidden="1" x14ac:dyDescent="0.35">
      <c r="A1996" s="494" t="s">
        <v>4138</v>
      </c>
      <c r="B1996" s="463" t="s">
        <v>5536</v>
      </c>
      <c r="C1996" s="467">
        <v>43382</v>
      </c>
      <c r="D1996" s="467">
        <v>43382</v>
      </c>
      <c r="E1996" s="467" t="s">
        <v>2954</v>
      </c>
      <c r="F1996" s="466" t="s">
        <v>5535</v>
      </c>
      <c r="G1996" s="493" t="s">
        <v>5274</v>
      </c>
      <c r="H1996" s="463" t="s">
        <v>5449</v>
      </c>
      <c r="I1996" s="502">
        <f t="shared" si="154"/>
        <v>37214.061000000002</v>
      </c>
      <c r="J1996" s="502">
        <f t="shared" si="155"/>
        <v>7785.3680000000004</v>
      </c>
      <c r="K1996" s="376">
        <f t="shared" si="152"/>
        <v>4325.5504608000001</v>
      </c>
      <c r="L1996" s="366">
        <f t="shared" si="153"/>
        <v>865.11009216000002</v>
      </c>
      <c r="M1996" s="366" t="s">
        <v>6169</v>
      </c>
      <c r="N1996" s="463" t="s">
        <v>3785</v>
      </c>
      <c r="O1996" s="463" t="s">
        <v>4343</v>
      </c>
      <c r="P1996" s="464" t="s">
        <v>3659</v>
      </c>
      <c r="Q1996" s="431">
        <v>0.2</v>
      </c>
      <c r="R1996" s="464">
        <v>1900005497</v>
      </c>
      <c r="S1996" s="466" t="s">
        <v>1664</v>
      </c>
      <c r="T1996" s="2" t="s">
        <v>5915</v>
      </c>
    </row>
    <row r="1997" spans="1:20" hidden="1" x14ac:dyDescent="0.35">
      <c r="A1997" s="494" t="s">
        <v>4139</v>
      </c>
      <c r="B1997" s="463" t="s">
        <v>5536</v>
      </c>
      <c r="C1997" s="467">
        <v>43382</v>
      </c>
      <c r="D1997" s="467">
        <v>43382</v>
      </c>
      <c r="E1997" s="467" t="s">
        <v>2965</v>
      </c>
      <c r="F1997" s="466" t="s">
        <v>5535</v>
      </c>
      <c r="G1997" s="493" t="s">
        <v>5274</v>
      </c>
      <c r="H1997" s="463" t="s">
        <v>5449</v>
      </c>
      <c r="I1997" s="502">
        <f t="shared" si="154"/>
        <v>37214.061000000002</v>
      </c>
      <c r="J1997" s="502">
        <f t="shared" si="155"/>
        <v>7785.3680000000004</v>
      </c>
      <c r="K1997" s="376">
        <f t="shared" si="152"/>
        <v>4325.5504608000001</v>
      </c>
      <c r="L1997" s="366">
        <f t="shared" si="153"/>
        <v>865.11009216000002</v>
      </c>
      <c r="M1997" s="366" t="s">
        <v>6169</v>
      </c>
      <c r="N1997" s="463" t="s">
        <v>3785</v>
      </c>
      <c r="O1997" s="463" t="s">
        <v>4343</v>
      </c>
      <c r="P1997" s="464" t="s">
        <v>3659</v>
      </c>
      <c r="Q1997" s="431">
        <v>0.2</v>
      </c>
      <c r="R1997" s="464">
        <v>1900005497</v>
      </c>
      <c r="S1997" s="466" t="s">
        <v>1664</v>
      </c>
      <c r="T1997" s="2" t="s">
        <v>5915</v>
      </c>
    </row>
    <row r="1998" spans="1:20" hidden="1" x14ac:dyDescent="0.35">
      <c r="A1998" s="494" t="s">
        <v>4140</v>
      </c>
      <c r="B1998" s="463" t="s">
        <v>5537</v>
      </c>
      <c r="C1998" s="467">
        <v>43382</v>
      </c>
      <c r="D1998" s="467">
        <v>43382</v>
      </c>
      <c r="E1998" s="467" t="s">
        <v>2700</v>
      </c>
      <c r="F1998" s="466" t="s">
        <v>5535</v>
      </c>
      <c r="G1998" s="466" t="s">
        <v>5323</v>
      </c>
      <c r="H1998" s="463" t="s">
        <v>5449</v>
      </c>
      <c r="I1998" s="502">
        <f>+(126245.2+4410.02+0.07)/8</f>
        <v>16331.911250000001</v>
      </c>
      <c r="J1998" s="502">
        <f>+(26537.6+796.13+0.01)/8</f>
        <v>3416.7174999999997</v>
      </c>
      <c r="K1998" s="376">
        <f t="shared" si="152"/>
        <v>1898.3282429999997</v>
      </c>
      <c r="L1998" s="366">
        <f t="shared" si="153"/>
        <v>379.66564859999994</v>
      </c>
      <c r="M1998" s="366" t="s">
        <v>6169</v>
      </c>
      <c r="N1998" s="463" t="s">
        <v>3785</v>
      </c>
      <c r="O1998" s="463" t="s">
        <v>4343</v>
      </c>
      <c r="P1998" s="464" t="s">
        <v>3659</v>
      </c>
      <c r="Q1998" s="431">
        <v>0.2</v>
      </c>
      <c r="R1998" s="464">
        <v>1900005497</v>
      </c>
      <c r="S1998" s="466" t="s">
        <v>2701</v>
      </c>
      <c r="T1998" s="2" t="s">
        <v>5915</v>
      </c>
    </row>
    <row r="1999" spans="1:20" hidden="1" x14ac:dyDescent="0.35">
      <c r="A1999" s="494" t="s">
        <v>4141</v>
      </c>
      <c r="B1999" s="463" t="s">
        <v>5537</v>
      </c>
      <c r="C1999" s="467">
        <v>43382</v>
      </c>
      <c r="D1999" s="467">
        <v>43382</v>
      </c>
      <c r="E1999" s="467" t="s">
        <v>2722</v>
      </c>
      <c r="F1999" s="466" t="s">
        <v>5535</v>
      </c>
      <c r="G1999" s="466" t="s">
        <v>5323</v>
      </c>
      <c r="H1999" s="463" t="s">
        <v>5449</v>
      </c>
      <c r="I1999" s="502">
        <f t="shared" ref="I1999:I2005" si="156">+(126245.2+4410.02+0.07)/8</f>
        <v>16331.911250000001</v>
      </c>
      <c r="J1999" s="502">
        <f t="shared" ref="J1999:J2005" si="157">+(26537.6+796.13+0.01)/8</f>
        <v>3416.7174999999997</v>
      </c>
      <c r="K1999" s="376">
        <f t="shared" si="152"/>
        <v>1898.3282429999997</v>
      </c>
      <c r="L1999" s="366">
        <f t="shared" si="153"/>
        <v>379.66564859999994</v>
      </c>
      <c r="M1999" s="366" t="s">
        <v>6169</v>
      </c>
      <c r="N1999" s="463" t="s">
        <v>3785</v>
      </c>
      <c r="O1999" s="463" t="s">
        <v>4343</v>
      </c>
      <c r="P1999" s="464" t="s">
        <v>3659</v>
      </c>
      <c r="Q1999" s="431">
        <v>0.2</v>
      </c>
      <c r="R1999" s="464">
        <v>1900005497</v>
      </c>
      <c r="S1999" s="466" t="s">
        <v>2504</v>
      </c>
      <c r="T1999" s="2" t="s">
        <v>5915</v>
      </c>
    </row>
    <row r="2000" spans="1:20" hidden="1" x14ac:dyDescent="0.35">
      <c r="A2000" s="494" t="s">
        <v>4142</v>
      </c>
      <c r="B2000" s="463" t="s">
        <v>5537</v>
      </c>
      <c r="C2000" s="467">
        <v>43382</v>
      </c>
      <c r="D2000" s="467">
        <v>43382</v>
      </c>
      <c r="E2000" s="467" t="s">
        <v>2724</v>
      </c>
      <c r="F2000" s="466" t="s">
        <v>5535</v>
      </c>
      <c r="G2000" s="466" t="s">
        <v>5323</v>
      </c>
      <c r="H2000" s="463" t="s">
        <v>5449</v>
      </c>
      <c r="I2000" s="502">
        <f t="shared" si="156"/>
        <v>16331.911250000001</v>
      </c>
      <c r="J2000" s="502">
        <f t="shared" si="157"/>
        <v>3416.7174999999997</v>
      </c>
      <c r="K2000" s="376">
        <f t="shared" si="152"/>
        <v>1898.3282429999997</v>
      </c>
      <c r="L2000" s="366">
        <f t="shared" si="153"/>
        <v>379.66564859999994</v>
      </c>
      <c r="M2000" s="366" t="s">
        <v>6169</v>
      </c>
      <c r="N2000" s="463" t="s">
        <v>3785</v>
      </c>
      <c r="O2000" s="463" t="s">
        <v>4343</v>
      </c>
      <c r="P2000" s="464" t="s">
        <v>3659</v>
      </c>
      <c r="Q2000" s="431">
        <v>0.2</v>
      </c>
      <c r="R2000" s="464">
        <v>1900005497</v>
      </c>
      <c r="S2000" s="466" t="s">
        <v>2504</v>
      </c>
      <c r="T2000" s="2" t="s">
        <v>5915</v>
      </c>
    </row>
    <row r="2001" spans="1:21" hidden="1" x14ac:dyDescent="0.35">
      <c r="A2001" s="494" t="s">
        <v>4143</v>
      </c>
      <c r="B2001" s="463" t="s">
        <v>5537</v>
      </c>
      <c r="C2001" s="467">
        <v>43382</v>
      </c>
      <c r="D2001" s="467">
        <v>43382</v>
      </c>
      <c r="E2001" s="467" t="s">
        <v>2923</v>
      </c>
      <c r="F2001" s="466" t="s">
        <v>5535</v>
      </c>
      <c r="G2001" s="466" t="s">
        <v>5323</v>
      </c>
      <c r="H2001" s="463" t="s">
        <v>5449</v>
      </c>
      <c r="I2001" s="502">
        <f t="shared" si="156"/>
        <v>16331.911250000001</v>
      </c>
      <c r="J2001" s="502">
        <f t="shared" si="157"/>
        <v>3416.7174999999997</v>
      </c>
      <c r="K2001" s="376">
        <f t="shared" si="152"/>
        <v>1898.3282429999997</v>
      </c>
      <c r="L2001" s="366">
        <f t="shared" si="153"/>
        <v>379.66564859999994</v>
      </c>
      <c r="M2001" s="366" t="s">
        <v>6169</v>
      </c>
      <c r="N2001" s="463" t="s">
        <v>3785</v>
      </c>
      <c r="O2001" s="463" t="s">
        <v>4343</v>
      </c>
      <c r="P2001" s="464" t="s">
        <v>3659</v>
      </c>
      <c r="Q2001" s="431">
        <v>0.2</v>
      </c>
      <c r="R2001" s="464">
        <v>1900005497</v>
      </c>
      <c r="S2001" s="466" t="s">
        <v>2504</v>
      </c>
      <c r="T2001" s="2" t="s">
        <v>5915</v>
      </c>
    </row>
    <row r="2002" spans="1:21" hidden="1" x14ac:dyDescent="0.35">
      <c r="A2002" s="494" t="s">
        <v>4145</v>
      </c>
      <c r="B2002" s="463" t="s">
        <v>5537</v>
      </c>
      <c r="C2002" s="467">
        <v>43382</v>
      </c>
      <c r="D2002" s="467">
        <v>43382</v>
      </c>
      <c r="E2002" s="467" t="s">
        <v>2941</v>
      </c>
      <c r="F2002" s="466" t="s">
        <v>5535</v>
      </c>
      <c r="G2002" s="466" t="s">
        <v>5323</v>
      </c>
      <c r="H2002" s="463" t="s">
        <v>5449</v>
      </c>
      <c r="I2002" s="502">
        <f t="shared" si="156"/>
        <v>16331.911250000001</v>
      </c>
      <c r="J2002" s="502">
        <f t="shared" si="157"/>
        <v>3416.7174999999997</v>
      </c>
      <c r="K2002" s="376">
        <f t="shared" si="152"/>
        <v>1898.3282429999997</v>
      </c>
      <c r="L2002" s="366">
        <f t="shared" si="153"/>
        <v>379.66564859999994</v>
      </c>
      <c r="M2002" s="366" t="s">
        <v>6169</v>
      </c>
      <c r="N2002" s="463" t="s">
        <v>3785</v>
      </c>
      <c r="O2002" s="463" t="s">
        <v>4343</v>
      </c>
      <c r="P2002" s="464" t="s">
        <v>3659</v>
      </c>
      <c r="Q2002" s="431">
        <v>0.2</v>
      </c>
      <c r="R2002" s="464">
        <v>1900005497</v>
      </c>
      <c r="S2002" s="466" t="s">
        <v>2675</v>
      </c>
      <c r="T2002" s="2" t="s">
        <v>5915</v>
      </c>
    </row>
    <row r="2003" spans="1:21" hidden="1" x14ac:dyDescent="0.35">
      <c r="A2003" s="494" t="s">
        <v>4146</v>
      </c>
      <c r="B2003" s="463" t="s">
        <v>5537</v>
      </c>
      <c r="C2003" s="467">
        <v>43382</v>
      </c>
      <c r="D2003" s="467">
        <v>43382</v>
      </c>
      <c r="E2003" s="467" t="s">
        <v>2943</v>
      </c>
      <c r="F2003" s="466" t="s">
        <v>5535</v>
      </c>
      <c r="G2003" s="466" t="s">
        <v>5323</v>
      </c>
      <c r="H2003" s="463" t="s">
        <v>5449</v>
      </c>
      <c r="I2003" s="502">
        <f t="shared" si="156"/>
        <v>16331.911250000001</v>
      </c>
      <c r="J2003" s="502">
        <f t="shared" si="157"/>
        <v>3416.7174999999997</v>
      </c>
      <c r="K2003" s="376">
        <f t="shared" si="152"/>
        <v>1898.3282429999997</v>
      </c>
      <c r="L2003" s="366">
        <f t="shared" si="153"/>
        <v>379.66564859999994</v>
      </c>
      <c r="M2003" s="366" t="s">
        <v>6169</v>
      </c>
      <c r="N2003" s="463" t="s">
        <v>3785</v>
      </c>
      <c r="O2003" s="463" t="s">
        <v>4343</v>
      </c>
      <c r="P2003" s="464" t="s">
        <v>3659</v>
      </c>
      <c r="Q2003" s="431">
        <v>0.2</v>
      </c>
      <c r="R2003" s="464">
        <v>1900005497</v>
      </c>
      <c r="S2003" s="466" t="s">
        <v>2675</v>
      </c>
      <c r="T2003" s="2" t="s">
        <v>5915</v>
      </c>
    </row>
    <row r="2004" spans="1:21" hidden="1" x14ac:dyDescent="0.35">
      <c r="A2004" s="494" t="s">
        <v>4147</v>
      </c>
      <c r="B2004" s="463" t="s">
        <v>5537</v>
      </c>
      <c r="C2004" s="467">
        <v>43382</v>
      </c>
      <c r="D2004" s="467">
        <v>43382</v>
      </c>
      <c r="E2004" s="467" t="s">
        <v>2960</v>
      </c>
      <c r="F2004" s="466" t="s">
        <v>5535</v>
      </c>
      <c r="G2004" s="466" t="s">
        <v>5323</v>
      </c>
      <c r="H2004" s="463" t="s">
        <v>5449</v>
      </c>
      <c r="I2004" s="502">
        <f t="shared" si="156"/>
        <v>16331.911250000001</v>
      </c>
      <c r="J2004" s="502">
        <f t="shared" si="157"/>
        <v>3416.7174999999997</v>
      </c>
      <c r="K2004" s="376">
        <f t="shared" si="152"/>
        <v>1898.3282429999997</v>
      </c>
      <c r="L2004" s="366">
        <f t="shared" si="153"/>
        <v>379.66564859999994</v>
      </c>
      <c r="M2004" s="366" t="s">
        <v>6169</v>
      </c>
      <c r="N2004" s="463" t="s">
        <v>3785</v>
      </c>
      <c r="O2004" s="463" t="s">
        <v>4343</v>
      </c>
      <c r="P2004" s="464" t="s">
        <v>3659</v>
      </c>
      <c r="Q2004" s="431">
        <v>0.2</v>
      </c>
      <c r="R2004" s="464">
        <v>1900005497</v>
      </c>
      <c r="S2004" s="466" t="s">
        <v>1377</v>
      </c>
      <c r="T2004" s="2" t="s">
        <v>5915</v>
      </c>
    </row>
    <row r="2005" spans="1:21" hidden="1" x14ac:dyDescent="0.35">
      <c r="A2005" s="494" t="s">
        <v>4148</v>
      </c>
      <c r="B2005" s="463" t="s">
        <v>5537</v>
      </c>
      <c r="C2005" s="467">
        <v>43382</v>
      </c>
      <c r="D2005" s="467">
        <v>43382</v>
      </c>
      <c r="E2005" s="467" t="s">
        <v>2962</v>
      </c>
      <c r="F2005" s="466" t="s">
        <v>5535</v>
      </c>
      <c r="G2005" s="466" t="s">
        <v>5323</v>
      </c>
      <c r="H2005" s="463" t="s">
        <v>5449</v>
      </c>
      <c r="I2005" s="502">
        <f t="shared" si="156"/>
        <v>16331.911250000001</v>
      </c>
      <c r="J2005" s="502">
        <f t="shared" si="157"/>
        <v>3416.7174999999997</v>
      </c>
      <c r="K2005" s="376">
        <f t="shared" si="152"/>
        <v>1898.3282429999997</v>
      </c>
      <c r="L2005" s="366">
        <f t="shared" si="153"/>
        <v>379.66564859999994</v>
      </c>
      <c r="M2005" s="366" t="s">
        <v>6169</v>
      </c>
      <c r="N2005" s="463" t="s">
        <v>3785</v>
      </c>
      <c r="O2005" s="463" t="s">
        <v>4343</v>
      </c>
      <c r="P2005" s="464" t="s">
        <v>3659</v>
      </c>
      <c r="Q2005" s="431">
        <v>0.2</v>
      </c>
      <c r="R2005" s="464">
        <v>1900005497</v>
      </c>
      <c r="S2005" s="466" t="s">
        <v>1377</v>
      </c>
      <c r="T2005" s="2" t="s">
        <v>5915</v>
      </c>
    </row>
    <row r="2006" spans="1:21" hidden="1" x14ac:dyDescent="0.35">
      <c r="A2006" s="482" t="s">
        <v>5519</v>
      </c>
      <c r="B2006" s="432" t="s">
        <v>5538</v>
      </c>
      <c r="C2006" s="436">
        <v>43101</v>
      </c>
      <c r="D2006" s="436">
        <v>43101</v>
      </c>
      <c r="E2006" s="436" t="s">
        <v>3509</v>
      </c>
      <c r="F2006" s="435" t="s">
        <v>5539</v>
      </c>
      <c r="G2006" s="498" t="s">
        <v>5302</v>
      </c>
      <c r="H2006" s="432" t="s">
        <v>5449</v>
      </c>
      <c r="I2006" s="503">
        <v>63421.23</v>
      </c>
      <c r="J2006" s="503">
        <v>14427.13</v>
      </c>
      <c r="K2006" s="371">
        <f>+J2006*(0.5556)</f>
        <v>8015.7134279999991</v>
      </c>
      <c r="L2006" s="369">
        <f>+K2006*Q2006</f>
        <v>1603.1426855999998</v>
      </c>
      <c r="M2006" s="369" t="s">
        <v>6169</v>
      </c>
      <c r="N2006" s="432" t="s">
        <v>3785</v>
      </c>
      <c r="O2006" s="432" t="s">
        <v>4120</v>
      </c>
      <c r="P2006" s="438" t="s">
        <v>3659</v>
      </c>
      <c r="Q2006" s="481">
        <v>0.2</v>
      </c>
      <c r="R2006" s="438">
        <v>1900006687</v>
      </c>
      <c r="S2006" s="466" t="s">
        <v>3510</v>
      </c>
      <c r="T2006" s="2" t="s">
        <v>5915</v>
      </c>
    </row>
    <row r="2007" spans="1:21" hidden="1" x14ac:dyDescent="0.35">
      <c r="A2007" s="482" t="s">
        <v>5540</v>
      </c>
      <c r="B2007" s="432" t="s">
        <v>5541</v>
      </c>
      <c r="C2007" s="436">
        <v>43238</v>
      </c>
      <c r="D2007" s="436">
        <v>43238</v>
      </c>
      <c r="E2007" s="436" t="s">
        <v>2798</v>
      </c>
      <c r="F2007" s="435" t="s">
        <v>4323</v>
      </c>
      <c r="G2007" s="493" t="s">
        <v>5274</v>
      </c>
      <c r="H2007" s="432" t="s">
        <v>5449</v>
      </c>
      <c r="I2007" s="503">
        <f t="shared" ref="I2007:I2031" si="158">J2007*4.56681</f>
        <v>52291.974306099008</v>
      </c>
      <c r="J2007" s="503">
        <f>11116.93*1.03</f>
        <v>11450.437900000001</v>
      </c>
      <c r="K2007" s="371">
        <f t="shared" ref="K2007:K2070" si="159">+J2007*(0.5556)</f>
        <v>6361.8632972400001</v>
      </c>
      <c r="L2007" s="369">
        <f t="shared" ref="L2007:L2070" si="160">+K2007*Q2007</f>
        <v>1272.3726594480001</v>
      </c>
      <c r="M2007" s="369" t="s">
        <v>6169</v>
      </c>
      <c r="N2007" s="432" t="s">
        <v>3785</v>
      </c>
      <c r="O2007" s="432" t="s">
        <v>4120</v>
      </c>
      <c r="P2007" s="438" t="s">
        <v>3659</v>
      </c>
      <c r="Q2007" s="481">
        <v>0.2</v>
      </c>
      <c r="R2007" s="438">
        <v>1900002642</v>
      </c>
      <c r="S2007" s="466" t="s">
        <v>2504</v>
      </c>
      <c r="T2007" s="2" t="s">
        <v>5915</v>
      </c>
    </row>
    <row r="2008" spans="1:21" hidden="1" x14ac:dyDescent="0.35">
      <c r="A2008" s="482" t="s">
        <v>5542</v>
      </c>
      <c r="B2008" s="432" t="s">
        <v>5541</v>
      </c>
      <c r="C2008" s="436">
        <v>43238</v>
      </c>
      <c r="D2008" s="436">
        <v>43238</v>
      </c>
      <c r="E2008" s="436" t="s">
        <v>2800</v>
      </c>
      <c r="F2008" s="435" t="s">
        <v>4323</v>
      </c>
      <c r="G2008" s="493" t="s">
        <v>5274</v>
      </c>
      <c r="H2008" s="432" t="s">
        <v>5449</v>
      </c>
      <c r="I2008" s="503">
        <f t="shared" si="158"/>
        <v>52291.974306099008</v>
      </c>
      <c r="J2008" s="503">
        <f>11116.93*1.03</f>
        <v>11450.437900000001</v>
      </c>
      <c r="K2008" s="371">
        <f t="shared" si="159"/>
        <v>6361.8632972400001</v>
      </c>
      <c r="L2008" s="369">
        <f t="shared" si="160"/>
        <v>1272.3726594480001</v>
      </c>
      <c r="M2008" s="369" t="s">
        <v>6169</v>
      </c>
      <c r="N2008" s="432" t="s">
        <v>3785</v>
      </c>
      <c r="O2008" s="432" t="s">
        <v>4120</v>
      </c>
      <c r="P2008" s="438" t="s">
        <v>3659</v>
      </c>
      <c r="Q2008" s="481">
        <v>0.2</v>
      </c>
      <c r="R2008" s="438">
        <v>1900002642</v>
      </c>
      <c r="S2008" s="466" t="s">
        <v>2504</v>
      </c>
      <c r="T2008" s="2" t="s">
        <v>5915</v>
      </c>
    </row>
    <row r="2009" spans="1:21" hidden="1" x14ac:dyDescent="0.35">
      <c r="A2009" s="482" t="s">
        <v>5543</v>
      </c>
      <c r="B2009" s="432" t="s">
        <v>5541</v>
      </c>
      <c r="C2009" s="436">
        <v>43238</v>
      </c>
      <c r="D2009" s="436">
        <v>43238</v>
      </c>
      <c r="E2009" s="436" t="s">
        <v>2802</v>
      </c>
      <c r="F2009" s="435" t="s">
        <v>4323</v>
      </c>
      <c r="G2009" s="493" t="s">
        <v>5274</v>
      </c>
      <c r="H2009" s="432" t="s">
        <v>5449</v>
      </c>
      <c r="I2009" s="503">
        <f t="shared" si="158"/>
        <v>52291.974306099008</v>
      </c>
      <c r="J2009" s="503">
        <f>11116.93*1.03</f>
        <v>11450.437900000001</v>
      </c>
      <c r="K2009" s="371">
        <f t="shared" si="159"/>
        <v>6361.8632972400001</v>
      </c>
      <c r="L2009" s="369">
        <f t="shared" si="160"/>
        <v>1272.3726594480001</v>
      </c>
      <c r="M2009" s="369" t="s">
        <v>6169</v>
      </c>
      <c r="N2009" s="432" t="s">
        <v>3785</v>
      </c>
      <c r="O2009" s="432" t="s">
        <v>4120</v>
      </c>
      <c r="P2009" s="438" t="s">
        <v>3659</v>
      </c>
      <c r="Q2009" s="481">
        <v>0.2</v>
      </c>
      <c r="R2009" s="438">
        <v>1900002642</v>
      </c>
      <c r="S2009" s="466" t="s">
        <v>2504</v>
      </c>
      <c r="T2009" s="2" t="s">
        <v>5915</v>
      </c>
    </row>
    <row r="2010" spans="1:21" hidden="1" x14ac:dyDescent="0.35">
      <c r="A2010" s="482" t="s">
        <v>5544</v>
      </c>
      <c r="B2010" s="432" t="s">
        <v>5545</v>
      </c>
      <c r="C2010" s="436">
        <v>43238</v>
      </c>
      <c r="D2010" s="436">
        <v>43238</v>
      </c>
      <c r="E2010" s="436" t="s">
        <v>3511</v>
      </c>
      <c r="F2010" s="435" t="s">
        <v>4323</v>
      </c>
      <c r="G2010" s="498" t="s">
        <v>5302</v>
      </c>
      <c r="H2010" s="432" t="s">
        <v>5449</v>
      </c>
      <c r="I2010" s="503">
        <f t="shared" si="158"/>
        <v>65885.950594955997</v>
      </c>
      <c r="J2010" s="503">
        <f>14006.92*1.03</f>
        <v>14427.1276</v>
      </c>
      <c r="K2010" s="371">
        <f t="shared" si="159"/>
        <v>8015.71209456</v>
      </c>
      <c r="L2010" s="369">
        <f t="shared" si="160"/>
        <v>1603.142418912</v>
      </c>
      <c r="M2010" s="369" t="s">
        <v>6169</v>
      </c>
      <c r="N2010" s="432" t="s">
        <v>3785</v>
      </c>
      <c r="O2010" s="432" t="s">
        <v>4120</v>
      </c>
      <c r="P2010" s="438" t="s">
        <v>3659</v>
      </c>
      <c r="Q2010" s="481">
        <v>0.2</v>
      </c>
      <c r="R2010" s="438">
        <v>1900002642</v>
      </c>
      <c r="S2010" s="466" t="s">
        <v>3512</v>
      </c>
      <c r="T2010" s="2" t="s">
        <v>5915</v>
      </c>
    </row>
    <row r="2011" spans="1:21" hidden="1" x14ac:dyDescent="0.35">
      <c r="A2011" s="482" t="s">
        <v>5546</v>
      </c>
      <c r="B2011" s="432" t="s">
        <v>5545</v>
      </c>
      <c r="C2011" s="436">
        <v>43238</v>
      </c>
      <c r="D2011" s="436">
        <v>43238</v>
      </c>
      <c r="E2011" s="436" t="s">
        <v>3507</v>
      </c>
      <c r="F2011" s="435" t="s">
        <v>4323</v>
      </c>
      <c r="G2011" s="498" t="s">
        <v>5302</v>
      </c>
      <c r="H2011" s="432" t="s">
        <v>5449</v>
      </c>
      <c r="I2011" s="503">
        <f t="shared" si="158"/>
        <v>65885.950594955997</v>
      </c>
      <c r="J2011" s="503">
        <f>14006.92*1.03</f>
        <v>14427.1276</v>
      </c>
      <c r="K2011" s="371">
        <f t="shared" si="159"/>
        <v>8015.71209456</v>
      </c>
      <c r="L2011" s="369">
        <f t="shared" si="160"/>
        <v>1603.142418912</v>
      </c>
      <c r="M2011" s="369" t="s">
        <v>6169</v>
      </c>
      <c r="N2011" s="432" t="s">
        <v>3785</v>
      </c>
      <c r="O2011" s="432" t="s">
        <v>4120</v>
      </c>
      <c r="P2011" s="438" t="s">
        <v>3659</v>
      </c>
      <c r="Q2011" s="481">
        <v>0.2</v>
      </c>
      <c r="R2011" s="438">
        <v>1900002642</v>
      </c>
      <c r="S2011" s="466" t="s">
        <v>3508</v>
      </c>
      <c r="T2011" s="2" t="s">
        <v>5915</v>
      </c>
    </row>
    <row r="2012" spans="1:21" hidden="1" x14ac:dyDescent="0.35">
      <c r="A2012" s="482" t="s">
        <v>5547</v>
      </c>
      <c r="B2012" s="432" t="s">
        <v>5536</v>
      </c>
      <c r="C2012" s="436">
        <v>43238</v>
      </c>
      <c r="D2012" s="436">
        <v>43238</v>
      </c>
      <c r="E2012" s="436" t="s">
        <v>2977</v>
      </c>
      <c r="F2012" s="435" t="s">
        <v>4323</v>
      </c>
      <c r="G2012" s="493" t="s">
        <v>5274</v>
      </c>
      <c r="H2012" s="432" t="s">
        <v>5449</v>
      </c>
      <c r="I2012" s="503">
        <f t="shared" si="158"/>
        <v>35554.297806123002</v>
      </c>
      <c r="J2012" s="503">
        <f>7558.61*1.03</f>
        <v>7785.3683000000001</v>
      </c>
      <c r="K2012" s="371">
        <f t="shared" si="159"/>
        <v>4325.55062748</v>
      </c>
      <c r="L2012" s="369">
        <f t="shared" si="160"/>
        <v>865.11012549600002</v>
      </c>
      <c r="M2012" s="369" t="s">
        <v>6169</v>
      </c>
      <c r="N2012" s="432" t="s">
        <v>3785</v>
      </c>
      <c r="O2012" s="432" t="s">
        <v>4120</v>
      </c>
      <c r="P2012" s="438" t="s">
        <v>3659</v>
      </c>
      <c r="Q2012" s="481">
        <v>0.2</v>
      </c>
      <c r="R2012" s="438">
        <v>1900002642</v>
      </c>
      <c r="S2012" s="466" t="s">
        <v>1377</v>
      </c>
      <c r="T2012" s="2" t="s">
        <v>5915</v>
      </c>
    </row>
    <row r="2013" spans="1:21" hidden="1" x14ac:dyDescent="0.35">
      <c r="A2013" s="482" t="s">
        <v>5548</v>
      </c>
      <c r="B2013" s="432" t="s">
        <v>5536</v>
      </c>
      <c r="C2013" s="436">
        <v>43238</v>
      </c>
      <c r="D2013" s="436">
        <v>43238</v>
      </c>
      <c r="E2013" s="436" t="s">
        <v>2980</v>
      </c>
      <c r="F2013" s="435" t="s">
        <v>4323</v>
      </c>
      <c r="G2013" s="493" t="s">
        <v>5274</v>
      </c>
      <c r="H2013" s="432" t="s">
        <v>5449</v>
      </c>
      <c r="I2013" s="503">
        <f t="shared" si="158"/>
        <v>35554.297806123002</v>
      </c>
      <c r="J2013" s="503">
        <f>7558.61*1.03</f>
        <v>7785.3683000000001</v>
      </c>
      <c r="K2013" s="371">
        <f t="shared" si="159"/>
        <v>4325.55062748</v>
      </c>
      <c r="L2013" s="369">
        <f t="shared" si="160"/>
        <v>865.11012549600002</v>
      </c>
      <c r="M2013" s="369" t="s">
        <v>6169</v>
      </c>
      <c r="N2013" s="432" t="s">
        <v>3785</v>
      </c>
      <c r="O2013" s="432" t="s">
        <v>4120</v>
      </c>
      <c r="P2013" s="438" t="s">
        <v>3659</v>
      </c>
      <c r="Q2013" s="481">
        <v>0.2</v>
      </c>
      <c r="R2013" s="438">
        <v>1900002642</v>
      </c>
      <c r="S2013" s="466" t="s">
        <v>1377</v>
      </c>
      <c r="T2013" s="2" t="s">
        <v>5915</v>
      </c>
    </row>
    <row r="2014" spans="1:21" hidden="1" x14ac:dyDescent="0.35">
      <c r="A2014" s="482" t="s">
        <v>5549</v>
      </c>
      <c r="B2014" s="432" t="s">
        <v>5536</v>
      </c>
      <c r="C2014" s="436">
        <v>43238</v>
      </c>
      <c r="D2014" s="436">
        <v>43238</v>
      </c>
      <c r="E2014" s="436" t="s">
        <v>2982</v>
      </c>
      <c r="F2014" s="435" t="s">
        <v>4323</v>
      </c>
      <c r="G2014" s="493" t="s">
        <v>5274</v>
      </c>
      <c r="H2014" s="432" t="s">
        <v>5449</v>
      </c>
      <c r="I2014" s="503">
        <f t="shared" si="158"/>
        <v>35554.297806123002</v>
      </c>
      <c r="J2014" s="503">
        <f>7558.61*1.03</f>
        <v>7785.3683000000001</v>
      </c>
      <c r="K2014" s="371">
        <f t="shared" si="159"/>
        <v>4325.55062748</v>
      </c>
      <c r="L2014" s="369">
        <f t="shared" si="160"/>
        <v>865.11012549600002</v>
      </c>
      <c r="M2014" s="369" t="s">
        <v>6169</v>
      </c>
      <c r="N2014" s="432" t="s">
        <v>3785</v>
      </c>
      <c r="O2014" s="432" t="s">
        <v>4120</v>
      </c>
      <c r="P2014" s="438" t="s">
        <v>3659</v>
      </c>
      <c r="Q2014" s="481">
        <v>0.2</v>
      </c>
      <c r="R2014" s="438">
        <v>1900002642</v>
      </c>
      <c r="S2014" s="466" t="s">
        <v>1377</v>
      </c>
      <c r="T2014" s="2" t="s">
        <v>5915</v>
      </c>
    </row>
    <row r="2015" spans="1:21" hidden="1" x14ac:dyDescent="0.35">
      <c r="A2015" s="482" t="s">
        <v>5550</v>
      </c>
      <c r="B2015" s="432" t="s">
        <v>5536</v>
      </c>
      <c r="C2015" s="436">
        <v>43238</v>
      </c>
      <c r="D2015" s="436">
        <v>43238</v>
      </c>
      <c r="E2015" s="436" t="s">
        <v>2984</v>
      </c>
      <c r="F2015" s="435" t="s">
        <v>4323</v>
      </c>
      <c r="G2015" s="493" t="s">
        <v>5274</v>
      </c>
      <c r="H2015" s="432" t="s">
        <v>5449</v>
      </c>
      <c r="I2015" s="503">
        <f t="shared" si="158"/>
        <v>35554.297806123002</v>
      </c>
      <c r="J2015" s="503">
        <f>7558.61*1.03</f>
        <v>7785.3683000000001</v>
      </c>
      <c r="K2015" s="371">
        <f t="shared" si="159"/>
        <v>4325.55062748</v>
      </c>
      <c r="L2015" s="369">
        <f t="shared" si="160"/>
        <v>865.11012549600002</v>
      </c>
      <c r="M2015" s="369" t="s">
        <v>6169</v>
      </c>
      <c r="N2015" s="432" t="s">
        <v>3785</v>
      </c>
      <c r="O2015" s="432" t="s">
        <v>4120</v>
      </c>
      <c r="P2015" s="438" t="s">
        <v>3659</v>
      </c>
      <c r="Q2015" s="481">
        <v>0.2</v>
      </c>
      <c r="R2015" s="438">
        <v>1900002642</v>
      </c>
      <c r="S2015" s="466" t="s">
        <v>1377</v>
      </c>
      <c r="T2015" s="2" t="s">
        <v>5915</v>
      </c>
    </row>
    <row r="2016" spans="1:21" hidden="1" x14ac:dyDescent="0.35">
      <c r="A2016" s="482" t="s">
        <v>5551</v>
      </c>
      <c r="B2016" s="432" t="s">
        <v>5552</v>
      </c>
      <c r="C2016" s="436">
        <v>43238</v>
      </c>
      <c r="D2016" s="436">
        <v>43238</v>
      </c>
      <c r="E2016" s="436"/>
      <c r="F2016" s="435" t="s">
        <v>4323</v>
      </c>
      <c r="G2016" s="466" t="s">
        <v>5323</v>
      </c>
      <c r="H2016" s="432" t="s">
        <v>5449</v>
      </c>
      <c r="I2016" s="503">
        <f t="shared" si="158"/>
        <v>3753.2204681130002</v>
      </c>
      <c r="J2016" s="503">
        <f>797.91*1.03</f>
        <v>821.84730000000002</v>
      </c>
      <c r="K2016" s="371">
        <f t="shared" si="159"/>
        <v>456.61835988000001</v>
      </c>
      <c r="L2016" s="369">
        <f t="shared" si="160"/>
        <v>91.323671976000014</v>
      </c>
      <c r="M2016" s="369" t="s">
        <v>6169</v>
      </c>
      <c r="N2016" s="432" t="s">
        <v>3785</v>
      </c>
      <c r="O2016" s="432" t="s">
        <v>4120</v>
      </c>
      <c r="P2016" s="438" t="s">
        <v>3659</v>
      </c>
      <c r="Q2016" s="481">
        <v>0.2</v>
      </c>
      <c r="R2016" s="438">
        <v>1900002642</v>
      </c>
      <c r="S2016" s="466" t="s">
        <v>5924</v>
      </c>
      <c r="T2016" s="2" t="s">
        <v>5915</v>
      </c>
      <c r="U2016" s="466" t="s">
        <v>5924</v>
      </c>
    </row>
    <row r="2017" spans="1:20" x14ac:dyDescent="0.35">
      <c r="A2017" s="482" t="s">
        <v>5553</v>
      </c>
      <c r="B2017" s="432" t="s">
        <v>2026</v>
      </c>
      <c r="C2017" s="436">
        <v>43238</v>
      </c>
      <c r="D2017" s="436">
        <v>43238</v>
      </c>
      <c r="E2017" s="436"/>
      <c r="F2017" s="435" t="s">
        <v>4323</v>
      </c>
      <c r="G2017" s="444" t="s">
        <v>5278</v>
      </c>
      <c r="H2017" s="432" t="s">
        <v>5449</v>
      </c>
      <c r="I2017" s="503">
        <f t="shared" si="158"/>
        <v>1927.1997568530003</v>
      </c>
      <c r="J2017" s="503">
        <f t="shared" ref="J2017:J2031" si="161">409.71*1.03</f>
        <v>422.00130000000001</v>
      </c>
      <c r="K2017" s="371">
        <f t="shared" si="159"/>
        <v>234.46392227999999</v>
      </c>
      <c r="L2017" s="369">
        <f t="shared" si="160"/>
        <v>46.892784456000001</v>
      </c>
      <c r="M2017" s="369" t="s">
        <v>6169</v>
      </c>
      <c r="N2017" s="432" t="s">
        <v>3785</v>
      </c>
      <c r="O2017" s="432" t="s">
        <v>4120</v>
      </c>
      <c r="P2017" s="438" t="s">
        <v>3659</v>
      </c>
      <c r="Q2017" s="481">
        <v>0.2</v>
      </c>
      <c r="R2017" s="438">
        <v>1900002642</v>
      </c>
      <c r="S2017" s="466"/>
      <c r="T2017" s="2" t="s">
        <v>5914</v>
      </c>
    </row>
    <row r="2018" spans="1:20" x14ac:dyDescent="0.35">
      <c r="A2018" s="482" t="s">
        <v>5554</v>
      </c>
      <c r="B2018" s="432" t="s">
        <v>2026</v>
      </c>
      <c r="C2018" s="436">
        <v>43238</v>
      </c>
      <c r="D2018" s="436">
        <v>43238</v>
      </c>
      <c r="E2018" s="436"/>
      <c r="F2018" s="435" t="s">
        <v>4323</v>
      </c>
      <c r="G2018" s="444" t="s">
        <v>5278</v>
      </c>
      <c r="H2018" s="432" t="s">
        <v>5449</v>
      </c>
      <c r="I2018" s="503">
        <f t="shared" si="158"/>
        <v>1927.1997568530003</v>
      </c>
      <c r="J2018" s="503">
        <f t="shared" si="161"/>
        <v>422.00130000000001</v>
      </c>
      <c r="K2018" s="371">
        <f t="shared" si="159"/>
        <v>234.46392227999999</v>
      </c>
      <c r="L2018" s="369">
        <f t="shared" si="160"/>
        <v>46.892784456000001</v>
      </c>
      <c r="M2018" s="369" t="s">
        <v>6169</v>
      </c>
      <c r="N2018" s="432" t="s">
        <v>3785</v>
      </c>
      <c r="O2018" s="432" t="s">
        <v>4120</v>
      </c>
      <c r="P2018" s="438" t="s">
        <v>3659</v>
      </c>
      <c r="Q2018" s="481">
        <v>0.2</v>
      </c>
      <c r="R2018" s="438">
        <v>1900002642</v>
      </c>
      <c r="S2018" s="466"/>
      <c r="T2018" s="2" t="s">
        <v>5914</v>
      </c>
    </row>
    <row r="2019" spans="1:20" x14ac:dyDescent="0.35">
      <c r="A2019" s="482" t="s">
        <v>5555</v>
      </c>
      <c r="B2019" s="432" t="s">
        <v>2026</v>
      </c>
      <c r="C2019" s="436">
        <v>43238</v>
      </c>
      <c r="D2019" s="436">
        <v>43238</v>
      </c>
      <c r="E2019" s="436"/>
      <c r="F2019" s="435" t="s">
        <v>4323</v>
      </c>
      <c r="G2019" s="444" t="s">
        <v>5278</v>
      </c>
      <c r="H2019" s="432" t="s">
        <v>5449</v>
      </c>
      <c r="I2019" s="503">
        <f t="shared" si="158"/>
        <v>1927.1997568530003</v>
      </c>
      <c r="J2019" s="503">
        <f t="shared" si="161"/>
        <v>422.00130000000001</v>
      </c>
      <c r="K2019" s="371">
        <f t="shared" si="159"/>
        <v>234.46392227999999</v>
      </c>
      <c r="L2019" s="369">
        <f t="shared" si="160"/>
        <v>46.892784456000001</v>
      </c>
      <c r="M2019" s="369" t="s">
        <v>6169</v>
      </c>
      <c r="N2019" s="432" t="s">
        <v>3785</v>
      </c>
      <c r="O2019" s="432" t="s">
        <v>4120</v>
      </c>
      <c r="P2019" s="438" t="s">
        <v>3659</v>
      </c>
      <c r="Q2019" s="481">
        <v>0.2</v>
      </c>
      <c r="R2019" s="438">
        <v>1900002642</v>
      </c>
      <c r="S2019" s="466"/>
      <c r="T2019" s="2" t="s">
        <v>5914</v>
      </c>
    </row>
    <row r="2020" spans="1:20" x14ac:dyDescent="0.35">
      <c r="A2020" s="482" t="s">
        <v>5556</v>
      </c>
      <c r="B2020" s="432" t="s">
        <v>2026</v>
      </c>
      <c r="C2020" s="436">
        <v>43238</v>
      </c>
      <c r="D2020" s="436">
        <v>43238</v>
      </c>
      <c r="E2020" s="436"/>
      <c r="F2020" s="435" t="s">
        <v>4323</v>
      </c>
      <c r="G2020" s="444" t="s">
        <v>5278</v>
      </c>
      <c r="H2020" s="432" t="s">
        <v>5449</v>
      </c>
      <c r="I2020" s="503">
        <f t="shared" si="158"/>
        <v>1927.1997568530003</v>
      </c>
      <c r="J2020" s="503">
        <f t="shared" si="161"/>
        <v>422.00130000000001</v>
      </c>
      <c r="K2020" s="371">
        <f t="shared" si="159"/>
        <v>234.46392227999999</v>
      </c>
      <c r="L2020" s="369">
        <f t="shared" si="160"/>
        <v>46.892784456000001</v>
      </c>
      <c r="M2020" s="369" t="s">
        <v>6169</v>
      </c>
      <c r="N2020" s="432" t="s">
        <v>3785</v>
      </c>
      <c r="O2020" s="432" t="s">
        <v>4120</v>
      </c>
      <c r="P2020" s="438" t="s">
        <v>3659</v>
      </c>
      <c r="Q2020" s="481">
        <v>0.2</v>
      </c>
      <c r="R2020" s="438">
        <v>1900002642</v>
      </c>
      <c r="S2020" s="466"/>
      <c r="T2020" s="2" t="s">
        <v>5914</v>
      </c>
    </row>
    <row r="2021" spans="1:20" x14ac:dyDescent="0.35">
      <c r="A2021" s="482" t="s">
        <v>4108</v>
      </c>
      <c r="B2021" s="432" t="s">
        <v>2026</v>
      </c>
      <c r="C2021" s="436">
        <v>43238</v>
      </c>
      <c r="D2021" s="436">
        <v>43238</v>
      </c>
      <c r="E2021" s="436"/>
      <c r="F2021" s="435" t="s">
        <v>4323</v>
      </c>
      <c r="G2021" s="444" t="s">
        <v>5278</v>
      </c>
      <c r="H2021" s="432" t="s">
        <v>5449</v>
      </c>
      <c r="I2021" s="503">
        <f t="shared" si="158"/>
        <v>1927.1997568530003</v>
      </c>
      <c r="J2021" s="503">
        <f t="shared" si="161"/>
        <v>422.00130000000001</v>
      </c>
      <c r="K2021" s="371">
        <f t="shared" si="159"/>
        <v>234.46392227999999</v>
      </c>
      <c r="L2021" s="369">
        <f t="shared" si="160"/>
        <v>46.892784456000001</v>
      </c>
      <c r="M2021" s="369" t="s">
        <v>6169</v>
      </c>
      <c r="N2021" s="432" t="s">
        <v>3785</v>
      </c>
      <c r="O2021" s="432" t="s">
        <v>4120</v>
      </c>
      <c r="P2021" s="438" t="s">
        <v>3659</v>
      </c>
      <c r="Q2021" s="481">
        <v>0.2</v>
      </c>
      <c r="R2021" s="438">
        <v>1900002642</v>
      </c>
      <c r="S2021" s="466"/>
      <c r="T2021" s="2" t="s">
        <v>5914</v>
      </c>
    </row>
    <row r="2022" spans="1:20" x14ac:dyDescent="0.35">
      <c r="A2022" s="482" t="s">
        <v>4112</v>
      </c>
      <c r="B2022" s="432" t="s">
        <v>2026</v>
      </c>
      <c r="C2022" s="436">
        <v>43238</v>
      </c>
      <c r="D2022" s="436">
        <v>43238</v>
      </c>
      <c r="E2022" s="436"/>
      <c r="F2022" s="435" t="s">
        <v>4323</v>
      </c>
      <c r="G2022" s="444" t="s">
        <v>5278</v>
      </c>
      <c r="H2022" s="432" t="s">
        <v>5449</v>
      </c>
      <c r="I2022" s="503">
        <f t="shared" si="158"/>
        <v>1927.1997568530003</v>
      </c>
      <c r="J2022" s="503">
        <f t="shared" si="161"/>
        <v>422.00130000000001</v>
      </c>
      <c r="K2022" s="371">
        <f t="shared" si="159"/>
        <v>234.46392227999999</v>
      </c>
      <c r="L2022" s="369">
        <f t="shared" si="160"/>
        <v>46.892784456000001</v>
      </c>
      <c r="M2022" s="369" t="s">
        <v>6169</v>
      </c>
      <c r="N2022" s="432" t="s">
        <v>3785</v>
      </c>
      <c r="O2022" s="432" t="s">
        <v>4120</v>
      </c>
      <c r="P2022" s="438" t="s">
        <v>3659</v>
      </c>
      <c r="Q2022" s="481">
        <v>0.2</v>
      </c>
      <c r="R2022" s="438">
        <v>1900002642</v>
      </c>
      <c r="S2022" s="466"/>
      <c r="T2022" s="2" t="s">
        <v>5914</v>
      </c>
    </row>
    <row r="2023" spans="1:20" x14ac:dyDescent="0.35">
      <c r="A2023" s="482" t="s">
        <v>4113</v>
      </c>
      <c r="B2023" s="432" t="s">
        <v>2026</v>
      </c>
      <c r="C2023" s="436">
        <v>43238</v>
      </c>
      <c r="D2023" s="436">
        <v>43238</v>
      </c>
      <c r="E2023" s="436"/>
      <c r="F2023" s="435" t="s">
        <v>4323</v>
      </c>
      <c r="G2023" s="444" t="s">
        <v>5278</v>
      </c>
      <c r="H2023" s="432" t="s">
        <v>5449</v>
      </c>
      <c r="I2023" s="503">
        <f t="shared" si="158"/>
        <v>1927.1997568530003</v>
      </c>
      <c r="J2023" s="503">
        <f t="shared" si="161"/>
        <v>422.00130000000001</v>
      </c>
      <c r="K2023" s="371">
        <f t="shared" si="159"/>
        <v>234.46392227999999</v>
      </c>
      <c r="L2023" s="369">
        <f t="shared" si="160"/>
        <v>46.892784456000001</v>
      </c>
      <c r="M2023" s="369" t="s">
        <v>6169</v>
      </c>
      <c r="N2023" s="432" t="s">
        <v>3785</v>
      </c>
      <c r="O2023" s="432" t="s">
        <v>4120</v>
      </c>
      <c r="P2023" s="438" t="s">
        <v>3659</v>
      </c>
      <c r="Q2023" s="481">
        <v>0.2</v>
      </c>
      <c r="R2023" s="438">
        <v>1900002642</v>
      </c>
      <c r="S2023" s="466"/>
      <c r="T2023" s="2" t="s">
        <v>5914</v>
      </c>
    </row>
    <row r="2024" spans="1:20" x14ac:dyDescent="0.35">
      <c r="A2024" s="482" t="s">
        <v>4114</v>
      </c>
      <c r="B2024" s="432" t="s">
        <v>2026</v>
      </c>
      <c r="C2024" s="436">
        <v>43238</v>
      </c>
      <c r="D2024" s="436">
        <v>43238</v>
      </c>
      <c r="E2024" s="436"/>
      <c r="F2024" s="435" t="s">
        <v>4323</v>
      </c>
      <c r="G2024" s="444" t="s">
        <v>5278</v>
      </c>
      <c r="H2024" s="432" t="s">
        <v>5449</v>
      </c>
      <c r="I2024" s="503">
        <f t="shared" si="158"/>
        <v>1927.1997568530003</v>
      </c>
      <c r="J2024" s="503">
        <f t="shared" si="161"/>
        <v>422.00130000000001</v>
      </c>
      <c r="K2024" s="371">
        <f t="shared" si="159"/>
        <v>234.46392227999999</v>
      </c>
      <c r="L2024" s="369">
        <f t="shared" si="160"/>
        <v>46.892784456000001</v>
      </c>
      <c r="M2024" s="369" t="s">
        <v>6169</v>
      </c>
      <c r="N2024" s="432" t="s">
        <v>3785</v>
      </c>
      <c r="O2024" s="432" t="s">
        <v>4120</v>
      </c>
      <c r="P2024" s="438" t="s">
        <v>3659</v>
      </c>
      <c r="Q2024" s="481">
        <v>0.2</v>
      </c>
      <c r="R2024" s="438">
        <v>1900002642</v>
      </c>
      <c r="S2024" s="466"/>
      <c r="T2024" s="2" t="s">
        <v>5914</v>
      </c>
    </row>
    <row r="2025" spans="1:20" x14ac:dyDescent="0.35">
      <c r="A2025" s="482" t="s">
        <v>5557</v>
      </c>
      <c r="B2025" s="432" t="s">
        <v>2026</v>
      </c>
      <c r="C2025" s="436">
        <v>43238</v>
      </c>
      <c r="D2025" s="436">
        <v>43238</v>
      </c>
      <c r="E2025" s="436"/>
      <c r="F2025" s="435" t="s">
        <v>4323</v>
      </c>
      <c r="G2025" s="444" t="s">
        <v>5278</v>
      </c>
      <c r="H2025" s="432" t="s">
        <v>5449</v>
      </c>
      <c r="I2025" s="503">
        <f t="shared" si="158"/>
        <v>1927.1997568530003</v>
      </c>
      <c r="J2025" s="503">
        <f t="shared" si="161"/>
        <v>422.00130000000001</v>
      </c>
      <c r="K2025" s="371">
        <f t="shared" si="159"/>
        <v>234.46392227999999</v>
      </c>
      <c r="L2025" s="369">
        <f t="shared" si="160"/>
        <v>46.892784456000001</v>
      </c>
      <c r="M2025" s="369" t="s">
        <v>6169</v>
      </c>
      <c r="N2025" s="432" t="s">
        <v>3785</v>
      </c>
      <c r="O2025" s="432" t="s">
        <v>4120</v>
      </c>
      <c r="P2025" s="438" t="s">
        <v>3659</v>
      </c>
      <c r="Q2025" s="481">
        <v>0.2</v>
      </c>
      <c r="R2025" s="438">
        <v>1900002642</v>
      </c>
      <c r="S2025" s="466"/>
      <c r="T2025" s="2" t="s">
        <v>5914</v>
      </c>
    </row>
    <row r="2026" spans="1:20" x14ac:dyDescent="0.35">
      <c r="A2026" s="482" t="s">
        <v>5558</v>
      </c>
      <c r="B2026" s="432" t="s">
        <v>2026</v>
      </c>
      <c r="C2026" s="436">
        <v>43238</v>
      </c>
      <c r="D2026" s="436">
        <v>43238</v>
      </c>
      <c r="E2026" s="2"/>
      <c r="F2026" s="435" t="s">
        <v>4323</v>
      </c>
      <c r="G2026" s="444" t="s">
        <v>5278</v>
      </c>
      <c r="H2026" s="432" t="s">
        <v>5449</v>
      </c>
      <c r="I2026" s="503">
        <f t="shared" si="158"/>
        <v>1927.1997568530003</v>
      </c>
      <c r="J2026" s="503">
        <f t="shared" si="161"/>
        <v>422.00130000000001</v>
      </c>
      <c r="K2026" s="371">
        <f t="shared" si="159"/>
        <v>234.46392227999999</v>
      </c>
      <c r="L2026" s="369">
        <f t="shared" si="160"/>
        <v>46.892784456000001</v>
      </c>
      <c r="M2026" s="369" t="s">
        <v>6169</v>
      </c>
      <c r="N2026" s="432" t="s">
        <v>3785</v>
      </c>
      <c r="O2026" s="432" t="s">
        <v>4120</v>
      </c>
      <c r="P2026" s="438" t="s">
        <v>3659</v>
      </c>
      <c r="Q2026" s="481">
        <v>0.2</v>
      </c>
      <c r="R2026" s="438">
        <v>1900002642</v>
      </c>
      <c r="S2026" s="466"/>
      <c r="T2026" s="2" t="s">
        <v>5914</v>
      </c>
    </row>
    <row r="2027" spans="1:20" x14ac:dyDescent="0.35">
      <c r="A2027" s="482" t="s">
        <v>5559</v>
      </c>
      <c r="B2027" s="432" t="s">
        <v>2026</v>
      </c>
      <c r="C2027" s="436">
        <v>43238</v>
      </c>
      <c r="D2027" s="436">
        <v>43238</v>
      </c>
      <c r="E2027" s="2"/>
      <c r="F2027" s="435" t="s">
        <v>4323</v>
      </c>
      <c r="G2027" s="444" t="s">
        <v>5278</v>
      </c>
      <c r="H2027" s="432" t="s">
        <v>5449</v>
      </c>
      <c r="I2027" s="503">
        <f t="shared" si="158"/>
        <v>1927.1997568530003</v>
      </c>
      <c r="J2027" s="503">
        <f t="shared" si="161"/>
        <v>422.00130000000001</v>
      </c>
      <c r="K2027" s="371">
        <f t="shared" si="159"/>
        <v>234.46392227999999</v>
      </c>
      <c r="L2027" s="369">
        <f t="shared" si="160"/>
        <v>46.892784456000001</v>
      </c>
      <c r="M2027" s="369" t="s">
        <v>6169</v>
      </c>
      <c r="N2027" s="432" t="s">
        <v>3785</v>
      </c>
      <c r="O2027" s="432" t="s">
        <v>4120</v>
      </c>
      <c r="P2027" s="438" t="s">
        <v>3659</v>
      </c>
      <c r="Q2027" s="481">
        <v>0.2</v>
      </c>
      <c r="R2027" s="438">
        <v>1900002642</v>
      </c>
      <c r="S2027" s="466"/>
      <c r="T2027" s="2" t="s">
        <v>5914</v>
      </c>
    </row>
    <row r="2028" spans="1:20" x14ac:dyDescent="0.35">
      <c r="A2028" s="482" t="s">
        <v>5560</v>
      </c>
      <c r="B2028" s="432" t="s">
        <v>2026</v>
      </c>
      <c r="C2028" s="436">
        <v>43238</v>
      </c>
      <c r="D2028" s="436">
        <v>43238</v>
      </c>
      <c r="E2028" s="2"/>
      <c r="F2028" s="435" t="s">
        <v>4323</v>
      </c>
      <c r="G2028" s="444" t="s">
        <v>5278</v>
      </c>
      <c r="H2028" s="432" t="s">
        <v>5449</v>
      </c>
      <c r="I2028" s="503">
        <f t="shared" si="158"/>
        <v>1927.1997568530003</v>
      </c>
      <c r="J2028" s="503">
        <f t="shared" si="161"/>
        <v>422.00130000000001</v>
      </c>
      <c r="K2028" s="371">
        <f t="shared" si="159"/>
        <v>234.46392227999999</v>
      </c>
      <c r="L2028" s="369">
        <f t="shared" si="160"/>
        <v>46.892784456000001</v>
      </c>
      <c r="M2028" s="369" t="s">
        <v>6169</v>
      </c>
      <c r="N2028" s="432" t="s">
        <v>3785</v>
      </c>
      <c r="O2028" s="432" t="s">
        <v>4120</v>
      </c>
      <c r="P2028" s="438" t="s">
        <v>3659</v>
      </c>
      <c r="Q2028" s="481">
        <v>0.2</v>
      </c>
      <c r="R2028" s="438">
        <v>1900002642</v>
      </c>
      <c r="S2028" s="466"/>
      <c r="T2028" s="2" t="s">
        <v>5914</v>
      </c>
    </row>
    <row r="2029" spans="1:20" x14ac:dyDescent="0.35">
      <c r="A2029" s="482" t="s">
        <v>5561</v>
      </c>
      <c r="B2029" s="432" t="s">
        <v>2026</v>
      </c>
      <c r="C2029" s="436">
        <v>43238</v>
      </c>
      <c r="D2029" s="436">
        <v>43238</v>
      </c>
      <c r="E2029" s="2"/>
      <c r="F2029" s="435" t="s">
        <v>4323</v>
      </c>
      <c r="G2029" s="444" t="s">
        <v>5278</v>
      </c>
      <c r="H2029" s="432" t="s">
        <v>5449</v>
      </c>
      <c r="I2029" s="503">
        <f t="shared" si="158"/>
        <v>1927.1997568530003</v>
      </c>
      <c r="J2029" s="503">
        <f t="shared" si="161"/>
        <v>422.00130000000001</v>
      </c>
      <c r="K2029" s="371">
        <f t="shared" si="159"/>
        <v>234.46392227999999</v>
      </c>
      <c r="L2029" s="369">
        <f t="shared" si="160"/>
        <v>46.892784456000001</v>
      </c>
      <c r="M2029" s="369" t="s">
        <v>6169</v>
      </c>
      <c r="N2029" s="432" t="s">
        <v>3785</v>
      </c>
      <c r="O2029" s="432" t="s">
        <v>4120</v>
      </c>
      <c r="P2029" s="438" t="s">
        <v>3659</v>
      </c>
      <c r="Q2029" s="481">
        <v>0.2</v>
      </c>
      <c r="R2029" s="438">
        <v>1900002642</v>
      </c>
      <c r="S2029" s="466"/>
      <c r="T2029" s="2" t="s">
        <v>5914</v>
      </c>
    </row>
    <row r="2030" spans="1:20" x14ac:dyDescent="0.35">
      <c r="A2030" s="482" t="s">
        <v>5562</v>
      </c>
      <c r="B2030" s="432" t="s">
        <v>2026</v>
      </c>
      <c r="C2030" s="436">
        <v>43238</v>
      </c>
      <c r="D2030" s="436">
        <v>43238</v>
      </c>
      <c r="E2030" s="2"/>
      <c r="F2030" s="435" t="s">
        <v>4323</v>
      </c>
      <c r="G2030" s="444" t="s">
        <v>5278</v>
      </c>
      <c r="H2030" s="432" t="s">
        <v>5449</v>
      </c>
      <c r="I2030" s="503">
        <f t="shared" si="158"/>
        <v>1927.1997568530003</v>
      </c>
      <c r="J2030" s="503">
        <f t="shared" si="161"/>
        <v>422.00130000000001</v>
      </c>
      <c r="K2030" s="371">
        <f t="shared" si="159"/>
        <v>234.46392227999999</v>
      </c>
      <c r="L2030" s="369">
        <f t="shared" si="160"/>
        <v>46.892784456000001</v>
      </c>
      <c r="M2030" s="369" t="s">
        <v>6169</v>
      </c>
      <c r="N2030" s="432" t="s">
        <v>3785</v>
      </c>
      <c r="O2030" s="432" t="s">
        <v>4120</v>
      </c>
      <c r="P2030" s="438" t="s">
        <v>3659</v>
      </c>
      <c r="Q2030" s="481">
        <v>0.2</v>
      </c>
      <c r="R2030" s="438">
        <v>1900002642</v>
      </c>
      <c r="S2030" s="466"/>
      <c r="T2030" s="2" t="s">
        <v>5914</v>
      </c>
    </row>
    <row r="2031" spans="1:20" x14ac:dyDescent="0.35">
      <c r="A2031" s="482" t="s">
        <v>5563</v>
      </c>
      <c r="B2031" s="432" t="s">
        <v>2026</v>
      </c>
      <c r="C2031" s="436">
        <v>43238</v>
      </c>
      <c r="D2031" s="436">
        <v>43238</v>
      </c>
      <c r="E2031" s="2"/>
      <c r="F2031" s="435" t="s">
        <v>4323</v>
      </c>
      <c r="G2031" s="444" t="s">
        <v>5278</v>
      </c>
      <c r="H2031" s="432" t="s">
        <v>5449</v>
      </c>
      <c r="I2031" s="503">
        <f t="shared" si="158"/>
        <v>1927.1997568530003</v>
      </c>
      <c r="J2031" s="503">
        <f t="shared" si="161"/>
        <v>422.00130000000001</v>
      </c>
      <c r="K2031" s="371">
        <f t="shared" si="159"/>
        <v>234.46392227999999</v>
      </c>
      <c r="L2031" s="369">
        <f t="shared" si="160"/>
        <v>46.892784456000001</v>
      </c>
      <c r="M2031" s="369" t="s">
        <v>6169</v>
      </c>
      <c r="N2031" s="432" t="s">
        <v>3785</v>
      </c>
      <c r="O2031" s="432" t="s">
        <v>4120</v>
      </c>
      <c r="P2031" s="438" t="s">
        <v>3659</v>
      </c>
      <c r="Q2031" s="481">
        <v>0.2</v>
      </c>
      <c r="R2031" s="438">
        <v>1900002642</v>
      </c>
      <c r="S2031" s="466"/>
      <c r="T2031" s="2" t="s">
        <v>5914</v>
      </c>
    </row>
    <row r="2032" spans="1:20" hidden="1" x14ac:dyDescent="0.35">
      <c r="A2032" s="482" t="s">
        <v>5564</v>
      </c>
      <c r="B2032" s="432" t="s">
        <v>5565</v>
      </c>
      <c r="C2032" s="436">
        <v>43265</v>
      </c>
      <c r="D2032" s="436">
        <v>43265</v>
      </c>
      <c r="E2032" s="436" t="s">
        <v>3526</v>
      </c>
      <c r="F2032" s="435" t="s">
        <v>5566</v>
      </c>
      <c r="G2032" s="498" t="s">
        <v>5302</v>
      </c>
      <c r="H2032" s="432" t="s">
        <v>5449</v>
      </c>
      <c r="I2032" s="503">
        <f t="shared" ref="I2032:I2095" si="162">+J2032*4.4625</f>
        <v>13919.701096875002</v>
      </c>
      <c r="J2032" s="503">
        <f>2654.69*1.175</f>
        <v>3119.2607500000004</v>
      </c>
      <c r="K2032" s="371">
        <f t="shared" si="159"/>
        <v>1733.0612727000002</v>
      </c>
      <c r="L2032" s="369">
        <f t="shared" si="160"/>
        <v>346.61225454000009</v>
      </c>
      <c r="M2032" s="369" t="s">
        <v>6169</v>
      </c>
      <c r="N2032" s="432" t="s">
        <v>3785</v>
      </c>
      <c r="O2032" s="432" t="s">
        <v>5567</v>
      </c>
      <c r="P2032" s="438" t="s">
        <v>3659</v>
      </c>
      <c r="Q2032" s="481">
        <v>0.2</v>
      </c>
      <c r="R2032" s="438">
        <v>1900003308</v>
      </c>
      <c r="S2032" s="466" t="s">
        <v>57</v>
      </c>
      <c r="T2032" s="2" t="s">
        <v>5915</v>
      </c>
    </row>
    <row r="2033" spans="1:21" hidden="1" x14ac:dyDescent="0.35">
      <c r="A2033" s="482" t="s">
        <v>5568</v>
      </c>
      <c r="B2033" s="432" t="s">
        <v>5565</v>
      </c>
      <c r="C2033" s="436">
        <v>43265</v>
      </c>
      <c r="D2033" s="436">
        <v>43265</v>
      </c>
      <c r="E2033" s="436" t="s">
        <v>3524</v>
      </c>
      <c r="F2033" s="435" t="s">
        <v>5566</v>
      </c>
      <c r="G2033" s="498" t="s">
        <v>5302</v>
      </c>
      <c r="H2033" s="432" t="s">
        <v>5449</v>
      </c>
      <c r="I2033" s="503">
        <f t="shared" si="162"/>
        <v>13919.701096875002</v>
      </c>
      <c r="J2033" s="503">
        <f>2654.69*1.175</f>
        <v>3119.2607500000004</v>
      </c>
      <c r="K2033" s="371">
        <f t="shared" si="159"/>
        <v>1733.0612727000002</v>
      </c>
      <c r="L2033" s="369">
        <f t="shared" si="160"/>
        <v>346.61225454000009</v>
      </c>
      <c r="M2033" s="369" t="s">
        <v>6169</v>
      </c>
      <c r="N2033" s="432" t="s">
        <v>3785</v>
      </c>
      <c r="O2033" s="432" t="s">
        <v>5567</v>
      </c>
      <c r="P2033" s="438" t="s">
        <v>3659</v>
      </c>
      <c r="Q2033" s="481">
        <v>0.2</v>
      </c>
      <c r="R2033" s="438">
        <v>1900003308</v>
      </c>
      <c r="S2033" s="526" t="s">
        <v>57</v>
      </c>
      <c r="T2033" s="524" t="s">
        <v>5915</v>
      </c>
    </row>
    <row r="2034" spans="1:21" hidden="1" x14ac:dyDescent="0.35">
      <c r="A2034" s="482" t="s">
        <v>5569</v>
      </c>
      <c r="B2034" s="432" t="s">
        <v>5570</v>
      </c>
      <c r="C2034" s="436">
        <v>43265</v>
      </c>
      <c r="D2034" s="436">
        <v>43265</v>
      </c>
      <c r="E2034" s="436"/>
      <c r="F2034" s="435" t="s">
        <v>5566</v>
      </c>
      <c r="G2034" s="493" t="s">
        <v>5274</v>
      </c>
      <c r="H2034" s="432" t="s">
        <v>5449</v>
      </c>
      <c r="I2034" s="503">
        <f t="shared" si="162"/>
        <v>772.41077812500021</v>
      </c>
      <c r="J2034" s="503">
        <f t="shared" ref="J2034:J2043" si="163">147.31*1.175</f>
        <v>173.08925000000002</v>
      </c>
      <c r="K2034" s="371">
        <f t="shared" si="159"/>
        <v>96.168387300000006</v>
      </c>
      <c r="L2034" s="369">
        <f t="shared" si="160"/>
        <v>19.233677460000003</v>
      </c>
      <c r="M2034" s="369" t="s">
        <v>6169</v>
      </c>
      <c r="N2034" s="432" t="s">
        <v>3785</v>
      </c>
      <c r="O2034" s="432" t="s">
        <v>5567</v>
      </c>
      <c r="P2034" s="438" t="s">
        <v>3659</v>
      </c>
      <c r="Q2034" s="481">
        <v>0.2</v>
      </c>
      <c r="R2034" s="438">
        <v>1900003308</v>
      </c>
      <c r="S2034" s="466"/>
      <c r="T2034" s="2"/>
      <c r="U2034" s="466"/>
    </row>
    <row r="2035" spans="1:21" hidden="1" x14ac:dyDescent="0.35">
      <c r="A2035" s="482" t="s">
        <v>5571</v>
      </c>
      <c r="B2035" s="432" t="s">
        <v>5570</v>
      </c>
      <c r="C2035" s="436">
        <v>43265</v>
      </c>
      <c r="D2035" s="436">
        <v>43265</v>
      </c>
      <c r="E2035" s="436"/>
      <c r="F2035" s="435" t="s">
        <v>5566</v>
      </c>
      <c r="G2035" s="493" t="s">
        <v>5274</v>
      </c>
      <c r="H2035" s="432" t="s">
        <v>5449</v>
      </c>
      <c r="I2035" s="503">
        <f t="shared" si="162"/>
        <v>772.41077812500021</v>
      </c>
      <c r="J2035" s="503">
        <f t="shared" si="163"/>
        <v>173.08925000000002</v>
      </c>
      <c r="K2035" s="371">
        <f t="shared" si="159"/>
        <v>96.168387300000006</v>
      </c>
      <c r="L2035" s="369">
        <f t="shared" si="160"/>
        <v>19.233677460000003</v>
      </c>
      <c r="M2035" s="369" t="s">
        <v>6169</v>
      </c>
      <c r="N2035" s="432" t="s">
        <v>3785</v>
      </c>
      <c r="O2035" s="432" t="s">
        <v>5567</v>
      </c>
      <c r="P2035" s="438" t="s">
        <v>3659</v>
      </c>
      <c r="Q2035" s="481">
        <v>0.2</v>
      </c>
      <c r="R2035" s="438">
        <v>1900003308</v>
      </c>
      <c r="S2035" s="466"/>
      <c r="T2035" s="2"/>
      <c r="U2035" s="466"/>
    </row>
    <row r="2036" spans="1:21" hidden="1" x14ac:dyDescent="0.35">
      <c r="A2036" s="482" t="s">
        <v>5572</v>
      </c>
      <c r="B2036" s="432" t="s">
        <v>5570</v>
      </c>
      <c r="C2036" s="436">
        <v>43265</v>
      </c>
      <c r="D2036" s="436">
        <v>43265</v>
      </c>
      <c r="E2036" s="436"/>
      <c r="F2036" s="435" t="s">
        <v>5566</v>
      </c>
      <c r="G2036" s="493" t="s">
        <v>5274</v>
      </c>
      <c r="H2036" s="432" t="s">
        <v>5449</v>
      </c>
      <c r="I2036" s="503">
        <f t="shared" si="162"/>
        <v>772.41077812500021</v>
      </c>
      <c r="J2036" s="503">
        <f t="shared" si="163"/>
        <v>173.08925000000002</v>
      </c>
      <c r="K2036" s="371">
        <f t="shared" si="159"/>
        <v>96.168387300000006</v>
      </c>
      <c r="L2036" s="369">
        <f t="shared" si="160"/>
        <v>19.233677460000003</v>
      </c>
      <c r="M2036" s="369" t="s">
        <v>6169</v>
      </c>
      <c r="N2036" s="432" t="s">
        <v>3785</v>
      </c>
      <c r="O2036" s="432" t="s">
        <v>5567</v>
      </c>
      <c r="P2036" s="438" t="s">
        <v>3659</v>
      </c>
      <c r="Q2036" s="481">
        <v>0.2</v>
      </c>
      <c r="R2036" s="438">
        <v>1900003308</v>
      </c>
      <c r="S2036" s="466"/>
      <c r="T2036" s="2"/>
      <c r="U2036" s="466"/>
    </row>
    <row r="2037" spans="1:21" hidden="1" x14ac:dyDescent="0.35">
      <c r="A2037" s="482" t="s">
        <v>5573</v>
      </c>
      <c r="B2037" s="432" t="s">
        <v>5570</v>
      </c>
      <c r="C2037" s="436">
        <v>43265</v>
      </c>
      <c r="D2037" s="436">
        <v>43265</v>
      </c>
      <c r="E2037" s="436"/>
      <c r="F2037" s="435" t="s">
        <v>5566</v>
      </c>
      <c r="G2037" s="493" t="s">
        <v>5274</v>
      </c>
      <c r="H2037" s="432" t="s">
        <v>5449</v>
      </c>
      <c r="I2037" s="503">
        <f t="shared" si="162"/>
        <v>772.41077812500021</v>
      </c>
      <c r="J2037" s="503">
        <f t="shared" si="163"/>
        <v>173.08925000000002</v>
      </c>
      <c r="K2037" s="371">
        <f t="shared" si="159"/>
        <v>96.168387300000006</v>
      </c>
      <c r="L2037" s="369">
        <f t="shared" si="160"/>
        <v>19.233677460000003</v>
      </c>
      <c r="M2037" s="369" t="s">
        <v>6169</v>
      </c>
      <c r="N2037" s="432" t="s">
        <v>3785</v>
      </c>
      <c r="O2037" s="432" t="s">
        <v>5567</v>
      </c>
      <c r="P2037" s="438" t="s">
        <v>3659</v>
      </c>
      <c r="Q2037" s="481">
        <v>0.2</v>
      </c>
      <c r="R2037" s="438">
        <v>1900003308</v>
      </c>
      <c r="S2037" s="466"/>
      <c r="T2037" s="2"/>
      <c r="U2037" s="466"/>
    </row>
    <row r="2038" spans="1:21" hidden="1" x14ac:dyDescent="0.35">
      <c r="A2038" s="482" t="s">
        <v>5574</v>
      </c>
      <c r="B2038" s="432" t="s">
        <v>5570</v>
      </c>
      <c r="C2038" s="436">
        <v>43265</v>
      </c>
      <c r="D2038" s="436">
        <v>43265</v>
      </c>
      <c r="E2038" s="436"/>
      <c r="F2038" s="435" t="s">
        <v>5566</v>
      </c>
      <c r="G2038" s="493" t="s">
        <v>5274</v>
      </c>
      <c r="H2038" s="432" t="s">
        <v>5449</v>
      </c>
      <c r="I2038" s="503">
        <f t="shared" si="162"/>
        <v>772.41077812500021</v>
      </c>
      <c r="J2038" s="503">
        <f t="shared" si="163"/>
        <v>173.08925000000002</v>
      </c>
      <c r="K2038" s="371">
        <f t="shared" si="159"/>
        <v>96.168387300000006</v>
      </c>
      <c r="L2038" s="369">
        <f t="shared" si="160"/>
        <v>19.233677460000003</v>
      </c>
      <c r="M2038" s="369" t="s">
        <v>6169</v>
      </c>
      <c r="N2038" s="432" t="s">
        <v>3785</v>
      </c>
      <c r="O2038" s="432" t="s">
        <v>5567</v>
      </c>
      <c r="P2038" s="438" t="s">
        <v>3659</v>
      </c>
      <c r="Q2038" s="481">
        <v>0.2</v>
      </c>
      <c r="R2038" s="438">
        <v>1900003308</v>
      </c>
      <c r="S2038" s="466"/>
      <c r="T2038" s="2"/>
      <c r="U2038" s="466"/>
    </row>
    <row r="2039" spans="1:21" hidden="1" x14ac:dyDescent="0.35">
      <c r="A2039" s="482" t="s">
        <v>5575</v>
      </c>
      <c r="B2039" s="432" t="s">
        <v>5570</v>
      </c>
      <c r="C2039" s="436">
        <v>43265</v>
      </c>
      <c r="D2039" s="436">
        <v>43265</v>
      </c>
      <c r="E2039" s="436"/>
      <c r="F2039" s="435" t="s">
        <v>5566</v>
      </c>
      <c r="G2039" s="493" t="s">
        <v>5274</v>
      </c>
      <c r="H2039" s="432" t="s">
        <v>5449</v>
      </c>
      <c r="I2039" s="503">
        <f t="shared" si="162"/>
        <v>772.41077812500021</v>
      </c>
      <c r="J2039" s="503">
        <f t="shared" si="163"/>
        <v>173.08925000000002</v>
      </c>
      <c r="K2039" s="371">
        <f t="shared" si="159"/>
        <v>96.168387300000006</v>
      </c>
      <c r="L2039" s="369">
        <f t="shared" si="160"/>
        <v>19.233677460000003</v>
      </c>
      <c r="M2039" s="369" t="s">
        <v>6169</v>
      </c>
      <c r="N2039" s="432" t="s">
        <v>3785</v>
      </c>
      <c r="O2039" s="432" t="s">
        <v>5567</v>
      </c>
      <c r="P2039" s="438" t="s">
        <v>3659</v>
      </c>
      <c r="Q2039" s="481">
        <v>0.2</v>
      </c>
      <c r="R2039" s="438">
        <v>1900003308</v>
      </c>
      <c r="S2039" s="466"/>
      <c r="T2039" s="2"/>
      <c r="U2039" s="466"/>
    </row>
    <row r="2040" spans="1:21" hidden="1" x14ac:dyDescent="0.35">
      <c r="A2040" s="482" t="s">
        <v>5576</v>
      </c>
      <c r="B2040" s="432" t="s">
        <v>5570</v>
      </c>
      <c r="C2040" s="436">
        <v>43265</v>
      </c>
      <c r="D2040" s="436">
        <v>43265</v>
      </c>
      <c r="E2040" s="436"/>
      <c r="F2040" s="435" t="s">
        <v>5566</v>
      </c>
      <c r="G2040" s="493" t="s">
        <v>5274</v>
      </c>
      <c r="H2040" s="432" t="s">
        <v>5449</v>
      </c>
      <c r="I2040" s="503">
        <f t="shared" si="162"/>
        <v>772.41077812500021</v>
      </c>
      <c r="J2040" s="503">
        <f t="shared" si="163"/>
        <v>173.08925000000002</v>
      </c>
      <c r="K2040" s="371">
        <f t="shared" si="159"/>
        <v>96.168387300000006</v>
      </c>
      <c r="L2040" s="369">
        <f t="shared" si="160"/>
        <v>19.233677460000003</v>
      </c>
      <c r="M2040" s="369" t="s">
        <v>6169</v>
      </c>
      <c r="N2040" s="432" t="s">
        <v>3785</v>
      </c>
      <c r="O2040" s="432" t="s">
        <v>5567</v>
      </c>
      <c r="P2040" s="438" t="s">
        <v>3659</v>
      </c>
      <c r="Q2040" s="481">
        <v>0.2</v>
      </c>
      <c r="R2040" s="438">
        <v>1900003308</v>
      </c>
      <c r="S2040" s="466"/>
      <c r="T2040" s="2"/>
      <c r="U2040" s="466"/>
    </row>
    <row r="2041" spans="1:21" hidden="1" x14ac:dyDescent="0.35">
      <c r="A2041" s="482" t="s">
        <v>5577</v>
      </c>
      <c r="B2041" s="432" t="s">
        <v>5570</v>
      </c>
      <c r="C2041" s="436">
        <v>43265</v>
      </c>
      <c r="D2041" s="436">
        <v>43265</v>
      </c>
      <c r="E2041" s="436"/>
      <c r="F2041" s="435" t="s">
        <v>5566</v>
      </c>
      <c r="G2041" s="493" t="s">
        <v>5274</v>
      </c>
      <c r="H2041" s="432" t="s">
        <v>5449</v>
      </c>
      <c r="I2041" s="503">
        <f t="shared" si="162"/>
        <v>772.41077812500021</v>
      </c>
      <c r="J2041" s="503">
        <f t="shared" si="163"/>
        <v>173.08925000000002</v>
      </c>
      <c r="K2041" s="371">
        <f t="shared" si="159"/>
        <v>96.168387300000006</v>
      </c>
      <c r="L2041" s="369">
        <f t="shared" si="160"/>
        <v>19.233677460000003</v>
      </c>
      <c r="M2041" s="369" t="s">
        <v>6169</v>
      </c>
      <c r="N2041" s="432" t="s">
        <v>3785</v>
      </c>
      <c r="O2041" s="432" t="s">
        <v>5567</v>
      </c>
      <c r="P2041" s="438" t="s">
        <v>3659</v>
      </c>
      <c r="Q2041" s="481">
        <v>0.2</v>
      </c>
      <c r="R2041" s="438">
        <v>1900003308</v>
      </c>
      <c r="S2041" s="466"/>
      <c r="T2041" s="2"/>
      <c r="U2041" s="466"/>
    </row>
    <row r="2042" spans="1:21" hidden="1" x14ac:dyDescent="0.35">
      <c r="A2042" s="482" t="s">
        <v>5578</v>
      </c>
      <c r="B2042" s="432" t="s">
        <v>5570</v>
      </c>
      <c r="C2042" s="436">
        <v>43265</v>
      </c>
      <c r="D2042" s="436">
        <v>43265</v>
      </c>
      <c r="E2042" s="436"/>
      <c r="F2042" s="435" t="s">
        <v>5566</v>
      </c>
      <c r="G2042" s="493" t="s">
        <v>5274</v>
      </c>
      <c r="H2042" s="432" t="s">
        <v>5449</v>
      </c>
      <c r="I2042" s="503">
        <f t="shared" si="162"/>
        <v>772.41077812500021</v>
      </c>
      <c r="J2042" s="503">
        <f t="shared" si="163"/>
        <v>173.08925000000002</v>
      </c>
      <c r="K2042" s="371">
        <f t="shared" si="159"/>
        <v>96.168387300000006</v>
      </c>
      <c r="L2042" s="369">
        <f t="shared" si="160"/>
        <v>19.233677460000003</v>
      </c>
      <c r="M2042" s="369" t="s">
        <v>6169</v>
      </c>
      <c r="N2042" s="432" t="s">
        <v>3785</v>
      </c>
      <c r="O2042" s="432" t="s">
        <v>5567</v>
      </c>
      <c r="P2042" s="438" t="s">
        <v>3659</v>
      </c>
      <c r="Q2042" s="481">
        <v>0.2</v>
      </c>
      <c r="R2042" s="438">
        <v>1900003308</v>
      </c>
      <c r="S2042" s="466"/>
      <c r="T2042" s="2"/>
      <c r="U2042" s="466"/>
    </row>
    <row r="2043" spans="1:21" hidden="1" x14ac:dyDescent="0.35">
      <c r="A2043" s="482" t="s">
        <v>5579</v>
      </c>
      <c r="B2043" s="432" t="s">
        <v>5570</v>
      </c>
      <c r="C2043" s="436">
        <v>43265</v>
      </c>
      <c r="D2043" s="436">
        <v>43265</v>
      </c>
      <c r="E2043" s="436"/>
      <c r="F2043" s="435" t="s">
        <v>5566</v>
      </c>
      <c r="G2043" s="493" t="s">
        <v>5274</v>
      </c>
      <c r="H2043" s="432" t="s">
        <v>5449</v>
      </c>
      <c r="I2043" s="503">
        <f t="shared" si="162"/>
        <v>772.41077812500021</v>
      </c>
      <c r="J2043" s="503">
        <f t="shared" si="163"/>
        <v>173.08925000000002</v>
      </c>
      <c r="K2043" s="371">
        <f t="shared" si="159"/>
        <v>96.168387300000006</v>
      </c>
      <c r="L2043" s="369">
        <f t="shared" si="160"/>
        <v>19.233677460000003</v>
      </c>
      <c r="M2043" s="369" t="s">
        <v>6169</v>
      </c>
      <c r="N2043" s="432" t="s">
        <v>3785</v>
      </c>
      <c r="O2043" s="432" t="s">
        <v>5567</v>
      </c>
      <c r="P2043" s="438" t="s">
        <v>3659</v>
      </c>
      <c r="Q2043" s="481">
        <v>0.2</v>
      </c>
      <c r="R2043" s="438">
        <v>1900003308</v>
      </c>
      <c r="S2043" s="466"/>
      <c r="T2043" s="2"/>
      <c r="U2043" s="466"/>
    </row>
    <row r="2044" spans="1:21" x14ac:dyDescent="0.35">
      <c r="A2044" s="482" t="s">
        <v>5580</v>
      </c>
      <c r="B2044" s="432" t="s">
        <v>2173</v>
      </c>
      <c r="C2044" s="436">
        <v>43265</v>
      </c>
      <c r="D2044" s="436">
        <v>43265</v>
      </c>
      <c r="E2044" s="436" t="s">
        <v>5940</v>
      </c>
      <c r="F2044" s="435" t="s">
        <v>5566</v>
      </c>
      <c r="G2044" s="444" t="s">
        <v>5278</v>
      </c>
      <c r="H2044" s="432" t="s">
        <v>5449</v>
      </c>
      <c r="I2044" s="503">
        <f t="shared" si="162"/>
        <v>2083.9518000000003</v>
      </c>
      <c r="J2044" s="503">
        <f t="shared" ref="J2044:J2051" si="164">397.44*1.175</f>
        <v>466.99200000000002</v>
      </c>
      <c r="K2044" s="371">
        <f t="shared" si="159"/>
        <v>259.46075519999999</v>
      </c>
      <c r="L2044" s="369">
        <f t="shared" si="160"/>
        <v>51.892151040000002</v>
      </c>
      <c r="M2044" s="369" t="s">
        <v>6169</v>
      </c>
      <c r="N2044" s="432" t="s">
        <v>3785</v>
      </c>
      <c r="O2044" s="432" t="s">
        <v>5567</v>
      </c>
      <c r="P2044" s="438" t="s">
        <v>3659</v>
      </c>
      <c r="Q2044" s="481">
        <v>0.2</v>
      </c>
      <c r="R2044" s="438">
        <v>1900003308</v>
      </c>
      <c r="S2044" s="531" t="s">
        <v>509</v>
      </c>
      <c r="T2044" s="527" t="s">
        <v>5915</v>
      </c>
      <c r="U2044" s="9" t="s">
        <v>509</v>
      </c>
    </row>
    <row r="2045" spans="1:21" x14ac:dyDescent="0.35">
      <c r="A2045" s="482" t="s">
        <v>5581</v>
      </c>
      <c r="B2045" s="432" t="s">
        <v>2173</v>
      </c>
      <c r="C2045" s="436">
        <v>43265</v>
      </c>
      <c r="D2045" s="436">
        <v>43265</v>
      </c>
      <c r="E2045" s="436" t="s">
        <v>5942</v>
      </c>
      <c r="F2045" s="435" t="s">
        <v>5566</v>
      </c>
      <c r="G2045" s="444" t="s">
        <v>5278</v>
      </c>
      <c r="H2045" s="432" t="s">
        <v>5449</v>
      </c>
      <c r="I2045" s="503">
        <f t="shared" si="162"/>
        <v>2083.9518000000003</v>
      </c>
      <c r="J2045" s="503">
        <f t="shared" si="164"/>
        <v>466.99200000000002</v>
      </c>
      <c r="K2045" s="371">
        <f t="shared" si="159"/>
        <v>259.46075519999999</v>
      </c>
      <c r="L2045" s="369">
        <f t="shared" si="160"/>
        <v>51.892151040000002</v>
      </c>
      <c r="M2045" s="369" t="s">
        <v>6169</v>
      </c>
      <c r="N2045" s="432" t="s">
        <v>3785</v>
      </c>
      <c r="O2045" s="432" t="s">
        <v>5567</v>
      </c>
      <c r="P2045" s="438" t="s">
        <v>3659</v>
      </c>
      <c r="Q2045" s="481">
        <v>0.2</v>
      </c>
      <c r="R2045" s="438">
        <v>1900003308</v>
      </c>
      <c r="S2045" s="466" t="s">
        <v>509</v>
      </c>
      <c r="T2045" s="2" t="s">
        <v>5915</v>
      </c>
      <c r="U2045" s="9" t="s">
        <v>509</v>
      </c>
    </row>
    <row r="2046" spans="1:21" x14ac:dyDescent="0.35">
      <c r="A2046" s="482" t="s">
        <v>5582</v>
      </c>
      <c r="B2046" s="432" t="s">
        <v>2173</v>
      </c>
      <c r="C2046" s="436">
        <v>43265</v>
      </c>
      <c r="D2046" s="436">
        <v>43265</v>
      </c>
      <c r="E2046" s="436" t="s">
        <v>5943</v>
      </c>
      <c r="F2046" s="435" t="s">
        <v>5566</v>
      </c>
      <c r="G2046" s="444" t="s">
        <v>5278</v>
      </c>
      <c r="H2046" s="432" t="s">
        <v>5449</v>
      </c>
      <c r="I2046" s="503">
        <f t="shared" si="162"/>
        <v>2083.9518000000003</v>
      </c>
      <c r="J2046" s="503">
        <f t="shared" si="164"/>
        <v>466.99200000000002</v>
      </c>
      <c r="K2046" s="371">
        <f t="shared" si="159"/>
        <v>259.46075519999999</v>
      </c>
      <c r="L2046" s="369">
        <f t="shared" si="160"/>
        <v>51.892151040000002</v>
      </c>
      <c r="M2046" s="369" t="s">
        <v>6169</v>
      </c>
      <c r="N2046" s="432" t="s">
        <v>3785</v>
      </c>
      <c r="O2046" s="432" t="s">
        <v>5567</v>
      </c>
      <c r="P2046" s="438" t="s">
        <v>3659</v>
      </c>
      <c r="Q2046" s="481">
        <v>0.2</v>
      </c>
      <c r="R2046" s="438">
        <v>1900003308</v>
      </c>
      <c r="S2046" s="466" t="s">
        <v>509</v>
      </c>
      <c r="T2046" s="2" t="s">
        <v>5915</v>
      </c>
      <c r="U2046" s="9" t="s">
        <v>509</v>
      </c>
    </row>
    <row r="2047" spans="1:21" x14ac:dyDescent="0.35">
      <c r="A2047" s="482" t="s">
        <v>5583</v>
      </c>
      <c r="B2047" s="432" t="s">
        <v>2173</v>
      </c>
      <c r="C2047" s="436">
        <v>43265</v>
      </c>
      <c r="D2047" s="436">
        <v>43265</v>
      </c>
      <c r="E2047" s="436" t="s">
        <v>5944</v>
      </c>
      <c r="F2047" s="435" t="s">
        <v>5566</v>
      </c>
      <c r="G2047" s="444" t="s">
        <v>5278</v>
      </c>
      <c r="H2047" s="432" t="s">
        <v>5449</v>
      </c>
      <c r="I2047" s="503">
        <f t="shared" si="162"/>
        <v>2083.9518000000003</v>
      </c>
      <c r="J2047" s="503">
        <f t="shared" si="164"/>
        <v>466.99200000000002</v>
      </c>
      <c r="K2047" s="371">
        <f t="shared" si="159"/>
        <v>259.46075519999999</v>
      </c>
      <c r="L2047" s="369">
        <f t="shared" si="160"/>
        <v>51.892151040000002</v>
      </c>
      <c r="M2047" s="369" t="s">
        <v>6169</v>
      </c>
      <c r="N2047" s="432" t="s">
        <v>3785</v>
      </c>
      <c r="O2047" s="432" t="s">
        <v>5567</v>
      </c>
      <c r="P2047" s="438" t="s">
        <v>3659</v>
      </c>
      <c r="Q2047" s="481">
        <v>0.2</v>
      </c>
      <c r="R2047" s="438">
        <v>1900003308</v>
      </c>
      <c r="S2047" s="466" t="s">
        <v>509</v>
      </c>
      <c r="T2047" s="2" t="s">
        <v>5915</v>
      </c>
      <c r="U2047" s="9" t="s">
        <v>509</v>
      </c>
    </row>
    <row r="2048" spans="1:21" x14ac:dyDescent="0.35">
      <c r="A2048" s="482" t="s">
        <v>5584</v>
      </c>
      <c r="B2048" s="432" t="s">
        <v>2173</v>
      </c>
      <c r="C2048" s="436">
        <v>43265</v>
      </c>
      <c r="D2048" s="436">
        <v>43265</v>
      </c>
      <c r="E2048" s="436" t="s">
        <v>5945</v>
      </c>
      <c r="F2048" s="435" t="s">
        <v>5566</v>
      </c>
      <c r="G2048" s="444" t="s">
        <v>5278</v>
      </c>
      <c r="H2048" s="432" t="s">
        <v>5449</v>
      </c>
      <c r="I2048" s="503">
        <f t="shared" si="162"/>
        <v>2083.9518000000003</v>
      </c>
      <c r="J2048" s="503">
        <f t="shared" si="164"/>
        <v>466.99200000000002</v>
      </c>
      <c r="K2048" s="371">
        <f t="shared" si="159"/>
        <v>259.46075519999999</v>
      </c>
      <c r="L2048" s="369">
        <f t="shared" si="160"/>
        <v>51.892151040000002</v>
      </c>
      <c r="M2048" s="369" t="s">
        <v>6169</v>
      </c>
      <c r="N2048" s="432" t="s">
        <v>3785</v>
      </c>
      <c r="O2048" s="432" t="s">
        <v>5567</v>
      </c>
      <c r="P2048" s="438" t="s">
        <v>3659</v>
      </c>
      <c r="Q2048" s="481">
        <v>0.2</v>
      </c>
      <c r="R2048" s="438">
        <v>1900003308</v>
      </c>
      <c r="S2048" s="466" t="s">
        <v>509</v>
      </c>
      <c r="T2048" s="2" t="s">
        <v>5915</v>
      </c>
      <c r="U2048" s="9" t="s">
        <v>509</v>
      </c>
    </row>
    <row r="2049" spans="1:21" x14ac:dyDescent="0.35">
      <c r="A2049" s="482" t="s">
        <v>5585</v>
      </c>
      <c r="B2049" s="432" t="s">
        <v>2173</v>
      </c>
      <c r="C2049" s="436">
        <v>43265</v>
      </c>
      <c r="D2049" s="436">
        <v>43265</v>
      </c>
      <c r="E2049" s="436" t="s">
        <v>5946</v>
      </c>
      <c r="F2049" s="435" t="s">
        <v>5566</v>
      </c>
      <c r="G2049" s="444" t="s">
        <v>5278</v>
      </c>
      <c r="H2049" s="432" t="s">
        <v>5449</v>
      </c>
      <c r="I2049" s="503">
        <f t="shared" si="162"/>
        <v>2083.9518000000003</v>
      </c>
      <c r="J2049" s="503">
        <f t="shared" si="164"/>
        <v>466.99200000000002</v>
      </c>
      <c r="K2049" s="371">
        <f t="shared" si="159"/>
        <v>259.46075519999999</v>
      </c>
      <c r="L2049" s="369">
        <f t="shared" si="160"/>
        <v>51.892151040000002</v>
      </c>
      <c r="M2049" s="369" t="s">
        <v>6169</v>
      </c>
      <c r="N2049" s="432" t="s">
        <v>3785</v>
      </c>
      <c r="O2049" s="432" t="s">
        <v>5567</v>
      </c>
      <c r="P2049" s="438" t="s">
        <v>3659</v>
      </c>
      <c r="Q2049" s="481">
        <v>0.2</v>
      </c>
      <c r="R2049" s="438">
        <v>1900003308</v>
      </c>
      <c r="S2049" s="466" t="s">
        <v>509</v>
      </c>
      <c r="T2049" s="2" t="s">
        <v>5915</v>
      </c>
      <c r="U2049" s="9" t="s">
        <v>509</v>
      </c>
    </row>
    <row r="2050" spans="1:21" x14ac:dyDescent="0.35">
      <c r="A2050" s="482" t="s">
        <v>5586</v>
      </c>
      <c r="B2050" s="432" t="s">
        <v>2173</v>
      </c>
      <c r="C2050" s="436">
        <v>43265</v>
      </c>
      <c r="D2050" s="436">
        <v>43265</v>
      </c>
      <c r="E2050" s="436" t="s">
        <v>5947</v>
      </c>
      <c r="F2050" s="435" t="s">
        <v>5566</v>
      </c>
      <c r="G2050" s="444" t="s">
        <v>5278</v>
      </c>
      <c r="H2050" s="432" t="s">
        <v>5449</v>
      </c>
      <c r="I2050" s="503">
        <f t="shared" si="162"/>
        <v>2083.9518000000003</v>
      </c>
      <c r="J2050" s="503">
        <f t="shared" si="164"/>
        <v>466.99200000000002</v>
      </c>
      <c r="K2050" s="371">
        <f t="shared" si="159"/>
        <v>259.46075519999999</v>
      </c>
      <c r="L2050" s="369">
        <f t="shared" si="160"/>
        <v>51.892151040000002</v>
      </c>
      <c r="M2050" s="369" t="s">
        <v>6169</v>
      </c>
      <c r="N2050" s="432" t="s">
        <v>3785</v>
      </c>
      <c r="O2050" s="432" t="s">
        <v>5567</v>
      </c>
      <c r="P2050" s="438" t="s">
        <v>3659</v>
      </c>
      <c r="Q2050" s="481">
        <v>0.2</v>
      </c>
      <c r="R2050" s="438">
        <v>1900003308</v>
      </c>
      <c r="S2050" s="466" t="s">
        <v>509</v>
      </c>
      <c r="T2050" s="2" t="s">
        <v>5915</v>
      </c>
      <c r="U2050" s="9" t="s">
        <v>509</v>
      </c>
    </row>
    <row r="2051" spans="1:21" x14ac:dyDescent="0.35">
      <c r="A2051" s="482" t="s">
        <v>5587</v>
      </c>
      <c r="B2051" s="432" t="s">
        <v>2173</v>
      </c>
      <c r="C2051" s="436">
        <v>43265</v>
      </c>
      <c r="D2051" s="436">
        <v>43265</v>
      </c>
      <c r="E2051" s="436" t="s">
        <v>5948</v>
      </c>
      <c r="F2051" s="435" t="s">
        <v>5566</v>
      </c>
      <c r="G2051" s="444" t="s">
        <v>5278</v>
      </c>
      <c r="H2051" s="432" t="s">
        <v>5449</v>
      </c>
      <c r="I2051" s="503">
        <f t="shared" si="162"/>
        <v>2083.9518000000003</v>
      </c>
      <c r="J2051" s="503">
        <f t="shared" si="164"/>
        <v>466.99200000000002</v>
      </c>
      <c r="K2051" s="371">
        <f t="shared" si="159"/>
        <v>259.46075519999999</v>
      </c>
      <c r="L2051" s="369">
        <f t="shared" si="160"/>
        <v>51.892151040000002</v>
      </c>
      <c r="M2051" s="369" t="s">
        <v>6169</v>
      </c>
      <c r="N2051" s="432" t="s">
        <v>3785</v>
      </c>
      <c r="O2051" s="432" t="s">
        <v>5567</v>
      </c>
      <c r="P2051" s="438" t="s">
        <v>3659</v>
      </c>
      <c r="Q2051" s="481">
        <v>0.2</v>
      </c>
      <c r="R2051" s="438">
        <v>1900003308</v>
      </c>
      <c r="S2051" s="466" t="s">
        <v>509</v>
      </c>
      <c r="T2051" s="2" t="s">
        <v>5915</v>
      </c>
      <c r="U2051" s="9" t="s">
        <v>509</v>
      </c>
    </row>
    <row r="2052" spans="1:21" x14ac:dyDescent="0.35">
      <c r="A2052" s="482" t="s">
        <v>5588</v>
      </c>
      <c r="B2052" s="432" t="s">
        <v>1976</v>
      </c>
      <c r="C2052" s="436">
        <v>43265</v>
      </c>
      <c r="D2052" s="436">
        <v>43265</v>
      </c>
      <c r="E2052" s="436" t="s">
        <v>2456</v>
      </c>
      <c r="F2052" s="435" t="s">
        <v>5566</v>
      </c>
      <c r="G2052" s="433" t="s">
        <v>5278</v>
      </c>
      <c r="H2052" s="432" t="s">
        <v>5449</v>
      </c>
      <c r="I2052" s="503">
        <f t="shared" si="162"/>
        <v>3604.6535437500006</v>
      </c>
      <c r="J2052" s="503">
        <f t="shared" ref="J2052:J2071" si="165">687.46*1.175</f>
        <v>807.76550000000009</v>
      </c>
      <c r="K2052" s="371">
        <f t="shared" si="159"/>
        <v>448.79451180000001</v>
      </c>
      <c r="L2052" s="369">
        <f t="shared" si="160"/>
        <v>89.758902360000008</v>
      </c>
      <c r="M2052" s="369" t="s">
        <v>6169</v>
      </c>
      <c r="N2052" s="432" t="s">
        <v>3785</v>
      </c>
      <c r="O2052" s="432" t="s">
        <v>5567</v>
      </c>
      <c r="P2052" s="438" t="s">
        <v>3659</v>
      </c>
      <c r="Q2052" s="481">
        <v>0.2</v>
      </c>
      <c r="R2052" s="438">
        <v>1900003308</v>
      </c>
      <c r="S2052" s="466" t="s">
        <v>1377</v>
      </c>
      <c r="T2052" s="2" t="s">
        <v>5915</v>
      </c>
    </row>
    <row r="2053" spans="1:21" x14ac:dyDescent="0.35">
      <c r="A2053" s="482" t="s">
        <v>5589</v>
      </c>
      <c r="B2053" s="432" t="s">
        <v>1976</v>
      </c>
      <c r="C2053" s="436">
        <v>43265</v>
      </c>
      <c r="D2053" s="436">
        <v>43265</v>
      </c>
      <c r="E2053" s="436" t="s">
        <v>2471</v>
      </c>
      <c r="F2053" s="435" t="s">
        <v>5566</v>
      </c>
      <c r="G2053" s="433" t="s">
        <v>5278</v>
      </c>
      <c r="H2053" s="432" t="s">
        <v>5449</v>
      </c>
      <c r="I2053" s="503">
        <f t="shared" si="162"/>
        <v>3604.6535437500006</v>
      </c>
      <c r="J2053" s="503">
        <f t="shared" si="165"/>
        <v>807.76550000000009</v>
      </c>
      <c r="K2053" s="371">
        <f t="shared" si="159"/>
        <v>448.79451180000001</v>
      </c>
      <c r="L2053" s="369">
        <f t="shared" si="160"/>
        <v>89.758902360000008</v>
      </c>
      <c r="M2053" s="369" t="s">
        <v>6169</v>
      </c>
      <c r="N2053" s="432" t="s">
        <v>3785</v>
      </c>
      <c r="O2053" s="432" t="s">
        <v>5567</v>
      </c>
      <c r="P2053" s="438" t="s">
        <v>3659</v>
      </c>
      <c r="Q2053" s="481">
        <v>0.2</v>
      </c>
      <c r="R2053" s="438">
        <v>1900003308</v>
      </c>
      <c r="S2053" s="466" t="s">
        <v>1620</v>
      </c>
      <c r="T2053" s="2" t="s">
        <v>5915</v>
      </c>
    </row>
    <row r="2054" spans="1:21" x14ac:dyDescent="0.35">
      <c r="A2054" s="482" t="s">
        <v>5590</v>
      </c>
      <c r="B2054" s="432" t="s">
        <v>1976</v>
      </c>
      <c r="C2054" s="436">
        <v>43265</v>
      </c>
      <c r="D2054" s="436">
        <v>43265</v>
      </c>
      <c r="E2054" s="436" t="s">
        <v>2472</v>
      </c>
      <c r="F2054" s="435" t="s">
        <v>5566</v>
      </c>
      <c r="G2054" s="433" t="s">
        <v>5278</v>
      </c>
      <c r="H2054" s="432" t="s">
        <v>5449</v>
      </c>
      <c r="I2054" s="503">
        <f t="shared" si="162"/>
        <v>3604.6535437500006</v>
      </c>
      <c r="J2054" s="503">
        <f t="shared" si="165"/>
        <v>807.76550000000009</v>
      </c>
      <c r="K2054" s="371">
        <f t="shared" si="159"/>
        <v>448.79451180000001</v>
      </c>
      <c r="L2054" s="369">
        <f t="shared" si="160"/>
        <v>89.758902360000008</v>
      </c>
      <c r="M2054" s="369" t="s">
        <v>6169</v>
      </c>
      <c r="N2054" s="432" t="s">
        <v>3785</v>
      </c>
      <c r="O2054" s="432" t="s">
        <v>5567</v>
      </c>
      <c r="P2054" s="438" t="s">
        <v>3659</v>
      </c>
      <c r="Q2054" s="481">
        <v>0.2</v>
      </c>
      <c r="R2054" s="438">
        <v>1900003308</v>
      </c>
      <c r="S2054" s="466" t="s">
        <v>1620</v>
      </c>
      <c r="T2054" s="2" t="s">
        <v>5915</v>
      </c>
    </row>
    <row r="2055" spans="1:21" x14ac:dyDescent="0.35">
      <c r="A2055" s="482" t="s">
        <v>5591</v>
      </c>
      <c r="B2055" s="432" t="s">
        <v>1976</v>
      </c>
      <c r="C2055" s="436">
        <v>43265</v>
      </c>
      <c r="D2055" s="436">
        <v>43265</v>
      </c>
      <c r="E2055" s="436" t="s">
        <v>2473</v>
      </c>
      <c r="F2055" s="435" t="s">
        <v>5566</v>
      </c>
      <c r="G2055" s="433" t="s">
        <v>5278</v>
      </c>
      <c r="H2055" s="432" t="s">
        <v>5449</v>
      </c>
      <c r="I2055" s="503">
        <f t="shared" si="162"/>
        <v>3604.6535437500006</v>
      </c>
      <c r="J2055" s="503">
        <f t="shared" si="165"/>
        <v>807.76550000000009</v>
      </c>
      <c r="K2055" s="371">
        <f t="shared" si="159"/>
        <v>448.79451180000001</v>
      </c>
      <c r="L2055" s="369">
        <f t="shared" si="160"/>
        <v>89.758902360000008</v>
      </c>
      <c r="M2055" s="369" t="s">
        <v>6169</v>
      </c>
      <c r="N2055" s="432" t="s">
        <v>3785</v>
      </c>
      <c r="O2055" s="432" t="s">
        <v>5567</v>
      </c>
      <c r="P2055" s="438" t="s">
        <v>3659</v>
      </c>
      <c r="Q2055" s="481">
        <v>0.2</v>
      </c>
      <c r="R2055" s="438">
        <v>1900003308</v>
      </c>
      <c r="S2055" s="466" t="s">
        <v>1620</v>
      </c>
      <c r="T2055" s="2" t="s">
        <v>5915</v>
      </c>
    </row>
    <row r="2056" spans="1:21" x14ac:dyDescent="0.35">
      <c r="A2056" s="482" t="s">
        <v>5592</v>
      </c>
      <c r="B2056" s="432" t="s">
        <v>1976</v>
      </c>
      <c r="C2056" s="436">
        <v>43265</v>
      </c>
      <c r="D2056" s="436">
        <v>43265</v>
      </c>
      <c r="E2056" s="436" t="s">
        <v>2474</v>
      </c>
      <c r="F2056" s="435" t="s">
        <v>5566</v>
      </c>
      <c r="G2056" s="433" t="s">
        <v>5278</v>
      </c>
      <c r="H2056" s="432" t="s">
        <v>5449</v>
      </c>
      <c r="I2056" s="503">
        <f t="shared" si="162"/>
        <v>3604.6535437500006</v>
      </c>
      <c r="J2056" s="503">
        <f t="shared" si="165"/>
        <v>807.76550000000009</v>
      </c>
      <c r="K2056" s="371">
        <f t="shared" si="159"/>
        <v>448.79451180000001</v>
      </c>
      <c r="L2056" s="369">
        <f t="shared" si="160"/>
        <v>89.758902360000008</v>
      </c>
      <c r="M2056" s="369" t="s">
        <v>6169</v>
      </c>
      <c r="N2056" s="432" t="s">
        <v>3785</v>
      </c>
      <c r="O2056" s="432" t="s">
        <v>5567</v>
      </c>
      <c r="P2056" s="438" t="s">
        <v>3659</v>
      </c>
      <c r="Q2056" s="481">
        <v>0.2</v>
      </c>
      <c r="R2056" s="438">
        <v>1900003308</v>
      </c>
      <c r="S2056" s="466" t="s">
        <v>1620</v>
      </c>
      <c r="T2056" s="2" t="s">
        <v>5915</v>
      </c>
    </row>
    <row r="2057" spans="1:21" x14ac:dyDescent="0.35">
      <c r="A2057" s="482" t="s">
        <v>5593</v>
      </c>
      <c r="B2057" s="432" t="s">
        <v>1976</v>
      </c>
      <c r="C2057" s="436">
        <v>43265</v>
      </c>
      <c r="D2057" s="436">
        <v>43265</v>
      </c>
      <c r="E2057" s="436" t="s">
        <v>2475</v>
      </c>
      <c r="F2057" s="435" t="s">
        <v>5566</v>
      </c>
      <c r="G2057" s="433" t="s">
        <v>5278</v>
      </c>
      <c r="H2057" s="432" t="s">
        <v>5449</v>
      </c>
      <c r="I2057" s="503">
        <f t="shared" si="162"/>
        <v>3604.6535437500006</v>
      </c>
      <c r="J2057" s="503">
        <f t="shared" si="165"/>
        <v>807.76550000000009</v>
      </c>
      <c r="K2057" s="371">
        <f t="shared" si="159"/>
        <v>448.79451180000001</v>
      </c>
      <c r="L2057" s="369">
        <f t="shared" si="160"/>
        <v>89.758902360000008</v>
      </c>
      <c r="M2057" s="369" t="s">
        <v>6169</v>
      </c>
      <c r="N2057" s="432" t="s">
        <v>3785</v>
      </c>
      <c r="O2057" s="432" t="s">
        <v>5567</v>
      </c>
      <c r="P2057" s="438" t="s">
        <v>3659</v>
      </c>
      <c r="Q2057" s="481">
        <v>0.2</v>
      </c>
      <c r="R2057" s="438">
        <v>1900003308</v>
      </c>
      <c r="S2057" s="466" t="s">
        <v>1620</v>
      </c>
      <c r="T2057" s="2" t="s">
        <v>5915</v>
      </c>
    </row>
    <row r="2058" spans="1:21" x14ac:dyDescent="0.35">
      <c r="A2058" s="482" t="s">
        <v>5594</v>
      </c>
      <c r="B2058" s="432" t="s">
        <v>1976</v>
      </c>
      <c r="C2058" s="436">
        <v>43265</v>
      </c>
      <c r="D2058" s="436">
        <v>43265</v>
      </c>
      <c r="E2058" s="436" t="s">
        <v>2476</v>
      </c>
      <c r="F2058" s="435" t="s">
        <v>5566</v>
      </c>
      <c r="G2058" s="433" t="s">
        <v>5278</v>
      </c>
      <c r="H2058" s="432" t="s">
        <v>5449</v>
      </c>
      <c r="I2058" s="503">
        <f t="shared" si="162"/>
        <v>3604.6535437500006</v>
      </c>
      <c r="J2058" s="503">
        <f t="shared" si="165"/>
        <v>807.76550000000009</v>
      </c>
      <c r="K2058" s="371">
        <f t="shared" si="159"/>
        <v>448.79451180000001</v>
      </c>
      <c r="L2058" s="369">
        <f t="shared" si="160"/>
        <v>89.758902360000008</v>
      </c>
      <c r="M2058" s="369" t="s">
        <v>6169</v>
      </c>
      <c r="N2058" s="432" t="s">
        <v>3785</v>
      </c>
      <c r="O2058" s="432" t="s">
        <v>5567</v>
      </c>
      <c r="P2058" s="438" t="s">
        <v>3659</v>
      </c>
      <c r="Q2058" s="481">
        <v>0.2</v>
      </c>
      <c r="R2058" s="438">
        <v>1900003308</v>
      </c>
      <c r="S2058" s="466" t="s">
        <v>1620</v>
      </c>
      <c r="T2058" s="2" t="s">
        <v>5915</v>
      </c>
    </row>
    <row r="2059" spans="1:21" x14ac:dyDescent="0.35">
      <c r="A2059" s="482" t="s">
        <v>5595</v>
      </c>
      <c r="B2059" s="432" t="s">
        <v>1976</v>
      </c>
      <c r="C2059" s="436">
        <v>43265</v>
      </c>
      <c r="D2059" s="436">
        <v>43265</v>
      </c>
      <c r="E2059" s="436" t="s">
        <v>2477</v>
      </c>
      <c r="F2059" s="435" t="s">
        <v>5566</v>
      </c>
      <c r="G2059" s="433" t="s">
        <v>5278</v>
      </c>
      <c r="H2059" s="432" t="s">
        <v>5449</v>
      </c>
      <c r="I2059" s="503">
        <f t="shared" si="162"/>
        <v>3604.6535437500006</v>
      </c>
      <c r="J2059" s="503">
        <f t="shared" si="165"/>
        <v>807.76550000000009</v>
      </c>
      <c r="K2059" s="371">
        <f t="shared" si="159"/>
        <v>448.79451180000001</v>
      </c>
      <c r="L2059" s="369">
        <f t="shared" si="160"/>
        <v>89.758902360000008</v>
      </c>
      <c r="M2059" s="369" t="s">
        <v>6169</v>
      </c>
      <c r="N2059" s="432" t="s">
        <v>3785</v>
      </c>
      <c r="O2059" s="432" t="s">
        <v>5567</v>
      </c>
      <c r="P2059" s="438" t="s">
        <v>3659</v>
      </c>
      <c r="Q2059" s="481">
        <v>0.2</v>
      </c>
      <c r="R2059" s="438">
        <v>1900003308</v>
      </c>
      <c r="S2059" s="466" t="s">
        <v>1620</v>
      </c>
      <c r="T2059" s="2" t="s">
        <v>5915</v>
      </c>
    </row>
    <row r="2060" spans="1:21" x14ac:dyDescent="0.35">
      <c r="A2060" s="482" t="s">
        <v>5596</v>
      </c>
      <c r="B2060" s="432" t="s">
        <v>1976</v>
      </c>
      <c r="C2060" s="436">
        <v>43265</v>
      </c>
      <c r="D2060" s="436">
        <v>43265</v>
      </c>
      <c r="E2060" s="436" t="s">
        <v>2478</v>
      </c>
      <c r="F2060" s="435" t="s">
        <v>5566</v>
      </c>
      <c r="G2060" s="433" t="s">
        <v>5278</v>
      </c>
      <c r="H2060" s="432" t="s">
        <v>5449</v>
      </c>
      <c r="I2060" s="503">
        <f t="shared" si="162"/>
        <v>3604.6535437500006</v>
      </c>
      <c r="J2060" s="503">
        <f t="shared" si="165"/>
        <v>807.76550000000009</v>
      </c>
      <c r="K2060" s="371">
        <f t="shared" si="159"/>
        <v>448.79451180000001</v>
      </c>
      <c r="L2060" s="369">
        <f t="shared" si="160"/>
        <v>89.758902360000008</v>
      </c>
      <c r="M2060" s="369" t="s">
        <v>6169</v>
      </c>
      <c r="N2060" s="432" t="s">
        <v>3785</v>
      </c>
      <c r="O2060" s="432" t="s">
        <v>5567</v>
      </c>
      <c r="P2060" s="438" t="s">
        <v>3659</v>
      </c>
      <c r="Q2060" s="481">
        <v>0.2</v>
      </c>
      <c r="R2060" s="438">
        <v>1900003308</v>
      </c>
      <c r="S2060" s="466" t="s">
        <v>1620</v>
      </c>
      <c r="T2060" s="2" t="s">
        <v>5915</v>
      </c>
    </row>
    <row r="2061" spans="1:21" x14ac:dyDescent="0.35">
      <c r="A2061" s="482" t="s">
        <v>5597</v>
      </c>
      <c r="B2061" s="432" t="s">
        <v>1976</v>
      </c>
      <c r="C2061" s="436">
        <v>43265</v>
      </c>
      <c r="D2061" s="436">
        <v>43265</v>
      </c>
      <c r="E2061" s="436" t="s">
        <v>2479</v>
      </c>
      <c r="F2061" s="435" t="s">
        <v>5566</v>
      </c>
      <c r="G2061" s="433" t="s">
        <v>5278</v>
      </c>
      <c r="H2061" s="432" t="s">
        <v>5449</v>
      </c>
      <c r="I2061" s="503">
        <f t="shared" si="162"/>
        <v>3604.6535437500006</v>
      </c>
      <c r="J2061" s="503">
        <f t="shared" si="165"/>
        <v>807.76550000000009</v>
      </c>
      <c r="K2061" s="371">
        <f t="shared" si="159"/>
        <v>448.79451180000001</v>
      </c>
      <c r="L2061" s="369">
        <f t="shared" si="160"/>
        <v>89.758902360000008</v>
      </c>
      <c r="M2061" s="369" t="s">
        <v>6169</v>
      </c>
      <c r="N2061" s="432" t="s">
        <v>3785</v>
      </c>
      <c r="O2061" s="432" t="s">
        <v>5567</v>
      </c>
      <c r="P2061" s="438" t="s">
        <v>3659</v>
      </c>
      <c r="Q2061" s="481">
        <v>0.2</v>
      </c>
      <c r="R2061" s="438">
        <v>1900003308</v>
      </c>
      <c r="S2061" s="466" t="s">
        <v>1620</v>
      </c>
      <c r="T2061" s="2" t="s">
        <v>5915</v>
      </c>
    </row>
    <row r="2062" spans="1:21" x14ac:dyDescent="0.35">
      <c r="A2062" s="482" t="s">
        <v>5598</v>
      </c>
      <c r="B2062" s="432" t="s">
        <v>1976</v>
      </c>
      <c r="C2062" s="436">
        <v>43265</v>
      </c>
      <c r="D2062" s="436">
        <v>43265</v>
      </c>
      <c r="E2062" s="436" t="s">
        <v>2480</v>
      </c>
      <c r="F2062" s="435" t="s">
        <v>5566</v>
      </c>
      <c r="G2062" s="433" t="s">
        <v>5278</v>
      </c>
      <c r="H2062" s="432" t="s">
        <v>5449</v>
      </c>
      <c r="I2062" s="503">
        <f t="shared" si="162"/>
        <v>3604.6535437500006</v>
      </c>
      <c r="J2062" s="503">
        <f t="shared" si="165"/>
        <v>807.76550000000009</v>
      </c>
      <c r="K2062" s="371">
        <f t="shared" si="159"/>
        <v>448.79451180000001</v>
      </c>
      <c r="L2062" s="369">
        <f t="shared" si="160"/>
        <v>89.758902360000008</v>
      </c>
      <c r="M2062" s="369" t="s">
        <v>6169</v>
      </c>
      <c r="N2062" s="432" t="s">
        <v>3785</v>
      </c>
      <c r="O2062" s="432" t="s">
        <v>5567</v>
      </c>
      <c r="P2062" s="438" t="s">
        <v>3659</v>
      </c>
      <c r="Q2062" s="481">
        <v>0.2</v>
      </c>
      <c r="R2062" s="438">
        <v>1900003308</v>
      </c>
      <c r="S2062" s="466" t="s">
        <v>1620</v>
      </c>
      <c r="T2062" s="2" t="s">
        <v>5915</v>
      </c>
    </row>
    <row r="2063" spans="1:21" x14ac:dyDescent="0.35">
      <c r="A2063" s="482" t="s">
        <v>5599</v>
      </c>
      <c r="B2063" s="432" t="s">
        <v>1976</v>
      </c>
      <c r="C2063" s="436">
        <v>43265</v>
      </c>
      <c r="D2063" s="436">
        <v>43265</v>
      </c>
      <c r="E2063" s="436" t="s">
        <v>2481</v>
      </c>
      <c r="F2063" s="435" t="s">
        <v>5566</v>
      </c>
      <c r="G2063" s="433" t="s">
        <v>5278</v>
      </c>
      <c r="H2063" s="432" t="s">
        <v>5449</v>
      </c>
      <c r="I2063" s="503">
        <f t="shared" si="162"/>
        <v>3604.6535437500006</v>
      </c>
      <c r="J2063" s="503">
        <f t="shared" si="165"/>
        <v>807.76550000000009</v>
      </c>
      <c r="K2063" s="371">
        <f t="shared" si="159"/>
        <v>448.79451180000001</v>
      </c>
      <c r="L2063" s="369">
        <f t="shared" si="160"/>
        <v>89.758902360000008</v>
      </c>
      <c r="M2063" s="369" t="s">
        <v>6169</v>
      </c>
      <c r="N2063" s="432" t="s">
        <v>3785</v>
      </c>
      <c r="O2063" s="432" t="s">
        <v>5567</v>
      </c>
      <c r="P2063" s="438" t="s">
        <v>3659</v>
      </c>
      <c r="Q2063" s="481">
        <v>0.2</v>
      </c>
      <c r="R2063" s="438">
        <v>1900003308</v>
      </c>
      <c r="S2063" s="466" t="s">
        <v>1620</v>
      </c>
      <c r="T2063" s="2" t="s">
        <v>5915</v>
      </c>
    </row>
    <row r="2064" spans="1:21" x14ac:dyDescent="0.35">
      <c r="A2064" s="482" t="s">
        <v>5600</v>
      </c>
      <c r="B2064" s="432" t="s">
        <v>5601</v>
      </c>
      <c r="C2064" s="436">
        <v>43265</v>
      </c>
      <c r="D2064" s="436">
        <v>43265</v>
      </c>
      <c r="E2064" s="436" t="s">
        <v>2103</v>
      </c>
      <c r="F2064" s="435" t="s">
        <v>5566</v>
      </c>
      <c r="G2064" s="433" t="s">
        <v>5278</v>
      </c>
      <c r="H2064" s="432" t="s">
        <v>5449</v>
      </c>
      <c r="I2064" s="503">
        <f t="shared" si="162"/>
        <v>3604.6535437500006</v>
      </c>
      <c r="J2064" s="503">
        <f t="shared" si="165"/>
        <v>807.76550000000009</v>
      </c>
      <c r="K2064" s="371">
        <f t="shared" si="159"/>
        <v>448.79451180000001</v>
      </c>
      <c r="L2064" s="369">
        <f t="shared" si="160"/>
        <v>89.758902360000008</v>
      </c>
      <c r="M2064" s="369" t="s">
        <v>6169</v>
      </c>
      <c r="N2064" s="432" t="s">
        <v>3785</v>
      </c>
      <c r="O2064" s="432" t="s">
        <v>5567</v>
      </c>
      <c r="P2064" s="438" t="s">
        <v>3659</v>
      </c>
      <c r="Q2064" s="481">
        <v>0.2</v>
      </c>
      <c r="R2064" s="438">
        <v>1900003308</v>
      </c>
      <c r="S2064" s="466" t="s">
        <v>525</v>
      </c>
      <c r="T2064" s="2" t="s">
        <v>5915</v>
      </c>
    </row>
    <row r="2065" spans="1:20" x14ac:dyDescent="0.35">
      <c r="A2065" s="482" t="s">
        <v>5602</v>
      </c>
      <c r="B2065" s="432" t="s">
        <v>5601</v>
      </c>
      <c r="C2065" s="436">
        <v>43265</v>
      </c>
      <c r="D2065" s="436">
        <v>43265</v>
      </c>
      <c r="E2065" s="436" t="s">
        <v>2368</v>
      </c>
      <c r="F2065" s="435" t="s">
        <v>5566</v>
      </c>
      <c r="G2065" s="433" t="s">
        <v>5278</v>
      </c>
      <c r="H2065" s="432" t="s">
        <v>5449</v>
      </c>
      <c r="I2065" s="503">
        <f t="shared" si="162"/>
        <v>3604.6535437500006</v>
      </c>
      <c r="J2065" s="503">
        <f t="shared" si="165"/>
        <v>807.76550000000009</v>
      </c>
      <c r="K2065" s="371">
        <f t="shared" si="159"/>
        <v>448.79451180000001</v>
      </c>
      <c r="L2065" s="369">
        <f t="shared" si="160"/>
        <v>89.758902360000008</v>
      </c>
      <c r="M2065" s="369" t="s">
        <v>6169</v>
      </c>
      <c r="N2065" s="432" t="s">
        <v>3785</v>
      </c>
      <c r="O2065" s="432" t="s">
        <v>5567</v>
      </c>
      <c r="P2065" s="438" t="s">
        <v>3659</v>
      </c>
      <c r="Q2065" s="481">
        <v>0.2</v>
      </c>
      <c r="R2065" s="438">
        <v>1900003308</v>
      </c>
      <c r="S2065" s="466" t="s">
        <v>501</v>
      </c>
      <c r="T2065" s="2" t="s">
        <v>5915</v>
      </c>
    </row>
    <row r="2066" spans="1:20" x14ac:dyDescent="0.35">
      <c r="A2066" s="482" t="s">
        <v>5603</v>
      </c>
      <c r="B2066" s="432" t="s">
        <v>2029</v>
      </c>
      <c r="C2066" s="436">
        <v>43265</v>
      </c>
      <c r="D2066" s="436">
        <v>43265</v>
      </c>
      <c r="E2066" s="436" t="s">
        <v>3486</v>
      </c>
      <c r="F2066" s="435" t="s">
        <v>5566</v>
      </c>
      <c r="G2066" s="433" t="s">
        <v>5278</v>
      </c>
      <c r="H2066" s="432" t="s">
        <v>5449</v>
      </c>
      <c r="I2066" s="503">
        <f t="shared" si="162"/>
        <v>3604.6535437500006</v>
      </c>
      <c r="J2066" s="503">
        <f t="shared" si="165"/>
        <v>807.76550000000009</v>
      </c>
      <c r="K2066" s="371">
        <f t="shared" si="159"/>
        <v>448.79451180000001</v>
      </c>
      <c r="L2066" s="369">
        <f t="shared" si="160"/>
        <v>89.758902360000008</v>
      </c>
      <c r="M2066" s="369" t="s">
        <v>6169</v>
      </c>
      <c r="N2066" s="432" t="s">
        <v>3785</v>
      </c>
      <c r="O2066" s="432" t="s">
        <v>5567</v>
      </c>
      <c r="P2066" s="438" t="s">
        <v>3659</v>
      </c>
      <c r="Q2066" s="481">
        <v>0.2</v>
      </c>
      <c r="R2066" s="438">
        <v>1900003308</v>
      </c>
      <c r="S2066" s="466" t="s">
        <v>319</v>
      </c>
      <c r="T2066" s="2" t="s">
        <v>5915</v>
      </c>
    </row>
    <row r="2067" spans="1:20" x14ac:dyDescent="0.35">
      <c r="A2067" s="482" t="s">
        <v>5604</v>
      </c>
      <c r="B2067" s="432" t="s">
        <v>2029</v>
      </c>
      <c r="C2067" s="436">
        <v>43265</v>
      </c>
      <c r="D2067" s="436">
        <v>43265</v>
      </c>
      <c r="E2067" s="436" t="s">
        <v>5605</v>
      </c>
      <c r="F2067" s="435" t="s">
        <v>5566</v>
      </c>
      <c r="G2067" s="433" t="s">
        <v>5278</v>
      </c>
      <c r="H2067" s="432" t="s">
        <v>5449</v>
      </c>
      <c r="I2067" s="503">
        <f t="shared" si="162"/>
        <v>3604.6535437500006</v>
      </c>
      <c r="J2067" s="503">
        <f t="shared" si="165"/>
        <v>807.76550000000009</v>
      </c>
      <c r="K2067" s="371">
        <f t="shared" si="159"/>
        <v>448.79451180000001</v>
      </c>
      <c r="L2067" s="369">
        <f t="shared" si="160"/>
        <v>89.758902360000008</v>
      </c>
      <c r="M2067" s="369" t="s">
        <v>6169</v>
      </c>
      <c r="N2067" s="432" t="s">
        <v>3785</v>
      </c>
      <c r="O2067" s="432" t="s">
        <v>5567</v>
      </c>
      <c r="P2067" s="438" t="s">
        <v>3659</v>
      </c>
      <c r="Q2067" s="481">
        <v>0.2</v>
      </c>
      <c r="R2067" s="438">
        <v>1900003308</v>
      </c>
      <c r="S2067" s="466" t="s">
        <v>2268</v>
      </c>
      <c r="T2067" s="2" t="s">
        <v>5915</v>
      </c>
    </row>
    <row r="2068" spans="1:20" x14ac:dyDescent="0.35">
      <c r="A2068" s="482" t="s">
        <v>5606</v>
      </c>
      <c r="B2068" s="432" t="s">
        <v>2029</v>
      </c>
      <c r="C2068" s="436">
        <v>43265</v>
      </c>
      <c r="D2068" s="436">
        <v>43265</v>
      </c>
      <c r="E2068" s="436" t="s">
        <v>2443</v>
      </c>
      <c r="F2068" s="435" t="s">
        <v>5566</v>
      </c>
      <c r="G2068" s="433" t="s">
        <v>5278</v>
      </c>
      <c r="H2068" s="432" t="s">
        <v>5449</v>
      </c>
      <c r="I2068" s="503">
        <f t="shared" si="162"/>
        <v>3604.6535437500006</v>
      </c>
      <c r="J2068" s="503">
        <f t="shared" si="165"/>
        <v>807.76550000000009</v>
      </c>
      <c r="K2068" s="371">
        <f t="shared" si="159"/>
        <v>448.79451180000001</v>
      </c>
      <c r="L2068" s="369">
        <f t="shared" si="160"/>
        <v>89.758902360000008</v>
      </c>
      <c r="M2068" s="369" t="s">
        <v>6169</v>
      </c>
      <c r="N2068" s="432" t="s">
        <v>3785</v>
      </c>
      <c r="O2068" s="432" t="s">
        <v>5567</v>
      </c>
      <c r="P2068" s="438" t="s">
        <v>3659</v>
      </c>
      <c r="Q2068" s="481">
        <v>0.2</v>
      </c>
      <c r="R2068" s="438">
        <v>1900003308</v>
      </c>
      <c r="S2068" s="466" t="s">
        <v>2427</v>
      </c>
      <c r="T2068" s="2" t="s">
        <v>5915</v>
      </c>
    </row>
    <row r="2069" spans="1:20" x14ac:dyDescent="0.35">
      <c r="A2069" s="482" t="s">
        <v>5607</v>
      </c>
      <c r="B2069" s="432" t="s">
        <v>2029</v>
      </c>
      <c r="C2069" s="436">
        <v>43265</v>
      </c>
      <c r="D2069" s="436">
        <v>43265</v>
      </c>
      <c r="E2069" s="436" t="s">
        <v>2444</v>
      </c>
      <c r="F2069" s="435" t="s">
        <v>5566</v>
      </c>
      <c r="G2069" s="433" t="s">
        <v>5278</v>
      </c>
      <c r="H2069" s="432" t="s">
        <v>5449</v>
      </c>
      <c r="I2069" s="503">
        <f t="shared" si="162"/>
        <v>3604.6535437500006</v>
      </c>
      <c r="J2069" s="503">
        <f t="shared" si="165"/>
        <v>807.76550000000009</v>
      </c>
      <c r="K2069" s="371">
        <f t="shared" si="159"/>
        <v>448.79451180000001</v>
      </c>
      <c r="L2069" s="369">
        <f t="shared" si="160"/>
        <v>89.758902360000008</v>
      </c>
      <c r="M2069" s="369" t="s">
        <v>6169</v>
      </c>
      <c r="N2069" s="432" t="s">
        <v>3785</v>
      </c>
      <c r="O2069" s="432" t="s">
        <v>5567</v>
      </c>
      <c r="P2069" s="438" t="s">
        <v>3659</v>
      </c>
      <c r="Q2069" s="481">
        <v>0.2</v>
      </c>
      <c r="R2069" s="438">
        <v>1900003308</v>
      </c>
      <c r="S2069" s="466" t="s">
        <v>2427</v>
      </c>
      <c r="T2069" s="2" t="s">
        <v>5915</v>
      </c>
    </row>
    <row r="2070" spans="1:20" x14ac:dyDescent="0.35">
      <c r="A2070" s="482" t="s">
        <v>5608</v>
      </c>
      <c r="B2070" s="432" t="s">
        <v>2029</v>
      </c>
      <c r="C2070" s="436">
        <v>43265</v>
      </c>
      <c r="D2070" s="436">
        <v>43265</v>
      </c>
      <c r="E2070" s="436" t="s">
        <v>2445</v>
      </c>
      <c r="F2070" s="435" t="s">
        <v>5566</v>
      </c>
      <c r="G2070" s="433" t="s">
        <v>5278</v>
      </c>
      <c r="H2070" s="432" t="s">
        <v>5449</v>
      </c>
      <c r="I2070" s="503">
        <f t="shared" si="162"/>
        <v>3604.6535437500006</v>
      </c>
      <c r="J2070" s="503">
        <f t="shared" si="165"/>
        <v>807.76550000000009</v>
      </c>
      <c r="K2070" s="371">
        <f t="shared" si="159"/>
        <v>448.79451180000001</v>
      </c>
      <c r="L2070" s="369">
        <f t="shared" si="160"/>
        <v>89.758902360000008</v>
      </c>
      <c r="M2070" s="369" t="s">
        <v>6169</v>
      </c>
      <c r="N2070" s="432" t="s">
        <v>3785</v>
      </c>
      <c r="O2070" s="432" t="s">
        <v>5567</v>
      </c>
      <c r="P2070" s="438" t="s">
        <v>3659</v>
      </c>
      <c r="Q2070" s="481">
        <v>0.2</v>
      </c>
      <c r="R2070" s="438">
        <v>1900003308</v>
      </c>
      <c r="S2070" s="466" t="s">
        <v>2427</v>
      </c>
      <c r="T2070" s="2" t="s">
        <v>5915</v>
      </c>
    </row>
    <row r="2071" spans="1:20" x14ac:dyDescent="0.35">
      <c r="A2071" s="482" t="s">
        <v>5609</v>
      </c>
      <c r="B2071" s="432" t="s">
        <v>2029</v>
      </c>
      <c r="C2071" s="436">
        <v>43265</v>
      </c>
      <c r="D2071" s="436">
        <v>43265</v>
      </c>
      <c r="E2071" s="436" t="s">
        <v>2446</v>
      </c>
      <c r="F2071" s="435" t="s">
        <v>5566</v>
      </c>
      <c r="G2071" s="433" t="s">
        <v>5278</v>
      </c>
      <c r="H2071" s="432" t="s">
        <v>5449</v>
      </c>
      <c r="I2071" s="503">
        <f t="shared" si="162"/>
        <v>3604.6535437500006</v>
      </c>
      <c r="J2071" s="503">
        <f t="shared" si="165"/>
        <v>807.76550000000009</v>
      </c>
      <c r="K2071" s="371">
        <f t="shared" ref="K2071:K2134" si="166">+J2071*(0.5556)</f>
        <v>448.79451180000001</v>
      </c>
      <c r="L2071" s="369">
        <f t="shared" ref="L2071:L2134" si="167">+K2071*Q2071</f>
        <v>89.758902360000008</v>
      </c>
      <c r="M2071" s="369" t="s">
        <v>6169</v>
      </c>
      <c r="N2071" s="432" t="s">
        <v>3785</v>
      </c>
      <c r="O2071" s="432" t="s">
        <v>5567</v>
      </c>
      <c r="P2071" s="438" t="s">
        <v>3659</v>
      </c>
      <c r="Q2071" s="481">
        <v>0.2</v>
      </c>
      <c r="R2071" s="438">
        <v>1900003308</v>
      </c>
      <c r="S2071" s="466" t="s">
        <v>1377</v>
      </c>
      <c r="T2071" s="2" t="s">
        <v>5915</v>
      </c>
    </row>
    <row r="2072" spans="1:20" x14ac:dyDescent="0.35">
      <c r="A2072" s="482" t="s">
        <v>5610</v>
      </c>
      <c r="B2072" s="432" t="s">
        <v>2029</v>
      </c>
      <c r="C2072" s="436">
        <v>43265</v>
      </c>
      <c r="D2072" s="436">
        <v>43265</v>
      </c>
      <c r="E2072" s="436" t="s">
        <v>2447</v>
      </c>
      <c r="F2072" s="435" t="s">
        <v>5566</v>
      </c>
      <c r="G2072" s="433" t="s">
        <v>5278</v>
      </c>
      <c r="H2072" s="432" t="s">
        <v>5449</v>
      </c>
      <c r="I2072" s="503">
        <f t="shared" si="162"/>
        <v>3068.2498875000001</v>
      </c>
      <c r="J2072" s="503">
        <f t="shared" ref="J2072:J2135" si="168">585.16*1.175</f>
        <v>687.56299999999999</v>
      </c>
      <c r="K2072" s="371">
        <f t="shared" si="166"/>
        <v>382.0100028</v>
      </c>
      <c r="L2072" s="369">
        <f t="shared" si="167"/>
        <v>76.402000560000005</v>
      </c>
      <c r="M2072" s="369" t="s">
        <v>6169</v>
      </c>
      <c r="N2072" s="432" t="s">
        <v>3785</v>
      </c>
      <c r="O2072" s="432" t="s">
        <v>5567</v>
      </c>
      <c r="P2072" s="438" t="s">
        <v>3659</v>
      </c>
      <c r="Q2072" s="481">
        <v>0.2</v>
      </c>
      <c r="R2072" s="438">
        <v>1900003308</v>
      </c>
      <c r="S2072" s="466" t="s">
        <v>1377</v>
      </c>
      <c r="T2072" s="2" t="s">
        <v>5915</v>
      </c>
    </row>
    <row r="2073" spans="1:20" x14ac:dyDescent="0.35">
      <c r="A2073" s="482" t="s">
        <v>5611</v>
      </c>
      <c r="B2073" s="432" t="s">
        <v>2029</v>
      </c>
      <c r="C2073" s="436">
        <v>43265</v>
      </c>
      <c r="D2073" s="436">
        <v>43265</v>
      </c>
      <c r="E2073" s="436" t="s">
        <v>2466</v>
      </c>
      <c r="F2073" s="435" t="s">
        <v>5566</v>
      </c>
      <c r="G2073" s="433" t="s">
        <v>5278</v>
      </c>
      <c r="H2073" s="432" t="s">
        <v>5449</v>
      </c>
      <c r="I2073" s="503">
        <f t="shared" si="162"/>
        <v>3068.2498875000001</v>
      </c>
      <c r="J2073" s="503">
        <f t="shared" si="168"/>
        <v>687.56299999999999</v>
      </c>
      <c r="K2073" s="371">
        <f t="shared" si="166"/>
        <v>382.0100028</v>
      </c>
      <c r="L2073" s="369">
        <f t="shared" si="167"/>
        <v>76.402000560000005</v>
      </c>
      <c r="M2073" s="369" t="s">
        <v>6169</v>
      </c>
      <c r="N2073" s="432" t="s">
        <v>3785</v>
      </c>
      <c r="O2073" s="432" t="s">
        <v>5567</v>
      </c>
      <c r="P2073" s="438" t="s">
        <v>3659</v>
      </c>
      <c r="Q2073" s="481">
        <v>0.2</v>
      </c>
      <c r="R2073" s="438">
        <v>1900003308</v>
      </c>
      <c r="S2073" s="466" t="s">
        <v>509</v>
      </c>
      <c r="T2073" s="2" t="s">
        <v>5915</v>
      </c>
    </row>
    <row r="2074" spans="1:20" x14ac:dyDescent="0.35">
      <c r="A2074" s="482" t="s">
        <v>5612</v>
      </c>
      <c r="B2074" s="432" t="s">
        <v>2029</v>
      </c>
      <c r="C2074" s="436">
        <v>43265</v>
      </c>
      <c r="D2074" s="436">
        <v>43265</v>
      </c>
      <c r="E2074" s="436" t="s">
        <v>2467</v>
      </c>
      <c r="F2074" s="435" t="s">
        <v>5566</v>
      </c>
      <c r="G2074" s="433" t="s">
        <v>5278</v>
      </c>
      <c r="H2074" s="432" t="s">
        <v>5449</v>
      </c>
      <c r="I2074" s="503">
        <f t="shared" si="162"/>
        <v>3068.2498875000001</v>
      </c>
      <c r="J2074" s="503">
        <f t="shared" si="168"/>
        <v>687.56299999999999</v>
      </c>
      <c r="K2074" s="371">
        <f t="shared" si="166"/>
        <v>382.0100028</v>
      </c>
      <c r="L2074" s="369">
        <f t="shared" si="167"/>
        <v>76.402000560000005</v>
      </c>
      <c r="M2074" s="369" t="s">
        <v>6169</v>
      </c>
      <c r="N2074" s="432" t="s">
        <v>3785</v>
      </c>
      <c r="O2074" s="432" t="s">
        <v>5567</v>
      </c>
      <c r="P2074" s="438" t="s">
        <v>3659</v>
      </c>
      <c r="Q2074" s="481">
        <v>0.2</v>
      </c>
      <c r="R2074" s="438">
        <v>1900003308</v>
      </c>
      <c r="S2074" s="466" t="s">
        <v>509</v>
      </c>
      <c r="T2074" s="2" t="s">
        <v>5915</v>
      </c>
    </row>
    <row r="2075" spans="1:20" x14ac:dyDescent="0.35">
      <c r="A2075" s="482" t="s">
        <v>5613</v>
      </c>
      <c r="B2075" s="432" t="s">
        <v>2029</v>
      </c>
      <c r="C2075" s="436">
        <v>43265</v>
      </c>
      <c r="D2075" s="436">
        <v>43265</v>
      </c>
      <c r="E2075" s="436" t="s">
        <v>2468</v>
      </c>
      <c r="F2075" s="435" t="s">
        <v>5566</v>
      </c>
      <c r="G2075" s="433" t="s">
        <v>5278</v>
      </c>
      <c r="H2075" s="432" t="s">
        <v>5449</v>
      </c>
      <c r="I2075" s="503">
        <f t="shared" si="162"/>
        <v>3068.2498875000001</v>
      </c>
      <c r="J2075" s="503">
        <f t="shared" si="168"/>
        <v>687.56299999999999</v>
      </c>
      <c r="K2075" s="371">
        <f t="shared" si="166"/>
        <v>382.0100028</v>
      </c>
      <c r="L2075" s="369">
        <f t="shared" si="167"/>
        <v>76.402000560000005</v>
      </c>
      <c r="M2075" s="369" t="s">
        <v>6169</v>
      </c>
      <c r="N2075" s="432" t="s">
        <v>3785</v>
      </c>
      <c r="O2075" s="432" t="s">
        <v>5567</v>
      </c>
      <c r="P2075" s="438" t="s">
        <v>3659</v>
      </c>
      <c r="Q2075" s="481">
        <v>0.2</v>
      </c>
      <c r="R2075" s="438">
        <v>1900003308</v>
      </c>
      <c r="S2075" s="466" t="s">
        <v>509</v>
      </c>
      <c r="T2075" s="2" t="s">
        <v>5915</v>
      </c>
    </row>
    <row r="2076" spans="1:20" x14ac:dyDescent="0.35">
      <c r="A2076" s="482" t="s">
        <v>5614</v>
      </c>
      <c r="B2076" s="432" t="s">
        <v>2029</v>
      </c>
      <c r="C2076" s="436">
        <v>43265</v>
      </c>
      <c r="D2076" s="436">
        <v>43265</v>
      </c>
      <c r="E2076" s="436" t="s">
        <v>2469</v>
      </c>
      <c r="F2076" s="435" t="s">
        <v>5566</v>
      </c>
      <c r="G2076" s="433" t="s">
        <v>5278</v>
      </c>
      <c r="H2076" s="432" t="s">
        <v>5449</v>
      </c>
      <c r="I2076" s="503">
        <f t="shared" si="162"/>
        <v>3068.2498875000001</v>
      </c>
      <c r="J2076" s="503">
        <f t="shared" si="168"/>
        <v>687.56299999999999</v>
      </c>
      <c r="K2076" s="371">
        <f t="shared" si="166"/>
        <v>382.0100028</v>
      </c>
      <c r="L2076" s="369">
        <f t="shared" si="167"/>
        <v>76.402000560000005</v>
      </c>
      <c r="M2076" s="369" t="s">
        <v>6169</v>
      </c>
      <c r="N2076" s="432" t="s">
        <v>3785</v>
      </c>
      <c r="O2076" s="432" t="s">
        <v>5567</v>
      </c>
      <c r="P2076" s="438" t="s">
        <v>3659</v>
      </c>
      <c r="Q2076" s="481">
        <v>0.2</v>
      </c>
      <c r="R2076" s="438">
        <v>1900003308</v>
      </c>
      <c r="S2076" s="466" t="s">
        <v>509</v>
      </c>
      <c r="T2076" s="2" t="s">
        <v>5915</v>
      </c>
    </row>
    <row r="2077" spans="1:20" x14ac:dyDescent="0.35">
      <c r="A2077" s="482" t="s">
        <v>5615</v>
      </c>
      <c r="B2077" s="432" t="s">
        <v>2029</v>
      </c>
      <c r="C2077" s="436">
        <v>43265</v>
      </c>
      <c r="D2077" s="436">
        <v>43265</v>
      </c>
      <c r="E2077" s="436" t="s">
        <v>2470</v>
      </c>
      <c r="F2077" s="435" t="s">
        <v>5566</v>
      </c>
      <c r="G2077" s="433" t="s">
        <v>5278</v>
      </c>
      <c r="H2077" s="432" t="s">
        <v>5449</v>
      </c>
      <c r="I2077" s="503">
        <f t="shared" si="162"/>
        <v>3068.2498875000001</v>
      </c>
      <c r="J2077" s="503">
        <f t="shared" si="168"/>
        <v>687.56299999999999</v>
      </c>
      <c r="K2077" s="371">
        <f t="shared" si="166"/>
        <v>382.0100028</v>
      </c>
      <c r="L2077" s="369">
        <f t="shared" si="167"/>
        <v>76.402000560000005</v>
      </c>
      <c r="M2077" s="369" t="s">
        <v>6169</v>
      </c>
      <c r="N2077" s="432" t="s">
        <v>3785</v>
      </c>
      <c r="O2077" s="432" t="s">
        <v>5567</v>
      </c>
      <c r="P2077" s="438" t="s">
        <v>3659</v>
      </c>
      <c r="Q2077" s="481">
        <v>0.2</v>
      </c>
      <c r="R2077" s="438">
        <v>1900003308</v>
      </c>
      <c r="S2077" s="466" t="s">
        <v>509</v>
      </c>
      <c r="T2077" s="2" t="s">
        <v>5915</v>
      </c>
    </row>
    <row r="2078" spans="1:20" x14ac:dyDescent="0.35">
      <c r="A2078" s="482" t="s">
        <v>5616</v>
      </c>
      <c r="B2078" s="432" t="s">
        <v>1976</v>
      </c>
      <c r="C2078" s="436">
        <v>43265</v>
      </c>
      <c r="D2078" s="436">
        <v>43265</v>
      </c>
      <c r="E2078" s="436" t="s">
        <v>5928</v>
      </c>
      <c r="F2078" s="435" t="s">
        <v>5566</v>
      </c>
      <c r="G2078" s="444" t="s">
        <v>5278</v>
      </c>
      <c r="H2078" s="432" t="s">
        <v>5449</v>
      </c>
      <c r="I2078" s="503">
        <f t="shared" si="162"/>
        <v>3068.2498875000001</v>
      </c>
      <c r="J2078" s="503">
        <f t="shared" si="168"/>
        <v>687.56299999999999</v>
      </c>
      <c r="K2078" s="371">
        <f t="shared" si="166"/>
        <v>382.0100028</v>
      </c>
      <c r="L2078" s="369">
        <f t="shared" si="167"/>
        <v>76.402000560000005</v>
      </c>
      <c r="M2078" s="369" t="s">
        <v>6169</v>
      </c>
      <c r="N2078" s="432" t="s">
        <v>3785</v>
      </c>
      <c r="O2078" s="432" t="s">
        <v>5567</v>
      </c>
      <c r="P2078" s="438" t="s">
        <v>3659</v>
      </c>
      <c r="Q2078" s="481">
        <v>0.2</v>
      </c>
      <c r="R2078" s="438">
        <v>1900003308</v>
      </c>
      <c r="S2078" s="466" t="s">
        <v>509</v>
      </c>
      <c r="T2078" s="2" t="s">
        <v>5915</v>
      </c>
    </row>
    <row r="2079" spans="1:20" x14ac:dyDescent="0.35">
      <c r="A2079" s="482" t="s">
        <v>5617</v>
      </c>
      <c r="B2079" s="432" t="s">
        <v>1976</v>
      </c>
      <c r="C2079" s="436">
        <v>43265</v>
      </c>
      <c r="D2079" s="436">
        <v>43265</v>
      </c>
      <c r="E2079" s="436" t="s">
        <v>5929</v>
      </c>
      <c r="F2079" s="435" t="s">
        <v>5566</v>
      </c>
      <c r="G2079" s="444" t="s">
        <v>5278</v>
      </c>
      <c r="H2079" s="432" t="s">
        <v>5449</v>
      </c>
      <c r="I2079" s="503">
        <f t="shared" si="162"/>
        <v>3068.2498875000001</v>
      </c>
      <c r="J2079" s="503">
        <f t="shared" si="168"/>
        <v>687.56299999999999</v>
      </c>
      <c r="K2079" s="371">
        <f t="shared" si="166"/>
        <v>382.0100028</v>
      </c>
      <c r="L2079" s="369">
        <f t="shared" si="167"/>
        <v>76.402000560000005</v>
      </c>
      <c r="M2079" s="369" t="s">
        <v>6169</v>
      </c>
      <c r="N2079" s="432" t="s">
        <v>3785</v>
      </c>
      <c r="O2079" s="432" t="s">
        <v>5567</v>
      </c>
      <c r="P2079" s="438" t="s">
        <v>3659</v>
      </c>
      <c r="Q2079" s="481">
        <v>0.2</v>
      </c>
      <c r="R2079" s="438">
        <v>1900003308</v>
      </c>
      <c r="S2079" s="466" t="s">
        <v>509</v>
      </c>
      <c r="T2079" s="2" t="s">
        <v>5915</v>
      </c>
    </row>
    <row r="2080" spans="1:20" x14ac:dyDescent="0.35">
      <c r="A2080" s="482" t="s">
        <v>5618</v>
      </c>
      <c r="B2080" s="432" t="s">
        <v>1976</v>
      </c>
      <c r="C2080" s="436">
        <v>43265</v>
      </c>
      <c r="D2080" s="436">
        <v>43265</v>
      </c>
      <c r="E2080" s="436" t="s">
        <v>5930</v>
      </c>
      <c r="F2080" s="435" t="s">
        <v>5566</v>
      </c>
      <c r="G2080" s="444" t="s">
        <v>5278</v>
      </c>
      <c r="H2080" s="432" t="s">
        <v>5449</v>
      </c>
      <c r="I2080" s="503">
        <f t="shared" si="162"/>
        <v>3068.2498875000001</v>
      </c>
      <c r="J2080" s="503">
        <f t="shared" si="168"/>
        <v>687.56299999999999</v>
      </c>
      <c r="K2080" s="371">
        <f t="shared" si="166"/>
        <v>382.0100028</v>
      </c>
      <c r="L2080" s="369">
        <f t="shared" si="167"/>
        <v>76.402000560000005</v>
      </c>
      <c r="M2080" s="369" t="s">
        <v>6169</v>
      </c>
      <c r="N2080" s="432" t="s">
        <v>3785</v>
      </c>
      <c r="O2080" s="432" t="s">
        <v>5567</v>
      </c>
      <c r="P2080" s="438" t="s">
        <v>3659</v>
      </c>
      <c r="Q2080" s="481">
        <v>0.2</v>
      </c>
      <c r="R2080" s="438">
        <v>1900003308</v>
      </c>
      <c r="S2080" s="466" t="s">
        <v>509</v>
      </c>
      <c r="T2080" s="2" t="s">
        <v>5915</v>
      </c>
    </row>
    <row r="2081" spans="1:20" x14ac:dyDescent="0.35">
      <c r="A2081" s="482" t="s">
        <v>5619</v>
      </c>
      <c r="B2081" s="432" t="s">
        <v>1976</v>
      </c>
      <c r="C2081" s="436">
        <v>43265</v>
      </c>
      <c r="D2081" s="436">
        <v>43265</v>
      </c>
      <c r="E2081" s="436" t="s">
        <v>5931</v>
      </c>
      <c r="F2081" s="435" t="s">
        <v>5566</v>
      </c>
      <c r="G2081" s="444" t="s">
        <v>5278</v>
      </c>
      <c r="H2081" s="432" t="s">
        <v>5449</v>
      </c>
      <c r="I2081" s="503">
        <f t="shared" si="162"/>
        <v>3068.2498875000001</v>
      </c>
      <c r="J2081" s="503">
        <f t="shared" si="168"/>
        <v>687.56299999999999</v>
      </c>
      <c r="K2081" s="371">
        <f t="shared" si="166"/>
        <v>382.0100028</v>
      </c>
      <c r="L2081" s="369">
        <f t="shared" si="167"/>
        <v>76.402000560000005</v>
      </c>
      <c r="M2081" s="369" t="s">
        <v>6169</v>
      </c>
      <c r="N2081" s="432" t="s">
        <v>3785</v>
      </c>
      <c r="O2081" s="432" t="s">
        <v>5567</v>
      </c>
      <c r="P2081" s="438" t="s">
        <v>3659</v>
      </c>
      <c r="Q2081" s="481">
        <v>0.2</v>
      </c>
      <c r="R2081" s="438">
        <v>1900003308</v>
      </c>
      <c r="S2081" s="466" t="s">
        <v>509</v>
      </c>
      <c r="T2081" s="2" t="s">
        <v>5915</v>
      </c>
    </row>
    <row r="2082" spans="1:20" x14ac:dyDescent="0.35">
      <c r="A2082" s="482" t="s">
        <v>5620</v>
      </c>
      <c r="B2082" s="432" t="s">
        <v>1976</v>
      </c>
      <c r="C2082" s="436">
        <v>43265</v>
      </c>
      <c r="D2082" s="436">
        <v>43265</v>
      </c>
      <c r="E2082" s="436" t="s">
        <v>5932</v>
      </c>
      <c r="F2082" s="435" t="s">
        <v>5566</v>
      </c>
      <c r="G2082" s="444" t="s">
        <v>5278</v>
      </c>
      <c r="H2082" s="432" t="s">
        <v>5449</v>
      </c>
      <c r="I2082" s="503">
        <f t="shared" si="162"/>
        <v>3068.2498875000001</v>
      </c>
      <c r="J2082" s="503">
        <f t="shared" si="168"/>
        <v>687.56299999999999</v>
      </c>
      <c r="K2082" s="371">
        <f t="shared" si="166"/>
        <v>382.0100028</v>
      </c>
      <c r="L2082" s="369">
        <f t="shared" si="167"/>
        <v>76.402000560000005</v>
      </c>
      <c r="M2082" s="369" t="s">
        <v>6169</v>
      </c>
      <c r="N2082" s="432" t="s">
        <v>3785</v>
      </c>
      <c r="O2082" s="432" t="s">
        <v>5567</v>
      </c>
      <c r="P2082" s="438" t="s">
        <v>3659</v>
      </c>
      <c r="Q2082" s="481">
        <v>0.2</v>
      </c>
      <c r="R2082" s="438">
        <v>1900003308</v>
      </c>
      <c r="S2082" s="466" t="s">
        <v>509</v>
      </c>
      <c r="T2082" s="2" t="s">
        <v>5915</v>
      </c>
    </row>
    <row r="2083" spans="1:20" x14ac:dyDescent="0.35">
      <c r="A2083" s="482" t="s">
        <v>5621</v>
      </c>
      <c r="B2083" s="432" t="s">
        <v>1976</v>
      </c>
      <c r="C2083" s="436">
        <v>43265</v>
      </c>
      <c r="D2083" s="436">
        <v>43265</v>
      </c>
      <c r="E2083" s="436" t="s">
        <v>5933</v>
      </c>
      <c r="F2083" s="435" t="s">
        <v>5566</v>
      </c>
      <c r="G2083" s="444" t="s">
        <v>5278</v>
      </c>
      <c r="H2083" s="432" t="s">
        <v>5449</v>
      </c>
      <c r="I2083" s="503">
        <f t="shared" si="162"/>
        <v>3068.2498875000001</v>
      </c>
      <c r="J2083" s="503">
        <f t="shared" si="168"/>
        <v>687.56299999999999</v>
      </c>
      <c r="K2083" s="371">
        <f t="shared" si="166"/>
        <v>382.0100028</v>
      </c>
      <c r="L2083" s="369">
        <f t="shared" si="167"/>
        <v>76.402000560000005</v>
      </c>
      <c r="M2083" s="369" t="s">
        <v>6169</v>
      </c>
      <c r="N2083" s="432" t="s">
        <v>3785</v>
      </c>
      <c r="O2083" s="432" t="s">
        <v>5567</v>
      </c>
      <c r="P2083" s="438" t="s">
        <v>3659</v>
      </c>
      <c r="Q2083" s="481">
        <v>0.2</v>
      </c>
      <c r="R2083" s="438">
        <v>1900003308</v>
      </c>
      <c r="S2083" s="466" t="s">
        <v>509</v>
      </c>
      <c r="T2083" s="2" t="s">
        <v>5915</v>
      </c>
    </row>
    <row r="2084" spans="1:20" x14ac:dyDescent="0.35">
      <c r="A2084" s="482" t="s">
        <v>5622</v>
      </c>
      <c r="B2084" s="432" t="s">
        <v>1976</v>
      </c>
      <c r="C2084" s="436">
        <v>43265</v>
      </c>
      <c r="D2084" s="436">
        <v>43265</v>
      </c>
      <c r="E2084" s="436" t="s">
        <v>5935</v>
      </c>
      <c r="F2084" s="435" t="s">
        <v>5566</v>
      </c>
      <c r="G2084" s="444" t="s">
        <v>5278</v>
      </c>
      <c r="H2084" s="432" t="s">
        <v>5449</v>
      </c>
      <c r="I2084" s="503">
        <f t="shared" si="162"/>
        <v>3068.2498875000001</v>
      </c>
      <c r="J2084" s="503">
        <f t="shared" si="168"/>
        <v>687.56299999999999</v>
      </c>
      <c r="K2084" s="371">
        <f t="shared" si="166"/>
        <v>382.0100028</v>
      </c>
      <c r="L2084" s="369">
        <f t="shared" si="167"/>
        <v>76.402000560000005</v>
      </c>
      <c r="M2084" s="369" t="s">
        <v>6169</v>
      </c>
      <c r="N2084" s="432" t="s">
        <v>3785</v>
      </c>
      <c r="O2084" s="432" t="s">
        <v>5567</v>
      </c>
      <c r="P2084" s="438" t="s">
        <v>3659</v>
      </c>
      <c r="Q2084" s="481">
        <v>0.2</v>
      </c>
      <c r="R2084" s="438">
        <v>1900003308</v>
      </c>
      <c r="S2084" s="466" t="s">
        <v>509</v>
      </c>
      <c r="T2084" s="2" t="s">
        <v>5915</v>
      </c>
    </row>
    <row r="2085" spans="1:20" x14ac:dyDescent="0.35">
      <c r="A2085" s="482" t="s">
        <v>5623</v>
      </c>
      <c r="B2085" s="432" t="s">
        <v>1976</v>
      </c>
      <c r="C2085" s="436">
        <v>43265</v>
      </c>
      <c r="D2085" s="436">
        <v>43265</v>
      </c>
      <c r="E2085" s="436" t="s">
        <v>5936</v>
      </c>
      <c r="F2085" s="435" t="s">
        <v>5566</v>
      </c>
      <c r="G2085" s="444" t="s">
        <v>5278</v>
      </c>
      <c r="H2085" s="432" t="s">
        <v>5449</v>
      </c>
      <c r="I2085" s="503">
        <f t="shared" si="162"/>
        <v>3068.2498875000001</v>
      </c>
      <c r="J2085" s="503">
        <f t="shared" si="168"/>
        <v>687.56299999999999</v>
      </c>
      <c r="K2085" s="371">
        <f t="shared" si="166"/>
        <v>382.0100028</v>
      </c>
      <c r="L2085" s="369">
        <f t="shared" si="167"/>
        <v>76.402000560000005</v>
      </c>
      <c r="M2085" s="369" t="s">
        <v>6169</v>
      </c>
      <c r="N2085" s="432" t="s">
        <v>3785</v>
      </c>
      <c r="O2085" s="432" t="s">
        <v>5567</v>
      </c>
      <c r="P2085" s="438" t="s">
        <v>3659</v>
      </c>
      <c r="Q2085" s="481">
        <v>0.2</v>
      </c>
      <c r="R2085" s="438">
        <v>1900003308</v>
      </c>
      <c r="S2085" s="466" t="s">
        <v>509</v>
      </c>
      <c r="T2085" s="2" t="s">
        <v>5915</v>
      </c>
    </row>
    <row r="2086" spans="1:20" x14ac:dyDescent="0.35">
      <c r="A2086" s="482" t="s">
        <v>5624</v>
      </c>
      <c r="B2086" s="432" t="s">
        <v>1976</v>
      </c>
      <c r="C2086" s="436">
        <v>43265</v>
      </c>
      <c r="D2086" s="436">
        <v>43265</v>
      </c>
      <c r="E2086" s="436" t="s">
        <v>5937</v>
      </c>
      <c r="F2086" s="435" t="s">
        <v>5566</v>
      </c>
      <c r="G2086" s="444" t="s">
        <v>5278</v>
      </c>
      <c r="H2086" s="432" t="s">
        <v>5449</v>
      </c>
      <c r="I2086" s="503">
        <f t="shared" si="162"/>
        <v>3068.2498875000001</v>
      </c>
      <c r="J2086" s="503">
        <f t="shared" si="168"/>
        <v>687.56299999999999</v>
      </c>
      <c r="K2086" s="371">
        <f t="shared" si="166"/>
        <v>382.0100028</v>
      </c>
      <c r="L2086" s="369">
        <f t="shared" si="167"/>
        <v>76.402000560000005</v>
      </c>
      <c r="M2086" s="369" t="s">
        <v>6169</v>
      </c>
      <c r="N2086" s="432" t="s">
        <v>3785</v>
      </c>
      <c r="O2086" s="432" t="s">
        <v>5567</v>
      </c>
      <c r="P2086" s="438" t="s">
        <v>3659</v>
      </c>
      <c r="Q2086" s="481">
        <v>0.2</v>
      </c>
      <c r="R2086" s="438">
        <v>1900003308</v>
      </c>
      <c r="S2086" s="466" t="s">
        <v>509</v>
      </c>
      <c r="T2086" s="2" t="s">
        <v>5915</v>
      </c>
    </row>
    <row r="2087" spans="1:20" x14ac:dyDescent="0.35">
      <c r="A2087" s="482" t="s">
        <v>5625</v>
      </c>
      <c r="B2087" s="432" t="s">
        <v>1976</v>
      </c>
      <c r="C2087" s="436">
        <v>43265</v>
      </c>
      <c r="D2087" s="436">
        <v>43265</v>
      </c>
      <c r="E2087" s="436" t="s">
        <v>5934</v>
      </c>
      <c r="F2087" s="435" t="s">
        <v>5566</v>
      </c>
      <c r="G2087" s="444" t="s">
        <v>5278</v>
      </c>
      <c r="H2087" s="432" t="s">
        <v>5449</v>
      </c>
      <c r="I2087" s="503">
        <f t="shared" si="162"/>
        <v>3068.2498875000001</v>
      </c>
      <c r="J2087" s="503">
        <f t="shared" si="168"/>
        <v>687.56299999999999</v>
      </c>
      <c r="K2087" s="371">
        <f t="shared" si="166"/>
        <v>382.0100028</v>
      </c>
      <c r="L2087" s="369">
        <f t="shared" si="167"/>
        <v>76.402000560000005</v>
      </c>
      <c r="M2087" s="369" t="s">
        <v>6169</v>
      </c>
      <c r="N2087" s="432" t="s">
        <v>3785</v>
      </c>
      <c r="O2087" s="432" t="s">
        <v>5567</v>
      </c>
      <c r="P2087" s="438" t="s">
        <v>3659</v>
      </c>
      <c r="Q2087" s="481">
        <v>0.2</v>
      </c>
      <c r="R2087" s="438">
        <v>1900003308</v>
      </c>
      <c r="S2087" s="466" t="s">
        <v>509</v>
      </c>
      <c r="T2087" s="2" t="s">
        <v>5915</v>
      </c>
    </row>
    <row r="2088" spans="1:20" x14ac:dyDescent="0.35">
      <c r="A2088" s="482" t="s">
        <v>5626</v>
      </c>
      <c r="B2088" s="432" t="s">
        <v>1976</v>
      </c>
      <c r="C2088" s="436">
        <v>43265</v>
      </c>
      <c r="D2088" s="436">
        <v>43265</v>
      </c>
      <c r="E2088" s="436" t="s">
        <v>5938</v>
      </c>
      <c r="F2088" s="435" t="s">
        <v>5566</v>
      </c>
      <c r="G2088" s="444" t="s">
        <v>5278</v>
      </c>
      <c r="H2088" s="432" t="s">
        <v>5449</v>
      </c>
      <c r="I2088" s="503">
        <f t="shared" si="162"/>
        <v>3068.2498875000001</v>
      </c>
      <c r="J2088" s="503">
        <f t="shared" si="168"/>
        <v>687.56299999999999</v>
      </c>
      <c r="K2088" s="371">
        <f t="shared" si="166"/>
        <v>382.0100028</v>
      </c>
      <c r="L2088" s="369">
        <f t="shared" si="167"/>
        <v>76.402000560000005</v>
      </c>
      <c r="M2088" s="369" t="s">
        <v>6169</v>
      </c>
      <c r="N2088" s="432" t="s">
        <v>3785</v>
      </c>
      <c r="O2088" s="432" t="s">
        <v>5567</v>
      </c>
      <c r="P2088" s="438" t="s">
        <v>3659</v>
      </c>
      <c r="Q2088" s="481">
        <v>0.2</v>
      </c>
      <c r="R2088" s="438">
        <v>1900003308</v>
      </c>
      <c r="S2088" s="466" t="s">
        <v>509</v>
      </c>
      <c r="T2088" s="2" t="s">
        <v>5915</v>
      </c>
    </row>
    <row r="2089" spans="1:20" x14ac:dyDescent="0.35">
      <c r="A2089" s="482" t="s">
        <v>5627</v>
      </c>
      <c r="B2089" s="432" t="s">
        <v>1976</v>
      </c>
      <c r="C2089" s="436">
        <v>43265</v>
      </c>
      <c r="D2089" s="436">
        <v>43265</v>
      </c>
      <c r="E2089" s="436" t="s">
        <v>5939</v>
      </c>
      <c r="F2089" s="435" t="s">
        <v>5566</v>
      </c>
      <c r="G2089" s="444" t="s">
        <v>5278</v>
      </c>
      <c r="H2089" s="432" t="s">
        <v>5449</v>
      </c>
      <c r="I2089" s="503">
        <f t="shared" si="162"/>
        <v>3068.2498875000001</v>
      </c>
      <c r="J2089" s="503">
        <f t="shared" si="168"/>
        <v>687.56299999999999</v>
      </c>
      <c r="K2089" s="371">
        <f t="shared" si="166"/>
        <v>382.0100028</v>
      </c>
      <c r="L2089" s="369">
        <f t="shared" si="167"/>
        <v>76.402000560000005</v>
      </c>
      <c r="M2089" s="369" t="s">
        <v>6169</v>
      </c>
      <c r="N2089" s="432" t="s">
        <v>3785</v>
      </c>
      <c r="O2089" s="432" t="s">
        <v>5567</v>
      </c>
      <c r="P2089" s="438" t="s">
        <v>3659</v>
      </c>
      <c r="Q2089" s="481">
        <v>0.2</v>
      </c>
      <c r="R2089" s="438">
        <v>1900003308</v>
      </c>
      <c r="S2089" s="466" t="s">
        <v>509</v>
      </c>
      <c r="T2089" s="2" t="s">
        <v>5915</v>
      </c>
    </row>
    <row r="2090" spans="1:20" x14ac:dyDescent="0.35">
      <c r="A2090" s="482" t="s">
        <v>5628</v>
      </c>
      <c r="B2090" s="432" t="s">
        <v>1976</v>
      </c>
      <c r="C2090" s="436">
        <v>43265</v>
      </c>
      <c r="D2090" s="436">
        <v>43265</v>
      </c>
      <c r="E2090" s="436"/>
      <c r="F2090" s="435" t="s">
        <v>5566</v>
      </c>
      <c r="G2090" s="444" t="s">
        <v>5278</v>
      </c>
      <c r="H2090" s="432" t="s">
        <v>5449</v>
      </c>
      <c r="I2090" s="503">
        <f t="shared" si="162"/>
        <v>3068.2498875000001</v>
      </c>
      <c r="J2090" s="503">
        <f t="shared" si="168"/>
        <v>687.56299999999999</v>
      </c>
      <c r="K2090" s="371">
        <f t="shared" si="166"/>
        <v>382.0100028</v>
      </c>
      <c r="L2090" s="369">
        <f t="shared" si="167"/>
        <v>76.402000560000005</v>
      </c>
      <c r="M2090" s="369" t="s">
        <v>6169</v>
      </c>
      <c r="N2090" s="432" t="s">
        <v>3785</v>
      </c>
      <c r="O2090" s="432" t="s">
        <v>5567</v>
      </c>
      <c r="P2090" s="438" t="s">
        <v>3659</v>
      </c>
      <c r="Q2090" s="481">
        <v>0.2</v>
      </c>
      <c r="R2090" s="438">
        <v>1900003308</v>
      </c>
      <c r="S2090" s="466"/>
      <c r="T2090" s="2" t="s">
        <v>5914</v>
      </c>
    </row>
    <row r="2091" spans="1:20" x14ac:dyDescent="0.35">
      <c r="A2091" s="482" t="s">
        <v>5629</v>
      </c>
      <c r="B2091" s="432" t="s">
        <v>1976</v>
      </c>
      <c r="C2091" s="436">
        <v>43265</v>
      </c>
      <c r="D2091" s="436">
        <v>43265</v>
      </c>
      <c r="E2091" s="2"/>
      <c r="F2091" s="435" t="s">
        <v>5566</v>
      </c>
      <c r="G2091" s="444" t="s">
        <v>5278</v>
      </c>
      <c r="H2091" s="432" t="s">
        <v>5449</v>
      </c>
      <c r="I2091" s="503">
        <f t="shared" si="162"/>
        <v>3068.2498875000001</v>
      </c>
      <c r="J2091" s="503">
        <f t="shared" si="168"/>
        <v>687.56299999999999</v>
      </c>
      <c r="K2091" s="371">
        <f t="shared" si="166"/>
        <v>382.0100028</v>
      </c>
      <c r="L2091" s="369">
        <f t="shared" si="167"/>
        <v>76.402000560000005</v>
      </c>
      <c r="M2091" s="369" t="s">
        <v>6169</v>
      </c>
      <c r="N2091" s="432" t="s">
        <v>3785</v>
      </c>
      <c r="O2091" s="432" t="s">
        <v>5567</v>
      </c>
      <c r="P2091" s="438" t="s">
        <v>3659</v>
      </c>
      <c r="Q2091" s="481">
        <v>0.2</v>
      </c>
      <c r="R2091" s="438">
        <v>1900003308</v>
      </c>
      <c r="S2091" s="466"/>
      <c r="T2091" s="2" t="s">
        <v>5914</v>
      </c>
    </row>
    <row r="2092" spans="1:20" x14ac:dyDescent="0.35">
      <c r="A2092" s="482" t="s">
        <v>5630</v>
      </c>
      <c r="B2092" s="432" t="s">
        <v>1976</v>
      </c>
      <c r="C2092" s="436">
        <v>43265</v>
      </c>
      <c r="D2092" s="436">
        <v>43265</v>
      </c>
      <c r="E2092" s="2"/>
      <c r="F2092" s="435" t="s">
        <v>5566</v>
      </c>
      <c r="G2092" s="444" t="s">
        <v>5278</v>
      </c>
      <c r="H2092" s="432" t="s">
        <v>5449</v>
      </c>
      <c r="I2092" s="503">
        <f t="shared" si="162"/>
        <v>3068.2498875000001</v>
      </c>
      <c r="J2092" s="503">
        <f t="shared" si="168"/>
        <v>687.56299999999999</v>
      </c>
      <c r="K2092" s="371">
        <f t="shared" si="166"/>
        <v>382.0100028</v>
      </c>
      <c r="L2092" s="369">
        <f t="shared" si="167"/>
        <v>76.402000560000005</v>
      </c>
      <c r="M2092" s="369" t="s">
        <v>6169</v>
      </c>
      <c r="N2092" s="432" t="s">
        <v>3785</v>
      </c>
      <c r="O2092" s="432" t="s">
        <v>5567</v>
      </c>
      <c r="P2092" s="438" t="s">
        <v>3659</v>
      </c>
      <c r="Q2092" s="481">
        <v>0.2</v>
      </c>
      <c r="R2092" s="438">
        <v>1900003308</v>
      </c>
      <c r="S2092" s="466"/>
      <c r="T2092" s="2" t="s">
        <v>5914</v>
      </c>
    </row>
    <row r="2093" spans="1:20" x14ac:dyDescent="0.35">
      <c r="A2093" s="482" t="s">
        <v>5631</v>
      </c>
      <c r="B2093" s="432" t="s">
        <v>1976</v>
      </c>
      <c r="C2093" s="436">
        <v>43265</v>
      </c>
      <c r="D2093" s="436">
        <v>43265</v>
      </c>
      <c r="E2093" s="2"/>
      <c r="F2093" s="435" t="s">
        <v>5566</v>
      </c>
      <c r="G2093" s="444" t="s">
        <v>5278</v>
      </c>
      <c r="H2093" s="432" t="s">
        <v>5449</v>
      </c>
      <c r="I2093" s="503">
        <f t="shared" si="162"/>
        <v>3068.2498875000001</v>
      </c>
      <c r="J2093" s="503">
        <f t="shared" si="168"/>
        <v>687.56299999999999</v>
      </c>
      <c r="K2093" s="371">
        <f t="shared" si="166"/>
        <v>382.0100028</v>
      </c>
      <c r="L2093" s="369">
        <f t="shared" si="167"/>
        <v>76.402000560000005</v>
      </c>
      <c r="M2093" s="369" t="s">
        <v>6169</v>
      </c>
      <c r="N2093" s="432" t="s">
        <v>3785</v>
      </c>
      <c r="O2093" s="432" t="s">
        <v>5567</v>
      </c>
      <c r="P2093" s="438" t="s">
        <v>3659</v>
      </c>
      <c r="Q2093" s="481">
        <v>0.2</v>
      </c>
      <c r="R2093" s="438">
        <v>1900003308</v>
      </c>
      <c r="S2093" s="466"/>
      <c r="T2093" s="2" t="s">
        <v>5914</v>
      </c>
    </row>
    <row r="2094" spans="1:20" x14ac:dyDescent="0.35">
      <c r="A2094" s="482" t="s">
        <v>5632</v>
      </c>
      <c r="B2094" s="432" t="s">
        <v>1976</v>
      </c>
      <c r="C2094" s="436">
        <v>43265</v>
      </c>
      <c r="D2094" s="436">
        <v>43265</v>
      </c>
      <c r="E2094" s="2"/>
      <c r="F2094" s="435" t="s">
        <v>5566</v>
      </c>
      <c r="G2094" s="444" t="s">
        <v>5278</v>
      </c>
      <c r="H2094" s="432" t="s">
        <v>5449</v>
      </c>
      <c r="I2094" s="503">
        <f t="shared" si="162"/>
        <v>3068.2498875000001</v>
      </c>
      <c r="J2094" s="503">
        <f t="shared" si="168"/>
        <v>687.56299999999999</v>
      </c>
      <c r="K2094" s="371">
        <f t="shared" si="166"/>
        <v>382.0100028</v>
      </c>
      <c r="L2094" s="369">
        <f t="shared" si="167"/>
        <v>76.402000560000005</v>
      </c>
      <c r="M2094" s="369" t="s">
        <v>6169</v>
      </c>
      <c r="N2094" s="432" t="s">
        <v>3785</v>
      </c>
      <c r="O2094" s="432" t="s">
        <v>5567</v>
      </c>
      <c r="P2094" s="438" t="s">
        <v>3659</v>
      </c>
      <c r="Q2094" s="481">
        <v>0.2</v>
      </c>
      <c r="R2094" s="438">
        <v>1900003308</v>
      </c>
      <c r="S2094" s="466"/>
      <c r="T2094" s="2" t="s">
        <v>5914</v>
      </c>
    </row>
    <row r="2095" spans="1:20" x14ac:dyDescent="0.35">
      <c r="A2095" s="482" t="s">
        <v>5633</v>
      </c>
      <c r="B2095" s="432" t="s">
        <v>2029</v>
      </c>
      <c r="C2095" s="436">
        <v>43265</v>
      </c>
      <c r="D2095" s="436">
        <v>43265</v>
      </c>
      <c r="E2095" s="9"/>
      <c r="F2095" s="435" t="s">
        <v>5566</v>
      </c>
      <c r="G2095" s="444" t="s">
        <v>5278</v>
      </c>
      <c r="H2095" s="432" t="s">
        <v>5449</v>
      </c>
      <c r="I2095" s="503">
        <f t="shared" si="162"/>
        <v>3068.2498875000001</v>
      </c>
      <c r="J2095" s="503">
        <f t="shared" si="168"/>
        <v>687.56299999999999</v>
      </c>
      <c r="K2095" s="371">
        <f t="shared" si="166"/>
        <v>382.0100028</v>
      </c>
      <c r="L2095" s="369">
        <f t="shared" si="167"/>
        <v>76.402000560000005</v>
      </c>
      <c r="M2095" s="369" t="s">
        <v>6169</v>
      </c>
      <c r="N2095" s="432" t="s">
        <v>3785</v>
      </c>
      <c r="O2095" s="432" t="s">
        <v>5567</v>
      </c>
      <c r="P2095" s="438" t="s">
        <v>3659</v>
      </c>
      <c r="Q2095" s="481">
        <v>0.2</v>
      </c>
      <c r="R2095" s="438">
        <v>1900003308</v>
      </c>
      <c r="S2095" s="466"/>
      <c r="T2095" s="2" t="s">
        <v>5914</v>
      </c>
    </row>
    <row r="2096" spans="1:20" x14ac:dyDescent="0.35">
      <c r="A2096" s="482" t="s">
        <v>5634</v>
      </c>
      <c r="B2096" s="432" t="s">
        <v>2029</v>
      </c>
      <c r="C2096" s="436">
        <v>43265</v>
      </c>
      <c r="D2096" s="436">
        <v>43265</v>
      </c>
      <c r="E2096" s="436"/>
      <c r="F2096" s="435" t="s">
        <v>5566</v>
      </c>
      <c r="G2096" s="444" t="s">
        <v>5278</v>
      </c>
      <c r="H2096" s="432" t="s">
        <v>5449</v>
      </c>
      <c r="I2096" s="503">
        <f t="shared" ref="I2096:I2141" si="169">+J2096*4.4625</f>
        <v>3068.2498875000001</v>
      </c>
      <c r="J2096" s="503">
        <f t="shared" si="168"/>
        <v>687.56299999999999</v>
      </c>
      <c r="K2096" s="371">
        <f t="shared" si="166"/>
        <v>382.0100028</v>
      </c>
      <c r="L2096" s="369">
        <f t="shared" si="167"/>
        <v>76.402000560000005</v>
      </c>
      <c r="M2096" s="369" t="s">
        <v>6169</v>
      </c>
      <c r="N2096" s="432" t="s">
        <v>4753</v>
      </c>
      <c r="O2096" s="432" t="s">
        <v>5567</v>
      </c>
      <c r="P2096" s="438" t="s">
        <v>3659</v>
      </c>
      <c r="Q2096" s="481">
        <v>0.2</v>
      </c>
      <c r="R2096" s="438">
        <v>1900003308</v>
      </c>
      <c r="S2096" s="466"/>
      <c r="T2096" s="2" t="s">
        <v>5914</v>
      </c>
    </row>
    <row r="2097" spans="1:21" x14ac:dyDescent="0.35">
      <c r="A2097" s="482" t="s">
        <v>5635</v>
      </c>
      <c r="B2097" s="432" t="s">
        <v>2029</v>
      </c>
      <c r="C2097" s="436">
        <v>43265</v>
      </c>
      <c r="D2097" s="436">
        <v>43265</v>
      </c>
      <c r="E2097" s="415" t="s">
        <v>6099</v>
      </c>
      <c r="F2097" s="435" t="s">
        <v>5566</v>
      </c>
      <c r="G2097" s="444" t="s">
        <v>5278</v>
      </c>
      <c r="H2097" s="432" t="s">
        <v>5449</v>
      </c>
      <c r="I2097" s="503">
        <f t="shared" si="169"/>
        <v>3068.2498875000001</v>
      </c>
      <c r="J2097" s="503">
        <f t="shared" si="168"/>
        <v>687.56299999999999</v>
      </c>
      <c r="K2097" s="371">
        <f t="shared" si="166"/>
        <v>382.0100028</v>
      </c>
      <c r="L2097" s="369">
        <f t="shared" si="167"/>
        <v>76.402000560000005</v>
      </c>
      <c r="M2097" s="369" t="s">
        <v>6169</v>
      </c>
      <c r="N2097" s="432" t="s">
        <v>4753</v>
      </c>
      <c r="O2097" s="432" t="s">
        <v>5567</v>
      </c>
      <c r="P2097" s="438" t="s">
        <v>3659</v>
      </c>
      <c r="Q2097" s="481">
        <v>0.2</v>
      </c>
      <c r="R2097" s="438">
        <v>1900003308</v>
      </c>
      <c r="S2097" s="466" t="s">
        <v>6109</v>
      </c>
      <c r="T2097" s="2" t="s">
        <v>5915</v>
      </c>
      <c r="U2097" s="9" t="s">
        <v>6109</v>
      </c>
    </row>
    <row r="2098" spans="1:21" x14ac:dyDescent="0.35">
      <c r="A2098" s="482" t="s">
        <v>5636</v>
      </c>
      <c r="B2098" s="432" t="s">
        <v>2029</v>
      </c>
      <c r="C2098" s="436">
        <v>43265</v>
      </c>
      <c r="D2098" s="436">
        <v>43265</v>
      </c>
      <c r="E2098" s="436" t="s">
        <v>6100</v>
      </c>
      <c r="F2098" s="435" t="s">
        <v>5566</v>
      </c>
      <c r="G2098" s="444" t="s">
        <v>5278</v>
      </c>
      <c r="H2098" s="432" t="s">
        <v>5449</v>
      </c>
      <c r="I2098" s="503">
        <f t="shared" si="169"/>
        <v>3068.2498875000001</v>
      </c>
      <c r="J2098" s="503">
        <f t="shared" si="168"/>
        <v>687.56299999999999</v>
      </c>
      <c r="K2098" s="371">
        <f t="shared" si="166"/>
        <v>382.0100028</v>
      </c>
      <c r="L2098" s="369">
        <f t="shared" si="167"/>
        <v>76.402000560000005</v>
      </c>
      <c r="M2098" s="369" t="s">
        <v>6169</v>
      </c>
      <c r="N2098" s="432" t="s">
        <v>4753</v>
      </c>
      <c r="O2098" s="432" t="s">
        <v>5567</v>
      </c>
      <c r="P2098" s="438" t="s">
        <v>3659</v>
      </c>
      <c r="Q2098" s="481">
        <v>0.2</v>
      </c>
      <c r="R2098" s="438">
        <v>1900003308</v>
      </c>
      <c r="S2098" s="466" t="s">
        <v>6110</v>
      </c>
      <c r="T2098" s="2" t="s">
        <v>5915</v>
      </c>
      <c r="U2098" s="9" t="s">
        <v>6110</v>
      </c>
    </row>
    <row r="2099" spans="1:21" x14ac:dyDescent="0.35">
      <c r="A2099" s="482" t="s">
        <v>5637</v>
      </c>
      <c r="B2099" s="432" t="s">
        <v>2029</v>
      </c>
      <c r="C2099" s="436">
        <v>43265</v>
      </c>
      <c r="D2099" s="436">
        <v>43265</v>
      </c>
      <c r="E2099" s="436" t="s">
        <v>6101</v>
      </c>
      <c r="F2099" s="435" t="s">
        <v>5566</v>
      </c>
      <c r="G2099" s="444" t="s">
        <v>5278</v>
      </c>
      <c r="H2099" s="432" t="s">
        <v>5449</v>
      </c>
      <c r="I2099" s="503">
        <f t="shared" si="169"/>
        <v>3068.2498875000001</v>
      </c>
      <c r="J2099" s="503">
        <f t="shared" si="168"/>
        <v>687.56299999999999</v>
      </c>
      <c r="K2099" s="371">
        <f t="shared" si="166"/>
        <v>382.0100028</v>
      </c>
      <c r="L2099" s="369">
        <f t="shared" si="167"/>
        <v>76.402000560000005</v>
      </c>
      <c r="M2099" s="369" t="s">
        <v>6169</v>
      </c>
      <c r="N2099" s="432" t="s">
        <v>4753</v>
      </c>
      <c r="O2099" s="432" t="s">
        <v>5567</v>
      </c>
      <c r="P2099" s="438" t="s">
        <v>3659</v>
      </c>
      <c r="Q2099" s="481">
        <v>0.2</v>
      </c>
      <c r="R2099" s="438">
        <v>1900003308</v>
      </c>
      <c r="S2099" s="466" t="s">
        <v>6111</v>
      </c>
      <c r="T2099" s="2" t="s">
        <v>5915</v>
      </c>
      <c r="U2099" s="9" t="s">
        <v>6111</v>
      </c>
    </row>
    <row r="2100" spans="1:21" x14ac:dyDescent="0.35">
      <c r="A2100" s="482" t="s">
        <v>5638</v>
      </c>
      <c r="B2100" s="432" t="s">
        <v>2029</v>
      </c>
      <c r="C2100" s="436">
        <v>43265</v>
      </c>
      <c r="D2100" s="436">
        <v>43265</v>
      </c>
      <c r="E2100" s="436" t="s">
        <v>6102</v>
      </c>
      <c r="F2100" s="435" t="s">
        <v>5566</v>
      </c>
      <c r="G2100" s="444" t="s">
        <v>5278</v>
      </c>
      <c r="H2100" s="432" t="s">
        <v>5449</v>
      </c>
      <c r="I2100" s="503">
        <f t="shared" si="169"/>
        <v>3068.2498875000001</v>
      </c>
      <c r="J2100" s="503">
        <f t="shared" si="168"/>
        <v>687.56299999999999</v>
      </c>
      <c r="K2100" s="371">
        <f t="shared" si="166"/>
        <v>382.0100028</v>
      </c>
      <c r="L2100" s="369">
        <f t="shared" si="167"/>
        <v>76.402000560000005</v>
      </c>
      <c r="M2100" s="369" t="s">
        <v>6169</v>
      </c>
      <c r="N2100" s="432" t="s">
        <v>4753</v>
      </c>
      <c r="O2100" s="432" t="s">
        <v>5567</v>
      </c>
      <c r="P2100" s="438" t="s">
        <v>3659</v>
      </c>
      <c r="Q2100" s="481">
        <v>0.2</v>
      </c>
      <c r="R2100" s="438">
        <v>1900003308</v>
      </c>
      <c r="S2100" s="466" t="s">
        <v>6112</v>
      </c>
      <c r="T2100" s="2" t="s">
        <v>5915</v>
      </c>
      <c r="U2100" s="9" t="s">
        <v>6112</v>
      </c>
    </row>
    <row r="2101" spans="1:21" x14ac:dyDescent="0.35">
      <c r="A2101" s="482" t="s">
        <v>5639</v>
      </c>
      <c r="B2101" s="432" t="s">
        <v>2029</v>
      </c>
      <c r="C2101" s="436">
        <v>43265</v>
      </c>
      <c r="D2101" s="436">
        <v>43265</v>
      </c>
      <c r="E2101" s="436" t="s">
        <v>6103</v>
      </c>
      <c r="F2101" s="435" t="s">
        <v>5566</v>
      </c>
      <c r="G2101" s="444" t="s">
        <v>5278</v>
      </c>
      <c r="H2101" s="432" t="s">
        <v>5449</v>
      </c>
      <c r="I2101" s="503">
        <f t="shared" si="169"/>
        <v>3068.2498875000001</v>
      </c>
      <c r="J2101" s="503">
        <f t="shared" si="168"/>
        <v>687.56299999999999</v>
      </c>
      <c r="K2101" s="371">
        <f t="shared" si="166"/>
        <v>382.0100028</v>
      </c>
      <c r="L2101" s="369">
        <f t="shared" si="167"/>
        <v>76.402000560000005</v>
      </c>
      <c r="M2101" s="369" t="s">
        <v>6169</v>
      </c>
      <c r="N2101" s="432" t="s">
        <v>4753</v>
      </c>
      <c r="O2101" s="432" t="s">
        <v>5567</v>
      </c>
      <c r="P2101" s="438" t="s">
        <v>3659</v>
      </c>
      <c r="Q2101" s="481">
        <v>0.2</v>
      </c>
      <c r="R2101" s="438">
        <v>1900003308</v>
      </c>
      <c r="S2101" s="466" t="s">
        <v>6113</v>
      </c>
      <c r="T2101" s="2" t="s">
        <v>5915</v>
      </c>
      <c r="U2101" s="9" t="s">
        <v>6113</v>
      </c>
    </row>
    <row r="2102" spans="1:21" x14ac:dyDescent="0.35">
      <c r="A2102" s="482" t="s">
        <v>5640</v>
      </c>
      <c r="B2102" s="432" t="s">
        <v>2029</v>
      </c>
      <c r="C2102" s="436">
        <v>43265</v>
      </c>
      <c r="D2102" s="436">
        <v>43265</v>
      </c>
      <c r="E2102" s="436" t="s">
        <v>6104</v>
      </c>
      <c r="F2102" s="435" t="s">
        <v>5566</v>
      </c>
      <c r="G2102" s="444" t="s">
        <v>5278</v>
      </c>
      <c r="H2102" s="432" t="s">
        <v>5449</v>
      </c>
      <c r="I2102" s="503">
        <f t="shared" si="169"/>
        <v>3068.2498875000001</v>
      </c>
      <c r="J2102" s="503">
        <f t="shared" si="168"/>
        <v>687.56299999999999</v>
      </c>
      <c r="K2102" s="371">
        <f t="shared" si="166"/>
        <v>382.0100028</v>
      </c>
      <c r="L2102" s="369">
        <f t="shared" si="167"/>
        <v>76.402000560000005</v>
      </c>
      <c r="M2102" s="369" t="s">
        <v>6169</v>
      </c>
      <c r="N2102" s="432" t="s">
        <v>4753</v>
      </c>
      <c r="O2102" s="432" t="s">
        <v>5567</v>
      </c>
      <c r="P2102" s="438" t="s">
        <v>3659</v>
      </c>
      <c r="Q2102" s="481">
        <v>0.2</v>
      </c>
      <c r="R2102" s="438">
        <v>1900003308</v>
      </c>
      <c r="S2102" s="466" t="s">
        <v>6114</v>
      </c>
      <c r="T2102" s="2" t="s">
        <v>5915</v>
      </c>
      <c r="U2102" s="9" t="s">
        <v>6114</v>
      </c>
    </row>
    <row r="2103" spans="1:21" x14ac:dyDescent="0.35">
      <c r="A2103" s="482" t="s">
        <v>5641</v>
      </c>
      <c r="B2103" s="432" t="s">
        <v>2029</v>
      </c>
      <c r="C2103" s="436">
        <v>43265</v>
      </c>
      <c r="D2103" s="436">
        <v>43265</v>
      </c>
      <c r="E2103" s="436" t="s">
        <v>6105</v>
      </c>
      <c r="F2103" s="435" t="s">
        <v>5566</v>
      </c>
      <c r="G2103" s="444" t="s">
        <v>5278</v>
      </c>
      <c r="H2103" s="432" t="s">
        <v>5449</v>
      </c>
      <c r="I2103" s="503">
        <f t="shared" si="169"/>
        <v>3068.2498875000001</v>
      </c>
      <c r="J2103" s="503">
        <f t="shared" si="168"/>
        <v>687.56299999999999</v>
      </c>
      <c r="K2103" s="371">
        <f t="shared" si="166"/>
        <v>382.0100028</v>
      </c>
      <c r="L2103" s="369">
        <f t="shared" si="167"/>
        <v>76.402000560000005</v>
      </c>
      <c r="M2103" s="369" t="s">
        <v>6169</v>
      </c>
      <c r="N2103" s="432" t="s">
        <v>4753</v>
      </c>
      <c r="O2103" s="432" t="s">
        <v>5567</v>
      </c>
      <c r="P2103" s="438" t="s">
        <v>3659</v>
      </c>
      <c r="Q2103" s="481">
        <v>0.2</v>
      </c>
      <c r="R2103" s="438">
        <v>1900003308</v>
      </c>
      <c r="S2103" s="466" t="s">
        <v>6115</v>
      </c>
      <c r="T2103" s="2" t="s">
        <v>5915</v>
      </c>
      <c r="U2103" s="9" t="s">
        <v>6115</v>
      </c>
    </row>
    <row r="2104" spans="1:21" x14ac:dyDescent="0.35">
      <c r="A2104" s="482" t="s">
        <v>5642</v>
      </c>
      <c r="B2104" s="432" t="s">
        <v>2029</v>
      </c>
      <c r="C2104" s="436">
        <v>43265</v>
      </c>
      <c r="D2104" s="436">
        <v>43265</v>
      </c>
      <c r="E2104" s="436" t="s">
        <v>6106</v>
      </c>
      <c r="F2104" s="435" t="s">
        <v>5566</v>
      </c>
      <c r="G2104" s="444" t="s">
        <v>5278</v>
      </c>
      <c r="H2104" s="432" t="s">
        <v>5449</v>
      </c>
      <c r="I2104" s="503">
        <f t="shared" si="169"/>
        <v>3068.2498875000001</v>
      </c>
      <c r="J2104" s="503">
        <f t="shared" si="168"/>
        <v>687.56299999999999</v>
      </c>
      <c r="K2104" s="371">
        <f t="shared" si="166"/>
        <v>382.0100028</v>
      </c>
      <c r="L2104" s="369">
        <f t="shared" si="167"/>
        <v>76.402000560000005</v>
      </c>
      <c r="M2104" s="369" t="s">
        <v>6169</v>
      </c>
      <c r="N2104" s="432" t="s">
        <v>4753</v>
      </c>
      <c r="O2104" s="432" t="s">
        <v>5567</v>
      </c>
      <c r="P2104" s="438" t="s">
        <v>3659</v>
      </c>
      <c r="Q2104" s="481">
        <v>0.2</v>
      </c>
      <c r="R2104" s="438">
        <v>1900003308</v>
      </c>
      <c r="S2104" s="466" t="s">
        <v>6116</v>
      </c>
      <c r="T2104" s="2" t="s">
        <v>5915</v>
      </c>
      <c r="U2104" s="9" t="s">
        <v>6116</v>
      </c>
    </row>
    <row r="2105" spans="1:21" x14ac:dyDescent="0.35">
      <c r="A2105" s="482" t="s">
        <v>5643</v>
      </c>
      <c r="B2105" s="432" t="s">
        <v>2029</v>
      </c>
      <c r="C2105" s="436">
        <v>43265</v>
      </c>
      <c r="D2105" s="436">
        <v>43265</v>
      </c>
      <c r="E2105" s="8" t="s">
        <v>6107</v>
      </c>
      <c r="F2105" s="435" t="s">
        <v>5566</v>
      </c>
      <c r="G2105" s="444" t="s">
        <v>5278</v>
      </c>
      <c r="H2105" s="432" t="s">
        <v>5449</v>
      </c>
      <c r="I2105" s="503">
        <f t="shared" si="169"/>
        <v>3068.2498875000001</v>
      </c>
      <c r="J2105" s="503">
        <f t="shared" si="168"/>
        <v>687.56299999999999</v>
      </c>
      <c r="K2105" s="371">
        <f t="shared" si="166"/>
        <v>382.0100028</v>
      </c>
      <c r="L2105" s="369">
        <f t="shared" si="167"/>
        <v>76.402000560000005</v>
      </c>
      <c r="M2105" s="369" t="s">
        <v>6169</v>
      </c>
      <c r="N2105" s="432" t="s">
        <v>4753</v>
      </c>
      <c r="O2105" s="432" t="s">
        <v>5567</v>
      </c>
      <c r="P2105" s="438" t="s">
        <v>3659</v>
      </c>
      <c r="Q2105" s="481">
        <v>0.2</v>
      </c>
      <c r="R2105" s="438">
        <v>1900003308</v>
      </c>
      <c r="S2105" t="s">
        <v>6034</v>
      </c>
      <c r="T2105" s="2" t="s">
        <v>5915</v>
      </c>
      <c r="U2105" t="s">
        <v>6034</v>
      </c>
    </row>
    <row r="2106" spans="1:21" x14ac:dyDescent="0.35">
      <c r="A2106" s="482" t="s">
        <v>5644</v>
      </c>
      <c r="B2106" s="432" t="s">
        <v>2029</v>
      </c>
      <c r="C2106" s="436">
        <v>43265</v>
      </c>
      <c r="D2106" s="436">
        <v>43265</v>
      </c>
      <c r="E2106" s="8"/>
      <c r="F2106" s="435" t="s">
        <v>5566</v>
      </c>
      <c r="G2106" s="444" t="s">
        <v>5278</v>
      </c>
      <c r="H2106" s="432" t="s">
        <v>5449</v>
      </c>
      <c r="I2106" s="503">
        <f t="shared" si="169"/>
        <v>3068.2498875000001</v>
      </c>
      <c r="J2106" s="503">
        <f t="shared" si="168"/>
        <v>687.56299999999999</v>
      </c>
      <c r="K2106" s="371">
        <f t="shared" si="166"/>
        <v>382.0100028</v>
      </c>
      <c r="L2106" s="369">
        <f t="shared" si="167"/>
        <v>76.402000560000005</v>
      </c>
      <c r="M2106" s="369" t="s">
        <v>6169</v>
      </c>
      <c r="N2106" s="432" t="s">
        <v>4753</v>
      </c>
      <c r="O2106" s="432" t="s">
        <v>5567</v>
      </c>
      <c r="P2106" s="438" t="s">
        <v>3659</v>
      </c>
      <c r="Q2106" s="481">
        <v>0.2</v>
      </c>
      <c r="R2106" s="438">
        <v>1900003308</v>
      </c>
      <c r="S2106" t="s">
        <v>6060</v>
      </c>
      <c r="T2106" s="2" t="s">
        <v>5915</v>
      </c>
      <c r="U2106"/>
    </row>
    <row r="2107" spans="1:21" x14ac:dyDescent="0.35">
      <c r="A2107" s="482" t="s">
        <v>5645</v>
      </c>
      <c r="B2107" s="432" t="s">
        <v>2029</v>
      </c>
      <c r="C2107" s="436">
        <v>43265</v>
      </c>
      <c r="D2107" s="436">
        <v>43265</v>
      </c>
      <c r="E2107" s="8" t="s">
        <v>6081</v>
      </c>
      <c r="F2107" s="435" t="s">
        <v>5566</v>
      </c>
      <c r="G2107" s="444" t="s">
        <v>5278</v>
      </c>
      <c r="H2107" s="432" t="s">
        <v>5449</v>
      </c>
      <c r="I2107" s="503">
        <f t="shared" si="169"/>
        <v>3068.2498875000001</v>
      </c>
      <c r="J2107" s="503">
        <f t="shared" si="168"/>
        <v>687.56299999999999</v>
      </c>
      <c r="K2107" s="371">
        <f t="shared" si="166"/>
        <v>382.0100028</v>
      </c>
      <c r="L2107" s="369">
        <f t="shared" si="167"/>
        <v>76.402000560000005</v>
      </c>
      <c r="M2107" s="369" t="s">
        <v>6169</v>
      </c>
      <c r="N2107" s="432" t="s">
        <v>4753</v>
      </c>
      <c r="O2107" s="432" t="s">
        <v>5567</v>
      </c>
      <c r="P2107" s="438" t="s">
        <v>3659</v>
      </c>
      <c r="Q2107" s="481">
        <v>0.2</v>
      </c>
      <c r="R2107" s="438">
        <v>1900003308</v>
      </c>
      <c r="S2107" t="s">
        <v>6061</v>
      </c>
      <c r="T2107" s="2" t="s">
        <v>5915</v>
      </c>
      <c r="U2107" t="s">
        <v>6061</v>
      </c>
    </row>
    <row r="2108" spans="1:21" x14ac:dyDescent="0.35">
      <c r="A2108" s="482" t="s">
        <v>5646</v>
      </c>
      <c r="B2108" s="432" t="s">
        <v>2029</v>
      </c>
      <c r="C2108" s="436">
        <v>43265</v>
      </c>
      <c r="D2108" s="436">
        <v>43265</v>
      </c>
      <c r="E2108" s="8" t="s">
        <v>6082</v>
      </c>
      <c r="F2108" s="435" t="s">
        <v>5566</v>
      </c>
      <c r="G2108" s="444" t="s">
        <v>5278</v>
      </c>
      <c r="H2108" s="432" t="s">
        <v>5449</v>
      </c>
      <c r="I2108" s="503">
        <f t="shared" si="169"/>
        <v>3068.2498875000001</v>
      </c>
      <c r="J2108" s="503">
        <f t="shared" si="168"/>
        <v>687.56299999999999</v>
      </c>
      <c r="K2108" s="371">
        <f t="shared" si="166"/>
        <v>382.0100028</v>
      </c>
      <c r="L2108" s="369">
        <f t="shared" si="167"/>
        <v>76.402000560000005</v>
      </c>
      <c r="M2108" s="369" t="s">
        <v>6169</v>
      </c>
      <c r="N2108" s="432" t="s">
        <v>4753</v>
      </c>
      <c r="O2108" s="432" t="s">
        <v>5567</v>
      </c>
      <c r="P2108" s="438" t="s">
        <v>3659</v>
      </c>
      <c r="Q2108" s="481">
        <v>0.2</v>
      </c>
      <c r="R2108" s="438">
        <v>1900003308</v>
      </c>
      <c r="S2108" t="s">
        <v>6062</v>
      </c>
      <c r="T2108" s="2" t="s">
        <v>5915</v>
      </c>
      <c r="U2108" t="s">
        <v>6062</v>
      </c>
    </row>
    <row r="2109" spans="1:21" x14ac:dyDescent="0.35">
      <c r="A2109" s="482" t="s">
        <v>5647</v>
      </c>
      <c r="B2109" s="432" t="s">
        <v>2029</v>
      </c>
      <c r="C2109" s="436">
        <v>43265</v>
      </c>
      <c r="D2109" s="436">
        <v>43265</v>
      </c>
      <c r="E2109" s="8" t="s">
        <v>6083</v>
      </c>
      <c r="F2109" s="435" t="s">
        <v>5566</v>
      </c>
      <c r="G2109" s="444" t="s">
        <v>5278</v>
      </c>
      <c r="H2109" s="432" t="s">
        <v>5449</v>
      </c>
      <c r="I2109" s="503">
        <f t="shared" si="169"/>
        <v>3068.2498875000001</v>
      </c>
      <c r="J2109" s="503">
        <f t="shared" si="168"/>
        <v>687.56299999999999</v>
      </c>
      <c r="K2109" s="371">
        <f t="shared" si="166"/>
        <v>382.0100028</v>
      </c>
      <c r="L2109" s="369">
        <f t="shared" si="167"/>
        <v>76.402000560000005</v>
      </c>
      <c r="M2109" s="369" t="s">
        <v>6169</v>
      </c>
      <c r="N2109" s="432" t="s">
        <v>4753</v>
      </c>
      <c r="O2109" s="432" t="s">
        <v>5567</v>
      </c>
      <c r="P2109" s="438" t="s">
        <v>3659</v>
      </c>
      <c r="Q2109" s="481">
        <v>0.2</v>
      </c>
      <c r="R2109" s="438">
        <v>1900003308</v>
      </c>
      <c r="S2109" t="s">
        <v>6070</v>
      </c>
      <c r="T2109" s="2" t="s">
        <v>5915</v>
      </c>
      <c r="U2109" t="s">
        <v>6070</v>
      </c>
    </row>
    <row r="2110" spans="1:21" x14ac:dyDescent="0.35">
      <c r="A2110" s="482" t="s">
        <v>5648</v>
      </c>
      <c r="B2110" s="432" t="s">
        <v>2029</v>
      </c>
      <c r="C2110" s="436">
        <v>43265</v>
      </c>
      <c r="D2110" s="436">
        <v>43265</v>
      </c>
      <c r="E2110" s="8" t="s">
        <v>6084</v>
      </c>
      <c r="F2110" s="435" t="s">
        <v>5566</v>
      </c>
      <c r="G2110" s="444" t="s">
        <v>5278</v>
      </c>
      <c r="H2110" s="432" t="s">
        <v>5449</v>
      </c>
      <c r="I2110" s="503">
        <f t="shared" si="169"/>
        <v>3068.2498875000001</v>
      </c>
      <c r="J2110" s="503">
        <f t="shared" si="168"/>
        <v>687.56299999999999</v>
      </c>
      <c r="K2110" s="371">
        <f t="shared" si="166"/>
        <v>382.0100028</v>
      </c>
      <c r="L2110" s="369">
        <f t="shared" si="167"/>
        <v>76.402000560000005</v>
      </c>
      <c r="M2110" s="369" t="s">
        <v>6169</v>
      </c>
      <c r="N2110" s="432" t="s">
        <v>4753</v>
      </c>
      <c r="O2110" s="432" t="s">
        <v>5567</v>
      </c>
      <c r="P2110" s="438" t="s">
        <v>3659</v>
      </c>
      <c r="Q2110" s="481">
        <v>0.2</v>
      </c>
      <c r="R2110" s="438">
        <v>1900003308</v>
      </c>
      <c r="S2110" t="s">
        <v>6071</v>
      </c>
      <c r="T2110" s="2" t="s">
        <v>5915</v>
      </c>
      <c r="U2110" t="s">
        <v>6071</v>
      </c>
    </row>
    <row r="2111" spans="1:21" x14ac:dyDescent="0.35">
      <c r="A2111" s="482" t="s">
        <v>5649</v>
      </c>
      <c r="B2111" s="432" t="s">
        <v>2029</v>
      </c>
      <c r="C2111" s="436">
        <v>43265</v>
      </c>
      <c r="D2111" s="436">
        <v>43265</v>
      </c>
      <c r="E2111" s="8" t="s">
        <v>6085</v>
      </c>
      <c r="F2111" s="435" t="s">
        <v>5566</v>
      </c>
      <c r="G2111" s="444" t="s">
        <v>5278</v>
      </c>
      <c r="H2111" s="432" t="s">
        <v>5449</v>
      </c>
      <c r="I2111" s="503">
        <f t="shared" si="169"/>
        <v>3068.2498875000001</v>
      </c>
      <c r="J2111" s="503">
        <f t="shared" si="168"/>
        <v>687.56299999999999</v>
      </c>
      <c r="K2111" s="371">
        <f t="shared" si="166"/>
        <v>382.0100028</v>
      </c>
      <c r="L2111" s="369">
        <f t="shared" si="167"/>
        <v>76.402000560000005</v>
      </c>
      <c r="M2111" s="369" t="s">
        <v>6169</v>
      </c>
      <c r="N2111" s="432" t="s">
        <v>4753</v>
      </c>
      <c r="O2111" s="432" t="s">
        <v>5567</v>
      </c>
      <c r="P2111" s="438" t="s">
        <v>3659</v>
      </c>
      <c r="Q2111" s="481">
        <v>0.2</v>
      </c>
      <c r="R2111" s="438">
        <v>1900003308</v>
      </c>
      <c r="S2111" t="s">
        <v>6072</v>
      </c>
      <c r="T2111" s="2" t="s">
        <v>5915</v>
      </c>
      <c r="U2111" t="s">
        <v>6072</v>
      </c>
    </row>
    <row r="2112" spans="1:21" x14ac:dyDescent="0.35">
      <c r="A2112" s="482" t="s">
        <v>5650</v>
      </c>
      <c r="B2112" s="432" t="s">
        <v>2029</v>
      </c>
      <c r="C2112" s="436">
        <v>43265</v>
      </c>
      <c r="D2112" s="436">
        <v>43265</v>
      </c>
      <c r="E2112" s="8" t="s">
        <v>6086</v>
      </c>
      <c r="F2112" s="435" t="s">
        <v>5566</v>
      </c>
      <c r="G2112" s="444" t="s">
        <v>5278</v>
      </c>
      <c r="H2112" s="432" t="s">
        <v>5449</v>
      </c>
      <c r="I2112" s="503">
        <f t="shared" si="169"/>
        <v>3068.2498875000001</v>
      </c>
      <c r="J2112" s="503">
        <f t="shared" si="168"/>
        <v>687.56299999999999</v>
      </c>
      <c r="K2112" s="371">
        <f t="shared" si="166"/>
        <v>382.0100028</v>
      </c>
      <c r="L2112" s="369">
        <f t="shared" si="167"/>
        <v>76.402000560000005</v>
      </c>
      <c r="M2112" s="369" t="s">
        <v>6169</v>
      </c>
      <c r="N2112" s="432" t="s">
        <v>4753</v>
      </c>
      <c r="O2112" s="432" t="s">
        <v>5567</v>
      </c>
      <c r="P2112" s="438" t="s">
        <v>3659</v>
      </c>
      <c r="Q2112" s="481">
        <v>0.2</v>
      </c>
      <c r="R2112" s="438">
        <v>1900003308</v>
      </c>
      <c r="S2112" t="s">
        <v>6074</v>
      </c>
      <c r="T2112" s="2" t="s">
        <v>5915</v>
      </c>
      <c r="U2112" t="s">
        <v>6074</v>
      </c>
    </row>
    <row r="2113" spans="1:21" x14ac:dyDescent="0.35">
      <c r="A2113" s="482" t="s">
        <v>5651</v>
      </c>
      <c r="B2113" s="432" t="s">
        <v>2029</v>
      </c>
      <c r="C2113" s="436">
        <v>43265</v>
      </c>
      <c r="D2113" s="436">
        <v>43265</v>
      </c>
      <c r="E2113" s="8" t="s">
        <v>6087</v>
      </c>
      <c r="F2113" s="435" t="s">
        <v>5566</v>
      </c>
      <c r="G2113" s="444" t="s">
        <v>5278</v>
      </c>
      <c r="H2113" s="432" t="s">
        <v>5449</v>
      </c>
      <c r="I2113" s="503">
        <f t="shared" si="169"/>
        <v>3068.2498875000001</v>
      </c>
      <c r="J2113" s="503">
        <f t="shared" si="168"/>
        <v>687.56299999999999</v>
      </c>
      <c r="K2113" s="371">
        <f t="shared" si="166"/>
        <v>382.0100028</v>
      </c>
      <c r="L2113" s="369">
        <f t="shared" si="167"/>
        <v>76.402000560000005</v>
      </c>
      <c r="M2113" s="369" t="s">
        <v>6169</v>
      </c>
      <c r="N2113" s="432" t="s">
        <v>4753</v>
      </c>
      <c r="O2113" s="432" t="s">
        <v>5567</v>
      </c>
      <c r="P2113" s="438" t="s">
        <v>3659</v>
      </c>
      <c r="Q2113" s="481">
        <v>0.2</v>
      </c>
      <c r="R2113" s="438">
        <v>1900003308</v>
      </c>
      <c r="S2113" t="s">
        <v>6093</v>
      </c>
      <c r="T2113" s="2" t="s">
        <v>5915</v>
      </c>
      <c r="U2113" t="s">
        <v>6093</v>
      </c>
    </row>
    <row r="2114" spans="1:21" x14ac:dyDescent="0.35">
      <c r="A2114" s="482" t="s">
        <v>5652</v>
      </c>
      <c r="B2114" s="432" t="s">
        <v>2029</v>
      </c>
      <c r="C2114" s="436">
        <v>43265</v>
      </c>
      <c r="D2114" s="436">
        <v>43265</v>
      </c>
      <c r="E2114" s="8" t="s">
        <v>6088</v>
      </c>
      <c r="F2114" s="435" t="s">
        <v>5566</v>
      </c>
      <c r="G2114" s="444" t="s">
        <v>5278</v>
      </c>
      <c r="H2114" s="432" t="s">
        <v>5449</v>
      </c>
      <c r="I2114" s="503">
        <f t="shared" si="169"/>
        <v>3068.2498875000001</v>
      </c>
      <c r="J2114" s="503">
        <f t="shared" si="168"/>
        <v>687.56299999999999</v>
      </c>
      <c r="K2114" s="371">
        <f t="shared" si="166"/>
        <v>382.0100028</v>
      </c>
      <c r="L2114" s="369">
        <f t="shared" si="167"/>
        <v>76.402000560000005</v>
      </c>
      <c r="M2114" s="369" t="s">
        <v>6169</v>
      </c>
      <c r="N2114" s="432" t="s">
        <v>4753</v>
      </c>
      <c r="O2114" s="432" t="s">
        <v>5567</v>
      </c>
      <c r="P2114" s="438" t="s">
        <v>3659</v>
      </c>
      <c r="Q2114" s="481">
        <v>0.2</v>
      </c>
      <c r="R2114" s="438">
        <v>1900003308</v>
      </c>
      <c r="S2114" t="s">
        <v>6094</v>
      </c>
      <c r="T2114" s="2" t="s">
        <v>5915</v>
      </c>
      <c r="U2114" t="s">
        <v>6094</v>
      </c>
    </row>
    <row r="2115" spans="1:21" x14ac:dyDescent="0.35">
      <c r="A2115" s="482" t="s">
        <v>5653</v>
      </c>
      <c r="B2115" s="432" t="s">
        <v>2029</v>
      </c>
      <c r="C2115" s="436">
        <v>43265</v>
      </c>
      <c r="D2115" s="436">
        <v>43265</v>
      </c>
      <c r="E2115" s="8" t="s">
        <v>6089</v>
      </c>
      <c r="F2115" s="435" t="s">
        <v>5566</v>
      </c>
      <c r="G2115" s="444" t="s">
        <v>5278</v>
      </c>
      <c r="H2115" s="432" t="s">
        <v>5449</v>
      </c>
      <c r="I2115" s="503">
        <f t="shared" si="169"/>
        <v>3068.2498875000001</v>
      </c>
      <c r="J2115" s="503">
        <f t="shared" si="168"/>
        <v>687.56299999999999</v>
      </c>
      <c r="K2115" s="371">
        <f t="shared" si="166"/>
        <v>382.0100028</v>
      </c>
      <c r="L2115" s="369">
        <f t="shared" si="167"/>
        <v>76.402000560000005</v>
      </c>
      <c r="M2115" s="369" t="s">
        <v>6169</v>
      </c>
      <c r="N2115" s="432" t="s">
        <v>4753</v>
      </c>
      <c r="O2115" s="432" t="s">
        <v>5567</v>
      </c>
      <c r="P2115" s="438" t="s">
        <v>3659</v>
      </c>
      <c r="Q2115" s="481">
        <v>0.2</v>
      </c>
      <c r="R2115" s="438">
        <v>1900003308</v>
      </c>
      <c r="S2115" t="s">
        <v>6095</v>
      </c>
      <c r="T2115" s="2" t="s">
        <v>5915</v>
      </c>
      <c r="U2115" t="s">
        <v>6095</v>
      </c>
    </row>
    <row r="2116" spans="1:21" x14ac:dyDescent="0.35">
      <c r="A2116" s="482" t="s">
        <v>5654</v>
      </c>
      <c r="B2116" s="432" t="s">
        <v>2029</v>
      </c>
      <c r="C2116" s="436">
        <v>43265</v>
      </c>
      <c r="D2116" s="436">
        <v>43265</v>
      </c>
      <c r="E2116" s="8" t="s">
        <v>6090</v>
      </c>
      <c r="F2116" s="435" t="s">
        <v>5566</v>
      </c>
      <c r="G2116" s="444" t="s">
        <v>5278</v>
      </c>
      <c r="H2116" s="432" t="s">
        <v>5449</v>
      </c>
      <c r="I2116" s="503">
        <f t="shared" si="169"/>
        <v>3068.2498875000001</v>
      </c>
      <c r="J2116" s="503">
        <f t="shared" si="168"/>
        <v>687.56299999999999</v>
      </c>
      <c r="K2116" s="371">
        <f t="shared" si="166"/>
        <v>382.0100028</v>
      </c>
      <c r="L2116" s="369">
        <f t="shared" si="167"/>
        <v>76.402000560000005</v>
      </c>
      <c r="M2116" s="369" t="s">
        <v>6169</v>
      </c>
      <c r="N2116" s="432" t="s">
        <v>4753</v>
      </c>
      <c r="O2116" s="432" t="s">
        <v>5567</v>
      </c>
      <c r="P2116" s="438" t="s">
        <v>3659</v>
      </c>
      <c r="Q2116" s="481">
        <v>0.2</v>
      </c>
      <c r="R2116" s="438">
        <v>1900003308</v>
      </c>
      <c r="S2116" t="s">
        <v>6096</v>
      </c>
      <c r="T2116" s="2" t="s">
        <v>5915</v>
      </c>
      <c r="U2116" t="s">
        <v>6096</v>
      </c>
    </row>
    <row r="2117" spans="1:21" x14ac:dyDescent="0.35">
      <c r="A2117" s="482" t="s">
        <v>5655</v>
      </c>
      <c r="B2117" s="432" t="s">
        <v>2029</v>
      </c>
      <c r="C2117" s="436">
        <v>43265</v>
      </c>
      <c r="D2117" s="436">
        <v>43265</v>
      </c>
      <c r="E2117" s="8" t="s">
        <v>6091</v>
      </c>
      <c r="F2117" s="435" t="s">
        <v>5566</v>
      </c>
      <c r="G2117" s="444" t="s">
        <v>5278</v>
      </c>
      <c r="H2117" s="432" t="s">
        <v>5449</v>
      </c>
      <c r="I2117" s="503">
        <f t="shared" si="169"/>
        <v>3068.2498875000001</v>
      </c>
      <c r="J2117" s="503">
        <f t="shared" si="168"/>
        <v>687.56299999999999</v>
      </c>
      <c r="K2117" s="371">
        <f t="shared" si="166"/>
        <v>382.0100028</v>
      </c>
      <c r="L2117" s="369">
        <f t="shared" si="167"/>
        <v>76.402000560000005</v>
      </c>
      <c r="M2117" s="369" t="s">
        <v>6169</v>
      </c>
      <c r="N2117" s="432" t="s">
        <v>4753</v>
      </c>
      <c r="O2117" s="432" t="s">
        <v>5567</v>
      </c>
      <c r="P2117" s="438" t="s">
        <v>3659</v>
      </c>
      <c r="Q2117" s="481">
        <v>0.2</v>
      </c>
      <c r="R2117" s="438">
        <v>1900003308</v>
      </c>
      <c r="S2117" t="s">
        <v>6097</v>
      </c>
      <c r="T2117" s="2" t="s">
        <v>5915</v>
      </c>
      <c r="U2117" t="s">
        <v>6097</v>
      </c>
    </row>
    <row r="2118" spans="1:21" x14ac:dyDescent="0.35">
      <c r="A2118" s="482" t="s">
        <v>5656</v>
      </c>
      <c r="B2118" s="432" t="s">
        <v>2029</v>
      </c>
      <c r="C2118" s="436">
        <v>43265</v>
      </c>
      <c r="D2118" s="436">
        <v>43265</v>
      </c>
      <c r="E2118" s="8" t="s">
        <v>6092</v>
      </c>
      <c r="F2118" s="435" t="s">
        <v>5566</v>
      </c>
      <c r="G2118" s="444" t="s">
        <v>5278</v>
      </c>
      <c r="H2118" s="432" t="s">
        <v>5449</v>
      </c>
      <c r="I2118" s="503">
        <f t="shared" si="169"/>
        <v>3068.2498875000001</v>
      </c>
      <c r="J2118" s="503">
        <f t="shared" si="168"/>
        <v>687.56299999999999</v>
      </c>
      <c r="K2118" s="371">
        <f t="shared" si="166"/>
        <v>382.0100028</v>
      </c>
      <c r="L2118" s="369">
        <f t="shared" si="167"/>
        <v>76.402000560000005</v>
      </c>
      <c r="M2118" s="369" t="s">
        <v>6169</v>
      </c>
      <c r="N2118" s="432" t="s">
        <v>4753</v>
      </c>
      <c r="O2118" s="432" t="s">
        <v>5567</v>
      </c>
      <c r="P2118" s="438" t="s">
        <v>3659</v>
      </c>
      <c r="Q2118" s="481">
        <v>0.2</v>
      </c>
      <c r="R2118" s="438">
        <v>1900003308</v>
      </c>
      <c r="S2118" t="s">
        <v>6098</v>
      </c>
      <c r="T2118" s="2" t="s">
        <v>5915</v>
      </c>
      <c r="U2118" t="s">
        <v>6098</v>
      </c>
    </row>
    <row r="2119" spans="1:21" x14ac:dyDescent="0.35">
      <c r="A2119" s="482" t="s">
        <v>5657</v>
      </c>
      <c r="B2119" s="432" t="s">
        <v>2029</v>
      </c>
      <c r="C2119" s="436">
        <v>43265</v>
      </c>
      <c r="D2119" s="436">
        <v>43265</v>
      </c>
      <c r="E2119" s="8" t="s">
        <v>6077</v>
      </c>
      <c r="F2119" s="435" t="s">
        <v>5566</v>
      </c>
      <c r="G2119" s="444" t="s">
        <v>5278</v>
      </c>
      <c r="H2119" s="432" t="s">
        <v>5449</v>
      </c>
      <c r="I2119" s="503">
        <f t="shared" si="169"/>
        <v>3068.2498875000001</v>
      </c>
      <c r="J2119" s="503">
        <f t="shared" si="168"/>
        <v>687.56299999999999</v>
      </c>
      <c r="K2119" s="371">
        <f t="shared" si="166"/>
        <v>382.0100028</v>
      </c>
      <c r="L2119" s="369">
        <f t="shared" si="167"/>
        <v>76.402000560000005</v>
      </c>
      <c r="M2119" s="369" t="s">
        <v>6169</v>
      </c>
      <c r="N2119" s="432" t="s">
        <v>4753</v>
      </c>
      <c r="O2119" s="432" t="s">
        <v>5567</v>
      </c>
      <c r="P2119" s="438" t="s">
        <v>3659</v>
      </c>
      <c r="Q2119" s="481">
        <v>0.2</v>
      </c>
      <c r="R2119" s="438">
        <v>1900003308</v>
      </c>
      <c r="S2119" s="466" t="s">
        <v>6079</v>
      </c>
      <c r="T2119" s="2" t="s">
        <v>5915</v>
      </c>
      <c r="U2119" t="s">
        <v>6079</v>
      </c>
    </row>
    <row r="2120" spans="1:21" x14ac:dyDescent="0.35">
      <c r="A2120" s="482" t="s">
        <v>5658</v>
      </c>
      <c r="B2120" s="432" t="s">
        <v>2029</v>
      </c>
      <c r="C2120" s="436">
        <v>43265</v>
      </c>
      <c r="D2120" s="436">
        <v>43265</v>
      </c>
      <c r="E2120" s="8" t="s">
        <v>6078</v>
      </c>
      <c r="F2120" s="435" t="s">
        <v>5566</v>
      </c>
      <c r="G2120" s="444" t="s">
        <v>5278</v>
      </c>
      <c r="H2120" s="432" t="s">
        <v>5449</v>
      </c>
      <c r="I2120" s="503">
        <f t="shared" si="169"/>
        <v>3068.2498875000001</v>
      </c>
      <c r="J2120" s="503">
        <f t="shared" si="168"/>
        <v>687.56299999999999</v>
      </c>
      <c r="K2120" s="371">
        <f t="shared" si="166"/>
        <v>382.0100028</v>
      </c>
      <c r="L2120" s="369">
        <f t="shared" si="167"/>
        <v>76.402000560000005</v>
      </c>
      <c r="M2120" s="369" t="s">
        <v>6169</v>
      </c>
      <c r="N2120" s="432" t="s">
        <v>4753</v>
      </c>
      <c r="O2120" s="432" t="s">
        <v>5567</v>
      </c>
      <c r="P2120" s="438" t="s">
        <v>3659</v>
      </c>
      <c r="Q2120" s="481">
        <v>0.2</v>
      </c>
      <c r="R2120" s="438">
        <v>1900003308</v>
      </c>
      <c r="S2120" s="466" t="s">
        <v>6080</v>
      </c>
      <c r="T2120" s="2" t="s">
        <v>5915</v>
      </c>
      <c r="U2120" t="s">
        <v>6080</v>
      </c>
    </row>
    <row r="2121" spans="1:21" x14ac:dyDescent="0.35">
      <c r="A2121" s="482" t="s">
        <v>5659</v>
      </c>
      <c r="B2121" s="432" t="s">
        <v>2029</v>
      </c>
      <c r="C2121" s="436">
        <v>43265</v>
      </c>
      <c r="D2121" s="436">
        <v>43265</v>
      </c>
      <c r="E2121" s="8" t="s">
        <v>6076</v>
      </c>
      <c r="F2121" s="435" t="s">
        <v>5566</v>
      </c>
      <c r="G2121" s="444" t="s">
        <v>5278</v>
      </c>
      <c r="H2121" s="432" t="s">
        <v>5449</v>
      </c>
      <c r="I2121" s="503">
        <f t="shared" si="169"/>
        <v>3068.2498875000001</v>
      </c>
      <c r="J2121" s="503">
        <f t="shared" si="168"/>
        <v>687.56299999999999</v>
      </c>
      <c r="K2121" s="371">
        <f t="shared" si="166"/>
        <v>382.0100028</v>
      </c>
      <c r="L2121" s="369">
        <f t="shared" si="167"/>
        <v>76.402000560000005</v>
      </c>
      <c r="M2121" s="369" t="s">
        <v>6169</v>
      </c>
      <c r="N2121" s="432" t="s">
        <v>4753</v>
      </c>
      <c r="O2121" s="432" t="s">
        <v>5567</v>
      </c>
      <c r="P2121" s="438" t="s">
        <v>3659</v>
      </c>
      <c r="Q2121" s="481">
        <v>0.2</v>
      </c>
      <c r="R2121" s="438">
        <v>1900003308</v>
      </c>
      <c r="S2121" t="s">
        <v>1465</v>
      </c>
      <c r="T2121" s="2" t="s">
        <v>5915</v>
      </c>
      <c r="U2121" t="s">
        <v>1465</v>
      </c>
    </row>
    <row r="2122" spans="1:21" x14ac:dyDescent="0.35">
      <c r="A2122" s="482" t="s">
        <v>5660</v>
      </c>
      <c r="B2122" s="432" t="s">
        <v>2029</v>
      </c>
      <c r="C2122" s="436">
        <v>43265</v>
      </c>
      <c r="D2122" s="436">
        <v>43265</v>
      </c>
      <c r="E2122" s="8" t="s">
        <v>6037</v>
      </c>
      <c r="F2122" s="435" t="s">
        <v>5566</v>
      </c>
      <c r="G2122" s="444" t="s">
        <v>5278</v>
      </c>
      <c r="H2122" s="432" t="s">
        <v>5449</v>
      </c>
      <c r="I2122" s="503">
        <f t="shared" si="169"/>
        <v>3068.2498875000001</v>
      </c>
      <c r="J2122" s="503">
        <f t="shared" si="168"/>
        <v>687.56299999999999</v>
      </c>
      <c r="K2122" s="371">
        <f t="shared" si="166"/>
        <v>382.0100028</v>
      </c>
      <c r="L2122" s="369">
        <f t="shared" si="167"/>
        <v>76.402000560000005</v>
      </c>
      <c r="M2122" s="369" t="s">
        <v>6169</v>
      </c>
      <c r="N2122" s="432" t="s">
        <v>4753</v>
      </c>
      <c r="O2122" s="432" t="s">
        <v>5567</v>
      </c>
      <c r="P2122" s="438" t="s">
        <v>3659</v>
      </c>
      <c r="Q2122" s="481">
        <v>0.2</v>
      </c>
      <c r="R2122" s="438">
        <v>1900003308</v>
      </c>
      <c r="S2122" t="s">
        <v>6050</v>
      </c>
      <c r="T2122" s="2" t="s">
        <v>5915</v>
      </c>
      <c r="U2122" t="s">
        <v>6050</v>
      </c>
    </row>
    <row r="2123" spans="1:21" x14ac:dyDescent="0.35">
      <c r="A2123" s="482" t="s">
        <v>5661</v>
      </c>
      <c r="B2123" s="432" t="s">
        <v>2029</v>
      </c>
      <c r="C2123" s="436">
        <v>43265</v>
      </c>
      <c r="D2123" s="436">
        <v>43265</v>
      </c>
      <c r="E2123" s="8" t="s">
        <v>6038</v>
      </c>
      <c r="F2123" s="435" t="s">
        <v>5566</v>
      </c>
      <c r="G2123" s="444" t="s">
        <v>5278</v>
      </c>
      <c r="H2123" s="432" t="s">
        <v>5449</v>
      </c>
      <c r="I2123" s="503">
        <f t="shared" si="169"/>
        <v>3068.2498875000001</v>
      </c>
      <c r="J2123" s="503">
        <f t="shared" si="168"/>
        <v>687.56299999999999</v>
      </c>
      <c r="K2123" s="371">
        <f t="shared" si="166"/>
        <v>382.0100028</v>
      </c>
      <c r="L2123" s="369">
        <f t="shared" si="167"/>
        <v>76.402000560000005</v>
      </c>
      <c r="M2123" s="369" t="s">
        <v>6169</v>
      </c>
      <c r="N2123" s="432" t="s">
        <v>4753</v>
      </c>
      <c r="O2123" s="432" t="s">
        <v>5567</v>
      </c>
      <c r="P2123" s="438" t="s">
        <v>3659</v>
      </c>
      <c r="Q2123" s="481">
        <v>0.2</v>
      </c>
      <c r="R2123" s="438">
        <v>1900003308</v>
      </c>
      <c r="S2123" t="s">
        <v>6051</v>
      </c>
      <c r="T2123" s="2" t="s">
        <v>5915</v>
      </c>
      <c r="U2123" t="s">
        <v>6051</v>
      </c>
    </row>
    <row r="2124" spans="1:21" x14ac:dyDescent="0.35">
      <c r="A2124" s="482" t="s">
        <v>5662</v>
      </c>
      <c r="B2124" s="432" t="s">
        <v>2029</v>
      </c>
      <c r="C2124" s="436">
        <v>43265</v>
      </c>
      <c r="D2124" s="436">
        <v>43265</v>
      </c>
      <c r="E2124" s="8" t="s">
        <v>6039</v>
      </c>
      <c r="F2124" s="435" t="s">
        <v>5566</v>
      </c>
      <c r="G2124" s="444" t="s">
        <v>5278</v>
      </c>
      <c r="H2124" s="432" t="s">
        <v>5449</v>
      </c>
      <c r="I2124" s="503">
        <f t="shared" si="169"/>
        <v>3068.2498875000001</v>
      </c>
      <c r="J2124" s="503">
        <f t="shared" si="168"/>
        <v>687.56299999999999</v>
      </c>
      <c r="K2124" s="371">
        <f t="shared" si="166"/>
        <v>382.0100028</v>
      </c>
      <c r="L2124" s="369">
        <f t="shared" si="167"/>
        <v>76.402000560000005</v>
      </c>
      <c r="M2124" s="369" t="s">
        <v>6169</v>
      </c>
      <c r="N2124" s="432" t="s">
        <v>4753</v>
      </c>
      <c r="O2124" s="432" t="s">
        <v>5567</v>
      </c>
      <c r="P2124" s="438" t="s">
        <v>3659</v>
      </c>
      <c r="Q2124" s="481">
        <v>0.2</v>
      </c>
      <c r="R2124" s="438">
        <v>1900003308</v>
      </c>
      <c r="S2124" t="s">
        <v>6052</v>
      </c>
      <c r="T2124" s="2" t="s">
        <v>5915</v>
      </c>
      <c r="U2124" t="s">
        <v>6052</v>
      </c>
    </row>
    <row r="2125" spans="1:21" x14ac:dyDescent="0.35">
      <c r="A2125" s="482" t="s">
        <v>5663</v>
      </c>
      <c r="B2125" s="432" t="s">
        <v>2029</v>
      </c>
      <c r="C2125" s="436">
        <v>43265</v>
      </c>
      <c r="D2125" s="436">
        <v>43265</v>
      </c>
      <c r="E2125" s="8" t="s">
        <v>6040</v>
      </c>
      <c r="F2125" s="435" t="s">
        <v>5566</v>
      </c>
      <c r="G2125" s="444" t="s">
        <v>5278</v>
      </c>
      <c r="H2125" s="432" t="s">
        <v>5449</v>
      </c>
      <c r="I2125" s="503">
        <f t="shared" si="169"/>
        <v>3068.2498875000001</v>
      </c>
      <c r="J2125" s="503">
        <f t="shared" si="168"/>
        <v>687.56299999999999</v>
      </c>
      <c r="K2125" s="371">
        <f t="shared" si="166"/>
        <v>382.0100028</v>
      </c>
      <c r="L2125" s="369">
        <f t="shared" si="167"/>
        <v>76.402000560000005</v>
      </c>
      <c r="M2125" s="369" t="s">
        <v>6169</v>
      </c>
      <c r="N2125" s="432" t="s">
        <v>4753</v>
      </c>
      <c r="O2125" s="432" t="s">
        <v>5567</v>
      </c>
      <c r="P2125" s="438" t="s">
        <v>3659</v>
      </c>
      <c r="Q2125" s="481">
        <v>0.2</v>
      </c>
      <c r="R2125" s="438">
        <v>1900003308</v>
      </c>
      <c r="S2125" t="s">
        <v>6053</v>
      </c>
      <c r="T2125" s="2" t="s">
        <v>5915</v>
      </c>
      <c r="U2125" t="s">
        <v>6053</v>
      </c>
    </row>
    <row r="2126" spans="1:21" x14ac:dyDescent="0.35">
      <c r="A2126" s="482" t="s">
        <v>5664</v>
      </c>
      <c r="B2126" s="432" t="s">
        <v>2029</v>
      </c>
      <c r="C2126" s="436">
        <v>43265</v>
      </c>
      <c r="D2126" s="436">
        <v>43265</v>
      </c>
      <c r="E2126" s="8" t="s">
        <v>6041</v>
      </c>
      <c r="F2126" s="435" t="s">
        <v>5566</v>
      </c>
      <c r="G2126" s="444" t="s">
        <v>5278</v>
      </c>
      <c r="H2126" s="432" t="s">
        <v>5449</v>
      </c>
      <c r="I2126" s="503">
        <f t="shared" si="169"/>
        <v>3068.2498875000001</v>
      </c>
      <c r="J2126" s="503">
        <f t="shared" si="168"/>
        <v>687.56299999999999</v>
      </c>
      <c r="K2126" s="371">
        <f t="shared" si="166"/>
        <v>382.0100028</v>
      </c>
      <c r="L2126" s="369">
        <f t="shared" si="167"/>
        <v>76.402000560000005</v>
      </c>
      <c r="M2126" s="369" t="s">
        <v>6169</v>
      </c>
      <c r="N2126" s="432" t="s">
        <v>4753</v>
      </c>
      <c r="O2126" s="432" t="s">
        <v>5567</v>
      </c>
      <c r="P2126" s="438" t="s">
        <v>3659</v>
      </c>
      <c r="Q2126" s="481">
        <v>0.2</v>
      </c>
      <c r="R2126" s="438">
        <v>1900003308</v>
      </c>
      <c r="S2126" t="s">
        <v>6054</v>
      </c>
      <c r="T2126" s="2" t="s">
        <v>5915</v>
      </c>
      <c r="U2126" t="s">
        <v>6054</v>
      </c>
    </row>
    <row r="2127" spans="1:21" x14ac:dyDescent="0.35">
      <c r="A2127" s="482" t="s">
        <v>5665</v>
      </c>
      <c r="B2127" s="432" t="s">
        <v>2029</v>
      </c>
      <c r="C2127" s="436">
        <v>43265</v>
      </c>
      <c r="D2127" s="436">
        <v>43265</v>
      </c>
      <c r="E2127" s="8" t="s">
        <v>6042</v>
      </c>
      <c r="F2127" s="435" t="s">
        <v>5566</v>
      </c>
      <c r="G2127" s="444" t="s">
        <v>5278</v>
      </c>
      <c r="H2127" s="432" t="s">
        <v>5449</v>
      </c>
      <c r="I2127" s="503">
        <f t="shared" si="169"/>
        <v>3068.2498875000001</v>
      </c>
      <c r="J2127" s="503">
        <f t="shared" si="168"/>
        <v>687.56299999999999</v>
      </c>
      <c r="K2127" s="371">
        <f t="shared" si="166"/>
        <v>382.0100028</v>
      </c>
      <c r="L2127" s="369">
        <f t="shared" si="167"/>
        <v>76.402000560000005</v>
      </c>
      <c r="M2127" s="369" t="s">
        <v>6169</v>
      </c>
      <c r="N2127" s="432" t="s">
        <v>4753</v>
      </c>
      <c r="O2127" s="432" t="s">
        <v>5567</v>
      </c>
      <c r="P2127" s="438" t="s">
        <v>3659</v>
      </c>
      <c r="Q2127" s="481">
        <v>0.2</v>
      </c>
      <c r="R2127" s="438">
        <v>1900003308</v>
      </c>
      <c r="S2127" t="s">
        <v>6055</v>
      </c>
      <c r="T2127" s="2" t="s">
        <v>5915</v>
      </c>
      <c r="U2127" t="s">
        <v>6055</v>
      </c>
    </row>
    <row r="2128" spans="1:21" x14ac:dyDescent="0.35">
      <c r="A2128" s="482" t="s">
        <v>5666</v>
      </c>
      <c r="B2128" s="432" t="s">
        <v>2029</v>
      </c>
      <c r="C2128" s="436">
        <v>43265</v>
      </c>
      <c r="D2128" s="436">
        <v>43265</v>
      </c>
      <c r="E2128" s="8" t="s">
        <v>6043</v>
      </c>
      <c r="F2128" s="435" t="s">
        <v>5566</v>
      </c>
      <c r="G2128" s="444" t="s">
        <v>5278</v>
      </c>
      <c r="H2128" s="432" t="s">
        <v>5449</v>
      </c>
      <c r="I2128" s="503">
        <f t="shared" si="169"/>
        <v>3068.2498875000001</v>
      </c>
      <c r="J2128" s="503">
        <f t="shared" si="168"/>
        <v>687.56299999999999</v>
      </c>
      <c r="K2128" s="371">
        <f t="shared" si="166"/>
        <v>382.0100028</v>
      </c>
      <c r="L2128" s="369">
        <f t="shared" si="167"/>
        <v>76.402000560000005</v>
      </c>
      <c r="M2128" s="369" t="s">
        <v>6169</v>
      </c>
      <c r="N2128" s="432" t="s">
        <v>4753</v>
      </c>
      <c r="O2128" s="432" t="s">
        <v>5567</v>
      </c>
      <c r="P2128" s="438" t="s">
        <v>3659</v>
      </c>
      <c r="Q2128" s="481">
        <v>0.2</v>
      </c>
      <c r="R2128" s="438">
        <v>1900003308</v>
      </c>
      <c r="S2128" t="s">
        <v>6056</v>
      </c>
      <c r="T2128" s="2" t="s">
        <v>5915</v>
      </c>
      <c r="U2128" t="s">
        <v>6056</v>
      </c>
    </row>
    <row r="2129" spans="1:21" x14ac:dyDescent="0.35">
      <c r="A2129" s="482" t="s">
        <v>5667</v>
      </c>
      <c r="B2129" s="432" t="s">
        <v>2029</v>
      </c>
      <c r="C2129" s="436">
        <v>43265</v>
      </c>
      <c r="D2129" s="436">
        <v>43265</v>
      </c>
      <c r="E2129" s="8" t="s">
        <v>6044</v>
      </c>
      <c r="F2129" s="435" t="s">
        <v>5566</v>
      </c>
      <c r="G2129" s="444" t="s">
        <v>5278</v>
      </c>
      <c r="H2129" s="432" t="s">
        <v>5449</v>
      </c>
      <c r="I2129" s="503">
        <f t="shared" si="169"/>
        <v>3068.2498875000001</v>
      </c>
      <c r="J2129" s="503">
        <f t="shared" si="168"/>
        <v>687.56299999999999</v>
      </c>
      <c r="K2129" s="371">
        <f t="shared" si="166"/>
        <v>382.0100028</v>
      </c>
      <c r="L2129" s="369">
        <f t="shared" si="167"/>
        <v>76.402000560000005</v>
      </c>
      <c r="M2129" s="369" t="s">
        <v>6169</v>
      </c>
      <c r="N2129" s="432" t="s">
        <v>4753</v>
      </c>
      <c r="O2129" s="432" t="s">
        <v>5567</v>
      </c>
      <c r="P2129" s="438" t="s">
        <v>3659</v>
      </c>
      <c r="Q2129" s="481">
        <v>0.2</v>
      </c>
      <c r="R2129" s="438">
        <v>1900003308</v>
      </c>
      <c r="S2129" t="s">
        <v>6057</v>
      </c>
      <c r="T2129" s="2" t="s">
        <v>5915</v>
      </c>
      <c r="U2129" t="s">
        <v>6057</v>
      </c>
    </row>
    <row r="2130" spans="1:21" x14ac:dyDescent="0.35">
      <c r="A2130" s="482" t="s">
        <v>5668</v>
      </c>
      <c r="B2130" s="432" t="s">
        <v>2029</v>
      </c>
      <c r="C2130" s="436">
        <v>43265</v>
      </c>
      <c r="D2130" s="436">
        <v>43265</v>
      </c>
      <c r="E2130" s="8" t="s">
        <v>6045</v>
      </c>
      <c r="F2130" s="435" t="s">
        <v>5566</v>
      </c>
      <c r="G2130" s="444" t="s">
        <v>5278</v>
      </c>
      <c r="H2130" s="432" t="s">
        <v>5449</v>
      </c>
      <c r="I2130" s="503">
        <f t="shared" si="169"/>
        <v>3068.2498875000001</v>
      </c>
      <c r="J2130" s="503">
        <f t="shared" si="168"/>
        <v>687.56299999999999</v>
      </c>
      <c r="K2130" s="371">
        <f t="shared" si="166"/>
        <v>382.0100028</v>
      </c>
      <c r="L2130" s="369">
        <f t="shared" si="167"/>
        <v>76.402000560000005</v>
      </c>
      <c r="M2130" s="369" t="s">
        <v>6169</v>
      </c>
      <c r="N2130" s="432" t="s">
        <v>4753</v>
      </c>
      <c r="O2130" s="432" t="s">
        <v>5567</v>
      </c>
      <c r="P2130" s="438" t="s">
        <v>3659</v>
      </c>
      <c r="Q2130" s="481">
        <v>0.2</v>
      </c>
      <c r="R2130" s="438">
        <v>1900003308</v>
      </c>
      <c r="S2130" t="s">
        <v>6058</v>
      </c>
      <c r="T2130" s="2" t="s">
        <v>5915</v>
      </c>
      <c r="U2130" t="s">
        <v>6058</v>
      </c>
    </row>
    <row r="2131" spans="1:21" x14ac:dyDescent="0.35">
      <c r="A2131" s="482" t="s">
        <v>5669</v>
      </c>
      <c r="B2131" s="432" t="s">
        <v>2029</v>
      </c>
      <c r="C2131" s="436">
        <v>43265</v>
      </c>
      <c r="D2131" s="436">
        <v>43265</v>
      </c>
      <c r="E2131" s="8" t="s">
        <v>6046</v>
      </c>
      <c r="F2131" s="435" t="s">
        <v>5566</v>
      </c>
      <c r="G2131" s="444" t="s">
        <v>5278</v>
      </c>
      <c r="H2131" s="432" t="s">
        <v>5449</v>
      </c>
      <c r="I2131" s="503">
        <f t="shared" si="169"/>
        <v>3068.2498875000001</v>
      </c>
      <c r="J2131" s="503">
        <f t="shared" si="168"/>
        <v>687.56299999999999</v>
      </c>
      <c r="K2131" s="371">
        <f t="shared" si="166"/>
        <v>382.0100028</v>
      </c>
      <c r="L2131" s="369">
        <f t="shared" si="167"/>
        <v>76.402000560000005</v>
      </c>
      <c r="M2131" s="369" t="s">
        <v>6169</v>
      </c>
      <c r="N2131" s="432" t="s">
        <v>4753</v>
      </c>
      <c r="O2131" s="432" t="s">
        <v>5567</v>
      </c>
      <c r="P2131" s="438" t="s">
        <v>3659</v>
      </c>
      <c r="Q2131" s="481">
        <v>0.2</v>
      </c>
      <c r="R2131" s="438">
        <v>1900003308</v>
      </c>
      <c r="S2131" t="s">
        <v>6059</v>
      </c>
      <c r="T2131" s="2" t="s">
        <v>5915</v>
      </c>
      <c r="U2131" t="s">
        <v>6059</v>
      </c>
    </row>
    <row r="2132" spans="1:21" x14ac:dyDescent="0.35">
      <c r="A2132" s="482" t="s">
        <v>5670</v>
      </c>
      <c r="B2132" s="432" t="s">
        <v>2029</v>
      </c>
      <c r="C2132" s="436">
        <v>43265</v>
      </c>
      <c r="D2132" s="436">
        <v>43265</v>
      </c>
      <c r="E2132" s="8" t="s">
        <v>6047</v>
      </c>
      <c r="F2132" s="435" t="s">
        <v>5566</v>
      </c>
      <c r="G2132" s="444" t="s">
        <v>5278</v>
      </c>
      <c r="H2132" s="432" t="s">
        <v>5449</v>
      </c>
      <c r="I2132" s="503">
        <f t="shared" si="169"/>
        <v>3068.2498875000001</v>
      </c>
      <c r="J2132" s="503">
        <f t="shared" si="168"/>
        <v>687.56299999999999</v>
      </c>
      <c r="K2132" s="371">
        <f t="shared" si="166"/>
        <v>382.0100028</v>
      </c>
      <c r="L2132" s="369">
        <f t="shared" si="167"/>
        <v>76.402000560000005</v>
      </c>
      <c r="M2132" s="369" t="s">
        <v>6169</v>
      </c>
      <c r="N2132" s="432" t="s">
        <v>4753</v>
      </c>
      <c r="O2132" s="432" t="s">
        <v>5567</v>
      </c>
      <c r="P2132" s="438" t="s">
        <v>3659</v>
      </c>
      <c r="Q2132" s="481">
        <v>0.2</v>
      </c>
      <c r="R2132" s="438">
        <v>1900003308</v>
      </c>
      <c r="S2132" t="s">
        <v>6060</v>
      </c>
      <c r="T2132" s="2" t="s">
        <v>5915</v>
      </c>
      <c r="U2132" t="s">
        <v>6060</v>
      </c>
    </row>
    <row r="2133" spans="1:21" x14ac:dyDescent="0.35">
      <c r="A2133" s="482" t="s">
        <v>5671</v>
      </c>
      <c r="B2133" s="432" t="s">
        <v>2029</v>
      </c>
      <c r="C2133" s="436">
        <v>43265</v>
      </c>
      <c r="D2133" s="436">
        <v>43265</v>
      </c>
      <c r="E2133" s="8" t="s">
        <v>6048</v>
      </c>
      <c r="F2133" s="435" t="s">
        <v>5566</v>
      </c>
      <c r="G2133" s="444" t="s">
        <v>5278</v>
      </c>
      <c r="H2133" s="432" t="s">
        <v>5449</v>
      </c>
      <c r="I2133" s="503">
        <f t="shared" si="169"/>
        <v>3068.2498875000001</v>
      </c>
      <c r="J2133" s="503">
        <f t="shared" si="168"/>
        <v>687.56299999999999</v>
      </c>
      <c r="K2133" s="371">
        <f t="shared" si="166"/>
        <v>382.0100028</v>
      </c>
      <c r="L2133" s="369">
        <f t="shared" si="167"/>
        <v>76.402000560000005</v>
      </c>
      <c r="M2133" s="369" t="s">
        <v>6169</v>
      </c>
      <c r="N2133" s="432" t="s">
        <v>4753</v>
      </c>
      <c r="O2133" s="432" t="s">
        <v>5567</v>
      </c>
      <c r="P2133" s="438" t="s">
        <v>3659</v>
      </c>
      <c r="Q2133" s="481">
        <v>0.2</v>
      </c>
      <c r="R2133" s="438">
        <v>1900003308</v>
      </c>
      <c r="S2133" t="s">
        <v>6061</v>
      </c>
      <c r="T2133" s="2" t="s">
        <v>5915</v>
      </c>
      <c r="U2133" t="s">
        <v>6061</v>
      </c>
    </row>
    <row r="2134" spans="1:21" x14ac:dyDescent="0.35">
      <c r="A2134" s="482" t="s">
        <v>5672</v>
      </c>
      <c r="B2134" s="432" t="s">
        <v>2029</v>
      </c>
      <c r="C2134" s="436">
        <v>43265</v>
      </c>
      <c r="D2134" s="436">
        <v>43265</v>
      </c>
      <c r="E2134" s="8" t="s">
        <v>6049</v>
      </c>
      <c r="F2134" s="435" t="s">
        <v>5566</v>
      </c>
      <c r="G2134" s="444" t="s">
        <v>5278</v>
      </c>
      <c r="H2134" s="432" t="s">
        <v>5449</v>
      </c>
      <c r="I2134" s="503">
        <f t="shared" si="169"/>
        <v>3068.2498875000001</v>
      </c>
      <c r="J2134" s="503">
        <f t="shared" si="168"/>
        <v>687.56299999999999</v>
      </c>
      <c r="K2134" s="371">
        <f t="shared" si="166"/>
        <v>382.0100028</v>
      </c>
      <c r="L2134" s="369">
        <f t="shared" si="167"/>
        <v>76.402000560000005</v>
      </c>
      <c r="M2134" s="369" t="s">
        <v>6169</v>
      </c>
      <c r="N2134" s="432" t="s">
        <v>4753</v>
      </c>
      <c r="O2134" s="432" t="s">
        <v>5567</v>
      </c>
      <c r="P2134" s="438" t="s">
        <v>3659</v>
      </c>
      <c r="Q2134" s="481">
        <v>0.2</v>
      </c>
      <c r="R2134" s="438">
        <v>1900003308</v>
      </c>
      <c r="S2134" t="s">
        <v>6062</v>
      </c>
      <c r="T2134" s="2" t="s">
        <v>5915</v>
      </c>
      <c r="U2134" t="s">
        <v>6062</v>
      </c>
    </row>
    <row r="2135" spans="1:21" x14ac:dyDescent="0.35">
      <c r="A2135" s="482" t="s">
        <v>5673</v>
      </c>
      <c r="B2135" s="432" t="s">
        <v>2029</v>
      </c>
      <c r="C2135" s="436">
        <v>43265</v>
      </c>
      <c r="D2135" s="436">
        <v>43265</v>
      </c>
      <c r="E2135" s="8" t="s">
        <v>6063</v>
      </c>
      <c r="F2135" s="435" t="s">
        <v>5566</v>
      </c>
      <c r="G2135" s="444" t="s">
        <v>5278</v>
      </c>
      <c r="H2135" s="432" t="s">
        <v>5449</v>
      </c>
      <c r="I2135" s="503">
        <f t="shared" si="169"/>
        <v>3068.2498875000001</v>
      </c>
      <c r="J2135" s="503">
        <f t="shared" si="168"/>
        <v>687.56299999999999</v>
      </c>
      <c r="K2135" s="371">
        <f t="shared" ref="K2135:K2198" si="170">+J2135*(0.5556)</f>
        <v>382.0100028</v>
      </c>
      <c r="L2135" s="369">
        <f t="shared" ref="L2135:L2198" si="171">+K2135*Q2135</f>
        <v>76.402000560000005</v>
      </c>
      <c r="M2135" s="369" t="s">
        <v>6169</v>
      </c>
      <c r="N2135" s="432" t="s">
        <v>4753</v>
      </c>
      <c r="O2135" s="432" t="s">
        <v>5567</v>
      </c>
      <c r="P2135" s="438" t="s">
        <v>3659</v>
      </c>
      <c r="Q2135" s="481">
        <v>0.2</v>
      </c>
      <c r="R2135" s="438">
        <v>1900003308</v>
      </c>
      <c r="S2135" t="s">
        <v>6070</v>
      </c>
      <c r="T2135" s="2" t="s">
        <v>5915</v>
      </c>
      <c r="U2135" t="s">
        <v>6070</v>
      </c>
    </row>
    <row r="2136" spans="1:21" x14ac:dyDescent="0.35">
      <c r="A2136" s="482" t="s">
        <v>5674</v>
      </c>
      <c r="B2136" s="432" t="s">
        <v>2029</v>
      </c>
      <c r="C2136" s="436">
        <v>43265</v>
      </c>
      <c r="D2136" s="436">
        <v>43265</v>
      </c>
      <c r="E2136" s="8" t="s">
        <v>6064</v>
      </c>
      <c r="F2136" s="435" t="s">
        <v>5566</v>
      </c>
      <c r="G2136" s="444" t="s">
        <v>5278</v>
      </c>
      <c r="H2136" s="432" t="s">
        <v>5449</v>
      </c>
      <c r="I2136" s="503">
        <f t="shared" si="169"/>
        <v>3068.2498875000001</v>
      </c>
      <c r="J2136" s="503">
        <f t="shared" ref="J2136:J2141" si="172">585.16*1.175</f>
        <v>687.56299999999999</v>
      </c>
      <c r="K2136" s="371">
        <f t="shared" si="170"/>
        <v>382.0100028</v>
      </c>
      <c r="L2136" s="369">
        <f t="shared" si="171"/>
        <v>76.402000560000005</v>
      </c>
      <c r="M2136" s="369" t="s">
        <v>6169</v>
      </c>
      <c r="N2136" s="432" t="s">
        <v>4753</v>
      </c>
      <c r="O2136" s="432" t="s">
        <v>5567</v>
      </c>
      <c r="P2136" s="438" t="s">
        <v>3659</v>
      </c>
      <c r="Q2136" s="481">
        <v>0.2</v>
      </c>
      <c r="R2136" s="438">
        <v>1900003308</v>
      </c>
      <c r="S2136" t="s">
        <v>5998</v>
      </c>
      <c r="T2136" s="2" t="s">
        <v>5915</v>
      </c>
      <c r="U2136" t="s">
        <v>5998</v>
      </c>
    </row>
    <row r="2137" spans="1:21" x14ac:dyDescent="0.35">
      <c r="A2137" s="482" t="s">
        <v>5675</v>
      </c>
      <c r="B2137" s="432" t="s">
        <v>2029</v>
      </c>
      <c r="C2137" s="436">
        <v>43265</v>
      </c>
      <c r="D2137" s="436">
        <v>43265</v>
      </c>
      <c r="E2137" s="8" t="s">
        <v>6065</v>
      </c>
      <c r="F2137" s="435" t="s">
        <v>5566</v>
      </c>
      <c r="G2137" s="444" t="s">
        <v>5278</v>
      </c>
      <c r="H2137" s="432" t="s">
        <v>5449</v>
      </c>
      <c r="I2137" s="503">
        <f t="shared" si="169"/>
        <v>3068.2498875000001</v>
      </c>
      <c r="J2137" s="503">
        <f t="shared" si="172"/>
        <v>687.56299999999999</v>
      </c>
      <c r="K2137" s="371">
        <f t="shared" si="170"/>
        <v>382.0100028</v>
      </c>
      <c r="L2137" s="369">
        <f t="shared" si="171"/>
        <v>76.402000560000005</v>
      </c>
      <c r="M2137" s="369" t="s">
        <v>6169</v>
      </c>
      <c r="N2137" s="432" t="s">
        <v>4753</v>
      </c>
      <c r="O2137" s="432" t="s">
        <v>5567</v>
      </c>
      <c r="P2137" s="438" t="s">
        <v>3659</v>
      </c>
      <c r="Q2137" s="481">
        <v>0.2</v>
      </c>
      <c r="R2137" s="438">
        <v>1900003308</v>
      </c>
      <c r="S2137" t="s">
        <v>6071</v>
      </c>
      <c r="T2137" s="2" t="s">
        <v>5915</v>
      </c>
      <c r="U2137" t="s">
        <v>6071</v>
      </c>
    </row>
    <row r="2138" spans="1:21" x14ac:dyDescent="0.35">
      <c r="A2138" s="482" t="s">
        <v>5676</v>
      </c>
      <c r="B2138" s="432" t="s">
        <v>2029</v>
      </c>
      <c r="C2138" s="436">
        <v>43265</v>
      </c>
      <c r="D2138" s="436">
        <v>43265</v>
      </c>
      <c r="E2138" s="8" t="s">
        <v>6066</v>
      </c>
      <c r="F2138" s="435" t="s">
        <v>5566</v>
      </c>
      <c r="G2138" s="444" t="s">
        <v>5278</v>
      </c>
      <c r="H2138" s="432" t="s">
        <v>5449</v>
      </c>
      <c r="I2138" s="503">
        <f t="shared" si="169"/>
        <v>3068.2498875000001</v>
      </c>
      <c r="J2138" s="503">
        <f t="shared" si="172"/>
        <v>687.56299999999999</v>
      </c>
      <c r="K2138" s="371">
        <f t="shared" si="170"/>
        <v>382.0100028</v>
      </c>
      <c r="L2138" s="369">
        <f t="shared" si="171"/>
        <v>76.402000560000005</v>
      </c>
      <c r="M2138" s="369" t="s">
        <v>6169</v>
      </c>
      <c r="N2138" s="432" t="s">
        <v>4753</v>
      </c>
      <c r="O2138" s="432" t="s">
        <v>5567</v>
      </c>
      <c r="P2138" s="438" t="s">
        <v>3659</v>
      </c>
      <c r="Q2138" s="481">
        <v>0.2</v>
      </c>
      <c r="R2138" s="438">
        <v>1900003308</v>
      </c>
      <c r="S2138" t="s">
        <v>6072</v>
      </c>
      <c r="T2138" s="2" t="s">
        <v>5915</v>
      </c>
      <c r="U2138" t="s">
        <v>6072</v>
      </c>
    </row>
    <row r="2139" spans="1:21" x14ac:dyDescent="0.35">
      <c r="A2139" s="482" t="s">
        <v>5677</v>
      </c>
      <c r="B2139" s="432" t="s">
        <v>2029</v>
      </c>
      <c r="C2139" s="436">
        <v>43265</v>
      </c>
      <c r="D2139" s="436">
        <v>43265</v>
      </c>
      <c r="E2139" s="8" t="s">
        <v>6067</v>
      </c>
      <c r="F2139" s="435" t="s">
        <v>5566</v>
      </c>
      <c r="G2139" s="444" t="s">
        <v>5278</v>
      </c>
      <c r="H2139" s="432" t="s">
        <v>5449</v>
      </c>
      <c r="I2139" s="503">
        <f t="shared" si="169"/>
        <v>3068.2498875000001</v>
      </c>
      <c r="J2139" s="503">
        <f t="shared" si="172"/>
        <v>687.56299999999999</v>
      </c>
      <c r="K2139" s="371">
        <f t="shared" si="170"/>
        <v>382.0100028</v>
      </c>
      <c r="L2139" s="369">
        <f t="shared" si="171"/>
        <v>76.402000560000005</v>
      </c>
      <c r="M2139" s="369" t="s">
        <v>6169</v>
      </c>
      <c r="N2139" s="432" t="s">
        <v>4753</v>
      </c>
      <c r="O2139" s="432" t="s">
        <v>5567</v>
      </c>
      <c r="P2139" s="438" t="s">
        <v>3659</v>
      </c>
      <c r="Q2139" s="481">
        <v>0.2</v>
      </c>
      <c r="R2139" s="438">
        <v>1900003308</v>
      </c>
      <c r="S2139" t="s">
        <v>6073</v>
      </c>
      <c r="T2139" s="2" t="s">
        <v>5915</v>
      </c>
      <c r="U2139" t="s">
        <v>6073</v>
      </c>
    </row>
    <row r="2140" spans="1:21" x14ac:dyDescent="0.35">
      <c r="A2140" s="482" t="s">
        <v>5678</v>
      </c>
      <c r="B2140" s="432" t="s">
        <v>2029</v>
      </c>
      <c r="C2140" s="436">
        <v>43265</v>
      </c>
      <c r="D2140" s="436">
        <v>43265</v>
      </c>
      <c r="E2140" s="8" t="s">
        <v>6068</v>
      </c>
      <c r="F2140" s="435" t="s">
        <v>5566</v>
      </c>
      <c r="G2140" s="444" t="s">
        <v>5278</v>
      </c>
      <c r="H2140" s="432" t="s">
        <v>5449</v>
      </c>
      <c r="I2140" s="503">
        <f t="shared" si="169"/>
        <v>3068.2498875000001</v>
      </c>
      <c r="J2140" s="503">
        <f t="shared" si="172"/>
        <v>687.56299999999999</v>
      </c>
      <c r="K2140" s="371">
        <f t="shared" si="170"/>
        <v>382.0100028</v>
      </c>
      <c r="L2140" s="369">
        <f t="shared" si="171"/>
        <v>76.402000560000005</v>
      </c>
      <c r="M2140" s="369" t="s">
        <v>6169</v>
      </c>
      <c r="N2140" s="432" t="s">
        <v>4753</v>
      </c>
      <c r="O2140" s="432" t="s">
        <v>5567</v>
      </c>
      <c r="P2140" s="438" t="s">
        <v>3659</v>
      </c>
      <c r="Q2140" s="481">
        <v>0.2</v>
      </c>
      <c r="R2140" s="438">
        <v>1900003308</v>
      </c>
      <c r="S2140" t="s">
        <v>6074</v>
      </c>
      <c r="T2140" s="2" t="s">
        <v>5915</v>
      </c>
      <c r="U2140" t="s">
        <v>6074</v>
      </c>
    </row>
    <row r="2141" spans="1:21" x14ac:dyDescent="0.35">
      <c r="A2141" s="482" t="s">
        <v>5679</v>
      </c>
      <c r="B2141" s="432" t="s">
        <v>2029</v>
      </c>
      <c r="C2141" s="436">
        <v>43265</v>
      </c>
      <c r="D2141" s="436">
        <v>43265</v>
      </c>
      <c r="E2141" s="8" t="s">
        <v>6069</v>
      </c>
      <c r="F2141" s="435" t="s">
        <v>5566</v>
      </c>
      <c r="G2141" s="444" t="s">
        <v>5278</v>
      </c>
      <c r="H2141" s="432" t="s">
        <v>5449</v>
      </c>
      <c r="I2141" s="503">
        <f t="shared" si="169"/>
        <v>3068.2498875000001</v>
      </c>
      <c r="J2141" s="503">
        <f t="shared" si="172"/>
        <v>687.56299999999999</v>
      </c>
      <c r="K2141" s="371">
        <f t="shared" si="170"/>
        <v>382.0100028</v>
      </c>
      <c r="L2141" s="369">
        <f t="shared" si="171"/>
        <v>76.402000560000005</v>
      </c>
      <c r="M2141" s="369" t="s">
        <v>6169</v>
      </c>
      <c r="N2141" s="432" t="s">
        <v>4753</v>
      </c>
      <c r="O2141" s="432" t="s">
        <v>5567</v>
      </c>
      <c r="P2141" s="438" t="s">
        <v>3659</v>
      </c>
      <c r="Q2141" s="481">
        <v>0.2</v>
      </c>
      <c r="R2141" s="438">
        <v>1900003308</v>
      </c>
      <c r="S2141" t="s">
        <v>6075</v>
      </c>
      <c r="T2141" s="2" t="s">
        <v>5915</v>
      </c>
      <c r="U2141" t="s">
        <v>6075</v>
      </c>
    </row>
    <row r="2142" spans="1:21" x14ac:dyDescent="0.35">
      <c r="A2142" s="482" t="s">
        <v>5680</v>
      </c>
      <c r="B2142" s="432" t="s">
        <v>1976</v>
      </c>
      <c r="C2142" s="436">
        <v>43356</v>
      </c>
      <c r="D2142" s="436">
        <v>43360</v>
      </c>
      <c r="E2142" s="436" t="s">
        <v>5957</v>
      </c>
      <c r="F2142" s="435" t="s">
        <v>5681</v>
      </c>
      <c r="G2142" s="444" t="s">
        <v>5278</v>
      </c>
      <c r="H2142" s="432" t="s">
        <v>5449</v>
      </c>
      <c r="I2142" s="503">
        <f t="shared" ref="I2142:I2205" si="173">+J2142*4.70828</f>
        <v>3803.1861483400007</v>
      </c>
      <c r="J2142" s="503">
        <f t="shared" ref="J2142:J2181" si="174">687.46*1.175</f>
        <v>807.76550000000009</v>
      </c>
      <c r="K2142" s="371">
        <f t="shared" si="170"/>
        <v>448.79451180000001</v>
      </c>
      <c r="L2142" s="369">
        <f t="shared" si="171"/>
        <v>89.758902360000008</v>
      </c>
      <c r="M2142" s="369" t="s">
        <v>6169</v>
      </c>
      <c r="N2142" s="432" t="s">
        <v>4753</v>
      </c>
      <c r="O2142" s="432" t="s">
        <v>5567</v>
      </c>
      <c r="P2142" s="438" t="s">
        <v>3659</v>
      </c>
      <c r="Q2142" s="481">
        <v>0.2</v>
      </c>
      <c r="R2142" s="438">
        <v>1900004970</v>
      </c>
      <c r="S2142" s="466" t="s">
        <v>5998</v>
      </c>
      <c r="T2142" s="2" t="s">
        <v>5915</v>
      </c>
      <c r="U2142" s="9" t="s">
        <v>5998</v>
      </c>
    </row>
    <row r="2143" spans="1:21" x14ac:dyDescent="0.35">
      <c r="A2143" s="482" t="s">
        <v>5682</v>
      </c>
      <c r="B2143" s="432" t="s">
        <v>1976</v>
      </c>
      <c r="C2143" s="436">
        <v>43356</v>
      </c>
      <c r="D2143" s="436">
        <v>43360</v>
      </c>
      <c r="E2143" s="436" t="s">
        <v>5958</v>
      </c>
      <c r="F2143" s="435" t="s">
        <v>5681</v>
      </c>
      <c r="G2143" s="444" t="s">
        <v>5278</v>
      </c>
      <c r="H2143" s="432" t="s">
        <v>5449</v>
      </c>
      <c r="I2143" s="503">
        <f t="shared" si="173"/>
        <v>3803.1861483400007</v>
      </c>
      <c r="J2143" s="503">
        <f t="shared" si="174"/>
        <v>807.76550000000009</v>
      </c>
      <c r="K2143" s="371">
        <f t="shared" si="170"/>
        <v>448.79451180000001</v>
      </c>
      <c r="L2143" s="369">
        <f t="shared" si="171"/>
        <v>89.758902360000008</v>
      </c>
      <c r="M2143" s="369" t="s">
        <v>6169</v>
      </c>
      <c r="N2143" s="432" t="s">
        <v>4753</v>
      </c>
      <c r="O2143" s="432" t="s">
        <v>5567</v>
      </c>
      <c r="P2143" s="438" t="s">
        <v>3659</v>
      </c>
      <c r="Q2143" s="481">
        <v>0.2</v>
      </c>
      <c r="R2143" s="438">
        <v>1900004970</v>
      </c>
      <c r="S2143" s="466" t="s">
        <v>5999</v>
      </c>
      <c r="T2143" s="2" t="s">
        <v>5915</v>
      </c>
      <c r="U2143" s="9" t="s">
        <v>5999</v>
      </c>
    </row>
    <row r="2144" spans="1:21" x14ac:dyDescent="0.35">
      <c r="A2144" s="482" t="s">
        <v>5683</v>
      </c>
      <c r="B2144" s="432" t="s">
        <v>1976</v>
      </c>
      <c r="C2144" s="436">
        <v>43356</v>
      </c>
      <c r="D2144" s="436">
        <v>43360</v>
      </c>
      <c r="E2144" s="436" t="s">
        <v>5959</v>
      </c>
      <c r="F2144" s="435" t="s">
        <v>5681</v>
      </c>
      <c r="G2144" s="444" t="s">
        <v>5278</v>
      </c>
      <c r="H2144" s="432" t="s">
        <v>5449</v>
      </c>
      <c r="I2144" s="503">
        <f t="shared" si="173"/>
        <v>3803.1861483400007</v>
      </c>
      <c r="J2144" s="503">
        <f t="shared" si="174"/>
        <v>807.76550000000009</v>
      </c>
      <c r="K2144" s="371">
        <f t="shared" si="170"/>
        <v>448.79451180000001</v>
      </c>
      <c r="L2144" s="369">
        <f t="shared" si="171"/>
        <v>89.758902360000008</v>
      </c>
      <c r="M2144" s="369" t="s">
        <v>6169</v>
      </c>
      <c r="N2144" s="432" t="s">
        <v>4753</v>
      </c>
      <c r="O2144" s="432" t="s">
        <v>5567</v>
      </c>
      <c r="P2144" s="438" t="s">
        <v>3659</v>
      </c>
      <c r="Q2144" s="481">
        <v>0.2</v>
      </c>
      <c r="R2144" s="438">
        <v>1900004970</v>
      </c>
      <c r="S2144" s="466" t="s">
        <v>6000</v>
      </c>
      <c r="T2144" s="2" t="s">
        <v>5915</v>
      </c>
      <c r="U2144" s="9" t="s">
        <v>6000</v>
      </c>
    </row>
    <row r="2145" spans="1:21" x14ac:dyDescent="0.35">
      <c r="A2145" s="482" t="s">
        <v>5684</v>
      </c>
      <c r="B2145" s="432" t="s">
        <v>1976</v>
      </c>
      <c r="C2145" s="436">
        <v>43356</v>
      </c>
      <c r="D2145" s="436">
        <v>43360</v>
      </c>
      <c r="E2145" s="436" t="s">
        <v>5960</v>
      </c>
      <c r="F2145" s="435" t="s">
        <v>5681</v>
      </c>
      <c r="G2145" s="444" t="s">
        <v>5278</v>
      </c>
      <c r="H2145" s="432" t="s">
        <v>5449</v>
      </c>
      <c r="I2145" s="503">
        <f t="shared" si="173"/>
        <v>3803.1861483400007</v>
      </c>
      <c r="J2145" s="503">
        <f t="shared" si="174"/>
        <v>807.76550000000009</v>
      </c>
      <c r="K2145" s="371">
        <f t="shared" si="170"/>
        <v>448.79451180000001</v>
      </c>
      <c r="L2145" s="369">
        <f t="shared" si="171"/>
        <v>89.758902360000008</v>
      </c>
      <c r="M2145" s="369" t="s">
        <v>6169</v>
      </c>
      <c r="N2145" s="432" t="s">
        <v>4753</v>
      </c>
      <c r="O2145" s="432" t="s">
        <v>5567</v>
      </c>
      <c r="P2145" s="438" t="s">
        <v>3659</v>
      </c>
      <c r="Q2145" s="481">
        <v>0.2</v>
      </c>
      <c r="R2145" s="438">
        <v>1900004970</v>
      </c>
      <c r="S2145" s="466" t="s">
        <v>5979</v>
      </c>
      <c r="T2145" s="2" t="s">
        <v>5915</v>
      </c>
      <c r="U2145" s="9" t="s">
        <v>5979</v>
      </c>
    </row>
    <row r="2146" spans="1:21" x14ac:dyDescent="0.35">
      <c r="A2146" s="482" t="s">
        <v>5685</v>
      </c>
      <c r="B2146" s="432" t="s">
        <v>1976</v>
      </c>
      <c r="C2146" s="436">
        <v>43356</v>
      </c>
      <c r="D2146" s="436">
        <v>43360</v>
      </c>
      <c r="E2146" s="436" t="s">
        <v>5961</v>
      </c>
      <c r="F2146" s="435" t="s">
        <v>5681</v>
      </c>
      <c r="G2146" s="444" t="s">
        <v>5278</v>
      </c>
      <c r="H2146" s="432" t="s">
        <v>5449</v>
      </c>
      <c r="I2146" s="503">
        <f t="shared" si="173"/>
        <v>3803.1861483400007</v>
      </c>
      <c r="J2146" s="503">
        <f t="shared" si="174"/>
        <v>807.76550000000009</v>
      </c>
      <c r="K2146" s="371">
        <f t="shared" si="170"/>
        <v>448.79451180000001</v>
      </c>
      <c r="L2146" s="369">
        <f t="shared" si="171"/>
        <v>89.758902360000008</v>
      </c>
      <c r="M2146" s="369" t="s">
        <v>6169</v>
      </c>
      <c r="N2146" s="432" t="s">
        <v>4753</v>
      </c>
      <c r="O2146" s="432" t="s">
        <v>5567</v>
      </c>
      <c r="P2146" s="438" t="s">
        <v>3659</v>
      </c>
      <c r="Q2146" s="481">
        <v>0.2</v>
      </c>
      <c r="R2146" s="438">
        <v>1900004970</v>
      </c>
      <c r="S2146" s="466" t="s">
        <v>5980</v>
      </c>
      <c r="T2146" s="2" t="s">
        <v>5915</v>
      </c>
      <c r="U2146" s="9" t="s">
        <v>5980</v>
      </c>
    </row>
    <row r="2147" spans="1:21" x14ac:dyDescent="0.35">
      <c r="A2147" s="482" t="s">
        <v>5686</v>
      </c>
      <c r="B2147" s="432" t="s">
        <v>1976</v>
      </c>
      <c r="C2147" s="436">
        <v>43356</v>
      </c>
      <c r="D2147" s="436">
        <v>43360</v>
      </c>
      <c r="E2147" s="436" t="s">
        <v>5962</v>
      </c>
      <c r="F2147" s="435" t="s">
        <v>5681</v>
      </c>
      <c r="G2147" s="444" t="s">
        <v>5278</v>
      </c>
      <c r="H2147" s="432" t="s">
        <v>5449</v>
      </c>
      <c r="I2147" s="503">
        <f t="shared" si="173"/>
        <v>3803.1861483400007</v>
      </c>
      <c r="J2147" s="503">
        <f t="shared" si="174"/>
        <v>807.76550000000009</v>
      </c>
      <c r="K2147" s="371">
        <f t="shared" si="170"/>
        <v>448.79451180000001</v>
      </c>
      <c r="L2147" s="369">
        <f t="shared" si="171"/>
        <v>89.758902360000008</v>
      </c>
      <c r="M2147" s="369" t="s">
        <v>6169</v>
      </c>
      <c r="N2147" s="432" t="s">
        <v>4753</v>
      </c>
      <c r="O2147" s="432" t="s">
        <v>5567</v>
      </c>
      <c r="P2147" s="438" t="s">
        <v>3659</v>
      </c>
      <c r="Q2147" s="481">
        <v>0.2</v>
      </c>
      <c r="R2147" s="438">
        <v>1900004970</v>
      </c>
      <c r="S2147" s="466" t="s">
        <v>5981</v>
      </c>
      <c r="T2147" s="2" t="s">
        <v>5915</v>
      </c>
      <c r="U2147" s="9" t="s">
        <v>5981</v>
      </c>
    </row>
    <row r="2148" spans="1:21" x14ac:dyDescent="0.35">
      <c r="A2148" s="482" t="s">
        <v>5687</v>
      </c>
      <c r="B2148" s="432" t="s">
        <v>1976</v>
      </c>
      <c r="C2148" s="436">
        <v>43356</v>
      </c>
      <c r="D2148" s="436">
        <v>43360</v>
      </c>
      <c r="E2148" s="436" t="s">
        <v>5963</v>
      </c>
      <c r="F2148" s="435" t="s">
        <v>5681</v>
      </c>
      <c r="G2148" s="444" t="s">
        <v>5278</v>
      </c>
      <c r="H2148" s="432" t="s">
        <v>5449</v>
      </c>
      <c r="I2148" s="503">
        <f t="shared" si="173"/>
        <v>3803.1861483400007</v>
      </c>
      <c r="J2148" s="503">
        <f t="shared" si="174"/>
        <v>807.76550000000009</v>
      </c>
      <c r="K2148" s="371">
        <f t="shared" si="170"/>
        <v>448.79451180000001</v>
      </c>
      <c r="L2148" s="369">
        <f t="shared" si="171"/>
        <v>89.758902360000008</v>
      </c>
      <c r="M2148" s="369" t="s">
        <v>6169</v>
      </c>
      <c r="N2148" s="432" t="s">
        <v>4753</v>
      </c>
      <c r="O2148" s="432" t="s">
        <v>5567</v>
      </c>
      <c r="P2148" s="438" t="s">
        <v>3659</v>
      </c>
      <c r="Q2148" s="481">
        <v>0.2</v>
      </c>
      <c r="R2148" s="438">
        <v>1900004970</v>
      </c>
      <c r="S2148" s="466" t="s">
        <v>5982</v>
      </c>
      <c r="T2148" s="2" t="s">
        <v>5915</v>
      </c>
      <c r="U2148" s="9" t="s">
        <v>5982</v>
      </c>
    </row>
    <row r="2149" spans="1:21" x14ac:dyDescent="0.35">
      <c r="A2149" s="482" t="s">
        <v>5688</v>
      </c>
      <c r="B2149" s="432" t="s">
        <v>1976</v>
      </c>
      <c r="C2149" s="436">
        <v>43356</v>
      </c>
      <c r="D2149" s="436">
        <v>43360</v>
      </c>
      <c r="E2149" s="436" t="s">
        <v>5964</v>
      </c>
      <c r="F2149" s="435" t="s">
        <v>5681</v>
      </c>
      <c r="G2149" s="444" t="s">
        <v>5278</v>
      </c>
      <c r="H2149" s="432" t="s">
        <v>5449</v>
      </c>
      <c r="I2149" s="503">
        <f t="shared" si="173"/>
        <v>3803.1861483400007</v>
      </c>
      <c r="J2149" s="503">
        <f t="shared" si="174"/>
        <v>807.76550000000009</v>
      </c>
      <c r="K2149" s="371">
        <f t="shared" si="170"/>
        <v>448.79451180000001</v>
      </c>
      <c r="L2149" s="369">
        <f t="shared" si="171"/>
        <v>89.758902360000008</v>
      </c>
      <c r="M2149" s="369" t="s">
        <v>6169</v>
      </c>
      <c r="N2149" s="432" t="s">
        <v>4753</v>
      </c>
      <c r="O2149" s="432" t="s">
        <v>5567</v>
      </c>
      <c r="P2149" s="438" t="s">
        <v>3659</v>
      </c>
      <c r="Q2149" s="481">
        <v>0.2</v>
      </c>
      <c r="R2149" s="438">
        <v>1900004970</v>
      </c>
      <c r="S2149" s="466" t="s">
        <v>5983</v>
      </c>
      <c r="T2149" s="2" t="s">
        <v>5915</v>
      </c>
      <c r="U2149" s="9" t="s">
        <v>5983</v>
      </c>
    </row>
    <row r="2150" spans="1:21" x14ac:dyDescent="0.35">
      <c r="A2150" s="482" t="s">
        <v>5689</v>
      </c>
      <c r="B2150" s="432" t="s">
        <v>1976</v>
      </c>
      <c r="C2150" s="436">
        <v>43356</v>
      </c>
      <c r="D2150" s="436">
        <v>43360</v>
      </c>
      <c r="E2150" s="436" t="s">
        <v>5965</v>
      </c>
      <c r="F2150" s="435" t="s">
        <v>5681</v>
      </c>
      <c r="G2150" s="444" t="s">
        <v>5278</v>
      </c>
      <c r="H2150" s="432" t="s">
        <v>5449</v>
      </c>
      <c r="I2150" s="503">
        <f t="shared" si="173"/>
        <v>3803.1861483400007</v>
      </c>
      <c r="J2150" s="503">
        <f t="shared" si="174"/>
        <v>807.76550000000009</v>
      </c>
      <c r="K2150" s="371">
        <f t="shared" si="170"/>
        <v>448.79451180000001</v>
      </c>
      <c r="L2150" s="369">
        <f t="shared" si="171"/>
        <v>89.758902360000008</v>
      </c>
      <c r="M2150" s="369" t="s">
        <v>6169</v>
      </c>
      <c r="N2150" s="432" t="s">
        <v>4753</v>
      </c>
      <c r="O2150" s="432" t="s">
        <v>5567</v>
      </c>
      <c r="P2150" s="438" t="s">
        <v>3659</v>
      </c>
      <c r="Q2150" s="481">
        <v>0.2</v>
      </c>
      <c r="R2150" s="438">
        <v>1900004970</v>
      </c>
      <c r="S2150" s="466" t="s">
        <v>5984</v>
      </c>
      <c r="T2150" s="2" t="s">
        <v>5915</v>
      </c>
      <c r="U2150" s="9" t="s">
        <v>5984</v>
      </c>
    </row>
    <row r="2151" spans="1:21" x14ac:dyDescent="0.35">
      <c r="A2151" s="482" t="s">
        <v>5690</v>
      </c>
      <c r="B2151" s="432" t="s">
        <v>1976</v>
      </c>
      <c r="C2151" s="436">
        <v>43356</v>
      </c>
      <c r="D2151" s="436">
        <v>43360</v>
      </c>
      <c r="E2151" s="436" t="s">
        <v>5966</v>
      </c>
      <c r="F2151" s="435" t="s">
        <v>5681</v>
      </c>
      <c r="G2151" s="444" t="s">
        <v>5278</v>
      </c>
      <c r="H2151" s="432" t="s">
        <v>5449</v>
      </c>
      <c r="I2151" s="503">
        <f t="shared" si="173"/>
        <v>3803.1861483400007</v>
      </c>
      <c r="J2151" s="503">
        <f t="shared" si="174"/>
        <v>807.76550000000009</v>
      </c>
      <c r="K2151" s="371">
        <f t="shared" si="170"/>
        <v>448.79451180000001</v>
      </c>
      <c r="L2151" s="369">
        <f t="shared" si="171"/>
        <v>89.758902360000008</v>
      </c>
      <c r="M2151" s="369" t="s">
        <v>6169</v>
      </c>
      <c r="N2151" s="432" t="s">
        <v>4753</v>
      </c>
      <c r="O2151" s="432" t="s">
        <v>5567</v>
      </c>
      <c r="P2151" s="438" t="s">
        <v>3659</v>
      </c>
      <c r="Q2151" s="481">
        <v>0.2</v>
      </c>
      <c r="R2151" s="438">
        <v>1900004970</v>
      </c>
      <c r="S2151" s="466" t="s">
        <v>5985</v>
      </c>
      <c r="T2151" s="2" t="s">
        <v>5915</v>
      </c>
      <c r="U2151" s="9" t="s">
        <v>5985</v>
      </c>
    </row>
    <row r="2152" spans="1:21" x14ac:dyDescent="0.35">
      <c r="A2152" s="482" t="s">
        <v>5691</v>
      </c>
      <c r="B2152" s="432" t="s">
        <v>1976</v>
      </c>
      <c r="C2152" s="436">
        <v>43356</v>
      </c>
      <c r="D2152" s="436">
        <v>43360</v>
      </c>
      <c r="E2152" s="436" t="s">
        <v>5967</v>
      </c>
      <c r="F2152" s="435" t="s">
        <v>5681</v>
      </c>
      <c r="G2152" s="444" t="s">
        <v>5278</v>
      </c>
      <c r="H2152" s="432" t="s">
        <v>5449</v>
      </c>
      <c r="I2152" s="503">
        <f t="shared" si="173"/>
        <v>3803.1861483400007</v>
      </c>
      <c r="J2152" s="503">
        <f t="shared" si="174"/>
        <v>807.76550000000009</v>
      </c>
      <c r="K2152" s="371">
        <f t="shared" si="170"/>
        <v>448.79451180000001</v>
      </c>
      <c r="L2152" s="369">
        <f t="shared" si="171"/>
        <v>89.758902360000008</v>
      </c>
      <c r="M2152" s="369" t="s">
        <v>6169</v>
      </c>
      <c r="N2152" s="432" t="s">
        <v>4753</v>
      </c>
      <c r="O2152" s="432" t="s">
        <v>5567</v>
      </c>
      <c r="P2152" s="438" t="s">
        <v>3659</v>
      </c>
      <c r="Q2152" s="481">
        <v>0.2</v>
      </c>
      <c r="R2152" s="438">
        <v>1900004970</v>
      </c>
      <c r="S2152" s="466" t="s">
        <v>5986</v>
      </c>
      <c r="T2152" s="2" t="s">
        <v>5915</v>
      </c>
      <c r="U2152" s="9" t="s">
        <v>5986</v>
      </c>
    </row>
    <row r="2153" spans="1:21" x14ac:dyDescent="0.35">
      <c r="A2153" s="482" t="s">
        <v>5692</v>
      </c>
      <c r="B2153" s="432" t="s">
        <v>1976</v>
      </c>
      <c r="C2153" s="436">
        <v>43356</v>
      </c>
      <c r="D2153" s="436">
        <v>43360</v>
      </c>
      <c r="E2153" s="436" t="s">
        <v>5968</v>
      </c>
      <c r="F2153" s="435" t="s">
        <v>5681</v>
      </c>
      <c r="G2153" s="444" t="s">
        <v>5278</v>
      </c>
      <c r="H2153" s="432" t="s">
        <v>5449</v>
      </c>
      <c r="I2153" s="503">
        <f t="shared" si="173"/>
        <v>3803.1861483400007</v>
      </c>
      <c r="J2153" s="503">
        <f t="shared" si="174"/>
        <v>807.76550000000009</v>
      </c>
      <c r="K2153" s="371">
        <f t="shared" si="170"/>
        <v>448.79451180000001</v>
      </c>
      <c r="L2153" s="369">
        <f t="shared" si="171"/>
        <v>89.758902360000008</v>
      </c>
      <c r="M2153" s="369" t="s">
        <v>6169</v>
      </c>
      <c r="N2153" s="432" t="s">
        <v>4753</v>
      </c>
      <c r="O2153" s="432" t="s">
        <v>5567</v>
      </c>
      <c r="P2153" s="438" t="s">
        <v>3659</v>
      </c>
      <c r="Q2153" s="481">
        <v>0.2</v>
      </c>
      <c r="R2153" s="438">
        <v>1900004970</v>
      </c>
      <c r="S2153" s="466" t="s">
        <v>5987</v>
      </c>
      <c r="T2153" s="2" t="s">
        <v>5915</v>
      </c>
      <c r="U2153" s="9" t="s">
        <v>5987</v>
      </c>
    </row>
    <row r="2154" spans="1:21" x14ac:dyDescent="0.35">
      <c r="A2154" s="482" t="s">
        <v>5693</v>
      </c>
      <c r="B2154" s="432" t="s">
        <v>1976</v>
      </c>
      <c r="C2154" s="436">
        <v>43356</v>
      </c>
      <c r="D2154" s="436">
        <v>43360</v>
      </c>
      <c r="E2154" s="436" t="s">
        <v>5969</v>
      </c>
      <c r="F2154" s="435" t="s">
        <v>5681</v>
      </c>
      <c r="G2154" s="444" t="s">
        <v>5278</v>
      </c>
      <c r="H2154" s="432" t="s">
        <v>5449</v>
      </c>
      <c r="I2154" s="503">
        <f t="shared" si="173"/>
        <v>3803.1861483400007</v>
      </c>
      <c r="J2154" s="503">
        <f t="shared" si="174"/>
        <v>807.76550000000009</v>
      </c>
      <c r="K2154" s="371">
        <f t="shared" si="170"/>
        <v>448.79451180000001</v>
      </c>
      <c r="L2154" s="369">
        <f t="shared" si="171"/>
        <v>89.758902360000008</v>
      </c>
      <c r="M2154" s="369" t="s">
        <v>6169</v>
      </c>
      <c r="N2154" s="432" t="s">
        <v>4753</v>
      </c>
      <c r="O2154" s="432" t="s">
        <v>5567</v>
      </c>
      <c r="P2154" s="438" t="s">
        <v>3659</v>
      </c>
      <c r="Q2154" s="481">
        <v>0.2</v>
      </c>
      <c r="R2154" s="438">
        <v>1900004970</v>
      </c>
      <c r="S2154" s="466" t="s">
        <v>5988</v>
      </c>
      <c r="T2154" s="2" t="s">
        <v>5915</v>
      </c>
      <c r="U2154" s="9" t="s">
        <v>5988</v>
      </c>
    </row>
    <row r="2155" spans="1:21" x14ac:dyDescent="0.35">
      <c r="A2155" s="482" t="s">
        <v>5694</v>
      </c>
      <c r="B2155" s="432" t="s">
        <v>1976</v>
      </c>
      <c r="C2155" s="436">
        <v>43356</v>
      </c>
      <c r="D2155" s="436">
        <v>43360</v>
      </c>
      <c r="E2155" s="436" t="s">
        <v>5970</v>
      </c>
      <c r="F2155" s="435" t="s">
        <v>5681</v>
      </c>
      <c r="G2155" s="444" t="s">
        <v>5278</v>
      </c>
      <c r="H2155" s="432" t="s">
        <v>5449</v>
      </c>
      <c r="I2155" s="503">
        <f t="shared" si="173"/>
        <v>3803.1861483400007</v>
      </c>
      <c r="J2155" s="503">
        <f t="shared" si="174"/>
        <v>807.76550000000009</v>
      </c>
      <c r="K2155" s="371">
        <f t="shared" si="170"/>
        <v>448.79451180000001</v>
      </c>
      <c r="L2155" s="369">
        <f t="shared" si="171"/>
        <v>89.758902360000008</v>
      </c>
      <c r="M2155" s="369" t="s">
        <v>6169</v>
      </c>
      <c r="N2155" s="432" t="s">
        <v>4753</v>
      </c>
      <c r="O2155" s="432" t="s">
        <v>5567</v>
      </c>
      <c r="P2155" s="438" t="s">
        <v>3659</v>
      </c>
      <c r="Q2155" s="481">
        <v>0.2</v>
      </c>
      <c r="R2155" s="438">
        <v>1900004970</v>
      </c>
      <c r="S2155" s="466" t="s">
        <v>5989</v>
      </c>
      <c r="T2155" s="2" t="s">
        <v>5915</v>
      </c>
      <c r="U2155" s="9" t="s">
        <v>5989</v>
      </c>
    </row>
    <row r="2156" spans="1:21" x14ac:dyDescent="0.35">
      <c r="A2156" s="482" t="s">
        <v>5695</v>
      </c>
      <c r="B2156" s="432" t="s">
        <v>1976</v>
      </c>
      <c r="C2156" s="436">
        <v>43356</v>
      </c>
      <c r="D2156" s="436">
        <v>43360</v>
      </c>
      <c r="E2156" s="436" t="s">
        <v>5971</v>
      </c>
      <c r="F2156" s="435" t="s">
        <v>5681</v>
      </c>
      <c r="G2156" s="444" t="s">
        <v>5278</v>
      </c>
      <c r="H2156" s="432" t="s">
        <v>5449</v>
      </c>
      <c r="I2156" s="503">
        <f t="shared" si="173"/>
        <v>3803.1861483400007</v>
      </c>
      <c r="J2156" s="503">
        <f t="shared" si="174"/>
        <v>807.76550000000009</v>
      </c>
      <c r="K2156" s="371">
        <f t="shared" si="170"/>
        <v>448.79451180000001</v>
      </c>
      <c r="L2156" s="369">
        <f t="shared" si="171"/>
        <v>89.758902360000008</v>
      </c>
      <c r="M2156" s="369" t="s">
        <v>6169</v>
      </c>
      <c r="N2156" s="432" t="s">
        <v>4753</v>
      </c>
      <c r="O2156" s="432" t="s">
        <v>5567</v>
      </c>
      <c r="P2156" s="438" t="s">
        <v>3659</v>
      </c>
      <c r="Q2156" s="481">
        <v>0.2</v>
      </c>
      <c r="R2156" s="438">
        <v>1900004970</v>
      </c>
      <c r="S2156" s="466" t="s">
        <v>5990</v>
      </c>
      <c r="T2156" s="2" t="s">
        <v>5915</v>
      </c>
      <c r="U2156" s="9" t="s">
        <v>5990</v>
      </c>
    </row>
    <row r="2157" spans="1:21" x14ac:dyDescent="0.35">
      <c r="A2157" s="482" t="s">
        <v>5696</v>
      </c>
      <c r="B2157" s="432" t="s">
        <v>1976</v>
      </c>
      <c r="C2157" s="436">
        <v>43356</v>
      </c>
      <c r="D2157" s="436">
        <v>43360</v>
      </c>
      <c r="E2157" s="436" t="s">
        <v>5972</v>
      </c>
      <c r="F2157" s="435" t="s">
        <v>5681</v>
      </c>
      <c r="G2157" s="444" t="s">
        <v>5278</v>
      </c>
      <c r="H2157" s="432" t="s">
        <v>5449</v>
      </c>
      <c r="I2157" s="503">
        <f t="shared" si="173"/>
        <v>3803.1861483400007</v>
      </c>
      <c r="J2157" s="503">
        <f t="shared" si="174"/>
        <v>807.76550000000009</v>
      </c>
      <c r="K2157" s="371">
        <f t="shared" si="170"/>
        <v>448.79451180000001</v>
      </c>
      <c r="L2157" s="369">
        <f t="shared" si="171"/>
        <v>89.758902360000008</v>
      </c>
      <c r="M2157" s="369" t="s">
        <v>6169</v>
      </c>
      <c r="N2157" s="432" t="s">
        <v>4753</v>
      </c>
      <c r="O2157" s="432" t="s">
        <v>5567</v>
      </c>
      <c r="P2157" s="438" t="s">
        <v>3659</v>
      </c>
      <c r="Q2157" s="481">
        <v>0.2</v>
      </c>
      <c r="R2157" s="438">
        <v>1900004970</v>
      </c>
      <c r="S2157" s="466" t="s">
        <v>5991</v>
      </c>
      <c r="T2157" s="2" t="s">
        <v>5915</v>
      </c>
      <c r="U2157" s="9" t="s">
        <v>5991</v>
      </c>
    </row>
    <row r="2158" spans="1:21" x14ac:dyDescent="0.35">
      <c r="A2158" s="482" t="s">
        <v>5697</v>
      </c>
      <c r="B2158" s="432" t="s">
        <v>1976</v>
      </c>
      <c r="C2158" s="436">
        <v>43356</v>
      </c>
      <c r="D2158" s="436">
        <v>43360</v>
      </c>
      <c r="E2158" s="436" t="s">
        <v>5973</v>
      </c>
      <c r="F2158" s="435" t="s">
        <v>5681</v>
      </c>
      <c r="G2158" s="444" t="s">
        <v>5278</v>
      </c>
      <c r="H2158" s="432" t="s">
        <v>5449</v>
      </c>
      <c r="I2158" s="503">
        <f t="shared" si="173"/>
        <v>3803.1861483400007</v>
      </c>
      <c r="J2158" s="503">
        <f t="shared" si="174"/>
        <v>807.76550000000009</v>
      </c>
      <c r="K2158" s="371">
        <f t="shared" si="170"/>
        <v>448.79451180000001</v>
      </c>
      <c r="L2158" s="369">
        <f t="shared" si="171"/>
        <v>89.758902360000008</v>
      </c>
      <c r="M2158" s="369" t="s">
        <v>6169</v>
      </c>
      <c r="N2158" s="432" t="s">
        <v>4753</v>
      </c>
      <c r="O2158" s="432" t="s">
        <v>5567</v>
      </c>
      <c r="P2158" s="438" t="s">
        <v>3659</v>
      </c>
      <c r="Q2158" s="481">
        <v>0.2</v>
      </c>
      <c r="R2158" s="438">
        <v>1900004970</v>
      </c>
      <c r="S2158" s="466" t="s">
        <v>5992</v>
      </c>
      <c r="T2158" s="2" t="s">
        <v>5915</v>
      </c>
      <c r="U2158" s="9" t="s">
        <v>5992</v>
      </c>
    </row>
    <row r="2159" spans="1:21" x14ac:dyDescent="0.35">
      <c r="A2159" s="482" t="s">
        <v>5698</v>
      </c>
      <c r="B2159" s="432" t="s">
        <v>1976</v>
      </c>
      <c r="C2159" s="436">
        <v>43356</v>
      </c>
      <c r="D2159" s="436">
        <v>43360</v>
      </c>
      <c r="E2159" s="436" t="s">
        <v>5974</v>
      </c>
      <c r="F2159" s="435" t="s">
        <v>5681</v>
      </c>
      <c r="G2159" s="444" t="s">
        <v>5278</v>
      </c>
      <c r="H2159" s="432" t="s">
        <v>5449</v>
      </c>
      <c r="I2159" s="503">
        <f t="shared" si="173"/>
        <v>3803.1861483400007</v>
      </c>
      <c r="J2159" s="503">
        <f t="shared" si="174"/>
        <v>807.76550000000009</v>
      </c>
      <c r="K2159" s="371">
        <f t="shared" si="170"/>
        <v>448.79451180000001</v>
      </c>
      <c r="L2159" s="369">
        <f t="shared" si="171"/>
        <v>89.758902360000008</v>
      </c>
      <c r="M2159" s="369" t="s">
        <v>6169</v>
      </c>
      <c r="N2159" s="432" t="s">
        <v>4753</v>
      </c>
      <c r="O2159" s="432" t="s">
        <v>5567</v>
      </c>
      <c r="P2159" s="438" t="s">
        <v>3659</v>
      </c>
      <c r="Q2159" s="481">
        <v>0.2</v>
      </c>
      <c r="R2159" s="438">
        <v>1900004970</v>
      </c>
      <c r="S2159" s="466" t="s">
        <v>5993</v>
      </c>
      <c r="T2159" s="2" t="s">
        <v>5915</v>
      </c>
      <c r="U2159" s="9" t="s">
        <v>5993</v>
      </c>
    </row>
    <row r="2160" spans="1:21" x14ac:dyDescent="0.35">
      <c r="A2160" s="482" t="s">
        <v>5699</v>
      </c>
      <c r="B2160" s="432" t="s">
        <v>1976</v>
      </c>
      <c r="C2160" s="436">
        <v>43356</v>
      </c>
      <c r="D2160" s="436">
        <v>43360</v>
      </c>
      <c r="E2160" s="436" t="s">
        <v>5975</v>
      </c>
      <c r="F2160" s="435" t="s">
        <v>5681</v>
      </c>
      <c r="G2160" s="444" t="s">
        <v>5278</v>
      </c>
      <c r="H2160" s="432" t="s">
        <v>5449</v>
      </c>
      <c r="I2160" s="503">
        <f t="shared" si="173"/>
        <v>3803.1861483400007</v>
      </c>
      <c r="J2160" s="503">
        <f t="shared" si="174"/>
        <v>807.76550000000009</v>
      </c>
      <c r="K2160" s="371">
        <f t="shared" si="170"/>
        <v>448.79451180000001</v>
      </c>
      <c r="L2160" s="369">
        <f t="shared" si="171"/>
        <v>89.758902360000008</v>
      </c>
      <c r="M2160" s="369" t="s">
        <v>6169</v>
      </c>
      <c r="N2160" s="432" t="s">
        <v>4753</v>
      </c>
      <c r="O2160" s="432" t="s">
        <v>5567</v>
      </c>
      <c r="P2160" s="438" t="s">
        <v>3659</v>
      </c>
      <c r="Q2160" s="481">
        <v>0.2</v>
      </c>
      <c r="R2160" s="438">
        <v>1900004970</v>
      </c>
      <c r="S2160" s="466" t="s">
        <v>5994</v>
      </c>
      <c r="T2160" s="2" t="s">
        <v>5915</v>
      </c>
      <c r="U2160" s="9" t="s">
        <v>5994</v>
      </c>
    </row>
    <row r="2161" spans="1:21" x14ac:dyDescent="0.35">
      <c r="A2161" s="482" t="s">
        <v>5700</v>
      </c>
      <c r="B2161" s="432" t="s">
        <v>1976</v>
      </c>
      <c r="C2161" s="436">
        <v>43356</v>
      </c>
      <c r="D2161" s="436">
        <v>43360</v>
      </c>
      <c r="E2161" s="436" t="s">
        <v>5976</v>
      </c>
      <c r="F2161" s="435" t="s">
        <v>5681</v>
      </c>
      <c r="G2161" s="444" t="s">
        <v>5278</v>
      </c>
      <c r="H2161" s="432" t="s">
        <v>5449</v>
      </c>
      <c r="I2161" s="503">
        <f t="shared" si="173"/>
        <v>3803.1861483400007</v>
      </c>
      <c r="J2161" s="503">
        <f t="shared" si="174"/>
        <v>807.76550000000009</v>
      </c>
      <c r="K2161" s="371">
        <f t="shared" si="170"/>
        <v>448.79451180000001</v>
      </c>
      <c r="L2161" s="369">
        <f t="shared" si="171"/>
        <v>89.758902360000008</v>
      </c>
      <c r="M2161" s="369" t="s">
        <v>6169</v>
      </c>
      <c r="N2161" s="432" t="s">
        <v>4753</v>
      </c>
      <c r="O2161" s="432" t="s">
        <v>5567</v>
      </c>
      <c r="P2161" s="438" t="s">
        <v>3659</v>
      </c>
      <c r="Q2161" s="481">
        <v>0.2</v>
      </c>
      <c r="R2161" s="438">
        <v>1900004970</v>
      </c>
      <c r="S2161" s="466" t="s">
        <v>5995</v>
      </c>
      <c r="T2161" s="2" t="s">
        <v>5915</v>
      </c>
      <c r="U2161" s="9" t="s">
        <v>5995</v>
      </c>
    </row>
    <row r="2162" spans="1:21" x14ac:dyDescent="0.35">
      <c r="A2162" s="482" t="s">
        <v>5701</v>
      </c>
      <c r="B2162" s="432" t="s">
        <v>1976</v>
      </c>
      <c r="C2162" s="436">
        <v>43356</v>
      </c>
      <c r="D2162" s="436">
        <v>43360</v>
      </c>
      <c r="E2162" s="436" t="s">
        <v>5977</v>
      </c>
      <c r="F2162" s="435" t="s">
        <v>5681</v>
      </c>
      <c r="G2162" s="444" t="s">
        <v>5278</v>
      </c>
      <c r="H2162" s="432" t="s">
        <v>5449</v>
      </c>
      <c r="I2162" s="503">
        <f t="shared" si="173"/>
        <v>3803.1861483400007</v>
      </c>
      <c r="J2162" s="503">
        <f t="shared" si="174"/>
        <v>807.76550000000009</v>
      </c>
      <c r="K2162" s="371">
        <f t="shared" si="170"/>
        <v>448.79451180000001</v>
      </c>
      <c r="L2162" s="369">
        <f t="shared" si="171"/>
        <v>89.758902360000008</v>
      </c>
      <c r="M2162" s="369" t="s">
        <v>6169</v>
      </c>
      <c r="N2162" s="432" t="s">
        <v>4753</v>
      </c>
      <c r="O2162" s="432" t="s">
        <v>5567</v>
      </c>
      <c r="P2162" s="438" t="s">
        <v>3659</v>
      </c>
      <c r="Q2162" s="481">
        <v>0.2</v>
      </c>
      <c r="R2162" s="438">
        <v>1900004970</v>
      </c>
      <c r="S2162" s="466" t="s">
        <v>5996</v>
      </c>
      <c r="T2162" s="2" t="s">
        <v>5915</v>
      </c>
      <c r="U2162" s="9" t="s">
        <v>5996</v>
      </c>
    </row>
    <row r="2163" spans="1:21" x14ac:dyDescent="0.35">
      <c r="A2163" s="482" t="s">
        <v>5702</v>
      </c>
      <c r="B2163" s="432" t="s">
        <v>1976</v>
      </c>
      <c r="C2163" s="436">
        <v>43356</v>
      </c>
      <c r="D2163" s="436">
        <v>43360</v>
      </c>
      <c r="E2163" s="436" t="s">
        <v>5978</v>
      </c>
      <c r="F2163" s="435" t="s">
        <v>5681</v>
      </c>
      <c r="G2163" s="444" t="s">
        <v>5278</v>
      </c>
      <c r="H2163" s="432" t="s">
        <v>5449</v>
      </c>
      <c r="I2163" s="503">
        <f t="shared" si="173"/>
        <v>3803.1861483400007</v>
      </c>
      <c r="J2163" s="503">
        <f t="shared" si="174"/>
        <v>807.76550000000009</v>
      </c>
      <c r="K2163" s="371">
        <f t="shared" si="170"/>
        <v>448.79451180000001</v>
      </c>
      <c r="L2163" s="369">
        <f t="shared" si="171"/>
        <v>89.758902360000008</v>
      </c>
      <c r="M2163" s="369" t="s">
        <v>6169</v>
      </c>
      <c r="N2163" s="432" t="s">
        <v>4753</v>
      </c>
      <c r="O2163" s="432" t="s">
        <v>5567</v>
      </c>
      <c r="P2163" s="438" t="s">
        <v>3659</v>
      </c>
      <c r="Q2163" s="481">
        <v>0.2</v>
      </c>
      <c r="R2163" s="438">
        <v>1900004970</v>
      </c>
      <c r="S2163" s="466" t="s">
        <v>5997</v>
      </c>
      <c r="T2163" s="2" t="s">
        <v>5915</v>
      </c>
      <c r="U2163" s="9" t="s">
        <v>5997</v>
      </c>
    </row>
    <row r="2164" spans="1:21" x14ac:dyDescent="0.35">
      <c r="A2164" s="482" t="s">
        <v>5703</v>
      </c>
      <c r="B2164" s="432" t="s">
        <v>2029</v>
      </c>
      <c r="C2164" s="436">
        <v>43356</v>
      </c>
      <c r="D2164" s="436">
        <v>43360</v>
      </c>
      <c r="E2164" s="6" t="s">
        <v>6007</v>
      </c>
      <c r="F2164" s="435" t="s">
        <v>5681</v>
      </c>
      <c r="G2164" s="444" t="s">
        <v>5278</v>
      </c>
      <c r="H2164" s="432" t="s">
        <v>5449</v>
      </c>
      <c r="I2164" s="503">
        <f t="shared" si="173"/>
        <v>3803.1861483400007</v>
      </c>
      <c r="J2164" s="503">
        <f t="shared" si="174"/>
        <v>807.76550000000009</v>
      </c>
      <c r="K2164" s="371">
        <f t="shared" si="170"/>
        <v>448.79451180000001</v>
      </c>
      <c r="L2164" s="369">
        <f t="shared" si="171"/>
        <v>89.758902360000008</v>
      </c>
      <c r="M2164" s="369" t="s">
        <v>6169</v>
      </c>
      <c r="N2164" s="432" t="s">
        <v>4753</v>
      </c>
      <c r="O2164" s="432" t="s">
        <v>5567</v>
      </c>
      <c r="P2164" s="438" t="s">
        <v>3659</v>
      </c>
      <c r="Q2164" s="481">
        <v>0.2</v>
      </c>
      <c r="R2164" s="438">
        <v>1900004970</v>
      </c>
      <c r="S2164" t="s">
        <v>6017</v>
      </c>
      <c r="T2164" s="2" t="s">
        <v>5915</v>
      </c>
      <c r="U2164" t="s">
        <v>6017</v>
      </c>
    </row>
    <row r="2165" spans="1:21" x14ac:dyDescent="0.35">
      <c r="A2165" s="482" t="s">
        <v>5704</v>
      </c>
      <c r="B2165" s="432" t="s">
        <v>2029</v>
      </c>
      <c r="C2165" s="436">
        <v>43356</v>
      </c>
      <c r="D2165" s="436">
        <v>43360</v>
      </c>
      <c r="E2165" s="6" t="s">
        <v>6008</v>
      </c>
      <c r="F2165" s="435" t="s">
        <v>5681</v>
      </c>
      <c r="G2165" s="444" t="s">
        <v>5278</v>
      </c>
      <c r="H2165" s="432" t="s">
        <v>5449</v>
      </c>
      <c r="I2165" s="503">
        <f t="shared" si="173"/>
        <v>3803.1861483400007</v>
      </c>
      <c r="J2165" s="503">
        <f t="shared" si="174"/>
        <v>807.76550000000009</v>
      </c>
      <c r="K2165" s="371">
        <f t="shared" si="170"/>
        <v>448.79451180000001</v>
      </c>
      <c r="L2165" s="369">
        <f t="shared" si="171"/>
        <v>89.758902360000008</v>
      </c>
      <c r="M2165" s="369" t="s">
        <v>6169</v>
      </c>
      <c r="N2165" s="432" t="s">
        <v>4753</v>
      </c>
      <c r="O2165" s="432" t="s">
        <v>5567</v>
      </c>
      <c r="P2165" s="438" t="s">
        <v>3659</v>
      </c>
      <c r="Q2165" s="481">
        <v>0.2</v>
      </c>
      <c r="R2165" s="438">
        <v>1900004970</v>
      </c>
      <c r="S2165" t="s">
        <v>6018</v>
      </c>
      <c r="T2165" s="2" t="s">
        <v>5915</v>
      </c>
      <c r="U2165" t="s">
        <v>6018</v>
      </c>
    </row>
    <row r="2166" spans="1:21" x14ac:dyDescent="0.35">
      <c r="A2166" s="482" t="s">
        <v>5705</v>
      </c>
      <c r="B2166" s="432" t="s">
        <v>2029</v>
      </c>
      <c r="C2166" s="436">
        <v>43356</v>
      </c>
      <c r="D2166" s="436">
        <v>43360</v>
      </c>
      <c r="E2166" s="6" t="s">
        <v>6009</v>
      </c>
      <c r="F2166" s="435" t="s">
        <v>5681</v>
      </c>
      <c r="G2166" s="444" t="s">
        <v>5278</v>
      </c>
      <c r="H2166" s="432" t="s">
        <v>5449</v>
      </c>
      <c r="I2166" s="503">
        <f t="shared" si="173"/>
        <v>3803.1861483400007</v>
      </c>
      <c r="J2166" s="503">
        <f t="shared" si="174"/>
        <v>807.76550000000009</v>
      </c>
      <c r="K2166" s="371">
        <f t="shared" si="170"/>
        <v>448.79451180000001</v>
      </c>
      <c r="L2166" s="369">
        <f t="shared" si="171"/>
        <v>89.758902360000008</v>
      </c>
      <c r="M2166" s="369" t="s">
        <v>6169</v>
      </c>
      <c r="N2166" s="432" t="s">
        <v>4753</v>
      </c>
      <c r="O2166" s="432" t="s">
        <v>5567</v>
      </c>
      <c r="P2166" s="438" t="s">
        <v>3659</v>
      </c>
      <c r="Q2166" s="481">
        <v>0.2</v>
      </c>
      <c r="R2166" s="438">
        <v>1900004970</v>
      </c>
      <c r="S2166" t="s">
        <v>6019</v>
      </c>
      <c r="T2166" s="2" t="s">
        <v>5915</v>
      </c>
      <c r="U2166" t="s">
        <v>6019</v>
      </c>
    </row>
    <row r="2167" spans="1:21" x14ac:dyDescent="0.35">
      <c r="A2167" s="482" t="s">
        <v>5706</v>
      </c>
      <c r="B2167" s="432" t="s">
        <v>2029</v>
      </c>
      <c r="C2167" s="436">
        <v>43356</v>
      </c>
      <c r="D2167" s="436">
        <v>43360</v>
      </c>
      <c r="E2167" s="6" t="s">
        <v>6010</v>
      </c>
      <c r="F2167" s="435" t="s">
        <v>5681</v>
      </c>
      <c r="G2167" s="444" t="s">
        <v>5278</v>
      </c>
      <c r="H2167" s="432" t="s">
        <v>5449</v>
      </c>
      <c r="I2167" s="503">
        <f t="shared" si="173"/>
        <v>3803.1861483400007</v>
      </c>
      <c r="J2167" s="503">
        <f t="shared" si="174"/>
        <v>807.76550000000009</v>
      </c>
      <c r="K2167" s="371">
        <f t="shared" si="170"/>
        <v>448.79451180000001</v>
      </c>
      <c r="L2167" s="369">
        <f t="shared" si="171"/>
        <v>89.758902360000008</v>
      </c>
      <c r="M2167" s="369" t="s">
        <v>6169</v>
      </c>
      <c r="N2167" s="432" t="s">
        <v>4753</v>
      </c>
      <c r="O2167" s="432" t="s">
        <v>5567</v>
      </c>
      <c r="P2167" s="438" t="s">
        <v>3659</v>
      </c>
      <c r="Q2167" s="481">
        <v>0.2</v>
      </c>
      <c r="R2167" s="438">
        <v>1900004970</v>
      </c>
      <c r="S2167" t="s">
        <v>6020</v>
      </c>
      <c r="T2167" s="2" t="s">
        <v>5915</v>
      </c>
      <c r="U2167" t="s">
        <v>6020</v>
      </c>
    </row>
    <row r="2168" spans="1:21" x14ac:dyDescent="0.35">
      <c r="A2168" s="482" t="s">
        <v>5707</v>
      </c>
      <c r="B2168" s="432" t="s">
        <v>2029</v>
      </c>
      <c r="C2168" s="436">
        <v>43356</v>
      </c>
      <c r="D2168" s="436">
        <v>43360</v>
      </c>
      <c r="E2168" s="6" t="s">
        <v>6011</v>
      </c>
      <c r="F2168" s="435" t="s">
        <v>5681</v>
      </c>
      <c r="G2168" s="444" t="s">
        <v>5278</v>
      </c>
      <c r="H2168" s="432" t="s">
        <v>5449</v>
      </c>
      <c r="I2168" s="503">
        <f t="shared" si="173"/>
        <v>3803.1861483400007</v>
      </c>
      <c r="J2168" s="503">
        <f t="shared" si="174"/>
        <v>807.76550000000009</v>
      </c>
      <c r="K2168" s="371">
        <f t="shared" si="170"/>
        <v>448.79451180000001</v>
      </c>
      <c r="L2168" s="369">
        <f t="shared" si="171"/>
        <v>89.758902360000008</v>
      </c>
      <c r="M2168" s="369" t="s">
        <v>6169</v>
      </c>
      <c r="N2168" s="432" t="s">
        <v>4753</v>
      </c>
      <c r="O2168" s="432" t="s">
        <v>5567</v>
      </c>
      <c r="P2168" s="438" t="s">
        <v>3659</v>
      </c>
      <c r="Q2168" s="481">
        <v>0.2</v>
      </c>
      <c r="R2168" s="438">
        <v>1900004970</v>
      </c>
      <c r="S2168" t="s">
        <v>6021</v>
      </c>
      <c r="T2168" s="2" t="s">
        <v>5915</v>
      </c>
      <c r="U2168" t="s">
        <v>6021</v>
      </c>
    </row>
    <row r="2169" spans="1:21" x14ac:dyDescent="0.35">
      <c r="A2169" s="482" t="s">
        <v>5708</v>
      </c>
      <c r="B2169" s="432" t="s">
        <v>2029</v>
      </c>
      <c r="C2169" s="436">
        <v>43356</v>
      </c>
      <c r="D2169" s="436">
        <v>43360</v>
      </c>
      <c r="E2169" s="6" t="s">
        <v>6012</v>
      </c>
      <c r="F2169" s="435" t="s">
        <v>5681</v>
      </c>
      <c r="G2169" s="444" t="s">
        <v>5278</v>
      </c>
      <c r="H2169" s="432" t="s">
        <v>5449</v>
      </c>
      <c r="I2169" s="503">
        <f t="shared" si="173"/>
        <v>3803.1861483400007</v>
      </c>
      <c r="J2169" s="503">
        <f t="shared" si="174"/>
        <v>807.76550000000009</v>
      </c>
      <c r="K2169" s="371">
        <f t="shared" si="170"/>
        <v>448.79451180000001</v>
      </c>
      <c r="L2169" s="369">
        <f t="shared" si="171"/>
        <v>89.758902360000008</v>
      </c>
      <c r="M2169" s="369" t="s">
        <v>6169</v>
      </c>
      <c r="N2169" s="432" t="s">
        <v>4753</v>
      </c>
      <c r="O2169" s="432" t="s">
        <v>5567</v>
      </c>
      <c r="P2169" s="438" t="s">
        <v>3659</v>
      </c>
      <c r="Q2169" s="481">
        <v>0.2</v>
      </c>
      <c r="R2169" s="438">
        <v>1900004970</v>
      </c>
      <c r="S2169" t="s">
        <v>6022</v>
      </c>
      <c r="T2169" s="2" t="s">
        <v>5915</v>
      </c>
      <c r="U2169" t="s">
        <v>6022</v>
      </c>
    </row>
    <row r="2170" spans="1:21" x14ac:dyDescent="0.35">
      <c r="A2170" s="482" t="s">
        <v>5709</v>
      </c>
      <c r="B2170" s="432" t="s">
        <v>2029</v>
      </c>
      <c r="C2170" s="436">
        <v>43356</v>
      </c>
      <c r="D2170" s="436">
        <v>43360</v>
      </c>
      <c r="E2170" s="6" t="s">
        <v>6013</v>
      </c>
      <c r="F2170" s="435" t="s">
        <v>5681</v>
      </c>
      <c r="G2170" s="444" t="s">
        <v>5278</v>
      </c>
      <c r="H2170" s="432" t="s">
        <v>5449</v>
      </c>
      <c r="I2170" s="503">
        <f t="shared" si="173"/>
        <v>3803.1861483400007</v>
      </c>
      <c r="J2170" s="503">
        <f t="shared" si="174"/>
        <v>807.76550000000009</v>
      </c>
      <c r="K2170" s="371">
        <f t="shared" si="170"/>
        <v>448.79451180000001</v>
      </c>
      <c r="L2170" s="369">
        <f t="shared" si="171"/>
        <v>89.758902360000008</v>
      </c>
      <c r="M2170" s="369" t="s">
        <v>6169</v>
      </c>
      <c r="N2170" s="432" t="s">
        <v>4753</v>
      </c>
      <c r="O2170" s="432" t="s">
        <v>5567</v>
      </c>
      <c r="P2170" s="438" t="s">
        <v>3659</v>
      </c>
      <c r="Q2170" s="481">
        <v>0.2</v>
      </c>
      <c r="R2170" s="438">
        <v>1900004970</v>
      </c>
      <c r="S2170" t="s">
        <v>6023</v>
      </c>
      <c r="T2170" s="2" t="s">
        <v>5915</v>
      </c>
      <c r="U2170" t="s">
        <v>6023</v>
      </c>
    </row>
    <row r="2171" spans="1:21" x14ac:dyDescent="0.35">
      <c r="A2171" s="482" t="s">
        <v>5710</v>
      </c>
      <c r="B2171" s="432" t="s">
        <v>2029</v>
      </c>
      <c r="C2171" s="436">
        <v>43356</v>
      </c>
      <c r="D2171" s="436">
        <v>43360</v>
      </c>
      <c r="E2171" s="6" t="s">
        <v>6014</v>
      </c>
      <c r="F2171" s="435" t="s">
        <v>5681</v>
      </c>
      <c r="G2171" s="444" t="s">
        <v>5278</v>
      </c>
      <c r="H2171" s="432" t="s">
        <v>5449</v>
      </c>
      <c r="I2171" s="503">
        <f t="shared" si="173"/>
        <v>3803.1861483400007</v>
      </c>
      <c r="J2171" s="503">
        <f t="shared" si="174"/>
        <v>807.76550000000009</v>
      </c>
      <c r="K2171" s="371">
        <f t="shared" si="170"/>
        <v>448.79451180000001</v>
      </c>
      <c r="L2171" s="369">
        <f t="shared" si="171"/>
        <v>89.758902360000008</v>
      </c>
      <c r="M2171" s="369" t="s">
        <v>6169</v>
      </c>
      <c r="N2171" s="432" t="s">
        <v>4753</v>
      </c>
      <c r="O2171" s="432" t="s">
        <v>5567</v>
      </c>
      <c r="P2171" s="438" t="s">
        <v>3659</v>
      </c>
      <c r="Q2171" s="481">
        <v>0.2</v>
      </c>
      <c r="R2171" s="438">
        <v>1900004970</v>
      </c>
      <c r="S2171" t="s">
        <v>6024</v>
      </c>
      <c r="T2171" s="2" t="s">
        <v>5915</v>
      </c>
      <c r="U2171" t="s">
        <v>6024</v>
      </c>
    </row>
    <row r="2172" spans="1:21" x14ac:dyDescent="0.35">
      <c r="A2172" s="482" t="s">
        <v>5711</v>
      </c>
      <c r="B2172" s="432" t="s">
        <v>2029</v>
      </c>
      <c r="C2172" s="436">
        <v>43356</v>
      </c>
      <c r="D2172" s="436">
        <v>43360</v>
      </c>
      <c r="E2172" s="6" t="s">
        <v>6015</v>
      </c>
      <c r="F2172" s="435" t="s">
        <v>5681</v>
      </c>
      <c r="G2172" s="444" t="s">
        <v>5278</v>
      </c>
      <c r="H2172" s="432" t="s">
        <v>5449</v>
      </c>
      <c r="I2172" s="503">
        <f t="shared" si="173"/>
        <v>3803.1861483400007</v>
      </c>
      <c r="J2172" s="503">
        <f t="shared" si="174"/>
        <v>807.76550000000009</v>
      </c>
      <c r="K2172" s="371">
        <f t="shared" si="170"/>
        <v>448.79451180000001</v>
      </c>
      <c r="L2172" s="369">
        <f t="shared" si="171"/>
        <v>89.758902360000008</v>
      </c>
      <c r="M2172" s="369" t="s">
        <v>6169</v>
      </c>
      <c r="N2172" s="432" t="s">
        <v>4753</v>
      </c>
      <c r="O2172" s="432" t="s">
        <v>5567</v>
      </c>
      <c r="P2172" s="438" t="s">
        <v>3659</v>
      </c>
      <c r="Q2172" s="481">
        <v>0.2</v>
      </c>
      <c r="R2172" s="438">
        <v>1900004970</v>
      </c>
      <c r="S2172" t="s">
        <v>6025</v>
      </c>
      <c r="T2172" s="2" t="s">
        <v>5915</v>
      </c>
      <c r="U2172" t="s">
        <v>6025</v>
      </c>
    </row>
    <row r="2173" spans="1:21" x14ac:dyDescent="0.35">
      <c r="A2173" s="482" t="s">
        <v>5712</v>
      </c>
      <c r="B2173" s="432" t="s">
        <v>2029</v>
      </c>
      <c r="C2173" s="436">
        <v>43356</v>
      </c>
      <c r="D2173" s="436">
        <v>43360</v>
      </c>
      <c r="E2173" s="6" t="s">
        <v>6016</v>
      </c>
      <c r="F2173" s="435" t="s">
        <v>5681</v>
      </c>
      <c r="G2173" s="444" t="s">
        <v>5278</v>
      </c>
      <c r="H2173" s="432" t="s">
        <v>5449</v>
      </c>
      <c r="I2173" s="503">
        <f t="shared" si="173"/>
        <v>3803.1861483400007</v>
      </c>
      <c r="J2173" s="503">
        <f t="shared" si="174"/>
        <v>807.76550000000009</v>
      </c>
      <c r="K2173" s="371">
        <f t="shared" si="170"/>
        <v>448.79451180000001</v>
      </c>
      <c r="L2173" s="369">
        <f t="shared" si="171"/>
        <v>89.758902360000008</v>
      </c>
      <c r="M2173" s="369" t="s">
        <v>6169</v>
      </c>
      <c r="N2173" s="432" t="s">
        <v>4753</v>
      </c>
      <c r="O2173" s="432" t="s">
        <v>5567</v>
      </c>
      <c r="P2173" s="438" t="s">
        <v>3659</v>
      </c>
      <c r="Q2173" s="481">
        <v>0.2</v>
      </c>
      <c r="R2173" s="438">
        <v>1900004970</v>
      </c>
      <c r="S2173" t="s">
        <v>6026</v>
      </c>
      <c r="T2173" s="2" t="s">
        <v>5915</v>
      </c>
      <c r="U2173" t="s">
        <v>6026</v>
      </c>
    </row>
    <row r="2174" spans="1:21" x14ac:dyDescent="0.35">
      <c r="A2174" s="482" t="s">
        <v>5713</v>
      </c>
      <c r="B2174" s="432" t="s">
        <v>2029</v>
      </c>
      <c r="C2174" s="436">
        <v>43356</v>
      </c>
      <c r="D2174" s="436">
        <v>43360</v>
      </c>
      <c r="E2174" s="6" t="s">
        <v>6027</v>
      </c>
      <c r="F2174" s="435" t="s">
        <v>5681</v>
      </c>
      <c r="G2174" s="444" t="s">
        <v>5278</v>
      </c>
      <c r="H2174" s="432" t="s">
        <v>5449</v>
      </c>
      <c r="I2174" s="503">
        <f t="shared" si="173"/>
        <v>3803.1861483400007</v>
      </c>
      <c r="J2174" s="503">
        <f t="shared" si="174"/>
        <v>807.76550000000009</v>
      </c>
      <c r="K2174" s="371">
        <f t="shared" si="170"/>
        <v>448.79451180000001</v>
      </c>
      <c r="L2174" s="369">
        <f t="shared" si="171"/>
        <v>89.758902360000008</v>
      </c>
      <c r="M2174" s="369" t="s">
        <v>6169</v>
      </c>
      <c r="N2174" s="432" t="s">
        <v>4753</v>
      </c>
      <c r="O2174" s="432" t="s">
        <v>5567</v>
      </c>
      <c r="P2174" s="438" t="s">
        <v>3659</v>
      </c>
      <c r="Q2174" s="481">
        <v>0.2</v>
      </c>
      <c r="R2174" s="438">
        <v>1900004970</v>
      </c>
      <c r="S2174" t="s">
        <v>6032</v>
      </c>
      <c r="T2174" s="2" t="s">
        <v>5915</v>
      </c>
      <c r="U2174" t="s">
        <v>6032</v>
      </c>
    </row>
    <row r="2175" spans="1:21" x14ac:dyDescent="0.35">
      <c r="A2175" s="482" t="s">
        <v>5714</v>
      </c>
      <c r="B2175" s="432" t="s">
        <v>2029</v>
      </c>
      <c r="C2175" s="436">
        <v>43356</v>
      </c>
      <c r="D2175" s="436">
        <v>43360</v>
      </c>
      <c r="E2175" s="6" t="s">
        <v>6028</v>
      </c>
      <c r="F2175" s="435" t="s">
        <v>5681</v>
      </c>
      <c r="G2175" s="444" t="s">
        <v>5278</v>
      </c>
      <c r="H2175" s="432" t="s">
        <v>5449</v>
      </c>
      <c r="I2175" s="503">
        <f t="shared" si="173"/>
        <v>3803.1861483400007</v>
      </c>
      <c r="J2175" s="503">
        <f t="shared" si="174"/>
        <v>807.76550000000009</v>
      </c>
      <c r="K2175" s="371">
        <f t="shared" si="170"/>
        <v>448.79451180000001</v>
      </c>
      <c r="L2175" s="369">
        <f t="shared" si="171"/>
        <v>89.758902360000008</v>
      </c>
      <c r="M2175" s="369" t="s">
        <v>6169</v>
      </c>
      <c r="N2175" s="432" t="s">
        <v>4753</v>
      </c>
      <c r="O2175" s="432" t="s">
        <v>5567</v>
      </c>
      <c r="P2175" s="438" t="s">
        <v>3659</v>
      </c>
      <c r="Q2175" s="481">
        <v>0.2</v>
      </c>
      <c r="R2175" s="438">
        <v>1900004970</v>
      </c>
      <c r="S2175" t="s">
        <v>6033</v>
      </c>
      <c r="T2175" s="2" t="s">
        <v>5915</v>
      </c>
      <c r="U2175" t="s">
        <v>6033</v>
      </c>
    </row>
    <row r="2176" spans="1:21" x14ac:dyDescent="0.35">
      <c r="A2176" s="482" t="s">
        <v>5715</v>
      </c>
      <c r="B2176" s="432" t="s">
        <v>2029</v>
      </c>
      <c r="C2176" s="436">
        <v>43356</v>
      </c>
      <c r="D2176" s="436">
        <v>43360</v>
      </c>
      <c r="E2176" s="6" t="s">
        <v>6029</v>
      </c>
      <c r="F2176" s="435" t="s">
        <v>5681</v>
      </c>
      <c r="G2176" s="444" t="s">
        <v>5278</v>
      </c>
      <c r="H2176" s="432" t="s">
        <v>5449</v>
      </c>
      <c r="I2176" s="503">
        <f t="shared" si="173"/>
        <v>3803.1861483400007</v>
      </c>
      <c r="J2176" s="503">
        <f t="shared" si="174"/>
        <v>807.76550000000009</v>
      </c>
      <c r="K2176" s="371">
        <f t="shared" si="170"/>
        <v>448.79451180000001</v>
      </c>
      <c r="L2176" s="369">
        <f t="shared" si="171"/>
        <v>89.758902360000008</v>
      </c>
      <c r="M2176" s="369" t="s">
        <v>6169</v>
      </c>
      <c r="N2176" s="432" t="s">
        <v>4753</v>
      </c>
      <c r="O2176" s="432" t="s">
        <v>5567</v>
      </c>
      <c r="P2176" s="438" t="s">
        <v>3659</v>
      </c>
      <c r="Q2176" s="481">
        <v>0.2</v>
      </c>
      <c r="R2176" s="438">
        <v>1900004970</v>
      </c>
      <c r="S2176" t="s">
        <v>6034</v>
      </c>
      <c r="T2176" s="2" t="s">
        <v>5915</v>
      </c>
      <c r="U2176" t="s">
        <v>6034</v>
      </c>
    </row>
    <row r="2177" spans="1:21" x14ac:dyDescent="0.35">
      <c r="A2177" s="482" t="s">
        <v>5716</v>
      </c>
      <c r="B2177" s="432" t="s">
        <v>2029</v>
      </c>
      <c r="C2177" s="436">
        <v>43356</v>
      </c>
      <c r="D2177" s="436">
        <v>43360</v>
      </c>
      <c r="E2177" s="6" t="s">
        <v>6030</v>
      </c>
      <c r="F2177" s="435" t="s">
        <v>5681</v>
      </c>
      <c r="G2177" s="444" t="s">
        <v>5278</v>
      </c>
      <c r="H2177" s="432" t="s">
        <v>5449</v>
      </c>
      <c r="I2177" s="503">
        <f t="shared" si="173"/>
        <v>3803.1861483400007</v>
      </c>
      <c r="J2177" s="503">
        <f t="shared" si="174"/>
        <v>807.76550000000009</v>
      </c>
      <c r="K2177" s="371">
        <f t="shared" si="170"/>
        <v>448.79451180000001</v>
      </c>
      <c r="L2177" s="369">
        <f t="shared" si="171"/>
        <v>89.758902360000008</v>
      </c>
      <c r="M2177" s="369" t="s">
        <v>6169</v>
      </c>
      <c r="N2177" s="432" t="s">
        <v>4753</v>
      </c>
      <c r="O2177" s="432" t="s">
        <v>5567</v>
      </c>
      <c r="P2177" s="438" t="s">
        <v>3659</v>
      </c>
      <c r="Q2177" s="481">
        <v>0.2</v>
      </c>
      <c r="R2177" s="438">
        <v>1900004970</v>
      </c>
      <c r="S2177" t="s">
        <v>6035</v>
      </c>
      <c r="T2177" s="2" t="s">
        <v>5915</v>
      </c>
      <c r="U2177" t="s">
        <v>6035</v>
      </c>
    </row>
    <row r="2178" spans="1:21" x14ac:dyDescent="0.35">
      <c r="A2178" s="482" t="s">
        <v>5717</v>
      </c>
      <c r="B2178" s="432" t="s">
        <v>2029</v>
      </c>
      <c r="C2178" s="436">
        <v>43356</v>
      </c>
      <c r="D2178" s="436">
        <v>43360</v>
      </c>
      <c r="E2178" s="6" t="s">
        <v>6031</v>
      </c>
      <c r="F2178" s="435" t="s">
        <v>5681</v>
      </c>
      <c r="G2178" s="444" t="s">
        <v>5278</v>
      </c>
      <c r="H2178" s="432" t="s">
        <v>5449</v>
      </c>
      <c r="I2178" s="503">
        <f t="shared" si="173"/>
        <v>3803.1861483400007</v>
      </c>
      <c r="J2178" s="503">
        <f t="shared" si="174"/>
        <v>807.76550000000009</v>
      </c>
      <c r="K2178" s="371">
        <f t="shared" si="170"/>
        <v>448.79451180000001</v>
      </c>
      <c r="L2178" s="369">
        <f t="shared" si="171"/>
        <v>89.758902360000008</v>
      </c>
      <c r="M2178" s="369" t="s">
        <v>6169</v>
      </c>
      <c r="N2178" s="432" t="s">
        <v>4753</v>
      </c>
      <c r="O2178" s="432" t="s">
        <v>5567</v>
      </c>
      <c r="P2178" s="438" t="s">
        <v>3659</v>
      </c>
      <c r="Q2178" s="481">
        <v>0.2</v>
      </c>
      <c r="R2178" s="438">
        <v>1900004970</v>
      </c>
      <c r="S2178" t="s">
        <v>6036</v>
      </c>
      <c r="T2178" s="2" t="s">
        <v>5915</v>
      </c>
      <c r="U2178" t="s">
        <v>6036</v>
      </c>
    </row>
    <row r="2179" spans="1:21" ht="16" x14ac:dyDescent="0.4">
      <c r="A2179" s="482" t="s">
        <v>5718</v>
      </c>
      <c r="B2179" s="432" t="s">
        <v>2029</v>
      </c>
      <c r="C2179" s="436">
        <v>43356</v>
      </c>
      <c r="D2179" s="436">
        <v>43360</v>
      </c>
      <c r="E2179" s="554" t="s">
        <v>6001</v>
      </c>
      <c r="F2179" s="435" t="s">
        <v>5681</v>
      </c>
      <c r="G2179" s="444" t="s">
        <v>5278</v>
      </c>
      <c r="H2179" s="432" t="s">
        <v>5449</v>
      </c>
      <c r="I2179" s="503">
        <f t="shared" si="173"/>
        <v>3803.1861483400007</v>
      </c>
      <c r="J2179" s="503">
        <f t="shared" si="174"/>
        <v>807.76550000000009</v>
      </c>
      <c r="K2179" s="371">
        <f t="shared" si="170"/>
        <v>448.79451180000001</v>
      </c>
      <c r="L2179" s="369">
        <f t="shared" si="171"/>
        <v>89.758902360000008</v>
      </c>
      <c r="M2179" s="369" t="s">
        <v>6169</v>
      </c>
      <c r="N2179" s="432" t="s">
        <v>4753</v>
      </c>
      <c r="O2179" s="432" t="s">
        <v>5567</v>
      </c>
      <c r="P2179" s="438" t="s">
        <v>3659</v>
      </c>
      <c r="Q2179" s="481">
        <v>0.2</v>
      </c>
      <c r="R2179" s="438">
        <v>1900004970</v>
      </c>
      <c r="S2179" s="553" t="s">
        <v>6004</v>
      </c>
      <c r="T2179" s="2" t="s">
        <v>5915</v>
      </c>
      <c r="U2179" s="9" t="s">
        <v>6004</v>
      </c>
    </row>
    <row r="2180" spans="1:21" ht="16" x14ac:dyDescent="0.4">
      <c r="A2180" s="482" t="s">
        <v>5719</v>
      </c>
      <c r="B2180" s="432" t="s">
        <v>2029</v>
      </c>
      <c r="C2180" s="436">
        <v>43356</v>
      </c>
      <c r="D2180" s="436">
        <v>43360</v>
      </c>
      <c r="E2180" s="555" t="s">
        <v>6002</v>
      </c>
      <c r="F2180" s="435" t="s">
        <v>5681</v>
      </c>
      <c r="G2180" s="444" t="s">
        <v>5278</v>
      </c>
      <c r="H2180" s="432" t="s">
        <v>5449</v>
      </c>
      <c r="I2180" s="503">
        <f t="shared" si="173"/>
        <v>3803.1861483400007</v>
      </c>
      <c r="J2180" s="503">
        <f t="shared" si="174"/>
        <v>807.76550000000009</v>
      </c>
      <c r="K2180" s="371">
        <f t="shared" si="170"/>
        <v>448.79451180000001</v>
      </c>
      <c r="L2180" s="369">
        <f t="shared" si="171"/>
        <v>89.758902360000008</v>
      </c>
      <c r="M2180" s="369" t="s">
        <v>6169</v>
      </c>
      <c r="N2180" s="432" t="s">
        <v>4753</v>
      </c>
      <c r="O2180" s="432" t="s">
        <v>5567</v>
      </c>
      <c r="P2180" s="438" t="s">
        <v>3659</v>
      </c>
      <c r="Q2180" s="481">
        <v>0.2</v>
      </c>
      <c r="R2180" s="438">
        <v>1900004970</v>
      </c>
      <c r="S2180" s="552" t="s">
        <v>6005</v>
      </c>
      <c r="T2180" s="2" t="s">
        <v>5915</v>
      </c>
      <c r="U2180" s="9" t="s">
        <v>6005</v>
      </c>
    </row>
    <row r="2181" spans="1:21" ht="16" x14ac:dyDescent="0.4">
      <c r="A2181" s="482" t="s">
        <v>5720</v>
      </c>
      <c r="B2181" s="432" t="s">
        <v>2029</v>
      </c>
      <c r="C2181" s="436">
        <v>43356</v>
      </c>
      <c r="D2181" s="436">
        <v>43360</v>
      </c>
      <c r="E2181" s="555" t="s">
        <v>6003</v>
      </c>
      <c r="F2181" s="435" t="s">
        <v>5681</v>
      </c>
      <c r="G2181" s="444" t="s">
        <v>5278</v>
      </c>
      <c r="H2181" s="432" t="s">
        <v>5449</v>
      </c>
      <c r="I2181" s="503">
        <f t="shared" si="173"/>
        <v>3803.1861483400007</v>
      </c>
      <c r="J2181" s="503">
        <f t="shared" si="174"/>
        <v>807.76550000000009</v>
      </c>
      <c r="K2181" s="371">
        <f t="shared" si="170"/>
        <v>448.79451180000001</v>
      </c>
      <c r="L2181" s="369">
        <f t="shared" si="171"/>
        <v>89.758902360000008</v>
      </c>
      <c r="M2181" s="369" t="s">
        <v>6169</v>
      </c>
      <c r="N2181" s="432" t="s">
        <v>4753</v>
      </c>
      <c r="O2181" s="432" t="s">
        <v>5567</v>
      </c>
      <c r="P2181" s="438" t="s">
        <v>3659</v>
      </c>
      <c r="Q2181" s="481">
        <v>0.2</v>
      </c>
      <c r="R2181" s="438">
        <v>1900004970</v>
      </c>
      <c r="S2181" s="552" t="s">
        <v>6006</v>
      </c>
      <c r="T2181" s="2" t="s">
        <v>5915</v>
      </c>
      <c r="U2181" s="9" t="s">
        <v>6006</v>
      </c>
    </row>
    <row r="2182" spans="1:21" x14ac:dyDescent="0.35">
      <c r="A2182" s="482" t="s">
        <v>5721</v>
      </c>
      <c r="B2182" s="432" t="s">
        <v>2029</v>
      </c>
      <c r="C2182" s="436">
        <v>43356</v>
      </c>
      <c r="D2182" s="436">
        <v>43360</v>
      </c>
      <c r="E2182" s="436" t="s">
        <v>2087</v>
      </c>
      <c r="F2182" s="435" t="s">
        <v>5681</v>
      </c>
      <c r="G2182" s="433" t="s">
        <v>5278</v>
      </c>
      <c r="H2182" s="432" t="s">
        <v>5449</v>
      </c>
      <c r="I2182" s="503">
        <f t="shared" si="173"/>
        <v>3237.2391216400001</v>
      </c>
      <c r="J2182" s="503">
        <f t="shared" ref="J2182:J2221" si="175">585.16*1.175</f>
        <v>687.56299999999999</v>
      </c>
      <c r="K2182" s="371">
        <f t="shared" si="170"/>
        <v>382.0100028</v>
      </c>
      <c r="L2182" s="369">
        <f t="shared" si="171"/>
        <v>76.402000560000005</v>
      </c>
      <c r="M2182" s="369" t="s">
        <v>6169</v>
      </c>
      <c r="N2182" s="432" t="s">
        <v>4753</v>
      </c>
      <c r="O2182" s="432" t="s">
        <v>5567</v>
      </c>
      <c r="P2182" s="438" t="s">
        <v>3659</v>
      </c>
      <c r="Q2182" s="481">
        <v>0.2</v>
      </c>
      <c r="R2182" s="438">
        <v>1900004970</v>
      </c>
      <c r="S2182" s="466" t="s">
        <v>907</v>
      </c>
      <c r="T2182" s="2" t="s">
        <v>5915</v>
      </c>
      <c r="U2182" s="9" t="s">
        <v>907</v>
      </c>
    </row>
    <row r="2183" spans="1:21" x14ac:dyDescent="0.35">
      <c r="A2183" s="482" t="s">
        <v>5722</v>
      </c>
      <c r="B2183" s="432" t="s">
        <v>2029</v>
      </c>
      <c r="C2183" s="436">
        <v>43356</v>
      </c>
      <c r="D2183" s="436">
        <v>43360</v>
      </c>
      <c r="E2183" s="436" t="s">
        <v>2089</v>
      </c>
      <c r="F2183" s="435" t="s">
        <v>5681</v>
      </c>
      <c r="G2183" s="433" t="s">
        <v>5278</v>
      </c>
      <c r="H2183" s="432" t="s">
        <v>5449</v>
      </c>
      <c r="I2183" s="503">
        <f t="shared" si="173"/>
        <v>3237.2391216400001</v>
      </c>
      <c r="J2183" s="503">
        <f t="shared" si="175"/>
        <v>687.56299999999999</v>
      </c>
      <c r="K2183" s="371">
        <f t="shared" si="170"/>
        <v>382.0100028</v>
      </c>
      <c r="L2183" s="369">
        <f t="shared" si="171"/>
        <v>76.402000560000005</v>
      </c>
      <c r="M2183" s="369" t="s">
        <v>6169</v>
      </c>
      <c r="N2183" s="432" t="s">
        <v>4753</v>
      </c>
      <c r="O2183" s="432" t="s">
        <v>5567</v>
      </c>
      <c r="P2183" s="438" t="s">
        <v>3659</v>
      </c>
      <c r="Q2183" s="481">
        <v>0.2</v>
      </c>
      <c r="R2183" s="438">
        <v>1900004970</v>
      </c>
      <c r="S2183" s="466" t="s">
        <v>910</v>
      </c>
      <c r="T2183" s="2" t="s">
        <v>5915</v>
      </c>
      <c r="U2183" s="9" t="s">
        <v>910</v>
      </c>
    </row>
    <row r="2184" spans="1:21" x14ac:dyDescent="0.35">
      <c r="A2184" s="482" t="s">
        <v>5723</v>
      </c>
      <c r="B2184" s="432" t="s">
        <v>2029</v>
      </c>
      <c r="C2184" s="436">
        <v>43356</v>
      </c>
      <c r="D2184" s="436">
        <v>43360</v>
      </c>
      <c r="E2184" s="436" t="s">
        <v>2091</v>
      </c>
      <c r="F2184" s="435" t="s">
        <v>5681</v>
      </c>
      <c r="G2184" s="433" t="s">
        <v>5278</v>
      </c>
      <c r="H2184" s="432" t="s">
        <v>5449</v>
      </c>
      <c r="I2184" s="503">
        <f t="shared" si="173"/>
        <v>3237.2391216400001</v>
      </c>
      <c r="J2184" s="503">
        <f t="shared" si="175"/>
        <v>687.56299999999999</v>
      </c>
      <c r="K2184" s="371">
        <f t="shared" si="170"/>
        <v>382.0100028</v>
      </c>
      <c r="L2184" s="369">
        <f t="shared" si="171"/>
        <v>76.402000560000005</v>
      </c>
      <c r="M2184" s="369" t="s">
        <v>6169</v>
      </c>
      <c r="N2184" s="432" t="s">
        <v>4753</v>
      </c>
      <c r="O2184" s="432" t="s">
        <v>5567</v>
      </c>
      <c r="P2184" s="438" t="s">
        <v>3659</v>
      </c>
      <c r="Q2184" s="481">
        <v>0.2</v>
      </c>
      <c r="R2184" s="438">
        <v>1900004970</v>
      </c>
      <c r="S2184" s="466" t="s">
        <v>415</v>
      </c>
      <c r="T2184" s="2" t="s">
        <v>5915</v>
      </c>
      <c r="U2184" s="9" t="s">
        <v>415</v>
      </c>
    </row>
    <row r="2185" spans="1:21" x14ac:dyDescent="0.35">
      <c r="A2185" s="482" t="s">
        <v>5724</v>
      </c>
      <c r="B2185" s="432" t="s">
        <v>2029</v>
      </c>
      <c r="C2185" s="436">
        <v>43356</v>
      </c>
      <c r="D2185" s="436">
        <v>43360</v>
      </c>
      <c r="E2185" s="436" t="s">
        <v>2093</v>
      </c>
      <c r="F2185" s="435" t="s">
        <v>5681</v>
      </c>
      <c r="G2185" s="433" t="s">
        <v>5278</v>
      </c>
      <c r="H2185" s="432" t="s">
        <v>5449</v>
      </c>
      <c r="I2185" s="503">
        <f t="shared" si="173"/>
        <v>3237.2391216400001</v>
      </c>
      <c r="J2185" s="503">
        <f t="shared" si="175"/>
        <v>687.56299999999999</v>
      </c>
      <c r="K2185" s="371">
        <f t="shared" si="170"/>
        <v>382.0100028</v>
      </c>
      <c r="L2185" s="369">
        <f t="shared" si="171"/>
        <v>76.402000560000005</v>
      </c>
      <c r="M2185" s="369" t="s">
        <v>6169</v>
      </c>
      <c r="N2185" s="432" t="s">
        <v>4753</v>
      </c>
      <c r="O2185" s="432" t="s">
        <v>5567</v>
      </c>
      <c r="P2185" s="438" t="s">
        <v>3659</v>
      </c>
      <c r="Q2185" s="481">
        <v>0.2</v>
      </c>
      <c r="R2185" s="438">
        <v>1900004970</v>
      </c>
      <c r="S2185" s="466" t="s">
        <v>432</v>
      </c>
      <c r="T2185" s="2" t="s">
        <v>5915</v>
      </c>
      <c r="U2185" s="9" t="s">
        <v>432</v>
      </c>
    </row>
    <row r="2186" spans="1:21" x14ac:dyDescent="0.35">
      <c r="A2186" s="482" t="s">
        <v>5725</v>
      </c>
      <c r="B2186" s="432" t="s">
        <v>2029</v>
      </c>
      <c r="C2186" s="436">
        <v>43356</v>
      </c>
      <c r="D2186" s="436">
        <v>43360</v>
      </c>
      <c r="E2186" s="436" t="s">
        <v>2095</v>
      </c>
      <c r="F2186" s="435" t="s">
        <v>5681</v>
      </c>
      <c r="G2186" s="433" t="s">
        <v>5278</v>
      </c>
      <c r="H2186" s="432" t="s">
        <v>5449</v>
      </c>
      <c r="I2186" s="503">
        <f t="shared" si="173"/>
        <v>3237.2391216400001</v>
      </c>
      <c r="J2186" s="503">
        <f t="shared" si="175"/>
        <v>687.56299999999999</v>
      </c>
      <c r="K2186" s="371">
        <f t="shared" si="170"/>
        <v>382.0100028</v>
      </c>
      <c r="L2186" s="369">
        <f t="shared" si="171"/>
        <v>76.402000560000005</v>
      </c>
      <c r="M2186" s="369" t="s">
        <v>6169</v>
      </c>
      <c r="N2186" s="432" t="s">
        <v>4753</v>
      </c>
      <c r="O2186" s="432" t="s">
        <v>5567</v>
      </c>
      <c r="P2186" s="438" t="s">
        <v>3659</v>
      </c>
      <c r="Q2186" s="481">
        <v>0.2</v>
      </c>
      <c r="R2186" s="438">
        <v>1900004970</v>
      </c>
      <c r="S2186" s="466" t="s">
        <v>588</v>
      </c>
      <c r="T2186" s="2" t="s">
        <v>5915</v>
      </c>
      <c r="U2186" s="9" t="s">
        <v>588</v>
      </c>
    </row>
    <row r="2187" spans="1:21" x14ac:dyDescent="0.35">
      <c r="A2187" s="482" t="s">
        <v>5726</v>
      </c>
      <c r="B2187" s="432" t="s">
        <v>2029</v>
      </c>
      <c r="C2187" s="436">
        <v>43356</v>
      </c>
      <c r="D2187" s="436">
        <v>43360</v>
      </c>
      <c r="E2187" s="436" t="s">
        <v>2096</v>
      </c>
      <c r="F2187" s="435" t="s">
        <v>5681</v>
      </c>
      <c r="G2187" s="433" t="s">
        <v>5278</v>
      </c>
      <c r="H2187" s="432" t="s">
        <v>5449</v>
      </c>
      <c r="I2187" s="503">
        <f t="shared" si="173"/>
        <v>3237.2391216400001</v>
      </c>
      <c r="J2187" s="503">
        <f t="shared" si="175"/>
        <v>687.56299999999999</v>
      </c>
      <c r="K2187" s="371">
        <f t="shared" si="170"/>
        <v>382.0100028</v>
      </c>
      <c r="L2187" s="369">
        <f t="shared" si="171"/>
        <v>76.402000560000005</v>
      </c>
      <c r="M2187" s="369" t="s">
        <v>6169</v>
      </c>
      <c r="N2187" s="432" t="s">
        <v>4753</v>
      </c>
      <c r="O2187" s="432" t="s">
        <v>5567</v>
      </c>
      <c r="P2187" s="438" t="s">
        <v>3659</v>
      </c>
      <c r="Q2187" s="481">
        <v>0.2</v>
      </c>
      <c r="R2187" s="438">
        <v>1900004970</v>
      </c>
      <c r="S2187" s="466" t="s">
        <v>913</v>
      </c>
      <c r="T2187" s="2" t="s">
        <v>5915</v>
      </c>
      <c r="U2187" s="9" t="s">
        <v>913</v>
      </c>
    </row>
    <row r="2188" spans="1:21" x14ac:dyDescent="0.35">
      <c r="A2188" s="482" t="s">
        <v>5727</v>
      </c>
      <c r="B2188" s="432" t="s">
        <v>2029</v>
      </c>
      <c r="C2188" s="436">
        <v>43356</v>
      </c>
      <c r="D2188" s="436">
        <v>43360</v>
      </c>
      <c r="E2188" s="436" t="s">
        <v>2098</v>
      </c>
      <c r="F2188" s="435" t="s">
        <v>5681</v>
      </c>
      <c r="G2188" s="433" t="s">
        <v>5278</v>
      </c>
      <c r="H2188" s="432" t="s">
        <v>5449</v>
      </c>
      <c r="I2188" s="503">
        <f t="shared" si="173"/>
        <v>3237.2391216400001</v>
      </c>
      <c r="J2188" s="503">
        <f t="shared" si="175"/>
        <v>687.56299999999999</v>
      </c>
      <c r="K2188" s="371">
        <f t="shared" si="170"/>
        <v>382.0100028</v>
      </c>
      <c r="L2188" s="369">
        <f t="shared" si="171"/>
        <v>76.402000560000005</v>
      </c>
      <c r="M2188" s="369" t="s">
        <v>6169</v>
      </c>
      <c r="N2188" s="432" t="s">
        <v>4753</v>
      </c>
      <c r="O2188" s="432" t="s">
        <v>5567</v>
      </c>
      <c r="P2188" s="438" t="s">
        <v>3659</v>
      </c>
      <c r="Q2188" s="481">
        <v>0.2</v>
      </c>
      <c r="R2188" s="438">
        <v>1900004970</v>
      </c>
      <c r="S2188" s="466" t="s">
        <v>259</v>
      </c>
      <c r="T2188" s="2" t="s">
        <v>5915</v>
      </c>
      <c r="U2188" s="9" t="s">
        <v>259</v>
      </c>
    </row>
    <row r="2189" spans="1:21" x14ac:dyDescent="0.35">
      <c r="A2189" s="482" t="s">
        <v>5728</v>
      </c>
      <c r="B2189" s="432" t="s">
        <v>2029</v>
      </c>
      <c r="C2189" s="436">
        <v>43356</v>
      </c>
      <c r="D2189" s="436">
        <v>43360</v>
      </c>
      <c r="E2189" s="436" t="s">
        <v>2100</v>
      </c>
      <c r="F2189" s="435" t="s">
        <v>5681</v>
      </c>
      <c r="G2189" s="433" t="s">
        <v>5278</v>
      </c>
      <c r="H2189" s="432" t="s">
        <v>5449</v>
      </c>
      <c r="I2189" s="503">
        <f t="shared" si="173"/>
        <v>3237.2391216400001</v>
      </c>
      <c r="J2189" s="503">
        <f t="shared" si="175"/>
        <v>687.56299999999999</v>
      </c>
      <c r="K2189" s="371">
        <f t="shared" si="170"/>
        <v>382.0100028</v>
      </c>
      <c r="L2189" s="369">
        <f t="shared" si="171"/>
        <v>76.402000560000005</v>
      </c>
      <c r="M2189" s="369" t="s">
        <v>6169</v>
      </c>
      <c r="N2189" s="432" t="s">
        <v>4753</v>
      </c>
      <c r="O2189" s="432" t="s">
        <v>5567</v>
      </c>
      <c r="P2189" s="438" t="s">
        <v>3659</v>
      </c>
      <c r="Q2189" s="481">
        <v>0.2</v>
      </c>
      <c r="R2189" s="438">
        <v>1900004970</v>
      </c>
      <c r="S2189" s="466" t="s">
        <v>880</v>
      </c>
      <c r="T2189" s="2" t="s">
        <v>5915</v>
      </c>
      <c r="U2189" s="9" t="s">
        <v>880</v>
      </c>
    </row>
    <row r="2190" spans="1:21" x14ac:dyDescent="0.35">
      <c r="A2190" s="482" t="s">
        <v>5729</v>
      </c>
      <c r="B2190" s="432" t="s">
        <v>2029</v>
      </c>
      <c r="C2190" s="436">
        <v>43356</v>
      </c>
      <c r="D2190" s="436">
        <v>43360</v>
      </c>
      <c r="E2190" s="436" t="s">
        <v>2106</v>
      </c>
      <c r="F2190" s="435" t="s">
        <v>5681</v>
      </c>
      <c r="G2190" s="433" t="s">
        <v>5278</v>
      </c>
      <c r="H2190" s="432" t="s">
        <v>5449</v>
      </c>
      <c r="I2190" s="503">
        <f t="shared" si="173"/>
        <v>3237.2391216400001</v>
      </c>
      <c r="J2190" s="503">
        <f t="shared" si="175"/>
        <v>687.56299999999999</v>
      </c>
      <c r="K2190" s="371">
        <f t="shared" si="170"/>
        <v>382.0100028</v>
      </c>
      <c r="L2190" s="369">
        <f t="shared" si="171"/>
        <v>76.402000560000005</v>
      </c>
      <c r="M2190" s="369" t="s">
        <v>6169</v>
      </c>
      <c r="N2190" s="432" t="s">
        <v>4753</v>
      </c>
      <c r="O2190" s="432" t="s">
        <v>5567</v>
      </c>
      <c r="P2190" s="438" t="s">
        <v>3659</v>
      </c>
      <c r="Q2190" s="481">
        <v>0.2</v>
      </c>
      <c r="R2190" s="438">
        <v>1900004970</v>
      </c>
      <c r="S2190" s="466" t="s">
        <v>856</v>
      </c>
      <c r="T2190" s="2" t="s">
        <v>5915</v>
      </c>
      <c r="U2190" s="9" t="s">
        <v>856</v>
      </c>
    </row>
    <row r="2191" spans="1:21" x14ac:dyDescent="0.35">
      <c r="A2191" s="482" t="s">
        <v>5730</v>
      </c>
      <c r="B2191" s="432" t="s">
        <v>2029</v>
      </c>
      <c r="C2191" s="436">
        <v>43356</v>
      </c>
      <c r="D2191" s="436">
        <v>43360</v>
      </c>
      <c r="E2191" s="436" t="s">
        <v>2108</v>
      </c>
      <c r="F2191" s="435" t="s">
        <v>5681</v>
      </c>
      <c r="G2191" s="433" t="s">
        <v>5278</v>
      </c>
      <c r="H2191" s="432" t="s">
        <v>5449</v>
      </c>
      <c r="I2191" s="503">
        <f t="shared" si="173"/>
        <v>3237.2391216400001</v>
      </c>
      <c r="J2191" s="503">
        <f t="shared" si="175"/>
        <v>687.56299999999999</v>
      </c>
      <c r="K2191" s="371">
        <f t="shared" si="170"/>
        <v>382.0100028</v>
      </c>
      <c r="L2191" s="369">
        <f t="shared" si="171"/>
        <v>76.402000560000005</v>
      </c>
      <c r="M2191" s="369" t="s">
        <v>6169</v>
      </c>
      <c r="N2191" s="432" t="s">
        <v>4753</v>
      </c>
      <c r="O2191" s="432" t="s">
        <v>5567</v>
      </c>
      <c r="P2191" s="438" t="s">
        <v>3659</v>
      </c>
      <c r="Q2191" s="481">
        <v>0.2</v>
      </c>
      <c r="R2191" s="438">
        <v>1900004970</v>
      </c>
      <c r="S2191" s="466" t="s">
        <v>2107</v>
      </c>
      <c r="T2191" s="2" t="s">
        <v>5915</v>
      </c>
      <c r="U2191" s="9" t="s">
        <v>2107</v>
      </c>
    </row>
    <row r="2192" spans="1:21" x14ac:dyDescent="0.35">
      <c r="A2192" s="482" t="s">
        <v>5731</v>
      </c>
      <c r="B2192" s="432" t="s">
        <v>2029</v>
      </c>
      <c r="C2192" s="436">
        <v>43356</v>
      </c>
      <c r="D2192" s="436">
        <v>43360</v>
      </c>
      <c r="E2192" s="436" t="s">
        <v>2112</v>
      </c>
      <c r="F2192" s="435" t="s">
        <v>5681</v>
      </c>
      <c r="G2192" s="433" t="s">
        <v>5278</v>
      </c>
      <c r="H2192" s="432" t="s">
        <v>5449</v>
      </c>
      <c r="I2192" s="503">
        <f t="shared" si="173"/>
        <v>3237.2391216400001</v>
      </c>
      <c r="J2192" s="503">
        <f t="shared" si="175"/>
        <v>687.56299999999999</v>
      </c>
      <c r="K2192" s="371">
        <f t="shared" si="170"/>
        <v>382.0100028</v>
      </c>
      <c r="L2192" s="369">
        <f t="shared" si="171"/>
        <v>76.402000560000005</v>
      </c>
      <c r="M2192" s="369" t="s">
        <v>6169</v>
      </c>
      <c r="N2192" s="432" t="s">
        <v>4753</v>
      </c>
      <c r="O2192" s="432" t="s">
        <v>5567</v>
      </c>
      <c r="P2192" s="438" t="s">
        <v>3659</v>
      </c>
      <c r="Q2192" s="481">
        <v>0.2</v>
      </c>
      <c r="R2192" s="438">
        <v>1900004970</v>
      </c>
      <c r="S2192" s="466" t="s">
        <v>869</v>
      </c>
      <c r="T2192" s="2" t="s">
        <v>5915</v>
      </c>
      <c r="U2192" s="9" t="s">
        <v>869</v>
      </c>
    </row>
    <row r="2193" spans="1:21" x14ac:dyDescent="0.35">
      <c r="A2193" s="482" t="s">
        <v>5732</v>
      </c>
      <c r="B2193" s="432" t="s">
        <v>2029</v>
      </c>
      <c r="C2193" s="436">
        <v>43356</v>
      </c>
      <c r="D2193" s="436">
        <v>43360</v>
      </c>
      <c r="E2193" s="436" t="s">
        <v>2114</v>
      </c>
      <c r="F2193" s="435" t="s">
        <v>5681</v>
      </c>
      <c r="G2193" s="433" t="s">
        <v>5278</v>
      </c>
      <c r="H2193" s="432" t="s">
        <v>5449</v>
      </c>
      <c r="I2193" s="503">
        <f t="shared" si="173"/>
        <v>3237.2391216400001</v>
      </c>
      <c r="J2193" s="503">
        <f t="shared" si="175"/>
        <v>687.56299999999999</v>
      </c>
      <c r="K2193" s="371">
        <f t="shared" si="170"/>
        <v>382.0100028</v>
      </c>
      <c r="L2193" s="369">
        <f t="shared" si="171"/>
        <v>76.402000560000005</v>
      </c>
      <c r="M2193" s="369" t="s">
        <v>6169</v>
      </c>
      <c r="N2193" s="432" t="s">
        <v>4753</v>
      </c>
      <c r="O2193" s="432" t="s">
        <v>5567</v>
      </c>
      <c r="P2193" s="438" t="s">
        <v>3659</v>
      </c>
      <c r="Q2193" s="481">
        <v>0.2</v>
      </c>
      <c r="R2193" s="438">
        <v>1900004970</v>
      </c>
      <c r="S2193" s="466" t="s">
        <v>971</v>
      </c>
      <c r="T2193" s="2" t="s">
        <v>5915</v>
      </c>
      <c r="U2193" s="9" t="s">
        <v>971</v>
      </c>
    </row>
    <row r="2194" spans="1:21" x14ac:dyDescent="0.35">
      <c r="A2194" s="482" t="s">
        <v>5733</v>
      </c>
      <c r="B2194" s="432" t="s">
        <v>2029</v>
      </c>
      <c r="C2194" s="436">
        <v>43356</v>
      </c>
      <c r="D2194" s="436">
        <v>43360</v>
      </c>
      <c r="E2194" s="436" t="s">
        <v>2120</v>
      </c>
      <c r="F2194" s="435" t="s">
        <v>5681</v>
      </c>
      <c r="G2194" s="433" t="s">
        <v>5278</v>
      </c>
      <c r="H2194" s="432" t="s">
        <v>5449</v>
      </c>
      <c r="I2194" s="503">
        <f t="shared" si="173"/>
        <v>3237.2391216400001</v>
      </c>
      <c r="J2194" s="503">
        <f t="shared" si="175"/>
        <v>687.56299999999999</v>
      </c>
      <c r="K2194" s="371">
        <f t="shared" si="170"/>
        <v>382.0100028</v>
      </c>
      <c r="L2194" s="369">
        <f t="shared" si="171"/>
        <v>76.402000560000005</v>
      </c>
      <c r="M2194" s="369" t="s">
        <v>6169</v>
      </c>
      <c r="N2194" s="432" t="s">
        <v>4753</v>
      </c>
      <c r="O2194" s="432" t="s">
        <v>5567</v>
      </c>
      <c r="P2194" s="438" t="s">
        <v>3659</v>
      </c>
      <c r="Q2194" s="481">
        <v>0.2</v>
      </c>
      <c r="R2194" s="438">
        <v>1900004970</v>
      </c>
      <c r="S2194" s="466" t="s">
        <v>1009</v>
      </c>
      <c r="T2194" s="2" t="s">
        <v>5915</v>
      </c>
      <c r="U2194" s="9" t="s">
        <v>1009</v>
      </c>
    </row>
    <row r="2195" spans="1:21" x14ac:dyDescent="0.35">
      <c r="A2195" s="482" t="s">
        <v>5734</v>
      </c>
      <c r="B2195" s="432" t="s">
        <v>2029</v>
      </c>
      <c r="C2195" s="436">
        <v>43356</v>
      </c>
      <c r="D2195" s="436">
        <v>43360</v>
      </c>
      <c r="E2195" s="436" t="s">
        <v>2124</v>
      </c>
      <c r="F2195" s="435" t="s">
        <v>5681</v>
      </c>
      <c r="G2195" s="433" t="s">
        <v>5278</v>
      </c>
      <c r="H2195" s="432" t="s">
        <v>5449</v>
      </c>
      <c r="I2195" s="503">
        <f t="shared" si="173"/>
        <v>3237.2391216400001</v>
      </c>
      <c r="J2195" s="503">
        <f t="shared" si="175"/>
        <v>687.56299999999999</v>
      </c>
      <c r="K2195" s="371">
        <f t="shared" si="170"/>
        <v>382.0100028</v>
      </c>
      <c r="L2195" s="369">
        <f t="shared" si="171"/>
        <v>76.402000560000005</v>
      </c>
      <c r="M2195" s="369" t="s">
        <v>6169</v>
      </c>
      <c r="N2195" s="432" t="s">
        <v>4753</v>
      </c>
      <c r="O2195" s="432" t="s">
        <v>5567</v>
      </c>
      <c r="P2195" s="438" t="s">
        <v>3659</v>
      </c>
      <c r="Q2195" s="481">
        <v>0.2</v>
      </c>
      <c r="R2195" s="438">
        <v>1900004970</v>
      </c>
      <c r="S2195" s="466" t="s">
        <v>308</v>
      </c>
      <c r="T2195" s="2" t="s">
        <v>5915</v>
      </c>
      <c r="U2195" s="9" t="s">
        <v>308</v>
      </c>
    </row>
    <row r="2196" spans="1:21" x14ac:dyDescent="0.35">
      <c r="A2196" s="482" t="s">
        <v>5735</v>
      </c>
      <c r="B2196" s="432" t="s">
        <v>2029</v>
      </c>
      <c r="C2196" s="436">
        <v>43356</v>
      </c>
      <c r="D2196" s="436">
        <v>43360</v>
      </c>
      <c r="E2196" s="436" t="s">
        <v>2127</v>
      </c>
      <c r="F2196" s="435" t="s">
        <v>5681</v>
      </c>
      <c r="G2196" s="433" t="s">
        <v>5278</v>
      </c>
      <c r="H2196" s="432" t="s">
        <v>5449</v>
      </c>
      <c r="I2196" s="503">
        <f t="shared" si="173"/>
        <v>3237.2391216400001</v>
      </c>
      <c r="J2196" s="503">
        <f t="shared" si="175"/>
        <v>687.56299999999999</v>
      </c>
      <c r="K2196" s="371">
        <f t="shared" si="170"/>
        <v>382.0100028</v>
      </c>
      <c r="L2196" s="369">
        <f t="shared" si="171"/>
        <v>76.402000560000005</v>
      </c>
      <c r="M2196" s="369" t="s">
        <v>6169</v>
      </c>
      <c r="N2196" s="432" t="s">
        <v>4753</v>
      </c>
      <c r="O2196" s="432" t="s">
        <v>5567</v>
      </c>
      <c r="P2196" s="438" t="s">
        <v>3659</v>
      </c>
      <c r="Q2196" s="481">
        <v>0.2</v>
      </c>
      <c r="R2196" s="438">
        <v>1900004970</v>
      </c>
      <c r="S2196" s="466" t="s">
        <v>974</v>
      </c>
      <c r="T2196" s="2" t="s">
        <v>5915</v>
      </c>
      <c r="U2196" s="9" t="s">
        <v>974</v>
      </c>
    </row>
    <row r="2197" spans="1:21" x14ac:dyDescent="0.35">
      <c r="A2197" s="482" t="s">
        <v>5736</v>
      </c>
      <c r="B2197" s="432" t="s">
        <v>2029</v>
      </c>
      <c r="C2197" s="436">
        <v>43356</v>
      </c>
      <c r="D2197" s="436">
        <v>43360</v>
      </c>
      <c r="E2197" s="436" t="s">
        <v>2134</v>
      </c>
      <c r="F2197" s="435" t="s">
        <v>5681</v>
      </c>
      <c r="G2197" s="433" t="s">
        <v>5278</v>
      </c>
      <c r="H2197" s="432" t="s">
        <v>5449</v>
      </c>
      <c r="I2197" s="503">
        <f t="shared" si="173"/>
        <v>3237.2391216400001</v>
      </c>
      <c r="J2197" s="503">
        <f t="shared" si="175"/>
        <v>687.56299999999999</v>
      </c>
      <c r="K2197" s="371">
        <f t="shared" si="170"/>
        <v>382.0100028</v>
      </c>
      <c r="L2197" s="369">
        <f t="shared" si="171"/>
        <v>76.402000560000005</v>
      </c>
      <c r="M2197" s="369" t="s">
        <v>6169</v>
      </c>
      <c r="N2197" s="432" t="s">
        <v>4753</v>
      </c>
      <c r="O2197" s="432" t="s">
        <v>5567</v>
      </c>
      <c r="P2197" s="438" t="s">
        <v>3659</v>
      </c>
      <c r="Q2197" s="481">
        <v>0.2</v>
      </c>
      <c r="R2197" s="438">
        <v>1900004970</v>
      </c>
      <c r="S2197" s="466" t="s">
        <v>303</v>
      </c>
      <c r="T2197" s="2" t="s">
        <v>5915</v>
      </c>
      <c r="U2197" s="9" t="s">
        <v>303</v>
      </c>
    </row>
    <row r="2198" spans="1:21" x14ac:dyDescent="0.35">
      <c r="A2198" s="482" t="s">
        <v>5737</v>
      </c>
      <c r="B2198" s="432" t="s">
        <v>2029</v>
      </c>
      <c r="C2198" s="436">
        <v>43356</v>
      </c>
      <c r="D2198" s="436">
        <v>43360</v>
      </c>
      <c r="E2198" s="436" t="s">
        <v>2137</v>
      </c>
      <c r="F2198" s="435" t="s">
        <v>5681</v>
      </c>
      <c r="G2198" s="433" t="s">
        <v>5278</v>
      </c>
      <c r="H2198" s="432" t="s">
        <v>5449</v>
      </c>
      <c r="I2198" s="503">
        <f t="shared" si="173"/>
        <v>3237.2391216400001</v>
      </c>
      <c r="J2198" s="503">
        <f t="shared" si="175"/>
        <v>687.56299999999999</v>
      </c>
      <c r="K2198" s="371">
        <f t="shared" si="170"/>
        <v>382.0100028</v>
      </c>
      <c r="L2198" s="369">
        <f t="shared" si="171"/>
        <v>76.402000560000005</v>
      </c>
      <c r="M2198" s="369" t="s">
        <v>6169</v>
      </c>
      <c r="N2198" s="432" t="s">
        <v>4753</v>
      </c>
      <c r="O2198" s="432" t="s">
        <v>5567</v>
      </c>
      <c r="P2198" s="438" t="s">
        <v>3659</v>
      </c>
      <c r="Q2198" s="481">
        <v>0.2</v>
      </c>
      <c r="R2198" s="438">
        <v>1900004970</v>
      </c>
      <c r="S2198" s="466" t="s">
        <v>2136</v>
      </c>
      <c r="T2198" s="2" t="s">
        <v>5915</v>
      </c>
      <c r="U2198" s="9" t="s">
        <v>2136</v>
      </c>
    </row>
    <row r="2199" spans="1:21" x14ac:dyDescent="0.35">
      <c r="A2199" s="482" t="s">
        <v>5738</v>
      </c>
      <c r="B2199" s="432" t="s">
        <v>2029</v>
      </c>
      <c r="C2199" s="436">
        <v>43356</v>
      </c>
      <c r="D2199" s="436">
        <v>43360</v>
      </c>
      <c r="E2199" s="436" t="s">
        <v>2138</v>
      </c>
      <c r="F2199" s="435" t="s">
        <v>5681</v>
      </c>
      <c r="G2199" s="433" t="s">
        <v>5278</v>
      </c>
      <c r="H2199" s="432" t="s">
        <v>5449</v>
      </c>
      <c r="I2199" s="503">
        <f t="shared" si="173"/>
        <v>3237.2391216400001</v>
      </c>
      <c r="J2199" s="503">
        <f t="shared" si="175"/>
        <v>687.56299999999999</v>
      </c>
      <c r="K2199" s="371">
        <f t="shared" ref="K2199:K2234" si="176">+J2199*(0.5556)</f>
        <v>382.0100028</v>
      </c>
      <c r="L2199" s="369">
        <f t="shared" ref="L2199:L2234" si="177">+K2199*Q2199</f>
        <v>76.402000560000005</v>
      </c>
      <c r="M2199" s="369" t="s">
        <v>6169</v>
      </c>
      <c r="N2199" s="432" t="s">
        <v>4753</v>
      </c>
      <c r="O2199" s="432" t="s">
        <v>5567</v>
      </c>
      <c r="P2199" s="438" t="s">
        <v>3659</v>
      </c>
      <c r="Q2199" s="481">
        <v>0.2</v>
      </c>
      <c r="R2199" s="438">
        <v>1900004970</v>
      </c>
      <c r="S2199" s="466" t="s">
        <v>262</v>
      </c>
      <c r="T2199" s="2" t="s">
        <v>5915</v>
      </c>
      <c r="U2199" s="9" t="s">
        <v>262</v>
      </c>
    </row>
    <row r="2200" spans="1:21" x14ac:dyDescent="0.35">
      <c r="A2200" s="482" t="s">
        <v>5739</v>
      </c>
      <c r="B2200" s="432" t="s">
        <v>2029</v>
      </c>
      <c r="C2200" s="436">
        <v>43356</v>
      </c>
      <c r="D2200" s="436">
        <v>43360</v>
      </c>
      <c r="E2200" s="436" t="s">
        <v>2140</v>
      </c>
      <c r="F2200" s="435" t="s">
        <v>5681</v>
      </c>
      <c r="G2200" s="433" t="s">
        <v>5278</v>
      </c>
      <c r="H2200" s="432" t="s">
        <v>5449</v>
      </c>
      <c r="I2200" s="503">
        <f t="shared" si="173"/>
        <v>3237.2391216400001</v>
      </c>
      <c r="J2200" s="503">
        <f t="shared" si="175"/>
        <v>687.56299999999999</v>
      </c>
      <c r="K2200" s="371">
        <f t="shared" si="176"/>
        <v>382.0100028</v>
      </c>
      <c r="L2200" s="369">
        <f t="shared" si="177"/>
        <v>76.402000560000005</v>
      </c>
      <c r="M2200" s="369" t="s">
        <v>6169</v>
      </c>
      <c r="N2200" s="432" t="s">
        <v>4753</v>
      </c>
      <c r="O2200" s="432" t="s">
        <v>5567</v>
      </c>
      <c r="P2200" s="438" t="s">
        <v>3659</v>
      </c>
      <c r="Q2200" s="481">
        <v>0.2</v>
      </c>
      <c r="R2200" s="438">
        <v>1900004970</v>
      </c>
      <c r="S2200" s="466" t="s">
        <v>298</v>
      </c>
      <c r="T2200" s="2" t="s">
        <v>5915</v>
      </c>
      <c r="U2200" s="9" t="s">
        <v>298</v>
      </c>
    </row>
    <row r="2201" spans="1:21" x14ac:dyDescent="0.35">
      <c r="A2201" s="482" t="s">
        <v>5740</v>
      </c>
      <c r="B2201" s="432" t="s">
        <v>2029</v>
      </c>
      <c r="C2201" s="436">
        <v>43356</v>
      </c>
      <c r="D2201" s="436">
        <v>43360</v>
      </c>
      <c r="E2201" s="436" t="s">
        <v>2142</v>
      </c>
      <c r="F2201" s="435" t="s">
        <v>5681</v>
      </c>
      <c r="G2201" s="433" t="s">
        <v>5278</v>
      </c>
      <c r="H2201" s="432" t="s">
        <v>5449</v>
      </c>
      <c r="I2201" s="503">
        <f t="shared" si="173"/>
        <v>3237.2391216400001</v>
      </c>
      <c r="J2201" s="503">
        <f t="shared" si="175"/>
        <v>687.56299999999999</v>
      </c>
      <c r="K2201" s="371">
        <f t="shared" si="176"/>
        <v>382.0100028</v>
      </c>
      <c r="L2201" s="369">
        <f t="shared" si="177"/>
        <v>76.402000560000005</v>
      </c>
      <c r="M2201" s="369" t="s">
        <v>6169</v>
      </c>
      <c r="N2201" s="432" t="s">
        <v>4753</v>
      </c>
      <c r="O2201" s="432" t="s">
        <v>5567</v>
      </c>
      <c r="P2201" s="438" t="s">
        <v>3659</v>
      </c>
      <c r="Q2201" s="481">
        <v>0.2</v>
      </c>
      <c r="R2201" s="438">
        <v>1900004970</v>
      </c>
      <c r="S2201" s="466" t="s">
        <v>465</v>
      </c>
      <c r="T2201" s="2" t="s">
        <v>5915</v>
      </c>
      <c r="U2201" s="9" t="s">
        <v>465</v>
      </c>
    </row>
    <row r="2202" spans="1:21" x14ac:dyDescent="0.35">
      <c r="A2202" s="482" t="s">
        <v>5741</v>
      </c>
      <c r="B2202" s="432" t="s">
        <v>2029</v>
      </c>
      <c r="C2202" s="436">
        <v>43356</v>
      </c>
      <c r="D2202" s="436">
        <v>43360</v>
      </c>
      <c r="E2202" s="436" t="s">
        <v>2145</v>
      </c>
      <c r="F2202" s="435" t="s">
        <v>5681</v>
      </c>
      <c r="G2202" s="433" t="s">
        <v>5278</v>
      </c>
      <c r="H2202" s="432" t="s">
        <v>5449</v>
      </c>
      <c r="I2202" s="503">
        <f t="shared" si="173"/>
        <v>3237.2391216400001</v>
      </c>
      <c r="J2202" s="503">
        <f t="shared" si="175"/>
        <v>687.56299999999999</v>
      </c>
      <c r="K2202" s="371">
        <f t="shared" si="176"/>
        <v>382.0100028</v>
      </c>
      <c r="L2202" s="369">
        <f t="shared" si="177"/>
        <v>76.402000560000005</v>
      </c>
      <c r="M2202" s="369" t="s">
        <v>6169</v>
      </c>
      <c r="N2202" s="432" t="s">
        <v>4753</v>
      </c>
      <c r="O2202" s="432" t="s">
        <v>5567</v>
      </c>
      <c r="P2202" s="438" t="s">
        <v>3659</v>
      </c>
      <c r="Q2202" s="481">
        <v>0.2</v>
      </c>
      <c r="R2202" s="438">
        <v>1900004970</v>
      </c>
      <c r="S2202" s="466" t="s">
        <v>2144</v>
      </c>
      <c r="T2202" s="2" t="s">
        <v>5915</v>
      </c>
      <c r="U2202" s="9" t="s">
        <v>2144</v>
      </c>
    </row>
    <row r="2203" spans="1:21" x14ac:dyDescent="0.35">
      <c r="A2203" s="482" t="s">
        <v>5742</v>
      </c>
      <c r="B2203" s="432" t="s">
        <v>2029</v>
      </c>
      <c r="C2203" s="436">
        <v>43356</v>
      </c>
      <c r="D2203" s="436">
        <v>43360</v>
      </c>
      <c r="E2203" s="436" t="s">
        <v>2147</v>
      </c>
      <c r="F2203" s="435" t="s">
        <v>5681</v>
      </c>
      <c r="G2203" s="433" t="s">
        <v>5278</v>
      </c>
      <c r="H2203" s="432" t="s">
        <v>5449</v>
      </c>
      <c r="I2203" s="503">
        <f t="shared" si="173"/>
        <v>3237.2391216400001</v>
      </c>
      <c r="J2203" s="503">
        <f t="shared" si="175"/>
        <v>687.56299999999999</v>
      </c>
      <c r="K2203" s="371">
        <f t="shared" si="176"/>
        <v>382.0100028</v>
      </c>
      <c r="L2203" s="369">
        <f t="shared" si="177"/>
        <v>76.402000560000005</v>
      </c>
      <c r="M2203" s="369" t="s">
        <v>6169</v>
      </c>
      <c r="N2203" s="432" t="s">
        <v>4753</v>
      </c>
      <c r="O2203" s="432" t="s">
        <v>5567</v>
      </c>
      <c r="P2203" s="438" t="s">
        <v>3659</v>
      </c>
      <c r="Q2203" s="481">
        <v>0.2</v>
      </c>
      <c r="R2203" s="438">
        <v>1900004970</v>
      </c>
      <c r="S2203" s="466" t="s">
        <v>683</v>
      </c>
      <c r="T2203" s="2" t="s">
        <v>5915</v>
      </c>
      <c r="U2203" s="9" t="s">
        <v>683</v>
      </c>
    </row>
    <row r="2204" spans="1:21" x14ac:dyDescent="0.35">
      <c r="A2204" s="482" t="s">
        <v>5743</v>
      </c>
      <c r="B2204" s="432" t="s">
        <v>2029</v>
      </c>
      <c r="C2204" s="436">
        <v>43356</v>
      </c>
      <c r="D2204" s="436">
        <v>43360</v>
      </c>
      <c r="E2204" s="436" t="s">
        <v>2149</v>
      </c>
      <c r="F2204" s="435" t="s">
        <v>5681</v>
      </c>
      <c r="G2204" s="433" t="s">
        <v>5278</v>
      </c>
      <c r="H2204" s="432" t="s">
        <v>5449</v>
      </c>
      <c r="I2204" s="503">
        <f t="shared" si="173"/>
        <v>3237.2391216400001</v>
      </c>
      <c r="J2204" s="503">
        <f t="shared" si="175"/>
        <v>687.56299999999999</v>
      </c>
      <c r="K2204" s="371">
        <f t="shared" si="176"/>
        <v>382.0100028</v>
      </c>
      <c r="L2204" s="369">
        <f t="shared" si="177"/>
        <v>76.402000560000005</v>
      </c>
      <c r="M2204" s="369" t="s">
        <v>6169</v>
      </c>
      <c r="N2204" s="432" t="s">
        <v>4753</v>
      </c>
      <c r="O2204" s="432" t="s">
        <v>5567</v>
      </c>
      <c r="P2204" s="438" t="s">
        <v>3659</v>
      </c>
      <c r="Q2204" s="481">
        <v>0.2</v>
      </c>
      <c r="R2204" s="438">
        <v>1900004970</v>
      </c>
      <c r="S2204" s="466" t="s">
        <v>2148</v>
      </c>
      <c r="T2204" s="2" t="s">
        <v>5915</v>
      </c>
      <c r="U2204" s="9" t="s">
        <v>2148</v>
      </c>
    </row>
    <row r="2205" spans="1:21" x14ac:dyDescent="0.35">
      <c r="A2205" s="482" t="s">
        <v>5744</v>
      </c>
      <c r="B2205" s="432" t="s">
        <v>2029</v>
      </c>
      <c r="C2205" s="436">
        <v>43356</v>
      </c>
      <c r="D2205" s="436">
        <v>43360</v>
      </c>
      <c r="E2205" s="436" t="s">
        <v>2151</v>
      </c>
      <c r="F2205" s="435" t="s">
        <v>5681</v>
      </c>
      <c r="G2205" s="433" t="s">
        <v>5278</v>
      </c>
      <c r="H2205" s="432" t="s">
        <v>5449</v>
      </c>
      <c r="I2205" s="503">
        <f t="shared" si="173"/>
        <v>3237.2391216400001</v>
      </c>
      <c r="J2205" s="503">
        <f t="shared" si="175"/>
        <v>687.56299999999999</v>
      </c>
      <c r="K2205" s="371">
        <f t="shared" si="176"/>
        <v>382.0100028</v>
      </c>
      <c r="L2205" s="369">
        <f t="shared" si="177"/>
        <v>76.402000560000005</v>
      </c>
      <c r="M2205" s="369" t="s">
        <v>6169</v>
      </c>
      <c r="N2205" s="432" t="s">
        <v>4753</v>
      </c>
      <c r="O2205" s="432" t="s">
        <v>5567</v>
      </c>
      <c r="P2205" s="438" t="s">
        <v>3659</v>
      </c>
      <c r="Q2205" s="481">
        <v>0.2</v>
      </c>
      <c r="R2205" s="438">
        <v>1900004970</v>
      </c>
      <c r="S2205" s="466" t="s">
        <v>1850</v>
      </c>
      <c r="T2205" s="2" t="s">
        <v>5915</v>
      </c>
      <c r="U2205" s="9" t="s">
        <v>1850</v>
      </c>
    </row>
    <row r="2206" spans="1:21" x14ac:dyDescent="0.35">
      <c r="A2206" s="482" t="s">
        <v>5745</v>
      </c>
      <c r="B2206" s="432" t="s">
        <v>2029</v>
      </c>
      <c r="C2206" s="436">
        <v>43356</v>
      </c>
      <c r="D2206" s="436">
        <v>43360</v>
      </c>
      <c r="E2206" s="436" t="s">
        <v>2153</v>
      </c>
      <c r="F2206" s="435" t="s">
        <v>5681</v>
      </c>
      <c r="G2206" s="433" t="s">
        <v>5278</v>
      </c>
      <c r="H2206" s="432" t="s">
        <v>5449</v>
      </c>
      <c r="I2206" s="503">
        <f t="shared" ref="I2206:I2234" si="178">+J2206*4.70828</f>
        <v>3237.2391216400001</v>
      </c>
      <c r="J2206" s="503">
        <f t="shared" si="175"/>
        <v>687.56299999999999</v>
      </c>
      <c r="K2206" s="371">
        <f t="shared" si="176"/>
        <v>382.0100028</v>
      </c>
      <c r="L2206" s="369">
        <f t="shared" si="177"/>
        <v>76.402000560000005</v>
      </c>
      <c r="M2206" s="369" t="s">
        <v>6169</v>
      </c>
      <c r="N2206" s="432" t="s">
        <v>4753</v>
      </c>
      <c r="O2206" s="432" t="s">
        <v>5567</v>
      </c>
      <c r="P2206" s="438" t="s">
        <v>3659</v>
      </c>
      <c r="Q2206" s="481">
        <v>0.2</v>
      </c>
      <c r="R2206" s="438">
        <v>1900004970</v>
      </c>
      <c r="S2206" s="466" t="s">
        <v>1855</v>
      </c>
      <c r="T2206" s="2" t="s">
        <v>5915</v>
      </c>
      <c r="U2206" s="9" t="s">
        <v>1855</v>
      </c>
    </row>
    <row r="2207" spans="1:21" x14ac:dyDescent="0.35">
      <c r="A2207" s="482" t="s">
        <v>5746</v>
      </c>
      <c r="B2207" s="432" t="s">
        <v>2029</v>
      </c>
      <c r="C2207" s="436">
        <v>43356</v>
      </c>
      <c r="D2207" s="436">
        <v>43360</v>
      </c>
      <c r="E2207" s="436" t="s">
        <v>2155</v>
      </c>
      <c r="F2207" s="435" t="s">
        <v>5681</v>
      </c>
      <c r="G2207" s="433" t="s">
        <v>5278</v>
      </c>
      <c r="H2207" s="432" t="s">
        <v>5449</v>
      </c>
      <c r="I2207" s="503">
        <f t="shared" si="178"/>
        <v>3237.2391216400001</v>
      </c>
      <c r="J2207" s="503">
        <f t="shared" si="175"/>
        <v>687.56299999999999</v>
      </c>
      <c r="K2207" s="371">
        <f t="shared" si="176"/>
        <v>382.0100028</v>
      </c>
      <c r="L2207" s="369">
        <f t="shared" si="177"/>
        <v>76.402000560000005</v>
      </c>
      <c r="M2207" s="369" t="s">
        <v>6169</v>
      </c>
      <c r="N2207" s="432" t="s">
        <v>4753</v>
      </c>
      <c r="O2207" s="432" t="s">
        <v>5567</v>
      </c>
      <c r="P2207" s="438" t="s">
        <v>3659</v>
      </c>
      <c r="Q2207" s="481">
        <v>0.2</v>
      </c>
      <c r="R2207" s="438">
        <v>1900004970</v>
      </c>
      <c r="S2207" s="466" t="s">
        <v>300</v>
      </c>
      <c r="T2207" s="2" t="s">
        <v>5915</v>
      </c>
      <c r="U2207" s="9" t="s">
        <v>300</v>
      </c>
    </row>
    <row r="2208" spans="1:21" x14ac:dyDescent="0.35">
      <c r="A2208" s="482" t="s">
        <v>5747</v>
      </c>
      <c r="B2208" s="432" t="s">
        <v>2029</v>
      </c>
      <c r="C2208" s="436">
        <v>43356</v>
      </c>
      <c r="D2208" s="436">
        <v>43360</v>
      </c>
      <c r="E2208" s="436" t="s">
        <v>2158</v>
      </c>
      <c r="F2208" s="435" t="s">
        <v>5681</v>
      </c>
      <c r="G2208" s="433" t="s">
        <v>5278</v>
      </c>
      <c r="H2208" s="432" t="s">
        <v>5449</v>
      </c>
      <c r="I2208" s="503">
        <f t="shared" si="178"/>
        <v>3237.2391216400001</v>
      </c>
      <c r="J2208" s="503">
        <f t="shared" si="175"/>
        <v>687.56299999999999</v>
      </c>
      <c r="K2208" s="371">
        <f t="shared" si="176"/>
        <v>382.0100028</v>
      </c>
      <c r="L2208" s="369">
        <f t="shared" si="177"/>
        <v>76.402000560000005</v>
      </c>
      <c r="M2208" s="369" t="s">
        <v>6169</v>
      </c>
      <c r="N2208" s="432" t="s">
        <v>4753</v>
      </c>
      <c r="O2208" s="432" t="s">
        <v>5567</v>
      </c>
      <c r="P2208" s="438" t="s">
        <v>3659</v>
      </c>
      <c r="Q2208" s="481">
        <v>0.2</v>
      </c>
      <c r="R2208" s="438">
        <v>1900004970</v>
      </c>
      <c r="S2208" s="466" t="s">
        <v>977</v>
      </c>
      <c r="T2208" s="2" t="s">
        <v>5915</v>
      </c>
      <c r="U2208" s="9" t="s">
        <v>977</v>
      </c>
    </row>
    <row r="2209" spans="1:21" x14ac:dyDescent="0.35">
      <c r="A2209" s="482" t="s">
        <v>5748</v>
      </c>
      <c r="B2209" s="432" t="s">
        <v>2029</v>
      </c>
      <c r="C2209" s="436">
        <v>43356</v>
      </c>
      <c r="D2209" s="436">
        <v>43360</v>
      </c>
      <c r="E2209" s="436" t="s">
        <v>2160</v>
      </c>
      <c r="F2209" s="435" t="s">
        <v>5681</v>
      </c>
      <c r="G2209" s="433" t="s">
        <v>5278</v>
      </c>
      <c r="H2209" s="432" t="s">
        <v>5449</v>
      </c>
      <c r="I2209" s="503">
        <f t="shared" si="178"/>
        <v>3237.2391216400001</v>
      </c>
      <c r="J2209" s="503">
        <f t="shared" si="175"/>
        <v>687.56299999999999</v>
      </c>
      <c r="K2209" s="371">
        <f t="shared" si="176"/>
        <v>382.0100028</v>
      </c>
      <c r="L2209" s="369">
        <f t="shared" si="177"/>
        <v>76.402000560000005</v>
      </c>
      <c r="M2209" s="369" t="s">
        <v>6169</v>
      </c>
      <c r="N2209" s="432" t="s">
        <v>4753</v>
      </c>
      <c r="O2209" s="432" t="s">
        <v>5567</v>
      </c>
      <c r="P2209" s="438" t="s">
        <v>3659</v>
      </c>
      <c r="Q2209" s="481">
        <v>0.2</v>
      </c>
      <c r="R2209" s="438">
        <v>1900004970</v>
      </c>
      <c r="S2209" s="466" t="s">
        <v>987</v>
      </c>
      <c r="T2209" s="2" t="s">
        <v>5915</v>
      </c>
      <c r="U2209" s="9" t="s">
        <v>987</v>
      </c>
    </row>
    <row r="2210" spans="1:21" x14ac:dyDescent="0.35">
      <c r="A2210" s="482" t="s">
        <v>5749</v>
      </c>
      <c r="B2210" s="432" t="s">
        <v>2029</v>
      </c>
      <c r="C2210" s="436">
        <v>43356</v>
      </c>
      <c r="D2210" s="436">
        <v>43360</v>
      </c>
      <c r="E2210" s="436" t="s">
        <v>2162</v>
      </c>
      <c r="F2210" s="435" t="s">
        <v>5681</v>
      </c>
      <c r="G2210" s="433" t="s">
        <v>5278</v>
      </c>
      <c r="H2210" s="432" t="s">
        <v>5449</v>
      </c>
      <c r="I2210" s="503">
        <f t="shared" si="178"/>
        <v>3237.2391216400001</v>
      </c>
      <c r="J2210" s="503">
        <f t="shared" si="175"/>
        <v>687.56299999999999</v>
      </c>
      <c r="K2210" s="371">
        <f t="shared" si="176"/>
        <v>382.0100028</v>
      </c>
      <c r="L2210" s="369">
        <f t="shared" si="177"/>
        <v>76.402000560000005</v>
      </c>
      <c r="M2210" s="369" t="s">
        <v>6169</v>
      </c>
      <c r="N2210" s="432" t="s">
        <v>4753</v>
      </c>
      <c r="O2210" s="432" t="s">
        <v>5567</v>
      </c>
      <c r="P2210" s="438" t="s">
        <v>3659</v>
      </c>
      <c r="Q2210" s="481">
        <v>0.2</v>
      </c>
      <c r="R2210" s="438">
        <v>1900004970</v>
      </c>
      <c r="S2210" s="466" t="s">
        <v>638</v>
      </c>
      <c r="T2210" s="2" t="s">
        <v>5915</v>
      </c>
      <c r="U2210" s="9" t="s">
        <v>638</v>
      </c>
    </row>
    <row r="2211" spans="1:21" x14ac:dyDescent="0.35">
      <c r="A2211" s="482" t="s">
        <v>5750</v>
      </c>
      <c r="B2211" s="432" t="s">
        <v>2029</v>
      </c>
      <c r="C2211" s="436">
        <v>43356</v>
      </c>
      <c r="D2211" s="436">
        <v>43360</v>
      </c>
      <c r="E2211" s="436" t="s">
        <v>2166</v>
      </c>
      <c r="F2211" s="435" t="s">
        <v>5681</v>
      </c>
      <c r="G2211" s="433" t="s">
        <v>5278</v>
      </c>
      <c r="H2211" s="432" t="s">
        <v>5449</v>
      </c>
      <c r="I2211" s="503">
        <f t="shared" si="178"/>
        <v>3237.2391216400001</v>
      </c>
      <c r="J2211" s="503">
        <f t="shared" si="175"/>
        <v>687.56299999999999</v>
      </c>
      <c r="K2211" s="371">
        <f t="shared" si="176"/>
        <v>382.0100028</v>
      </c>
      <c r="L2211" s="369">
        <f t="shared" si="177"/>
        <v>76.402000560000005</v>
      </c>
      <c r="M2211" s="369" t="s">
        <v>6169</v>
      </c>
      <c r="N2211" s="432" t="s">
        <v>4753</v>
      </c>
      <c r="O2211" s="432" t="s">
        <v>5567</v>
      </c>
      <c r="P2211" s="438" t="s">
        <v>3659</v>
      </c>
      <c r="Q2211" s="481">
        <v>0.2</v>
      </c>
      <c r="R2211" s="438">
        <v>1900004970</v>
      </c>
      <c r="S2211" s="466" t="s">
        <v>935</v>
      </c>
      <c r="T2211" s="2" t="s">
        <v>5915</v>
      </c>
      <c r="U2211" s="9" t="s">
        <v>935</v>
      </c>
    </row>
    <row r="2212" spans="1:21" x14ac:dyDescent="0.35">
      <c r="A2212" s="482" t="s">
        <v>5751</v>
      </c>
      <c r="B2212" s="432" t="s">
        <v>2029</v>
      </c>
      <c r="C2212" s="436">
        <v>43356</v>
      </c>
      <c r="D2212" s="436">
        <v>43360</v>
      </c>
      <c r="E2212" s="436" t="s">
        <v>2168</v>
      </c>
      <c r="F2212" s="435" t="s">
        <v>5681</v>
      </c>
      <c r="G2212" s="433" t="s">
        <v>5278</v>
      </c>
      <c r="H2212" s="432" t="s">
        <v>5449</v>
      </c>
      <c r="I2212" s="503">
        <f t="shared" si="178"/>
        <v>3237.2391216400001</v>
      </c>
      <c r="J2212" s="503">
        <f t="shared" si="175"/>
        <v>687.56299999999999</v>
      </c>
      <c r="K2212" s="371">
        <f t="shared" si="176"/>
        <v>382.0100028</v>
      </c>
      <c r="L2212" s="369">
        <f t="shared" si="177"/>
        <v>76.402000560000005</v>
      </c>
      <c r="M2212" s="369" t="s">
        <v>6169</v>
      </c>
      <c r="N2212" s="432" t="s">
        <v>4753</v>
      </c>
      <c r="O2212" s="432" t="s">
        <v>5567</v>
      </c>
      <c r="P2212" s="438" t="s">
        <v>3659</v>
      </c>
      <c r="Q2212" s="481">
        <v>0.2</v>
      </c>
      <c r="R2212" s="438">
        <v>1900004970</v>
      </c>
      <c r="S2212" s="466" t="s">
        <v>434</v>
      </c>
      <c r="T2212" s="2" t="s">
        <v>5915</v>
      </c>
      <c r="U2212" s="9" t="s">
        <v>434</v>
      </c>
    </row>
    <row r="2213" spans="1:21" x14ac:dyDescent="0.35">
      <c r="A2213" s="482" t="s">
        <v>5752</v>
      </c>
      <c r="B2213" s="432" t="s">
        <v>2029</v>
      </c>
      <c r="C2213" s="436">
        <v>43356</v>
      </c>
      <c r="D2213" s="436">
        <v>43360</v>
      </c>
      <c r="E2213" s="436" t="s">
        <v>2170</v>
      </c>
      <c r="F2213" s="435" t="s">
        <v>5681</v>
      </c>
      <c r="G2213" s="433" t="s">
        <v>5278</v>
      </c>
      <c r="H2213" s="432" t="s">
        <v>5449</v>
      </c>
      <c r="I2213" s="503">
        <f t="shared" si="178"/>
        <v>3237.2391216400001</v>
      </c>
      <c r="J2213" s="503">
        <f t="shared" si="175"/>
        <v>687.56299999999999</v>
      </c>
      <c r="K2213" s="371">
        <f t="shared" si="176"/>
        <v>382.0100028</v>
      </c>
      <c r="L2213" s="369">
        <f t="shared" si="177"/>
        <v>76.402000560000005</v>
      </c>
      <c r="M2213" s="369" t="s">
        <v>6169</v>
      </c>
      <c r="N2213" s="432" t="s">
        <v>4753</v>
      </c>
      <c r="O2213" s="432" t="s">
        <v>5567</v>
      </c>
      <c r="P2213" s="438" t="s">
        <v>3659</v>
      </c>
      <c r="Q2213" s="481">
        <v>0.2</v>
      </c>
      <c r="R2213" s="438">
        <v>1900004970</v>
      </c>
      <c r="S2213" s="466" t="s">
        <v>961</v>
      </c>
      <c r="T2213" s="2" t="s">
        <v>5915</v>
      </c>
      <c r="U2213" s="9" t="s">
        <v>961</v>
      </c>
    </row>
    <row r="2214" spans="1:21" x14ac:dyDescent="0.35">
      <c r="A2214" s="482" t="s">
        <v>5753</v>
      </c>
      <c r="B2214" s="432" t="s">
        <v>2029</v>
      </c>
      <c r="C2214" s="436">
        <v>43356</v>
      </c>
      <c r="D2214" s="436">
        <v>43360</v>
      </c>
      <c r="E2214" s="436" t="s">
        <v>2172</v>
      </c>
      <c r="F2214" s="435" t="s">
        <v>5681</v>
      </c>
      <c r="G2214" s="433" t="s">
        <v>5278</v>
      </c>
      <c r="H2214" s="432" t="s">
        <v>5449</v>
      </c>
      <c r="I2214" s="503">
        <f t="shared" si="178"/>
        <v>3237.2391216400001</v>
      </c>
      <c r="J2214" s="503">
        <f t="shared" si="175"/>
        <v>687.56299999999999</v>
      </c>
      <c r="K2214" s="371">
        <f t="shared" si="176"/>
        <v>382.0100028</v>
      </c>
      <c r="L2214" s="369">
        <f t="shared" si="177"/>
        <v>76.402000560000005</v>
      </c>
      <c r="M2214" s="369" t="s">
        <v>6169</v>
      </c>
      <c r="N2214" s="432" t="s">
        <v>4753</v>
      </c>
      <c r="O2214" s="432" t="s">
        <v>5567</v>
      </c>
      <c r="P2214" s="438" t="s">
        <v>3659</v>
      </c>
      <c r="Q2214" s="481">
        <v>0.2</v>
      </c>
      <c r="R2214" s="438">
        <v>1900004970</v>
      </c>
      <c r="S2214" s="466" t="s">
        <v>2171</v>
      </c>
      <c r="T2214" s="2" t="s">
        <v>5915</v>
      </c>
      <c r="U2214" s="9" t="s">
        <v>2171</v>
      </c>
    </row>
    <row r="2215" spans="1:21" x14ac:dyDescent="0.35">
      <c r="A2215" s="482" t="s">
        <v>5754</v>
      </c>
      <c r="B2215" s="432" t="s">
        <v>2029</v>
      </c>
      <c r="C2215" s="436">
        <v>43356</v>
      </c>
      <c r="D2215" s="436">
        <v>43360</v>
      </c>
      <c r="E2215" s="436" t="s">
        <v>2174</v>
      </c>
      <c r="F2215" s="435" t="s">
        <v>5681</v>
      </c>
      <c r="G2215" s="433" t="s">
        <v>5278</v>
      </c>
      <c r="H2215" s="432" t="s">
        <v>5449</v>
      </c>
      <c r="I2215" s="503">
        <f t="shared" si="178"/>
        <v>3237.2391216400001</v>
      </c>
      <c r="J2215" s="503">
        <f t="shared" si="175"/>
        <v>687.56299999999999</v>
      </c>
      <c r="K2215" s="371">
        <f t="shared" si="176"/>
        <v>382.0100028</v>
      </c>
      <c r="L2215" s="369">
        <f t="shared" si="177"/>
        <v>76.402000560000005</v>
      </c>
      <c r="M2215" s="369" t="s">
        <v>6169</v>
      </c>
      <c r="N2215" s="432" t="s">
        <v>4753</v>
      </c>
      <c r="O2215" s="432" t="s">
        <v>5567</v>
      </c>
      <c r="P2215" s="438" t="s">
        <v>3659</v>
      </c>
      <c r="Q2215" s="481">
        <v>0.2</v>
      </c>
      <c r="R2215" s="438">
        <v>1900004970</v>
      </c>
      <c r="S2215" s="466" t="s">
        <v>980</v>
      </c>
      <c r="T2215" s="2" t="s">
        <v>5915</v>
      </c>
      <c r="U2215" s="9" t="s">
        <v>980</v>
      </c>
    </row>
    <row r="2216" spans="1:21" x14ac:dyDescent="0.35">
      <c r="A2216" s="482" t="s">
        <v>5755</v>
      </c>
      <c r="B2216" s="432" t="s">
        <v>2029</v>
      </c>
      <c r="C2216" s="436">
        <v>43356</v>
      </c>
      <c r="D2216" s="436">
        <v>43360</v>
      </c>
      <c r="E2216" s="436" t="s">
        <v>2175</v>
      </c>
      <c r="F2216" s="435" t="s">
        <v>5681</v>
      </c>
      <c r="G2216" s="433" t="s">
        <v>5278</v>
      </c>
      <c r="H2216" s="432" t="s">
        <v>5449</v>
      </c>
      <c r="I2216" s="503">
        <f t="shared" si="178"/>
        <v>3237.2391216400001</v>
      </c>
      <c r="J2216" s="503">
        <f t="shared" si="175"/>
        <v>687.56299999999999</v>
      </c>
      <c r="K2216" s="371">
        <f t="shared" si="176"/>
        <v>382.0100028</v>
      </c>
      <c r="L2216" s="369">
        <f t="shared" si="177"/>
        <v>76.402000560000005</v>
      </c>
      <c r="M2216" s="369" t="s">
        <v>6169</v>
      </c>
      <c r="N2216" s="432" t="s">
        <v>4753</v>
      </c>
      <c r="O2216" s="432" t="s">
        <v>5567</v>
      </c>
      <c r="P2216" s="438" t="s">
        <v>3659</v>
      </c>
      <c r="Q2216" s="481">
        <v>0.2</v>
      </c>
      <c r="R2216" s="438">
        <v>1900004970</v>
      </c>
      <c r="S2216" s="466" t="s">
        <v>729</v>
      </c>
      <c r="T2216" s="2" t="s">
        <v>5915</v>
      </c>
      <c r="U2216" s="9" t="s">
        <v>729</v>
      </c>
    </row>
    <row r="2217" spans="1:21" x14ac:dyDescent="0.35">
      <c r="A2217" s="482" t="s">
        <v>5756</v>
      </c>
      <c r="B2217" s="432" t="s">
        <v>2029</v>
      </c>
      <c r="C2217" s="436">
        <v>43356</v>
      </c>
      <c r="D2217" s="436">
        <v>43360</v>
      </c>
      <c r="E2217" s="436" t="s">
        <v>2177</v>
      </c>
      <c r="F2217" s="435" t="s">
        <v>5681</v>
      </c>
      <c r="G2217" s="433" t="s">
        <v>5278</v>
      </c>
      <c r="H2217" s="432" t="s">
        <v>5449</v>
      </c>
      <c r="I2217" s="503">
        <f t="shared" si="178"/>
        <v>3237.2391216400001</v>
      </c>
      <c r="J2217" s="503">
        <f t="shared" si="175"/>
        <v>687.56299999999999</v>
      </c>
      <c r="K2217" s="371">
        <f t="shared" si="176"/>
        <v>382.0100028</v>
      </c>
      <c r="L2217" s="369">
        <f t="shared" si="177"/>
        <v>76.402000560000005</v>
      </c>
      <c r="M2217" s="369" t="s">
        <v>6169</v>
      </c>
      <c r="N2217" s="432" t="s">
        <v>4753</v>
      </c>
      <c r="O2217" s="432" t="s">
        <v>5567</v>
      </c>
      <c r="P2217" s="438" t="s">
        <v>3659</v>
      </c>
      <c r="Q2217" s="481">
        <v>0.2</v>
      </c>
      <c r="R2217" s="438">
        <v>1900004970</v>
      </c>
      <c r="S2217" s="466" t="s">
        <v>2176</v>
      </c>
      <c r="T2217" s="2" t="s">
        <v>5915</v>
      </c>
      <c r="U2217" s="9" t="s">
        <v>2176</v>
      </c>
    </row>
    <row r="2218" spans="1:21" x14ac:dyDescent="0.35">
      <c r="A2218" s="482" t="s">
        <v>5757</v>
      </c>
      <c r="B2218" s="432" t="s">
        <v>2029</v>
      </c>
      <c r="C2218" s="436">
        <v>43356</v>
      </c>
      <c r="D2218" s="436">
        <v>43360</v>
      </c>
      <c r="E2218" s="436" t="s">
        <v>2179</v>
      </c>
      <c r="F2218" s="435" t="s">
        <v>5681</v>
      </c>
      <c r="G2218" s="433" t="s">
        <v>5278</v>
      </c>
      <c r="H2218" s="432" t="s">
        <v>5449</v>
      </c>
      <c r="I2218" s="503">
        <f t="shared" si="178"/>
        <v>3237.2391216400001</v>
      </c>
      <c r="J2218" s="503">
        <f t="shared" si="175"/>
        <v>687.56299999999999</v>
      </c>
      <c r="K2218" s="371">
        <f t="shared" si="176"/>
        <v>382.0100028</v>
      </c>
      <c r="L2218" s="369">
        <f t="shared" si="177"/>
        <v>76.402000560000005</v>
      </c>
      <c r="M2218" s="369" t="s">
        <v>6169</v>
      </c>
      <c r="N2218" s="432" t="s">
        <v>4753</v>
      </c>
      <c r="O2218" s="432" t="s">
        <v>5567</v>
      </c>
      <c r="P2218" s="438" t="s">
        <v>3659</v>
      </c>
      <c r="Q2218" s="481">
        <v>0.2</v>
      </c>
      <c r="R2218" s="438">
        <v>1900004970</v>
      </c>
      <c r="S2218" s="466" t="s">
        <v>1052</v>
      </c>
      <c r="T2218" s="2" t="s">
        <v>5915</v>
      </c>
      <c r="U2218" s="9" t="s">
        <v>1052</v>
      </c>
    </row>
    <row r="2219" spans="1:21" x14ac:dyDescent="0.35">
      <c r="A2219" s="482" t="s">
        <v>5758</v>
      </c>
      <c r="B2219" s="432" t="s">
        <v>2029</v>
      </c>
      <c r="C2219" s="436">
        <v>43356</v>
      </c>
      <c r="D2219" s="436">
        <v>43360</v>
      </c>
      <c r="E2219" s="436" t="s">
        <v>2182</v>
      </c>
      <c r="F2219" s="435" t="s">
        <v>5681</v>
      </c>
      <c r="G2219" s="433" t="s">
        <v>5278</v>
      </c>
      <c r="H2219" s="432" t="s">
        <v>5449</v>
      </c>
      <c r="I2219" s="503">
        <f t="shared" si="178"/>
        <v>3237.2391216400001</v>
      </c>
      <c r="J2219" s="503">
        <f t="shared" si="175"/>
        <v>687.56299999999999</v>
      </c>
      <c r="K2219" s="371">
        <f t="shared" si="176"/>
        <v>382.0100028</v>
      </c>
      <c r="L2219" s="369">
        <f t="shared" si="177"/>
        <v>76.402000560000005</v>
      </c>
      <c r="M2219" s="369" t="s">
        <v>6169</v>
      </c>
      <c r="N2219" s="432" t="s">
        <v>4753</v>
      </c>
      <c r="O2219" s="432" t="s">
        <v>5567</v>
      </c>
      <c r="P2219" s="438" t="s">
        <v>3659</v>
      </c>
      <c r="Q2219" s="481">
        <v>0.2</v>
      </c>
      <c r="R2219" s="438">
        <v>1900004970</v>
      </c>
      <c r="S2219" s="466" t="s">
        <v>2181</v>
      </c>
      <c r="T2219" s="2" t="s">
        <v>5915</v>
      </c>
      <c r="U2219" s="9" t="s">
        <v>2181</v>
      </c>
    </row>
    <row r="2220" spans="1:21" x14ac:dyDescent="0.35">
      <c r="A2220" s="482" t="s">
        <v>5759</v>
      </c>
      <c r="B2220" s="432" t="s">
        <v>2029</v>
      </c>
      <c r="C2220" s="436">
        <v>43356</v>
      </c>
      <c r="D2220" s="436">
        <v>43360</v>
      </c>
      <c r="E2220" s="436" t="s">
        <v>2188</v>
      </c>
      <c r="F2220" s="435" t="s">
        <v>5681</v>
      </c>
      <c r="G2220" s="433" t="s">
        <v>5278</v>
      </c>
      <c r="H2220" s="432" t="s">
        <v>5449</v>
      </c>
      <c r="I2220" s="503">
        <f t="shared" si="178"/>
        <v>3237.2391216400001</v>
      </c>
      <c r="J2220" s="503">
        <f t="shared" si="175"/>
        <v>687.56299999999999</v>
      </c>
      <c r="K2220" s="371">
        <f t="shared" si="176"/>
        <v>382.0100028</v>
      </c>
      <c r="L2220" s="369">
        <f t="shared" si="177"/>
        <v>76.402000560000005</v>
      </c>
      <c r="M2220" s="369" t="s">
        <v>6169</v>
      </c>
      <c r="N2220" s="432" t="s">
        <v>4753</v>
      </c>
      <c r="O2220" s="432" t="s">
        <v>5567</v>
      </c>
      <c r="P2220" s="438" t="s">
        <v>3659</v>
      </c>
      <c r="Q2220" s="481">
        <v>0.2</v>
      </c>
      <c r="R2220" s="438">
        <v>1900004970</v>
      </c>
      <c r="S2220" s="466" t="s">
        <v>385</v>
      </c>
      <c r="T2220" s="2" t="s">
        <v>5915</v>
      </c>
      <c r="U2220" s="9" t="s">
        <v>385</v>
      </c>
    </row>
    <row r="2221" spans="1:21" x14ac:dyDescent="0.35">
      <c r="A2221" s="482" t="s">
        <v>5760</v>
      </c>
      <c r="B2221" s="432" t="s">
        <v>2029</v>
      </c>
      <c r="C2221" s="436">
        <v>43356</v>
      </c>
      <c r="D2221" s="436">
        <v>43360</v>
      </c>
      <c r="E2221" s="436" t="s">
        <v>2190</v>
      </c>
      <c r="F2221" s="435" t="s">
        <v>5681</v>
      </c>
      <c r="G2221" s="433" t="s">
        <v>5278</v>
      </c>
      <c r="H2221" s="432" t="s">
        <v>5449</v>
      </c>
      <c r="I2221" s="503">
        <f t="shared" si="178"/>
        <v>3237.2391216400001</v>
      </c>
      <c r="J2221" s="503">
        <f t="shared" si="175"/>
        <v>687.56299999999999</v>
      </c>
      <c r="K2221" s="371">
        <f t="shared" si="176"/>
        <v>382.0100028</v>
      </c>
      <c r="L2221" s="369">
        <f t="shared" si="177"/>
        <v>76.402000560000005</v>
      </c>
      <c r="M2221" s="369" t="s">
        <v>6169</v>
      </c>
      <c r="N2221" s="432" t="s">
        <v>4753</v>
      </c>
      <c r="O2221" s="432" t="s">
        <v>5567</v>
      </c>
      <c r="P2221" s="438" t="s">
        <v>3659</v>
      </c>
      <c r="Q2221" s="481">
        <v>0.2</v>
      </c>
      <c r="R2221" s="438">
        <v>1900004970</v>
      </c>
      <c r="S2221" s="466" t="s">
        <v>1050</v>
      </c>
      <c r="T2221" s="2" t="s">
        <v>5915</v>
      </c>
      <c r="U2221" s="9" t="s">
        <v>1050</v>
      </c>
    </row>
    <row r="2222" spans="1:21" hidden="1" x14ac:dyDescent="0.35">
      <c r="A2222" s="482" t="s">
        <v>5761</v>
      </c>
      <c r="B2222" s="432" t="s">
        <v>5762</v>
      </c>
      <c r="C2222" s="436">
        <v>43356</v>
      </c>
      <c r="D2222" s="436">
        <v>43360</v>
      </c>
      <c r="E2222" s="436"/>
      <c r="F2222" s="435" t="s">
        <v>5681</v>
      </c>
      <c r="G2222" s="435" t="s">
        <v>5396</v>
      </c>
      <c r="H2222" s="432" t="s">
        <v>5449</v>
      </c>
      <c r="I2222" s="503">
        <f t="shared" si="178"/>
        <v>4453.9975679000008</v>
      </c>
      <c r="J2222" s="503">
        <f t="shared" ref="J2222:J2231" si="179">805.1*1.175</f>
        <v>945.99250000000006</v>
      </c>
      <c r="K2222" s="371">
        <f t="shared" si="176"/>
        <v>525.593433</v>
      </c>
      <c r="L2222" s="369">
        <f t="shared" si="177"/>
        <v>105.1186866</v>
      </c>
      <c r="M2222" s="369" t="s">
        <v>6169</v>
      </c>
      <c r="N2222" s="432" t="s">
        <v>4753</v>
      </c>
      <c r="O2222" s="432" t="s">
        <v>5567</v>
      </c>
      <c r="P2222" s="438" t="s">
        <v>3659</v>
      </c>
      <c r="Q2222" s="481">
        <v>0.2</v>
      </c>
      <c r="R2222" s="438">
        <v>1900004970</v>
      </c>
      <c r="S2222" s="466"/>
      <c r="T2222" s="2" t="s">
        <v>5914</v>
      </c>
    </row>
    <row r="2223" spans="1:21" hidden="1" x14ac:dyDescent="0.35">
      <c r="A2223" s="482" t="s">
        <v>5763</v>
      </c>
      <c r="B2223" s="432" t="s">
        <v>5762</v>
      </c>
      <c r="C2223" s="436">
        <v>43356</v>
      </c>
      <c r="D2223" s="436">
        <v>43360</v>
      </c>
      <c r="E2223" s="436"/>
      <c r="F2223" s="435" t="s">
        <v>5681</v>
      </c>
      <c r="G2223" s="435" t="s">
        <v>5396</v>
      </c>
      <c r="H2223" s="432" t="s">
        <v>5449</v>
      </c>
      <c r="I2223" s="503">
        <f t="shared" si="178"/>
        <v>4453.9975679000008</v>
      </c>
      <c r="J2223" s="503">
        <f t="shared" si="179"/>
        <v>945.99250000000006</v>
      </c>
      <c r="K2223" s="371">
        <f t="shared" si="176"/>
        <v>525.593433</v>
      </c>
      <c r="L2223" s="369">
        <f t="shared" si="177"/>
        <v>105.1186866</v>
      </c>
      <c r="M2223" s="369" t="s">
        <v>6169</v>
      </c>
      <c r="N2223" s="432" t="s">
        <v>4753</v>
      </c>
      <c r="O2223" s="432" t="s">
        <v>5567</v>
      </c>
      <c r="P2223" s="438" t="s">
        <v>3659</v>
      </c>
      <c r="Q2223" s="481">
        <v>0.2</v>
      </c>
      <c r="R2223" s="438">
        <v>1900004970</v>
      </c>
      <c r="S2223" s="466"/>
      <c r="T2223" s="2" t="s">
        <v>5914</v>
      </c>
    </row>
    <row r="2224" spans="1:21" hidden="1" x14ac:dyDescent="0.35">
      <c r="A2224" s="482" t="s">
        <v>5764</v>
      </c>
      <c r="B2224" s="432" t="s">
        <v>5762</v>
      </c>
      <c r="C2224" s="436">
        <v>43356</v>
      </c>
      <c r="D2224" s="436">
        <v>43360</v>
      </c>
      <c r="E2224" s="436"/>
      <c r="F2224" s="435" t="s">
        <v>5681</v>
      </c>
      <c r="G2224" s="435" t="s">
        <v>5396</v>
      </c>
      <c r="H2224" s="432" t="s">
        <v>5449</v>
      </c>
      <c r="I2224" s="503">
        <f t="shared" si="178"/>
        <v>4453.9975679000008</v>
      </c>
      <c r="J2224" s="503">
        <f t="shared" si="179"/>
        <v>945.99250000000006</v>
      </c>
      <c r="K2224" s="371">
        <f t="shared" si="176"/>
        <v>525.593433</v>
      </c>
      <c r="L2224" s="369">
        <f t="shared" si="177"/>
        <v>105.1186866</v>
      </c>
      <c r="M2224" s="369" t="s">
        <v>6169</v>
      </c>
      <c r="N2224" s="432" t="s">
        <v>4753</v>
      </c>
      <c r="O2224" s="432" t="s">
        <v>5567</v>
      </c>
      <c r="P2224" s="438" t="s">
        <v>3659</v>
      </c>
      <c r="Q2224" s="481">
        <v>0.2</v>
      </c>
      <c r="R2224" s="438">
        <v>1900004970</v>
      </c>
      <c r="S2224" s="466"/>
      <c r="T2224" s="2" t="s">
        <v>5914</v>
      </c>
    </row>
    <row r="2225" spans="1:21" hidden="1" x14ac:dyDescent="0.35">
      <c r="A2225" s="482" t="s">
        <v>5765</v>
      </c>
      <c r="B2225" s="432" t="s">
        <v>5762</v>
      </c>
      <c r="C2225" s="436">
        <v>43356</v>
      </c>
      <c r="D2225" s="436">
        <v>43360</v>
      </c>
      <c r="E2225" s="436"/>
      <c r="F2225" s="435" t="s">
        <v>5681</v>
      </c>
      <c r="G2225" s="435" t="s">
        <v>5396</v>
      </c>
      <c r="H2225" s="432" t="s">
        <v>5449</v>
      </c>
      <c r="I2225" s="503">
        <f t="shared" si="178"/>
        <v>4453.9975679000008</v>
      </c>
      <c r="J2225" s="503">
        <f t="shared" si="179"/>
        <v>945.99250000000006</v>
      </c>
      <c r="K2225" s="371">
        <f t="shared" si="176"/>
        <v>525.593433</v>
      </c>
      <c r="L2225" s="369">
        <f t="shared" si="177"/>
        <v>105.1186866</v>
      </c>
      <c r="M2225" s="369" t="s">
        <v>6169</v>
      </c>
      <c r="N2225" s="432" t="s">
        <v>4753</v>
      </c>
      <c r="O2225" s="432" t="s">
        <v>5567</v>
      </c>
      <c r="P2225" s="438" t="s">
        <v>3659</v>
      </c>
      <c r="Q2225" s="481">
        <v>0.2</v>
      </c>
      <c r="R2225" s="438">
        <v>1900004970</v>
      </c>
      <c r="S2225" s="466"/>
      <c r="T2225" s="2" t="s">
        <v>5914</v>
      </c>
    </row>
    <row r="2226" spans="1:21" hidden="1" x14ac:dyDescent="0.35">
      <c r="A2226" s="482" t="s">
        <v>5766</v>
      </c>
      <c r="B2226" s="432" t="s">
        <v>5762</v>
      </c>
      <c r="C2226" s="436">
        <v>43356</v>
      </c>
      <c r="D2226" s="436">
        <v>43360</v>
      </c>
      <c r="E2226" s="436"/>
      <c r="F2226" s="435" t="s">
        <v>5681</v>
      </c>
      <c r="G2226" s="435" t="s">
        <v>5396</v>
      </c>
      <c r="H2226" s="432" t="s">
        <v>5449</v>
      </c>
      <c r="I2226" s="503">
        <f t="shared" si="178"/>
        <v>4453.9975679000008</v>
      </c>
      <c r="J2226" s="503">
        <f t="shared" si="179"/>
        <v>945.99250000000006</v>
      </c>
      <c r="K2226" s="371">
        <f t="shared" si="176"/>
        <v>525.593433</v>
      </c>
      <c r="L2226" s="369">
        <f t="shared" si="177"/>
        <v>105.1186866</v>
      </c>
      <c r="M2226" s="369" t="s">
        <v>6169</v>
      </c>
      <c r="N2226" s="432" t="s">
        <v>4753</v>
      </c>
      <c r="O2226" s="432" t="s">
        <v>5567</v>
      </c>
      <c r="P2226" s="438" t="s">
        <v>3659</v>
      </c>
      <c r="Q2226" s="481">
        <v>0.2</v>
      </c>
      <c r="R2226" s="438">
        <v>1900004970</v>
      </c>
      <c r="S2226" s="466"/>
      <c r="T2226" s="2" t="s">
        <v>5914</v>
      </c>
    </row>
    <row r="2227" spans="1:21" hidden="1" x14ac:dyDescent="0.35">
      <c r="A2227" s="482" t="s">
        <v>5767</v>
      </c>
      <c r="B2227" s="432" t="s">
        <v>5762</v>
      </c>
      <c r="C2227" s="436">
        <v>43356</v>
      </c>
      <c r="D2227" s="436">
        <v>43360</v>
      </c>
      <c r="E2227" s="436"/>
      <c r="F2227" s="435" t="s">
        <v>5681</v>
      </c>
      <c r="G2227" s="435" t="s">
        <v>5396</v>
      </c>
      <c r="H2227" s="432" t="s">
        <v>5449</v>
      </c>
      <c r="I2227" s="503">
        <f t="shared" si="178"/>
        <v>4453.9975679000008</v>
      </c>
      <c r="J2227" s="503">
        <f t="shared" si="179"/>
        <v>945.99250000000006</v>
      </c>
      <c r="K2227" s="371">
        <f t="shared" si="176"/>
        <v>525.593433</v>
      </c>
      <c r="L2227" s="369">
        <f t="shared" si="177"/>
        <v>105.1186866</v>
      </c>
      <c r="M2227" s="369" t="s">
        <v>6169</v>
      </c>
      <c r="N2227" s="432" t="s">
        <v>4753</v>
      </c>
      <c r="O2227" s="432" t="s">
        <v>5567</v>
      </c>
      <c r="P2227" s="438" t="s">
        <v>3659</v>
      </c>
      <c r="Q2227" s="481">
        <v>0.2</v>
      </c>
      <c r="R2227" s="438">
        <v>1900004970</v>
      </c>
      <c r="S2227" s="466"/>
      <c r="T2227" s="2" t="s">
        <v>5914</v>
      </c>
    </row>
    <row r="2228" spans="1:21" hidden="1" x14ac:dyDescent="0.35">
      <c r="A2228" s="482" t="s">
        <v>5768</v>
      </c>
      <c r="B2228" s="432" t="s">
        <v>5762</v>
      </c>
      <c r="C2228" s="436">
        <v>43356</v>
      </c>
      <c r="D2228" s="436">
        <v>43360</v>
      </c>
      <c r="E2228" s="436"/>
      <c r="F2228" s="435" t="s">
        <v>5681</v>
      </c>
      <c r="G2228" s="435" t="s">
        <v>5396</v>
      </c>
      <c r="H2228" s="432" t="s">
        <v>5449</v>
      </c>
      <c r="I2228" s="503">
        <f t="shared" si="178"/>
        <v>4453.9975679000008</v>
      </c>
      <c r="J2228" s="503">
        <f t="shared" si="179"/>
        <v>945.99250000000006</v>
      </c>
      <c r="K2228" s="371">
        <f t="shared" si="176"/>
        <v>525.593433</v>
      </c>
      <c r="L2228" s="369">
        <f t="shared" si="177"/>
        <v>105.1186866</v>
      </c>
      <c r="M2228" s="369" t="s">
        <v>6169</v>
      </c>
      <c r="N2228" s="432" t="s">
        <v>4753</v>
      </c>
      <c r="O2228" s="432" t="s">
        <v>5567</v>
      </c>
      <c r="P2228" s="438" t="s">
        <v>3659</v>
      </c>
      <c r="Q2228" s="481">
        <v>0.2</v>
      </c>
      <c r="R2228" s="438">
        <v>1900004970</v>
      </c>
      <c r="S2228" s="466"/>
      <c r="T2228" s="2" t="s">
        <v>5914</v>
      </c>
    </row>
    <row r="2229" spans="1:21" hidden="1" x14ac:dyDescent="0.35">
      <c r="A2229" s="482" t="s">
        <v>5769</v>
      </c>
      <c r="B2229" s="432" t="s">
        <v>5762</v>
      </c>
      <c r="C2229" s="436">
        <v>43356</v>
      </c>
      <c r="D2229" s="436">
        <v>43360</v>
      </c>
      <c r="E2229" s="436"/>
      <c r="F2229" s="435" t="s">
        <v>5681</v>
      </c>
      <c r="G2229" s="435" t="s">
        <v>5396</v>
      </c>
      <c r="H2229" s="432" t="s">
        <v>5449</v>
      </c>
      <c r="I2229" s="503">
        <f t="shared" si="178"/>
        <v>4453.9975679000008</v>
      </c>
      <c r="J2229" s="503">
        <f t="shared" si="179"/>
        <v>945.99250000000006</v>
      </c>
      <c r="K2229" s="371">
        <f t="shared" si="176"/>
        <v>525.593433</v>
      </c>
      <c r="L2229" s="369">
        <f t="shared" si="177"/>
        <v>105.1186866</v>
      </c>
      <c r="M2229" s="369" t="s">
        <v>6169</v>
      </c>
      <c r="N2229" s="432" t="s">
        <v>4753</v>
      </c>
      <c r="O2229" s="432" t="s">
        <v>5567</v>
      </c>
      <c r="P2229" s="438" t="s">
        <v>3659</v>
      </c>
      <c r="Q2229" s="481">
        <v>0.2</v>
      </c>
      <c r="R2229" s="438">
        <v>1900004970</v>
      </c>
      <c r="S2229" s="466"/>
      <c r="T2229" s="2" t="s">
        <v>5914</v>
      </c>
    </row>
    <row r="2230" spans="1:21" hidden="1" x14ac:dyDescent="0.35">
      <c r="A2230" s="482" t="s">
        <v>5770</v>
      </c>
      <c r="B2230" s="432" t="s">
        <v>5762</v>
      </c>
      <c r="C2230" s="436">
        <v>43356</v>
      </c>
      <c r="D2230" s="436">
        <v>43360</v>
      </c>
      <c r="E2230" s="436"/>
      <c r="F2230" s="435" t="s">
        <v>5681</v>
      </c>
      <c r="G2230" s="435" t="s">
        <v>5396</v>
      </c>
      <c r="H2230" s="432" t="s">
        <v>5449</v>
      </c>
      <c r="I2230" s="503">
        <f t="shared" si="178"/>
        <v>4453.9975679000008</v>
      </c>
      <c r="J2230" s="503">
        <f t="shared" si="179"/>
        <v>945.99250000000006</v>
      </c>
      <c r="K2230" s="371">
        <f t="shared" si="176"/>
        <v>525.593433</v>
      </c>
      <c r="L2230" s="369">
        <f t="shared" si="177"/>
        <v>105.1186866</v>
      </c>
      <c r="M2230" s="369" t="s">
        <v>6169</v>
      </c>
      <c r="N2230" s="432" t="s">
        <v>4753</v>
      </c>
      <c r="O2230" s="432" t="s">
        <v>5567</v>
      </c>
      <c r="P2230" s="438" t="s">
        <v>3659</v>
      </c>
      <c r="Q2230" s="481">
        <v>0.2</v>
      </c>
      <c r="R2230" s="438">
        <v>1900004970</v>
      </c>
      <c r="S2230" s="466"/>
      <c r="T2230" s="2" t="s">
        <v>5914</v>
      </c>
    </row>
    <row r="2231" spans="1:21" hidden="1" x14ac:dyDescent="0.35">
      <c r="A2231" s="482" t="s">
        <v>5771</v>
      </c>
      <c r="B2231" s="432" t="s">
        <v>5762</v>
      </c>
      <c r="C2231" s="436">
        <v>43356</v>
      </c>
      <c r="D2231" s="436">
        <v>43360</v>
      </c>
      <c r="E2231" s="504"/>
      <c r="F2231" s="435" t="s">
        <v>5681</v>
      </c>
      <c r="G2231" s="505" t="s">
        <v>5396</v>
      </c>
      <c r="H2231" s="432" t="s">
        <v>5449</v>
      </c>
      <c r="I2231" s="503">
        <f t="shared" si="178"/>
        <v>4453.9975679000008</v>
      </c>
      <c r="J2231" s="503">
        <f t="shared" si="179"/>
        <v>945.99250000000006</v>
      </c>
      <c r="K2231" s="371">
        <f t="shared" si="176"/>
        <v>525.593433</v>
      </c>
      <c r="L2231" s="369">
        <f t="shared" si="177"/>
        <v>105.1186866</v>
      </c>
      <c r="M2231" s="369" t="s">
        <v>6169</v>
      </c>
      <c r="N2231" s="432" t="s">
        <v>4753</v>
      </c>
      <c r="O2231" s="432" t="s">
        <v>5567</v>
      </c>
      <c r="P2231" s="438" t="s">
        <v>3659</v>
      </c>
      <c r="Q2231" s="481">
        <v>0.2</v>
      </c>
      <c r="R2231" s="438">
        <v>1900004970</v>
      </c>
      <c r="S2231" s="466"/>
      <c r="T2231" s="2" t="s">
        <v>5914</v>
      </c>
    </row>
    <row r="2232" spans="1:21" hidden="1" x14ac:dyDescent="0.35">
      <c r="A2232" s="482" t="s">
        <v>5772</v>
      </c>
      <c r="B2232" s="432" t="s">
        <v>3461</v>
      </c>
      <c r="C2232" s="436">
        <v>43368</v>
      </c>
      <c r="D2232" s="436">
        <v>43368</v>
      </c>
      <c r="E2232" s="506"/>
      <c r="F2232" s="463" t="s">
        <v>5773</v>
      </c>
      <c r="G2232" s="507" t="s">
        <v>5774</v>
      </c>
      <c r="H2232" s="432" t="s">
        <v>5449</v>
      </c>
      <c r="I2232" s="503">
        <f t="shared" si="178"/>
        <v>18918.622364800001</v>
      </c>
      <c r="J2232" s="503">
        <f>3901.13+117.03</f>
        <v>4018.1600000000003</v>
      </c>
      <c r="K2232" s="371">
        <f t="shared" si="176"/>
        <v>2232.4896960000001</v>
      </c>
      <c r="L2232" s="369">
        <f t="shared" si="177"/>
        <v>446.49793920000002</v>
      </c>
      <c r="M2232" s="369" t="s">
        <v>6169</v>
      </c>
      <c r="N2232" s="432" t="s">
        <v>3785</v>
      </c>
      <c r="O2232" s="432" t="s">
        <v>4343</v>
      </c>
      <c r="P2232" s="438" t="s">
        <v>3659</v>
      </c>
      <c r="Q2232" s="481">
        <v>0.2</v>
      </c>
      <c r="R2232" s="438">
        <v>1900005882</v>
      </c>
      <c r="S2232" s="466" t="s">
        <v>2504</v>
      </c>
      <c r="T2232" s="2" t="s">
        <v>5914</v>
      </c>
      <c r="U2232" s="9" t="s">
        <v>5917</v>
      </c>
    </row>
    <row r="2233" spans="1:21" hidden="1" x14ac:dyDescent="0.35">
      <c r="A2233" s="482" t="s">
        <v>5775</v>
      </c>
      <c r="B2233" s="432" t="s">
        <v>5776</v>
      </c>
      <c r="C2233" s="436">
        <v>43368</v>
      </c>
      <c r="D2233" s="436">
        <v>43368</v>
      </c>
      <c r="E2233" s="504"/>
      <c r="F2233" s="435" t="s">
        <v>5777</v>
      </c>
      <c r="G2233" s="505" t="s">
        <v>5778</v>
      </c>
      <c r="H2233" s="432" t="s">
        <v>5449</v>
      </c>
      <c r="I2233" s="503">
        <f t="shared" si="178"/>
        <v>45920.184419600002</v>
      </c>
      <c r="J2233" s="503">
        <f>9469*1.03</f>
        <v>9753.07</v>
      </c>
      <c r="K2233" s="371">
        <f t="shared" si="176"/>
        <v>5418.8056919999999</v>
      </c>
      <c r="L2233" s="369">
        <f t="shared" si="177"/>
        <v>1083.7611383999999</v>
      </c>
      <c r="M2233" s="369" t="s">
        <v>6169</v>
      </c>
      <c r="N2233" s="432" t="s">
        <v>3785</v>
      </c>
      <c r="O2233" s="432" t="s">
        <v>4343</v>
      </c>
      <c r="P2233" s="438" t="s">
        <v>3659</v>
      </c>
      <c r="Q2233" s="481">
        <v>0.2</v>
      </c>
      <c r="R2233" s="438">
        <v>1900005316</v>
      </c>
      <c r="S2233" s="466" t="s">
        <v>2504</v>
      </c>
      <c r="T2233" s="2" t="s">
        <v>5915</v>
      </c>
      <c r="U2233" s="9" t="s">
        <v>2504</v>
      </c>
    </row>
    <row r="2234" spans="1:21" hidden="1" x14ac:dyDescent="0.35">
      <c r="A2234" s="482" t="s">
        <v>5779</v>
      </c>
      <c r="B2234" s="432" t="s">
        <v>5776</v>
      </c>
      <c r="C2234" s="436">
        <v>43368</v>
      </c>
      <c r="D2234" s="436">
        <v>43368</v>
      </c>
      <c r="E2234" s="504"/>
      <c r="F2234" s="435" t="s">
        <v>5777</v>
      </c>
      <c r="G2234" s="505" t="s">
        <v>5778</v>
      </c>
      <c r="H2234" s="432" t="s">
        <v>5449</v>
      </c>
      <c r="I2234" s="503">
        <f t="shared" si="178"/>
        <v>45920.184419600002</v>
      </c>
      <c r="J2234" s="503">
        <f>9469*1.03</f>
        <v>9753.07</v>
      </c>
      <c r="K2234" s="371">
        <f t="shared" si="176"/>
        <v>5418.8056919999999</v>
      </c>
      <c r="L2234" s="369">
        <f t="shared" si="177"/>
        <v>1083.7611383999999</v>
      </c>
      <c r="M2234" s="369" t="s">
        <v>6169</v>
      </c>
      <c r="N2234" s="432" t="s">
        <v>3785</v>
      </c>
      <c r="O2234" s="432" t="s">
        <v>4343</v>
      </c>
      <c r="P2234" s="438" t="s">
        <v>3659</v>
      </c>
      <c r="Q2234" s="481">
        <v>0.2</v>
      </c>
      <c r="R2234" s="438">
        <v>1900005316</v>
      </c>
      <c r="S2234" s="466" t="s">
        <v>2504</v>
      </c>
      <c r="T2234" s="2" t="s">
        <v>5915</v>
      </c>
      <c r="U2234" s="9" t="s">
        <v>2504</v>
      </c>
    </row>
    <row r="2235" spans="1:21" hidden="1" x14ac:dyDescent="0.35">
      <c r="A2235" s="494" t="s">
        <v>4153</v>
      </c>
      <c r="B2235" s="463" t="s">
        <v>5545</v>
      </c>
      <c r="C2235" s="467">
        <v>43557</v>
      </c>
      <c r="D2235" s="467">
        <v>43557</v>
      </c>
      <c r="E2235" s="467" t="s">
        <v>3499</v>
      </c>
      <c r="F2235" s="466" t="s">
        <v>5780</v>
      </c>
      <c r="G2235" s="498" t="s">
        <v>5302</v>
      </c>
      <c r="H2235" s="463" t="s">
        <v>5449</v>
      </c>
      <c r="I2235" s="502">
        <f>+J2235*5.0863</f>
        <v>98084.732580270007</v>
      </c>
      <c r="J2235" s="502">
        <f>18722.43*1.03</f>
        <v>19284.102900000002</v>
      </c>
      <c r="K2235" s="376">
        <f t="shared" ref="K2235:K2280" si="180">+J2235*(0.5556)</f>
        <v>10714.247571240001</v>
      </c>
      <c r="L2235" s="366">
        <f t="shared" ref="L2235:L2278" si="181">+K2235*Q2235</f>
        <v>2142.8495142480001</v>
      </c>
      <c r="M2235" s="366" t="s">
        <v>6169</v>
      </c>
      <c r="N2235" s="463" t="s">
        <v>3785</v>
      </c>
      <c r="O2235" s="463" t="s">
        <v>5567</v>
      </c>
      <c r="P2235" s="464" t="s">
        <v>3659</v>
      </c>
      <c r="Q2235" s="431">
        <v>0.2</v>
      </c>
      <c r="R2235" s="464">
        <v>1900002374</v>
      </c>
      <c r="S2235" s="526" t="s">
        <v>3500</v>
      </c>
      <c r="T2235" s="524" t="s">
        <v>5915</v>
      </c>
    </row>
    <row r="2236" spans="1:21" hidden="1" x14ac:dyDescent="0.35">
      <c r="A2236" s="494" t="s">
        <v>4154</v>
      </c>
      <c r="B2236" s="463" t="s">
        <v>5781</v>
      </c>
      <c r="C2236" s="467">
        <v>43557</v>
      </c>
      <c r="D2236" s="467">
        <v>43557</v>
      </c>
      <c r="E2236" s="467"/>
      <c r="F2236" s="466" t="s">
        <v>5780</v>
      </c>
      <c r="G2236" s="498" t="s">
        <v>5302</v>
      </c>
      <c r="H2236" s="463" t="s">
        <v>5449</v>
      </c>
      <c r="I2236" s="502">
        <f>+J2236*5.0863</f>
        <v>14602.983976379999</v>
      </c>
      <c r="J2236" s="502">
        <f>(8362.26*1.03)/3</f>
        <v>2871.0426000000002</v>
      </c>
      <c r="K2236" s="376">
        <f t="shared" si="180"/>
        <v>1595.1512685600001</v>
      </c>
      <c r="L2236" s="366">
        <f t="shared" si="181"/>
        <v>319.03025371200005</v>
      </c>
      <c r="M2236" s="366" t="s">
        <v>6169</v>
      </c>
      <c r="N2236" s="463" t="s">
        <v>3785</v>
      </c>
      <c r="O2236" s="463" t="s">
        <v>5567</v>
      </c>
      <c r="P2236" s="464" t="s">
        <v>3659</v>
      </c>
      <c r="Q2236" s="431">
        <v>0.2</v>
      </c>
      <c r="R2236" s="464">
        <v>1900002374</v>
      </c>
      <c r="S2236" s="2"/>
      <c r="T2236" s="2"/>
      <c r="U2236" s="2"/>
    </row>
    <row r="2237" spans="1:21" hidden="1" x14ac:dyDescent="0.35">
      <c r="A2237" s="494" t="s">
        <v>4155</v>
      </c>
      <c r="B2237" s="463" t="s">
        <v>3501</v>
      </c>
      <c r="C2237" s="467">
        <v>43557</v>
      </c>
      <c r="D2237" s="467">
        <v>43557</v>
      </c>
      <c r="E2237" s="467" t="s">
        <v>3502</v>
      </c>
      <c r="F2237" s="466" t="s">
        <v>5780</v>
      </c>
      <c r="G2237" s="498" t="s">
        <v>5302</v>
      </c>
      <c r="H2237" s="463" t="s">
        <v>5449</v>
      </c>
      <c r="I2237" s="502">
        <f t="shared" ref="I2237:I2280" si="182">+J2237*5.0863</f>
        <v>14602.983976379999</v>
      </c>
      <c r="J2237" s="502">
        <f>(8362.26*1.03)/3</f>
        <v>2871.0426000000002</v>
      </c>
      <c r="K2237" s="376">
        <f t="shared" si="180"/>
        <v>1595.1512685600001</v>
      </c>
      <c r="L2237" s="366">
        <f t="shared" si="181"/>
        <v>319.03025371200005</v>
      </c>
      <c r="M2237" s="366" t="s">
        <v>6169</v>
      </c>
      <c r="N2237" s="463" t="s">
        <v>3785</v>
      </c>
      <c r="O2237" s="463" t="s">
        <v>5567</v>
      </c>
      <c r="P2237" s="464" t="s">
        <v>3659</v>
      </c>
      <c r="Q2237" s="431">
        <v>0.2</v>
      </c>
      <c r="R2237" s="464">
        <v>1900002374</v>
      </c>
      <c r="S2237" s="532" t="s">
        <v>3503</v>
      </c>
      <c r="T2237" s="528" t="s">
        <v>5915</v>
      </c>
    </row>
    <row r="2238" spans="1:21" hidden="1" x14ac:dyDescent="0.35">
      <c r="A2238" s="494" t="s">
        <v>4156</v>
      </c>
      <c r="B2238" s="463" t="s">
        <v>5781</v>
      </c>
      <c r="C2238" s="467">
        <v>43557</v>
      </c>
      <c r="D2238" s="467">
        <v>43557</v>
      </c>
      <c r="E2238" s="467"/>
      <c r="F2238" s="466" t="s">
        <v>5780</v>
      </c>
      <c r="G2238" s="498" t="s">
        <v>5302</v>
      </c>
      <c r="H2238" s="463" t="s">
        <v>5449</v>
      </c>
      <c r="I2238" s="502">
        <f t="shared" si="182"/>
        <v>14602.983976379999</v>
      </c>
      <c r="J2238" s="502">
        <f>(8362.26*1.03)/3</f>
        <v>2871.0426000000002</v>
      </c>
      <c r="K2238" s="376">
        <f t="shared" si="180"/>
        <v>1595.1512685600001</v>
      </c>
      <c r="L2238" s="366">
        <f t="shared" si="181"/>
        <v>319.03025371200005</v>
      </c>
      <c r="M2238" s="366" t="s">
        <v>6169</v>
      </c>
      <c r="N2238" s="463" t="s">
        <v>3785</v>
      </c>
      <c r="O2238" s="463" t="s">
        <v>5567</v>
      </c>
      <c r="P2238" s="464" t="s">
        <v>3659</v>
      </c>
      <c r="Q2238" s="431">
        <v>0.2</v>
      </c>
      <c r="R2238" s="464">
        <v>1900002374</v>
      </c>
      <c r="S2238" s="2"/>
      <c r="T2238" s="2"/>
      <c r="U2238" s="2"/>
    </row>
    <row r="2239" spans="1:21" x14ac:dyDescent="0.35">
      <c r="A2239" s="494" t="s">
        <v>4157</v>
      </c>
      <c r="B2239" s="463" t="s">
        <v>2026</v>
      </c>
      <c r="C2239" s="467">
        <v>43557</v>
      </c>
      <c r="D2239" s="467">
        <v>43557</v>
      </c>
      <c r="E2239" s="467" t="s">
        <v>1990</v>
      </c>
      <c r="F2239" s="466" t="s">
        <v>5780</v>
      </c>
      <c r="G2239" s="433" t="s">
        <v>5278</v>
      </c>
      <c r="H2239" s="463" t="s">
        <v>5449</v>
      </c>
      <c r="I2239" s="502">
        <f t="shared" si="182"/>
        <v>2599.85105514</v>
      </c>
      <c r="J2239" s="502">
        <f>496.26*1.03</f>
        <v>511.14780000000002</v>
      </c>
      <c r="K2239" s="376">
        <f t="shared" si="180"/>
        <v>283.99371767999997</v>
      </c>
      <c r="L2239" s="366">
        <f t="shared" si="181"/>
        <v>56.798743535999996</v>
      </c>
      <c r="M2239" s="366" t="s">
        <v>6169</v>
      </c>
      <c r="N2239" s="463" t="s">
        <v>3785</v>
      </c>
      <c r="O2239" s="463" t="s">
        <v>5567</v>
      </c>
      <c r="P2239" s="464" t="s">
        <v>3659</v>
      </c>
      <c r="Q2239" s="431">
        <v>0.2</v>
      </c>
      <c r="R2239" s="464">
        <v>1900002374</v>
      </c>
      <c r="S2239" s="531" t="s">
        <v>780</v>
      </c>
      <c r="T2239" s="527" t="s">
        <v>5915</v>
      </c>
      <c r="U2239" s="9" t="s">
        <v>780</v>
      </c>
    </row>
    <row r="2240" spans="1:21" x14ac:dyDescent="0.35">
      <c r="A2240" s="494" t="s">
        <v>4158</v>
      </c>
      <c r="B2240" s="463" t="s">
        <v>2026</v>
      </c>
      <c r="C2240" s="467">
        <v>43557</v>
      </c>
      <c r="D2240" s="467">
        <v>43557</v>
      </c>
      <c r="E2240" s="467" t="s">
        <v>2105</v>
      </c>
      <c r="F2240" s="466" t="s">
        <v>5780</v>
      </c>
      <c r="G2240" s="433" t="s">
        <v>5278</v>
      </c>
      <c r="H2240" s="463" t="s">
        <v>5449</v>
      </c>
      <c r="I2240" s="502">
        <f t="shared" si="182"/>
        <v>2599.85105514</v>
      </c>
      <c r="J2240" s="502">
        <f t="shared" ref="J2240:J2268" si="183">496.26*1.03</f>
        <v>511.14780000000002</v>
      </c>
      <c r="K2240" s="376">
        <f t="shared" si="180"/>
        <v>283.99371767999997</v>
      </c>
      <c r="L2240" s="366">
        <f t="shared" si="181"/>
        <v>56.798743535999996</v>
      </c>
      <c r="M2240" s="366" t="s">
        <v>6169</v>
      </c>
      <c r="N2240" s="463" t="s">
        <v>3785</v>
      </c>
      <c r="O2240" s="463" t="s">
        <v>5567</v>
      </c>
      <c r="P2240" s="464" t="s">
        <v>3659</v>
      </c>
      <c r="Q2240" s="431">
        <v>0.2</v>
      </c>
      <c r="R2240" s="464">
        <v>1900002374</v>
      </c>
      <c r="S2240" s="466" t="s">
        <v>712</v>
      </c>
      <c r="T2240" s="2" t="s">
        <v>5915</v>
      </c>
      <c r="U2240" s="9" t="s">
        <v>712</v>
      </c>
    </row>
    <row r="2241" spans="1:21" x14ac:dyDescent="0.35">
      <c r="A2241" s="494" t="s">
        <v>4160</v>
      </c>
      <c r="B2241" s="463" t="s">
        <v>2026</v>
      </c>
      <c r="C2241" s="467">
        <v>43557</v>
      </c>
      <c r="D2241" s="467">
        <v>43557</v>
      </c>
      <c r="E2241" s="467" t="s">
        <v>2110</v>
      </c>
      <c r="F2241" s="466" t="s">
        <v>5780</v>
      </c>
      <c r="G2241" s="433" t="s">
        <v>5278</v>
      </c>
      <c r="H2241" s="463" t="s">
        <v>5449</v>
      </c>
      <c r="I2241" s="502">
        <f t="shared" si="182"/>
        <v>2599.85105514</v>
      </c>
      <c r="J2241" s="502">
        <f t="shared" si="183"/>
        <v>511.14780000000002</v>
      </c>
      <c r="K2241" s="376">
        <f t="shared" si="180"/>
        <v>283.99371767999997</v>
      </c>
      <c r="L2241" s="366">
        <f t="shared" si="181"/>
        <v>56.798743535999996</v>
      </c>
      <c r="M2241" s="366" t="s">
        <v>6169</v>
      </c>
      <c r="N2241" s="463" t="s">
        <v>3785</v>
      </c>
      <c r="O2241" s="463" t="s">
        <v>5567</v>
      </c>
      <c r="P2241" s="464" t="s">
        <v>3659</v>
      </c>
      <c r="Q2241" s="431">
        <v>0.2</v>
      </c>
      <c r="R2241" s="464">
        <v>1900002374</v>
      </c>
      <c r="S2241" s="466" t="s">
        <v>927</v>
      </c>
      <c r="T2241" s="2" t="s">
        <v>5915</v>
      </c>
      <c r="U2241" s="9" t="s">
        <v>927</v>
      </c>
    </row>
    <row r="2242" spans="1:21" x14ac:dyDescent="0.35">
      <c r="A2242" s="494" t="s">
        <v>4161</v>
      </c>
      <c r="B2242" s="463" t="s">
        <v>2026</v>
      </c>
      <c r="C2242" s="467">
        <v>43557</v>
      </c>
      <c r="D2242" s="467">
        <v>43557</v>
      </c>
      <c r="E2242" s="467" t="s">
        <v>2304</v>
      </c>
      <c r="F2242" s="466" t="s">
        <v>5780</v>
      </c>
      <c r="G2242" s="433" t="s">
        <v>5278</v>
      </c>
      <c r="H2242" s="463" t="s">
        <v>5449</v>
      </c>
      <c r="I2242" s="502">
        <f t="shared" si="182"/>
        <v>2599.85105514</v>
      </c>
      <c r="J2242" s="502">
        <f t="shared" si="183"/>
        <v>511.14780000000002</v>
      </c>
      <c r="K2242" s="376">
        <f t="shared" si="180"/>
        <v>283.99371767999997</v>
      </c>
      <c r="L2242" s="366">
        <f t="shared" si="181"/>
        <v>56.798743535999996</v>
      </c>
      <c r="M2242" s="366" t="s">
        <v>6169</v>
      </c>
      <c r="N2242" s="463" t="s">
        <v>3785</v>
      </c>
      <c r="O2242" s="463" t="s">
        <v>5567</v>
      </c>
      <c r="P2242" s="464" t="s">
        <v>3659</v>
      </c>
      <c r="Q2242" s="431">
        <v>0.2</v>
      </c>
      <c r="R2242" s="464">
        <v>1900002374</v>
      </c>
      <c r="S2242" s="466" t="s">
        <v>2303</v>
      </c>
      <c r="T2242" s="2" t="s">
        <v>5915</v>
      </c>
      <c r="U2242" s="9" t="s">
        <v>2303</v>
      </c>
    </row>
    <row r="2243" spans="1:21" x14ac:dyDescent="0.35">
      <c r="A2243" s="494" t="s">
        <v>4162</v>
      </c>
      <c r="B2243" s="463" t="s">
        <v>2026</v>
      </c>
      <c r="C2243" s="467">
        <v>43557</v>
      </c>
      <c r="D2243" s="467">
        <v>43557</v>
      </c>
      <c r="E2243" s="467" t="s">
        <v>2361</v>
      </c>
      <c r="F2243" s="466" t="s">
        <v>5780</v>
      </c>
      <c r="G2243" s="433" t="s">
        <v>5278</v>
      </c>
      <c r="H2243" s="463" t="s">
        <v>5449</v>
      </c>
      <c r="I2243" s="502">
        <f t="shared" si="182"/>
        <v>2599.85105514</v>
      </c>
      <c r="J2243" s="502">
        <f t="shared" si="183"/>
        <v>511.14780000000002</v>
      </c>
      <c r="K2243" s="376">
        <f t="shared" si="180"/>
        <v>283.99371767999997</v>
      </c>
      <c r="L2243" s="366">
        <f t="shared" si="181"/>
        <v>56.798743535999996</v>
      </c>
      <c r="M2243" s="366" t="s">
        <v>6169</v>
      </c>
      <c r="N2243" s="463" t="s">
        <v>3785</v>
      </c>
      <c r="O2243" s="463" t="s">
        <v>5567</v>
      </c>
      <c r="P2243" s="464" t="s">
        <v>3659</v>
      </c>
      <c r="Q2243" s="431">
        <v>0.2</v>
      </c>
      <c r="R2243" s="464">
        <v>1900002374</v>
      </c>
      <c r="S2243" s="466" t="s">
        <v>507</v>
      </c>
      <c r="T2243" s="2" t="s">
        <v>5915</v>
      </c>
      <c r="U2243" s="9" t="s">
        <v>507</v>
      </c>
    </row>
    <row r="2244" spans="1:21" x14ac:dyDescent="0.35">
      <c r="A2244" s="494" t="s">
        <v>4163</v>
      </c>
      <c r="B2244" s="463" t="s">
        <v>2026</v>
      </c>
      <c r="C2244" s="467">
        <v>43557</v>
      </c>
      <c r="D2244" s="467">
        <v>43557</v>
      </c>
      <c r="E2244" s="467" t="s">
        <v>2458</v>
      </c>
      <c r="F2244" s="466" t="s">
        <v>5780</v>
      </c>
      <c r="G2244" s="433" t="s">
        <v>5278</v>
      </c>
      <c r="H2244" s="463" t="s">
        <v>5449</v>
      </c>
      <c r="I2244" s="502">
        <f t="shared" si="182"/>
        <v>2599.85105514</v>
      </c>
      <c r="J2244" s="502">
        <f t="shared" si="183"/>
        <v>511.14780000000002</v>
      </c>
      <c r="K2244" s="376">
        <f t="shared" si="180"/>
        <v>283.99371767999997</v>
      </c>
      <c r="L2244" s="366">
        <f t="shared" si="181"/>
        <v>56.798743535999996</v>
      </c>
      <c r="M2244" s="366" t="s">
        <v>6169</v>
      </c>
      <c r="N2244" s="463" t="s">
        <v>3785</v>
      </c>
      <c r="O2244" s="463" t="s">
        <v>5567</v>
      </c>
      <c r="P2244" s="464" t="s">
        <v>3659</v>
      </c>
      <c r="Q2244" s="431">
        <v>0.2</v>
      </c>
      <c r="R2244" s="464">
        <v>1900002374</v>
      </c>
      <c r="S2244" s="466" t="s">
        <v>509</v>
      </c>
      <c r="T2244" s="2" t="s">
        <v>5915</v>
      </c>
      <c r="U2244" s="9" t="s">
        <v>509</v>
      </c>
    </row>
    <row r="2245" spans="1:21" x14ac:dyDescent="0.35">
      <c r="A2245" s="494" t="s">
        <v>4164</v>
      </c>
      <c r="B2245" s="463" t="s">
        <v>2026</v>
      </c>
      <c r="C2245" s="467">
        <v>43557</v>
      </c>
      <c r="D2245" s="467">
        <v>43557</v>
      </c>
      <c r="E2245" s="467" t="s">
        <v>2459</v>
      </c>
      <c r="F2245" s="466" t="s">
        <v>5780</v>
      </c>
      <c r="G2245" s="433" t="s">
        <v>5278</v>
      </c>
      <c r="H2245" s="463" t="s">
        <v>5449</v>
      </c>
      <c r="I2245" s="502">
        <f t="shared" si="182"/>
        <v>2599.85105514</v>
      </c>
      <c r="J2245" s="502">
        <f t="shared" si="183"/>
        <v>511.14780000000002</v>
      </c>
      <c r="K2245" s="376">
        <f t="shared" si="180"/>
        <v>283.99371767999997</v>
      </c>
      <c r="L2245" s="366">
        <f t="shared" si="181"/>
        <v>56.798743535999996</v>
      </c>
      <c r="M2245" s="366" t="s">
        <v>6169</v>
      </c>
      <c r="N2245" s="463" t="s">
        <v>3785</v>
      </c>
      <c r="O2245" s="463" t="s">
        <v>5567</v>
      </c>
      <c r="P2245" s="464" t="s">
        <v>3659</v>
      </c>
      <c r="Q2245" s="431">
        <v>0.2</v>
      </c>
      <c r="R2245" s="464">
        <v>1900002374</v>
      </c>
      <c r="S2245" s="466" t="s">
        <v>509</v>
      </c>
      <c r="T2245" s="2" t="s">
        <v>5915</v>
      </c>
      <c r="U2245" s="9" t="s">
        <v>509</v>
      </c>
    </row>
    <row r="2246" spans="1:21" x14ac:dyDescent="0.35">
      <c r="A2246" s="494" t="s">
        <v>4165</v>
      </c>
      <c r="B2246" s="463" t="s">
        <v>2026</v>
      </c>
      <c r="C2246" s="467">
        <v>43557</v>
      </c>
      <c r="D2246" s="467">
        <v>43557</v>
      </c>
      <c r="E2246" s="467" t="s">
        <v>2460</v>
      </c>
      <c r="F2246" s="466" t="s">
        <v>5780</v>
      </c>
      <c r="G2246" s="433" t="s">
        <v>5278</v>
      </c>
      <c r="H2246" s="463" t="s">
        <v>5449</v>
      </c>
      <c r="I2246" s="502">
        <f t="shared" si="182"/>
        <v>2599.85105514</v>
      </c>
      <c r="J2246" s="502">
        <f t="shared" si="183"/>
        <v>511.14780000000002</v>
      </c>
      <c r="K2246" s="376">
        <f t="shared" si="180"/>
        <v>283.99371767999997</v>
      </c>
      <c r="L2246" s="366">
        <f t="shared" si="181"/>
        <v>56.798743535999996</v>
      </c>
      <c r="M2246" s="366" t="s">
        <v>6169</v>
      </c>
      <c r="N2246" s="463" t="s">
        <v>3785</v>
      </c>
      <c r="O2246" s="463" t="s">
        <v>5567</v>
      </c>
      <c r="P2246" s="464" t="s">
        <v>3659</v>
      </c>
      <c r="Q2246" s="431">
        <v>0.2</v>
      </c>
      <c r="R2246" s="464">
        <v>1900002374</v>
      </c>
      <c r="S2246" s="466" t="s">
        <v>509</v>
      </c>
      <c r="T2246" s="2" t="s">
        <v>5915</v>
      </c>
      <c r="U2246" s="9" t="s">
        <v>509</v>
      </c>
    </row>
    <row r="2247" spans="1:21" x14ac:dyDescent="0.35">
      <c r="A2247" s="494" t="s">
        <v>4166</v>
      </c>
      <c r="B2247" s="463" t="s">
        <v>2026</v>
      </c>
      <c r="C2247" s="467">
        <v>43557</v>
      </c>
      <c r="D2247" s="467">
        <v>43557</v>
      </c>
      <c r="E2247" s="467" t="s">
        <v>2461</v>
      </c>
      <c r="F2247" s="466" t="s">
        <v>5780</v>
      </c>
      <c r="G2247" s="433" t="s">
        <v>5278</v>
      </c>
      <c r="H2247" s="463" t="s">
        <v>5449</v>
      </c>
      <c r="I2247" s="502">
        <f t="shared" si="182"/>
        <v>2599.85105514</v>
      </c>
      <c r="J2247" s="502">
        <f t="shared" si="183"/>
        <v>511.14780000000002</v>
      </c>
      <c r="K2247" s="376">
        <f t="shared" si="180"/>
        <v>283.99371767999997</v>
      </c>
      <c r="L2247" s="366">
        <f t="shared" si="181"/>
        <v>56.798743535999996</v>
      </c>
      <c r="M2247" s="366" t="s">
        <v>6169</v>
      </c>
      <c r="N2247" s="463" t="s">
        <v>3785</v>
      </c>
      <c r="O2247" s="463" t="s">
        <v>5567</v>
      </c>
      <c r="P2247" s="464" t="s">
        <v>3659</v>
      </c>
      <c r="Q2247" s="431">
        <v>0.2</v>
      </c>
      <c r="R2247" s="464">
        <v>1900002374</v>
      </c>
      <c r="S2247" s="466" t="s">
        <v>509</v>
      </c>
      <c r="T2247" s="2" t="s">
        <v>5915</v>
      </c>
      <c r="U2247" s="9" t="s">
        <v>509</v>
      </c>
    </row>
    <row r="2248" spans="1:21" x14ac:dyDescent="0.35">
      <c r="A2248" s="494" t="s">
        <v>4167</v>
      </c>
      <c r="B2248" s="463" t="s">
        <v>2026</v>
      </c>
      <c r="C2248" s="467">
        <v>43557</v>
      </c>
      <c r="D2248" s="467">
        <v>43557</v>
      </c>
      <c r="E2248" s="467" t="s">
        <v>2462</v>
      </c>
      <c r="F2248" s="466" t="s">
        <v>5780</v>
      </c>
      <c r="G2248" s="433" t="s">
        <v>5278</v>
      </c>
      <c r="H2248" s="463" t="s">
        <v>5449</v>
      </c>
      <c r="I2248" s="502">
        <f t="shared" si="182"/>
        <v>2599.85105514</v>
      </c>
      <c r="J2248" s="502">
        <f t="shared" si="183"/>
        <v>511.14780000000002</v>
      </c>
      <c r="K2248" s="376">
        <f t="shared" si="180"/>
        <v>283.99371767999997</v>
      </c>
      <c r="L2248" s="366">
        <f t="shared" si="181"/>
        <v>56.798743535999996</v>
      </c>
      <c r="M2248" s="366" t="s">
        <v>6169</v>
      </c>
      <c r="N2248" s="463" t="s">
        <v>3785</v>
      </c>
      <c r="O2248" s="463" t="s">
        <v>5567</v>
      </c>
      <c r="P2248" s="464" t="s">
        <v>3659</v>
      </c>
      <c r="Q2248" s="431">
        <v>0.2</v>
      </c>
      <c r="R2248" s="464">
        <v>1900002374</v>
      </c>
      <c r="S2248" s="466" t="s">
        <v>509</v>
      </c>
      <c r="T2248" s="2" t="s">
        <v>5915</v>
      </c>
      <c r="U2248" s="9" t="s">
        <v>509</v>
      </c>
    </row>
    <row r="2249" spans="1:21" x14ac:dyDescent="0.35">
      <c r="A2249" s="494" t="s">
        <v>4168</v>
      </c>
      <c r="B2249" s="463" t="s">
        <v>2026</v>
      </c>
      <c r="C2249" s="467">
        <v>43557</v>
      </c>
      <c r="D2249" s="467">
        <v>43557</v>
      </c>
      <c r="E2249" s="467" t="s">
        <v>2463</v>
      </c>
      <c r="F2249" s="466" t="s">
        <v>5780</v>
      </c>
      <c r="G2249" s="433" t="s">
        <v>5278</v>
      </c>
      <c r="H2249" s="463" t="s">
        <v>5449</v>
      </c>
      <c r="I2249" s="502">
        <f t="shared" si="182"/>
        <v>2599.85105514</v>
      </c>
      <c r="J2249" s="502">
        <f t="shared" si="183"/>
        <v>511.14780000000002</v>
      </c>
      <c r="K2249" s="376">
        <f t="shared" si="180"/>
        <v>283.99371767999997</v>
      </c>
      <c r="L2249" s="366">
        <f t="shared" si="181"/>
        <v>56.798743535999996</v>
      </c>
      <c r="M2249" s="366" t="s">
        <v>6169</v>
      </c>
      <c r="N2249" s="463" t="s">
        <v>3785</v>
      </c>
      <c r="O2249" s="463" t="s">
        <v>5567</v>
      </c>
      <c r="P2249" s="464" t="s">
        <v>3659</v>
      </c>
      <c r="Q2249" s="431">
        <v>0.2</v>
      </c>
      <c r="R2249" s="464">
        <v>1900002374</v>
      </c>
      <c r="S2249" s="466" t="s">
        <v>509</v>
      </c>
      <c r="T2249" s="2" t="s">
        <v>5915</v>
      </c>
      <c r="U2249" s="9" t="s">
        <v>509</v>
      </c>
    </row>
    <row r="2250" spans="1:21" x14ac:dyDescent="0.35">
      <c r="A2250" s="494" t="s">
        <v>4169</v>
      </c>
      <c r="B2250" s="463" t="s">
        <v>2026</v>
      </c>
      <c r="C2250" s="467">
        <v>43557</v>
      </c>
      <c r="D2250" s="467">
        <v>43557</v>
      </c>
      <c r="E2250" s="467" t="s">
        <v>2464</v>
      </c>
      <c r="F2250" s="466" t="s">
        <v>5780</v>
      </c>
      <c r="G2250" s="433" t="s">
        <v>5278</v>
      </c>
      <c r="H2250" s="463" t="s">
        <v>5449</v>
      </c>
      <c r="I2250" s="502">
        <f t="shared" si="182"/>
        <v>2599.85105514</v>
      </c>
      <c r="J2250" s="502">
        <f t="shared" si="183"/>
        <v>511.14780000000002</v>
      </c>
      <c r="K2250" s="376">
        <f t="shared" si="180"/>
        <v>283.99371767999997</v>
      </c>
      <c r="L2250" s="366">
        <f t="shared" si="181"/>
        <v>56.798743535999996</v>
      </c>
      <c r="M2250" s="366" t="s">
        <v>6169</v>
      </c>
      <c r="N2250" s="463" t="s">
        <v>3785</v>
      </c>
      <c r="O2250" s="463" t="s">
        <v>5567</v>
      </c>
      <c r="P2250" s="464" t="s">
        <v>3659</v>
      </c>
      <c r="Q2250" s="431">
        <v>0.2</v>
      </c>
      <c r="R2250" s="464">
        <v>1900002374</v>
      </c>
      <c r="S2250" s="466" t="s">
        <v>509</v>
      </c>
      <c r="T2250" s="2" t="s">
        <v>5915</v>
      </c>
      <c r="U2250" s="9" t="s">
        <v>509</v>
      </c>
    </row>
    <row r="2251" spans="1:21" x14ac:dyDescent="0.35">
      <c r="A2251" s="494" t="s">
        <v>4171</v>
      </c>
      <c r="B2251" s="463" t="s">
        <v>2026</v>
      </c>
      <c r="C2251" s="467">
        <v>43557</v>
      </c>
      <c r="D2251" s="467">
        <v>43557</v>
      </c>
      <c r="E2251" s="467" t="s">
        <v>2465</v>
      </c>
      <c r="F2251" s="466" t="s">
        <v>5780</v>
      </c>
      <c r="G2251" s="433" t="s">
        <v>5278</v>
      </c>
      <c r="H2251" s="463" t="s">
        <v>5449</v>
      </c>
      <c r="I2251" s="502">
        <f t="shared" si="182"/>
        <v>2599.85105514</v>
      </c>
      <c r="J2251" s="502">
        <f t="shared" si="183"/>
        <v>511.14780000000002</v>
      </c>
      <c r="K2251" s="376">
        <f t="shared" si="180"/>
        <v>283.99371767999997</v>
      </c>
      <c r="L2251" s="366">
        <f t="shared" si="181"/>
        <v>56.798743535999996</v>
      </c>
      <c r="M2251" s="366" t="s">
        <v>6169</v>
      </c>
      <c r="N2251" s="463" t="s">
        <v>3785</v>
      </c>
      <c r="O2251" s="463" t="s">
        <v>5567</v>
      </c>
      <c r="P2251" s="464" t="s">
        <v>3659</v>
      </c>
      <c r="Q2251" s="431">
        <v>0.2</v>
      </c>
      <c r="R2251" s="464">
        <v>1900002374</v>
      </c>
      <c r="S2251" s="466" t="s">
        <v>509</v>
      </c>
      <c r="T2251" s="2" t="s">
        <v>5915</v>
      </c>
      <c r="U2251" s="9" t="s">
        <v>509</v>
      </c>
    </row>
    <row r="2252" spans="1:21" x14ac:dyDescent="0.35">
      <c r="A2252" s="494" t="s">
        <v>4172</v>
      </c>
      <c r="B2252" s="463" t="s">
        <v>2026</v>
      </c>
      <c r="C2252" s="467">
        <v>43557</v>
      </c>
      <c r="D2252" s="467">
        <v>43557</v>
      </c>
      <c r="E2252" s="895" t="s">
        <v>6417</v>
      </c>
      <c r="F2252" s="466" t="s">
        <v>5780</v>
      </c>
      <c r="G2252" s="444" t="s">
        <v>5278</v>
      </c>
      <c r="H2252" s="463" t="s">
        <v>5449</v>
      </c>
      <c r="I2252" s="502">
        <f t="shared" si="182"/>
        <v>2599.85105514</v>
      </c>
      <c r="J2252" s="502">
        <f t="shared" si="183"/>
        <v>511.14780000000002</v>
      </c>
      <c r="K2252" s="376">
        <f t="shared" si="180"/>
        <v>283.99371767999997</v>
      </c>
      <c r="L2252" s="366">
        <f t="shared" si="181"/>
        <v>56.798743535999996</v>
      </c>
      <c r="M2252" s="366" t="s">
        <v>6169</v>
      </c>
      <c r="N2252" s="463" t="s">
        <v>3785</v>
      </c>
      <c r="O2252" s="463" t="s">
        <v>5567</v>
      </c>
      <c r="P2252" s="464" t="s">
        <v>3659</v>
      </c>
      <c r="Q2252" s="431">
        <v>0.2</v>
      </c>
      <c r="R2252" s="464">
        <v>1900002374</v>
      </c>
      <c r="S2252" s="466" t="s">
        <v>6453</v>
      </c>
      <c r="T2252" s="2" t="s">
        <v>5914</v>
      </c>
    </row>
    <row r="2253" spans="1:21" x14ac:dyDescent="0.35">
      <c r="A2253" s="494" t="s">
        <v>4173</v>
      </c>
      <c r="B2253" s="463" t="s">
        <v>2026</v>
      </c>
      <c r="C2253" s="467">
        <v>43557</v>
      </c>
      <c r="D2253" s="467">
        <v>43557</v>
      </c>
      <c r="E2253" s="895" t="s">
        <v>6418</v>
      </c>
      <c r="F2253" s="466" t="s">
        <v>5780</v>
      </c>
      <c r="G2253" s="444" t="s">
        <v>5278</v>
      </c>
      <c r="H2253" s="463" t="s">
        <v>5449</v>
      </c>
      <c r="I2253" s="502">
        <f t="shared" si="182"/>
        <v>2599.85105514</v>
      </c>
      <c r="J2253" s="502">
        <f t="shared" si="183"/>
        <v>511.14780000000002</v>
      </c>
      <c r="K2253" s="376">
        <f t="shared" si="180"/>
        <v>283.99371767999997</v>
      </c>
      <c r="L2253" s="366">
        <f t="shared" si="181"/>
        <v>56.798743535999996</v>
      </c>
      <c r="M2253" s="366" t="s">
        <v>6169</v>
      </c>
      <c r="N2253" s="463" t="s">
        <v>3785</v>
      </c>
      <c r="O2253" s="463" t="s">
        <v>5567</v>
      </c>
      <c r="P2253" s="464" t="s">
        <v>3659</v>
      </c>
      <c r="Q2253" s="431">
        <v>0.2</v>
      </c>
      <c r="R2253" s="464">
        <v>1900002374</v>
      </c>
      <c r="S2253" s="466" t="s">
        <v>6453</v>
      </c>
      <c r="T2253" s="2" t="s">
        <v>5914</v>
      </c>
    </row>
    <row r="2254" spans="1:21" x14ac:dyDescent="0.35">
      <c r="A2254" s="494" t="s">
        <v>4174</v>
      </c>
      <c r="B2254" s="463" t="s">
        <v>2026</v>
      </c>
      <c r="C2254" s="467">
        <v>43557</v>
      </c>
      <c r="D2254" s="467">
        <v>43557</v>
      </c>
      <c r="E2254" s="895" t="s">
        <v>6419</v>
      </c>
      <c r="F2254" s="466" t="s">
        <v>5780</v>
      </c>
      <c r="G2254" s="444" t="s">
        <v>5278</v>
      </c>
      <c r="H2254" s="463" t="s">
        <v>5449</v>
      </c>
      <c r="I2254" s="502">
        <f t="shared" si="182"/>
        <v>2599.85105514</v>
      </c>
      <c r="J2254" s="502">
        <f t="shared" si="183"/>
        <v>511.14780000000002</v>
      </c>
      <c r="K2254" s="376">
        <f t="shared" si="180"/>
        <v>283.99371767999997</v>
      </c>
      <c r="L2254" s="366">
        <f t="shared" si="181"/>
        <v>56.798743535999996</v>
      </c>
      <c r="M2254" s="366" t="s">
        <v>6169</v>
      </c>
      <c r="N2254" s="463" t="s">
        <v>3785</v>
      </c>
      <c r="O2254" s="463" t="s">
        <v>5567</v>
      </c>
      <c r="P2254" s="464" t="s">
        <v>3659</v>
      </c>
      <c r="Q2254" s="431">
        <v>0.2</v>
      </c>
      <c r="R2254" s="464">
        <v>1900002374</v>
      </c>
      <c r="S2254" s="466" t="s">
        <v>6453</v>
      </c>
      <c r="T2254" s="2" t="s">
        <v>5914</v>
      </c>
    </row>
    <row r="2255" spans="1:21" x14ac:dyDescent="0.35">
      <c r="A2255" s="494" t="s">
        <v>4175</v>
      </c>
      <c r="B2255" s="463" t="s">
        <v>2026</v>
      </c>
      <c r="C2255" s="467">
        <v>43557</v>
      </c>
      <c r="D2255" s="467">
        <v>43557</v>
      </c>
      <c r="E2255" s="895" t="s">
        <v>6420</v>
      </c>
      <c r="F2255" s="466" t="s">
        <v>5780</v>
      </c>
      <c r="G2255" s="444" t="s">
        <v>5278</v>
      </c>
      <c r="H2255" s="463" t="s">
        <v>5449</v>
      </c>
      <c r="I2255" s="502">
        <f t="shared" si="182"/>
        <v>2599.85105514</v>
      </c>
      <c r="J2255" s="502">
        <f t="shared" si="183"/>
        <v>511.14780000000002</v>
      </c>
      <c r="K2255" s="376">
        <f t="shared" si="180"/>
        <v>283.99371767999997</v>
      </c>
      <c r="L2255" s="366">
        <f t="shared" si="181"/>
        <v>56.798743535999996</v>
      </c>
      <c r="M2255" s="366" t="s">
        <v>6169</v>
      </c>
      <c r="N2255" s="463" t="s">
        <v>3785</v>
      </c>
      <c r="O2255" s="463" t="s">
        <v>5567</v>
      </c>
      <c r="P2255" s="464" t="s">
        <v>3659</v>
      </c>
      <c r="Q2255" s="431">
        <v>0.2</v>
      </c>
      <c r="R2255" s="464">
        <v>1900002374</v>
      </c>
      <c r="S2255" s="466" t="s">
        <v>6453</v>
      </c>
      <c r="T2255" s="2" t="s">
        <v>5914</v>
      </c>
    </row>
    <row r="2256" spans="1:21" x14ac:dyDescent="0.35">
      <c r="A2256" s="494" t="s">
        <v>4176</v>
      </c>
      <c r="B2256" s="463" t="s">
        <v>2026</v>
      </c>
      <c r="C2256" s="467">
        <v>43557</v>
      </c>
      <c r="D2256" s="467">
        <v>43557</v>
      </c>
      <c r="E2256" s="895" t="s">
        <v>6421</v>
      </c>
      <c r="F2256" s="466" t="s">
        <v>5780</v>
      </c>
      <c r="G2256" s="444" t="s">
        <v>5278</v>
      </c>
      <c r="H2256" s="463" t="s">
        <v>5449</v>
      </c>
      <c r="I2256" s="502">
        <f t="shared" si="182"/>
        <v>2599.85105514</v>
      </c>
      <c r="J2256" s="502">
        <f t="shared" si="183"/>
        <v>511.14780000000002</v>
      </c>
      <c r="K2256" s="376">
        <f t="shared" si="180"/>
        <v>283.99371767999997</v>
      </c>
      <c r="L2256" s="366">
        <f t="shared" si="181"/>
        <v>56.798743535999996</v>
      </c>
      <c r="M2256" s="366" t="s">
        <v>6169</v>
      </c>
      <c r="N2256" s="463" t="s">
        <v>3785</v>
      </c>
      <c r="O2256" s="463" t="s">
        <v>5567</v>
      </c>
      <c r="P2256" s="464" t="s">
        <v>3659</v>
      </c>
      <c r="Q2256" s="431">
        <v>0.2</v>
      </c>
      <c r="R2256" s="464">
        <v>1900002374</v>
      </c>
      <c r="S2256" s="466" t="s">
        <v>6453</v>
      </c>
      <c r="T2256" s="2" t="s">
        <v>5914</v>
      </c>
    </row>
    <row r="2257" spans="1:21" x14ac:dyDescent="0.35">
      <c r="A2257" s="494" t="s">
        <v>4177</v>
      </c>
      <c r="B2257" s="463" t="s">
        <v>2026</v>
      </c>
      <c r="C2257" s="467">
        <v>43557</v>
      </c>
      <c r="D2257" s="467">
        <v>43557</v>
      </c>
      <c r="E2257" s="895" t="s">
        <v>6422</v>
      </c>
      <c r="F2257" s="466" t="s">
        <v>5780</v>
      </c>
      <c r="G2257" s="444" t="s">
        <v>5278</v>
      </c>
      <c r="H2257" s="463" t="s">
        <v>5449</v>
      </c>
      <c r="I2257" s="502">
        <f t="shared" si="182"/>
        <v>2599.85105514</v>
      </c>
      <c r="J2257" s="502">
        <f t="shared" si="183"/>
        <v>511.14780000000002</v>
      </c>
      <c r="K2257" s="376">
        <f t="shared" si="180"/>
        <v>283.99371767999997</v>
      </c>
      <c r="L2257" s="366">
        <f t="shared" si="181"/>
        <v>56.798743535999996</v>
      </c>
      <c r="M2257" s="366" t="s">
        <v>6169</v>
      </c>
      <c r="N2257" s="463" t="s">
        <v>3785</v>
      </c>
      <c r="O2257" s="463" t="s">
        <v>5567</v>
      </c>
      <c r="P2257" s="464" t="s">
        <v>3659</v>
      </c>
      <c r="Q2257" s="431">
        <v>0.2</v>
      </c>
      <c r="R2257" s="464">
        <v>1900002374</v>
      </c>
      <c r="S2257" s="466" t="s">
        <v>6453</v>
      </c>
      <c r="T2257" s="2" t="s">
        <v>5914</v>
      </c>
    </row>
    <row r="2258" spans="1:21" x14ac:dyDescent="0.35">
      <c r="A2258" s="494" t="s">
        <v>4178</v>
      </c>
      <c r="B2258" s="463" t="s">
        <v>2026</v>
      </c>
      <c r="C2258" s="467">
        <v>43557</v>
      </c>
      <c r="D2258" s="467">
        <v>43557</v>
      </c>
      <c r="E2258" s="895" t="s">
        <v>6423</v>
      </c>
      <c r="F2258" s="466" t="s">
        <v>5780</v>
      </c>
      <c r="G2258" s="444" t="s">
        <v>5278</v>
      </c>
      <c r="H2258" s="463" t="s">
        <v>5449</v>
      </c>
      <c r="I2258" s="502">
        <f t="shared" si="182"/>
        <v>2599.85105514</v>
      </c>
      <c r="J2258" s="502">
        <f t="shared" si="183"/>
        <v>511.14780000000002</v>
      </c>
      <c r="K2258" s="376">
        <f t="shared" si="180"/>
        <v>283.99371767999997</v>
      </c>
      <c r="L2258" s="366">
        <f t="shared" si="181"/>
        <v>56.798743535999996</v>
      </c>
      <c r="M2258" s="366" t="s">
        <v>6169</v>
      </c>
      <c r="N2258" s="463" t="s">
        <v>3785</v>
      </c>
      <c r="O2258" s="463" t="s">
        <v>5567</v>
      </c>
      <c r="P2258" s="464" t="s">
        <v>3659</v>
      </c>
      <c r="Q2258" s="431">
        <v>0.2</v>
      </c>
      <c r="R2258" s="464">
        <v>1900002374</v>
      </c>
      <c r="S2258" s="466" t="s">
        <v>6453</v>
      </c>
      <c r="T2258" s="2" t="s">
        <v>5914</v>
      </c>
    </row>
    <row r="2259" spans="1:21" x14ac:dyDescent="0.35">
      <c r="A2259" s="494" t="s">
        <v>4179</v>
      </c>
      <c r="B2259" s="463" t="s">
        <v>2026</v>
      </c>
      <c r="C2259" s="467">
        <v>43557</v>
      </c>
      <c r="D2259" s="467">
        <v>43557</v>
      </c>
      <c r="E2259" s="895" t="s">
        <v>6424</v>
      </c>
      <c r="F2259" s="466" t="s">
        <v>5780</v>
      </c>
      <c r="G2259" s="444" t="s">
        <v>5278</v>
      </c>
      <c r="H2259" s="463" t="s">
        <v>5449</v>
      </c>
      <c r="I2259" s="502">
        <f t="shared" si="182"/>
        <v>2599.85105514</v>
      </c>
      <c r="J2259" s="502">
        <f t="shared" si="183"/>
        <v>511.14780000000002</v>
      </c>
      <c r="K2259" s="376">
        <f t="shared" si="180"/>
        <v>283.99371767999997</v>
      </c>
      <c r="L2259" s="366">
        <f t="shared" si="181"/>
        <v>56.798743535999996</v>
      </c>
      <c r="M2259" s="366" t="s">
        <v>6169</v>
      </c>
      <c r="N2259" s="463" t="s">
        <v>3785</v>
      </c>
      <c r="O2259" s="463" t="s">
        <v>5567</v>
      </c>
      <c r="P2259" s="464" t="s">
        <v>3659</v>
      </c>
      <c r="Q2259" s="431">
        <v>0.2</v>
      </c>
      <c r="R2259" s="464">
        <v>1900002374</v>
      </c>
      <c r="S2259" s="466" t="s">
        <v>6453</v>
      </c>
      <c r="T2259" s="2" t="s">
        <v>5914</v>
      </c>
    </row>
    <row r="2260" spans="1:21" x14ac:dyDescent="0.35">
      <c r="A2260" s="494" t="s">
        <v>4180</v>
      </c>
      <c r="B2260" s="463" t="s">
        <v>2026</v>
      </c>
      <c r="C2260" s="467">
        <v>43557</v>
      </c>
      <c r="D2260" s="467">
        <v>43557</v>
      </c>
      <c r="E2260" s="895" t="s">
        <v>6425</v>
      </c>
      <c r="F2260" s="466" t="s">
        <v>5780</v>
      </c>
      <c r="G2260" s="444" t="s">
        <v>5278</v>
      </c>
      <c r="H2260" s="463" t="s">
        <v>5449</v>
      </c>
      <c r="I2260" s="502">
        <f t="shared" si="182"/>
        <v>2599.85105514</v>
      </c>
      <c r="J2260" s="502">
        <f t="shared" si="183"/>
        <v>511.14780000000002</v>
      </c>
      <c r="K2260" s="376">
        <f t="shared" si="180"/>
        <v>283.99371767999997</v>
      </c>
      <c r="L2260" s="366">
        <f t="shared" si="181"/>
        <v>56.798743535999996</v>
      </c>
      <c r="M2260" s="366" t="s">
        <v>6169</v>
      </c>
      <c r="N2260" s="463" t="s">
        <v>3785</v>
      </c>
      <c r="O2260" s="463" t="s">
        <v>5567</v>
      </c>
      <c r="P2260" s="464" t="s">
        <v>3659</v>
      </c>
      <c r="Q2260" s="431">
        <v>0.2</v>
      </c>
      <c r="R2260" s="464">
        <v>1900002374</v>
      </c>
      <c r="S2260" s="466" t="s">
        <v>6453</v>
      </c>
      <c r="T2260" s="2" t="s">
        <v>5914</v>
      </c>
    </row>
    <row r="2261" spans="1:21" x14ac:dyDescent="0.35">
      <c r="A2261" s="494" t="s">
        <v>4181</v>
      </c>
      <c r="B2261" s="463" t="s">
        <v>2026</v>
      </c>
      <c r="C2261" s="467">
        <v>43557</v>
      </c>
      <c r="D2261" s="467">
        <v>43557</v>
      </c>
      <c r="E2261" s="895" t="s">
        <v>6426</v>
      </c>
      <c r="F2261" s="466" t="s">
        <v>5780</v>
      </c>
      <c r="G2261" s="444" t="s">
        <v>5278</v>
      </c>
      <c r="H2261" s="463" t="s">
        <v>5449</v>
      </c>
      <c r="I2261" s="502">
        <f t="shared" si="182"/>
        <v>2599.85105514</v>
      </c>
      <c r="J2261" s="502">
        <f t="shared" si="183"/>
        <v>511.14780000000002</v>
      </c>
      <c r="K2261" s="376">
        <f t="shared" si="180"/>
        <v>283.99371767999997</v>
      </c>
      <c r="L2261" s="366">
        <f t="shared" si="181"/>
        <v>56.798743535999996</v>
      </c>
      <c r="M2261" s="366" t="s">
        <v>6169</v>
      </c>
      <c r="N2261" s="463" t="s">
        <v>3785</v>
      </c>
      <c r="O2261" s="463" t="s">
        <v>5567</v>
      </c>
      <c r="P2261" s="464" t="s">
        <v>3659</v>
      </c>
      <c r="Q2261" s="431">
        <v>0.2</v>
      </c>
      <c r="R2261" s="464">
        <v>1900002374</v>
      </c>
      <c r="S2261" s="466" t="s">
        <v>6453</v>
      </c>
      <c r="T2261" s="2" t="s">
        <v>5914</v>
      </c>
    </row>
    <row r="2262" spans="1:21" x14ac:dyDescent="0.35">
      <c r="A2262" s="494" t="s">
        <v>4182</v>
      </c>
      <c r="B2262" s="463" t="s">
        <v>2026</v>
      </c>
      <c r="C2262" s="467">
        <v>43557</v>
      </c>
      <c r="D2262" s="467">
        <v>43557</v>
      </c>
      <c r="E2262" s="895" t="s">
        <v>6427</v>
      </c>
      <c r="F2262" s="466" t="s">
        <v>5780</v>
      </c>
      <c r="G2262" s="444" t="s">
        <v>5278</v>
      </c>
      <c r="H2262" s="463" t="s">
        <v>5449</v>
      </c>
      <c r="I2262" s="502">
        <f t="shared" si="182"/>
        <v>2599.85105514</v>
      </c>
      <c r="J2262" s="502">
        <f t="shared" si="183"/>
        <v>511.14780000000002</v>
      </c>
      <c r="K2262" s="376">
        <f t="shared" si="180"/>
        <v>283.99371767999997</v>
      </c>
      <c r="L2262" s="366">
        <f t="shared" si="181"/>
        <v>56.798743535999996</v>
      </c>
      <c r="M2262" s="366" t="s">
        <v>6169</v>
      </c>
      <c r="N2262" s="463" t="s">
        <v>3785</v>
      </c>
      <c r="O2262" s="463" t="s">
        <v>5567</v>
      </c>
      <c r="P2262" s="464" t="s">
        <v>3659</v>
      </c>
      <c r="Q2262" s="431">
        <v>0.2</v>
      </c>
      <c r="R2262" s="464">
        <v>1900002374</v>
      </c>
      <c r="S2262" s="466" t="s">
        <v>6453</v>
      </c>
      <c r="T2262" s="2" t="s">
        <v>5914</v>
      </c>
    </row>
    <row r="2263" spans="1:21" x14ac:dyDescent="0.35">
      <c r="A2263" s="494" t="s">
        <v>4183</v>
      </c>
      <c r="B2263" s="463" t="s">
        <v>2026</v>
      </c>
      <c r="C2263" s="467">
        <v>43557</v>
      </c>
      <c r="D2263" s="467">
        <v>43557</v>
      </c>
      <c r="E2263" s="895" t="s">
        <v>6428</v>
      </c>
      <c r="F2263" s="466" t="s">
        <v>5780</v>
      </c>
      <c r="G2263" s="444" t="s">
        <v>5278</v>
      </c>
      <c r="H2263" s="463" t="s">
        <v>5449</v>
      </c>
      <c r="I2263" s="502">
        <f t="shared" si="182"/>
        <v>2599.85105514</v>
      </c>
      <c r="J2263" s="502">
        <f t="shared" si="183"/>
        <v>511.14780000000002</v>
      </c>
      <c r="K2263" s="376">
        <f t="shared" si="180"/>
        <v>283.99371767999997</v>
      </c>
      <c r="L2263" s="366">
        <f t="shared" si="181"/>
        <v>56.798743535999996</v>
      </c>
      <c r="M2263" s="366" t="s">
        <v>6169</v>
      </c>
      <c r="N2263" s="463" t="s">
        <v>3785</v>
      </c>
      <c r="O2263" s="463" t="s">
        <v>5567</v>
      </c>
      <c r="P2263" s="464" t="s">
        <v>3659</v>
      </c>
      <c r="Q2263" s="431">
        <v>0.2</v>
      </c>
      <c r="R2263" s="464">
        <v>1900002374</v>
      </c>
      <c r="S2263" s="466" t="s">
        <v>6453</v>
      </c>
      <c r="T2263" s="2" t="s">
        <v>5914</v>
      </c>
    </row>
    <row r="2264" spans="1:21" x14ac:dyDescent="0.35">
      <c r="A2264" s="494" t="s">
        <v>4184</v>
      </c>
      <c r="B2264" s="463" t="s">
        <v>2026</v>
      </c>
      <c r="C2264" s="467">
        <v>43557</v>
      </c>
      <c r="D2264" s="467">
        <v>43557</v>
      </c>
      <c r="E2264" s="895" t="s">
        <v>6429</v>
      </c>
      <c r="F2264" s="466" t="s">
        <v>5780</v>
      </c>
      <c r="G2264" s="444" t="s">
        <v>5278</v>
      </c>
      <c r="H2264" s="463" t="s">
        <v>5449</v>
      </c>
      <c r="I2264" s="502">
        <f t="shared" si="182"/>
        <v>2599.85105514</v>
      </c>
      <c r="J2264" s="502">
        <f t="shared" si="183"/>
        <v>511.14780000000002</v>
      </c>
      <c r="K2264" s="376">
        <f t="shared" si="180"/>
        <v>283.99371767999997</v>
      </c>
      <c r="L2264" s="366">
        <f t="shared" si="181"/>
        <v>56.798743535999996</v>
      </c>
      <c r="M2264" s="366" t="s">
        <v>6169</v>
      </c>
      <c r="N2264" s="463" t="s">
        <v>3785</v>
      </c>
      <c r="O2264" s="463" t="s">
        <v>5567</v>
      </c>
      <c r="P2264" s="464" t="s">
        <v>3659</v>
      </c>
      <c r="Q2264" s="431">
        <v>0.2</v>
      </c>
      <c r="R2264" s="464">
        <v>1900002374</v>
      </c>
      <c r="S2264" s="466" t="s">
        <v>6453</v>
      </c>
      <c r="T2264" s="2" t="s">
        <v>5914</v>
      </c>
    </row>
    <row r="2265" spans="1:21" x14ac:dyDescent="0.35">
      <c r="A2265" s="494" t="s">
        <v>4185</v>
      </c>
      <c r="B2265" s="463" t="s">
        <v>2026</v>
      </c>
      <c r="C2265" s="467">
        <v>43557</v>
      </c>
      <c r="D2265" s="467">
        <v>43557</v>
      </c>
      <c r="E2265" s="467"/>
      <c r="F2265" s="466" t="s">
        <v>5780</v>
      </c>
      <c r="G2265" s="444" t="s">
        <v>5278</v>
      </c>
      <c r="H2265" s="463" t="s">
        <v>5449</v>
      </c>
      <c r="I2265" s="502">
        <f t="shared" si="182"/>
        <v>2599.85105514</v>
      </c>
      <c r="J2265" s="502">
        <f t="shared" si="183"/>
        <v>511.14780000000002</v>
      </c>
      <c r="K2265" s="376">
        <f t="shared" si="180"/>
        <v>283.99371767999997</v>
      </c>
      <c r="L2265" s="366">
        <f t="shared" si="181"/>
        <v>56.798743535999996</v>
      </c>
      <c r="M2265" s="366" t="s">
        <v>6169</v>
      </c>
      <c r="N2265" s="463" t="s">
        <v>3785</v>
      </c>
      <c r="O2265" s="463" t="s">
        <v>5567</v>
      </c>
      <c r="P2265" s="464" t="s">
        <v>3659</v>
      </c>
      <c r="Q2265" s="431">
        <v>0.2</v>
      </c>
      <c r="R2265" s="464">
        <v>1900002374</v>
      </c>
      <c r="S2265" s="466"/>
      <c r="T2265" s="2" t="s">
        <v>5914</v>
      </c>
    </row>
    <row r="2266" spans="1:21" x14ac:dyDescent="0.35">
      <c r="A2266" s="494" t="s">
        <v>4186</v>
      </c>
      <c r="B2266" s="463" t="s">
        <v>2026</v>
      </c>
      <c r="C2266" s="467">
        <v>43557</v>
      </c>
      <c r="D2266" s="467">
        <v>43557</v>
      </c>
      <c r="E2266" s="467"/>
      <c r="F2266" s="466" t="s">
        <v>5780</v>
      </c>
      <c r="G2266" s="444" t="s">
        <v>5278</v>
      </c>
      <c r="H2266" s="463" t="s">
        <v>5449</v>
      </c>
      <c r="I2266" s="502">
        <f t="shared" si="182"/>
        <v>2599.85105514</v>
      </c>
      <c r="J2266" s="502">
        <f t="shared" si="183"/>
        <v>511.14780000000002</v>
      </c>
      <c r="K2266" s="376">
        <f t="shared" si="180"/>
        <v>283.99371767999997</v>
      </c>
      <c r="L2266" s="366">
        <f t="shared" si="181"/>
        <v>56.798743535999996</v>
      </c>
      <c r="M2266" s="366" t="s">
        <v>6169</v>
      </c>
      <c r="N2266" s="463" t="s">
        <v>3785</v>
      </c>
      <c r="O2266" s="463" t="s">
        <v>5567</v>
      </c>
      <c r="P2266" s="464" t="s">
        <v>3659</v>
      </c>
      <c r="Q2266" s="431">
        <v>0.2</v>
      </c>
      <c r="R2266" s="464">
        <v>1900002374</v>
      </c>
      <c r="S2266" s="466"/>
      <c r="T2266" s="2" t="s">
        <v>5914</v>
      </c>
    </row>
    <row r="2267" spans="1:21" x14ac:dyDescent="0.35">
      <c r="A2267" s="494" t="s">
        <v>4187</v>
      </c>
      <c r="B2267" s="463" t="s">
        <v>2026</v>
      </c>
      <c r="C2267" s="467">
        <v>43557</v>
      </c>
      <c r="D2267" s="467">
        <v>43557</v>
      </c>
      <c r="E2267" s="467"/>
      <c r="F2267" s="466" t="s">
        <v>5780</v>
      </c>
      <c r="G2267" s="444" t="s">
        <v>5278</v>
      </c>
      <c r="H2267" s="463" t="s">
        <v>5449</v>
      </c>
      <c r="I2267" s="502">
        <f t="shared" si="182"/>
        <v>2599.85105514</v>
      </c>
      <c r="J2267" s="502">
        <f t="shared" si="183"/>
        <v>511.14780000000002</v>
      </c>
      <c r="K2267" s="376">
        <f t="shared" si="180"/>
        <v>283.99371767999997</v>
      </c>
      <c r="L2267" s="366">
        <f t="shared" si="181"/>
        <v>56.798743535999996</v>
      </c>
      <c r="M2267" s="366" t="s">
        <v>6169</v>
      </c>
      <c r="N2267" s="463" t="s">
        <v>3785</v>
      </c>
      <c r="O2267" s="463" t="s">
        <v>5567</v>
      </c>
      <c r="P2267" s="464" t="s">
        <v>3659</v>
      </c>
      <c r="Q2267" s="431">
        <v>0.2</v>
      </c>
      <c r="R2267" s="464">
        <v>1900002374</v>
      </c>
      <c r="S2267" s="466"/>
      <c r="T2267" s="2" t="s">
        <v>5914</v>
      </c>
    </row>
    <row r="2268" spans="1:21" x14ac:dyDescent="0.35">
      <c r="A2268" s="494" t="s">
        <v>4188</v>
      </c>
      <c r="B2268" s="463" t="s">
        <v>2026</v>
      </c>
      <c r="C2268" s="467">
        <v>43557</v>
      </c>
      <c r="D2268" s="467">
        <v>43557</v>
      </c>
      <c r="E2268" s="467"/>
      <c r="F2268" s="466" t="s">
        <v>5780</v>
      </c>
      <c r="G2268" s="444" t="s">
        <v>5278</v>
      </c>
      <c r="H2268" s="463" t="s">
        <v>5449</v>
      </c>
      <c r="I2268" s="502">
        <f t="shared" si="182"/>
        <v>2599.85105514</v>
      </c>
      <c r="J2268" s="502">
        <f t="shared" si="183"/>
        <v>511.14780000000002</v>
      </c>
      <c r="K2268" s="376">
        <f t="shared" si="180"/>
        <v>283.99371767999997</v>
      </c>
      <c r="L2268" s="366">
        <f t="shared" si="181"/>
        <v>56.798743535999996</v>
      </c>
      <c r="M2268" s="366" t="s">
        <v>6169</v>
      </c>
      <c r="N2268" s="463" t="s">
        <v>3785</v>
      </c>
      <c r="O2268" s="463" t="s">
        <v>5567</v>
      </c>
      <c r="P2268" s="464" t="s">
        <v>3659</v>
      </c>
      <c r="Q2268" s="431">
        <v>0.2</v>
      </c>
      <c r="R2268" s="464">
        <v>1900002374</v>
      </c>
      <c r="S2268" s="466"/>
      <c r="T2268" s="2" t="s">
        <v>5914</v>
      </c>
    </row>
    <row r="2269" spans="1:21" x14ac:dyDescent="0.35">
      <c r="A2269" s="494" t="s">
        <v>4189</v>
      </c>
      <c r="B2269" s="463" t="s">
        <v>2449</v>
      </c>
      <c r="C2269" s="467">
        <v>43557</v>
      </c>
      <c r="D2269" s="467">
        <v>43557</v>
      </c>
      <c r="E2269" s="436" t="s">
        <v>5949</v>
      </c>
      <c r="F2269" s="466" t="s">
        <v>5780</v>
      </c>
      <c r="G2269" s="444" t="s">
        <v>5278</v>
      </c>
      <c r="H2269" s="463" t="s">
        <v>5449</v>
      </c>
      <c r="I2269" s="502">
        <f t="shared" si="182"/>
        <v>2186.2407685899998</v>
      </c>
      <c r="J2269" s="502">
        <f>417.31*1.03</f>
        <v>429.82929999999999</v>
      </c>
      <c r="K2269" s="376">
        <f t="shared" si="180"/>
        <v>238.81315907999999</v>
      </c>
      <c r="L2269" s="366">
        <f t="shared" si="181"/>
        <v>47.762631816000003</v>
      </c>
      <c r="M2269" s="366" t="s">
        <v>6169</v>
      </c>
      <c r="N2269" s="463" t="s">
        <v>3785</v>
      </c>
      <c r="O2269" s="463" t="s">
        <v>5567</v>
      </c>
      <c r="P2269" s="464" t="s">
        <v>3659</v>
      </c>
      <c r="Q2269" s="431">
        <v>0.2</v>
      </c>
      <c r="R2269" s="464">
        <v>1900002374</v>
      </c>
      <c r="S2269" s="466" t="s">
        <v>509</v>
      </c>
      <c r="T2269" s="2" t="s">
        <v>5915</v>
      </c>
      <c r="U2269" s="9" t="s">
        <v>509</v>
      </c>
    </row>
    <row r="2270" spans="1:21" x14ac:dyDescent="0.35">
      <c r="A2270" s="494" t="s">
        <v>4190</v>
      </c>
      <c r="B2270" s="463" t="s">
        <v>2449</v>
      </c>
      <c r="C2270" s="467">
        <v>43557</v>
      </c>
      <c r="D2270" s="467">
        <v>43557</v>
      </c>
      <c r="E2270" s="436" t="s">
        <v>5950</v>
      </c>
      <c r="F2270" s="466" t="s">
        <v>5780</v>
      </c>
      <c r="G2270" s="444" t="s">
        <v>5278</v>
      </c>
      <c r="H2270" s="463" t="s">
        <v>5449</v>
      </c>
      <c r="I2270" s="502">
        <f t="shared" si="182"/>
        <v>2186.2407685899998</v>
      </c>
      <c r="J2270" s="502">
        <f t="shared" ref="J2270:J2278" si="184">417.31*1.03</f>
        <v>429.82929999999999</v>
      </c>
      <c r="K2270" s="376">
        <f t="shared" si="180"/>
        <v>238.81315907999999</v>
      </c>
      <c r="L2270" s="366">
        <f t="shared" si="181"/>
        <v>47.762631816000003</v>
      </c>
      <c r="M2270" s="366" t="s">
        <v>6169</v>
      </c>
      <c r="N2270" s="463" t="s">
        <v>3785</v>
      </c>
      <c r="O2270" s="463" t="s">
        <v>5567</v>
      </c>
      <c r="P2270" s="464" t="s">
        <v>3659</v>
      </c>
      <c r="Q2270" s="431">
        <v>0.2</v>
      </c>
      <c r="R2270" s="464">
        <v>1900002374</v>
      </c>
      <c r="S2270" s="466" t="s">
        <v>509</v>
      </c>
      <c r="T2270" s="2" t="s">
        <v>5915</v>
      </c>
      <c r="U2270" s="9" t="s">
        <v>509</v>
      </c>
    </row>
    <row r="2271" spans="1:21" x14ac:dyDescent="0.35">
      <c r="A2271" s="494" t="s">
        <v>4191</v>
      </c>
      <c r="B2271" s="463" t="s">
        <v>2449</v>
      </c>
      <c r="C2271" s="467">
        <v>43557</v>
      </c>
      <c r="D2271" s="467">
        <v>43557</v>
      </c>
      <c r="E2271" s="436" t="s">
        <v>5951</v>
      </c>
      <c r="F2271" s="466" t="s">
        <v>5780</v>
      </c>
      <c r="G2271" s="444" t="s">
        <v>5278</v>
      </c>
      <c r="H2271" s="463" t="s">
        <v>5449</v>
      </c>
      <c r="I2271" s="502">
        <f t="shared" si="182"/>
        <v>2186.2407685899998</v>
      </c>
      <c r="J2271" s="502">
        <f t="shared" si="184"/>
        <v>429.82929999999999</v>
      </c>
      <c r="K2271" s="376">
        <f t="shared" si="180"/>
        <v>238.81315907999999</v>
      </c>
      <c r="L2271" s="366">
        <f t="shared" si="181"/>
        <v>47.762631816000003</v>
      </c>
      <c r="M2271" s="366" t="s">
        <v>6169</v>
      </c>
      <c r="N2271" s="463" t="s">
        <v>3785</v>
      </c>
      <c r="O2271" s="463" t="s">
        <v>5567</v>
      </c>
      <c r="P2271" s="464" t="s">
        <v>3659</v>
      </c>
      <c r="Q2271" s="431">
        <v>0.2</v>
      </c>
      <c r="R2271" s="464">
        <v>1900002374</v>
      </c>
      <c r="S2271" s="466" t="s">
        <v>509</v>
      </c>
      <c r="T2271" s="2" t="s">
        <v>5915</v>
      </c>
      <c r="U2271" s="9" t="s">
        <v>509</v>
      </c>
    </row>
    <row r="2272" spans="1:21" x14ac:dyDescent="0.35">
      <c r="A2272" s="494" t="s">
        <v>4192</v>
      </c>
      <c r="B2272" s="463" t="s">
        <v>2449</v>
      </c>
      <c r="C2272" s="467">
        <v>43557</v>
      </c>
      <c r="D2272" s="467">
        <v>43557</v>
      </c>
      <c r="E2272" s="436" t="s">
        <v>5952</v>
      </c>
      <c r="F2272" s="466" t="s">
        <v>5780</v>
      </c>
      <c r="G2272" s="444" t="s">
        <v>5278</v>
      </c>
      <c r="H2272" s="463" t="s">
        <v>5449</v>
      </c>
      <c r="I2272" s="502">
        <f t="shared" si="182"/>
        <v>2186.2407685899998</v>
      </c>
      <c r="J2272" s="502">
        <f t="shared" si="184"/>
        <v>429.82929999999999</v>
      </c>
      <c r="K2272" s="376">
        <f t="shared" si="180"/>
        <v>238.81315907999999</v>
      </c>
      <c r="L2272" s="366">
        <f t="shared" si="181"/>
        <v>47.762631816000003</v>
      </c>
      <c r="M2272" s="366" t="s">
        <v>6169</v>
      </c>
      <c r="N2272" s="463" t="s">
        <v>3785</v>
      </c>
      <c r="O2272" s="463" t="s">
        <v>5567</v>
      </c>
      <c r="P2272" s="464" t="s">
        <v>3659</v>
      </c>
      <c r="Q2272" s="431">
        <v>0.2</v>
      </c>
      <c r="R2272" s="464">
        <v>1900002374</v>
      </c>
      <c r="S2272" s="466" t="s">
        <v>509</v>
      </c>
      <c r="T2272" s="2" t="s">
        <v>5915</v>
      </c>
      <c r="U2272" s="9" t="s">
        <v>509</v>
      </c>
    </row>
    <row r="2273" spans="1:21" x14ac:dyDescent="0.35">
      <c r="A2273" s="494" t="s">
        <v>4193</v>
      </c>
      <c r="B2273" s="463" t="s">
        <v>2449</v>
      </c>
      <c r="C2273" s="467">
        <v>43557</v>
      </c>
      <c r="D2273" s="467">
        <v>43557</v>
      </c>
      <c r="E2273" s="436" t="s">
        <v>5953</v>
      </c>
      <c r="F2273" s="466" t="s">
        <v>5780</v>
      </c>
      <c r="G2273" s="444" t="s">
        <v>5278</v>
      </c>
      <c r="H2273" s="463" t="s">
        <v>5449</v>
      </c>
      <c r="I2273" s="502">
        <f t="shared" si="182"/>
        <v>2186.2407685899998</v>
      </c>
      <c r="J2273" s="502">
        <f t="shared" si="184"/>
        <v>429.82929999999999</v>
      </c>
      <c r="K2273" s="376">
        <f t="shared" si="180"/>
        <v>238.81315907999999</v>
      </c>
      <c r="L2273" s="366">
        <f t="shared" si="181"/>
        <v>47.762631816000003</v>
      </c>
      <c r="M2273" s="366" t="s">
        <v>6169</v>
      </c>
      <c r="N2273" s="463" t="s">
        <v>3785</v>
      </c>
      <c r="O2273" s="463" t="s">
        <v>5567</v>
      </c>
      <c r="P2273" s="464" t="s">
        <v>3659</v>
      </c>
      <c r="Q2273" s="431">
        <v>0.2</v>
      </c>
      <c r="R2273" s="464">
        <v>1900002374</v>
      </c>
      <c r="S2273" s="466" t="s">
        <v>509</v>
      </c>
      <c r="T2273" s="2" t="s">
        <v>5915</v>
      </c>
      <c r="U2273" s="9" t="s">
        <v>509</v>
      </c>
    </row>
    <row r="2274" spans="1:21" x14ac:dyDescent="0.35">
      <c r="A2274" s="494" t="s">
        <v>4194</v>
      </c>
      <c r="B2274" s="463" t="s">
        <v>2449</v>
      </c>
      <c r="C2274" s="467">
        <v>43557</v>
      </c>
      <c r="D2274" s="467">
        <v>43557</v>
      </c>
      <c r="E2274" s="436" t="s">
        <v>5954</v>
      </c>
      <c r="F2274" s="466" t="s">
        <v>5780</v>
      </c>
      <c r="G2274" s="444" t="s">
        <v>5278</v>
      </c>
      <c r="H2274" s="463" t="s">
        <v>5449</v>
      </c>
      <c r="I2274" s="502">
        <f t="shared" si="182"/>
        <v>2186.2407685899998</v>
      </c>
      <c r="J2274" s="502">
        <f t="shared" si="184"/>
        <v>429.82929999999999</v>
      </c>
      <c r="K2274" s="376">
        <f t="shared" si="180"/>
        <v>238.81315907999999</v>
      </c>
      <c r="L2274" s="366">
        <f t="shared" si="181"/>
        <v>47.762631816000003</v>
      </c>
      <c r="M2274" s="366" t="s">
        <v>6169</v>
      </c>
      <c r="N2274" s="463" t="s">
        <v>3785</v>
      </c>
      <c r="O2274" s="463" t="s">
        <v>5567</v>
      </c>
      <c r="P2274" s="464" t="s">
        <v>3659</v>
      </c>
      <c r="Q2274" s="431">
        <v>0.2</v>
      </c>
      <c r="R2274" s="464">
        <v>1900002374</v>
      </c>
      <c r="S2274" s="466" t="s">
        <v>509</v>
      </c>
      <c r="T2274" s="2" t="s">
        <v>5915</v>
      </c>
      <c r="U2274" s="9" t="s">
        <v>509</v>
      </c>
    </row>
    <row r="2275" spans="1:21" x14ac:dyDescent="0.35">
      <c r="A2275" s="494" t="s">
        <v>4195</v>
      </c>
      <c r="B2275" s="463" t="s">
        <v>2449</v>
      </c>
      <c r="C2275" s="467">
        <v>43557</v>
      </c>
      <c r="D2275" s="467">
        <v>43557</v>
      </c>
      <c r="E2275" s="467"/>
      <c r="F2275" s="466" t="s">
        <v>5780</v>
      </c>
      <c r="G2275" s="444" t="s">
        <v>5278</v>
      </c>
      <c r="H2275" s="463" t="s">
        <v>5449</v>
      </c>
      <c r="I2275" s="502">
        <f t="shared" si="182"/>
        <v>2186.2407685899998</v>
      </c>
      <c r="J2275" s="502">
        <f t="shared" si="184"/>
        <v>429.82929999999999</v>
      </c>
      <c r="K2275" s="376">
        <f t="shared" si="180"/>
        <v>238.81315907999999</v>
      </c>
      <c r="L2275" s="366">
        <f t="shared" si="181"/>
        <v>47.762631816000003</v>
      </c>
      <c r="M2275" s="366" t="s">
        <v>6169</v>
      </c>
      <c r="N2275" s="463" t="s">
        <v>3785</v>
      </c>
      <c r="O2275" s="463" t="s">
        <v>5567</v>
      </c>
      <c r="P2275" s="464" t="s">
        <v>3659</v>
      </c>
      <c r="Q2275" s="431">
        <v>0.2</v>
      </c>
      <c r="R2275" s="464">
        <v>1900002374</v>
      </c>
      <c r="S2275" s="466"/>
      <c r="T2275" s="2" t="s">
        <v>5914</v>
      </c>
    </row>
    <row r="2276" spans="1:21" x14ac:dyDescent="0.35">
      <c r="A2276" s="494" t="s">
        <v>4196</v>
      </c>
      <c r="B2276" s="463" t="s">
        <v>2449</v>
      </c>
      <c r="C2276" s="467">
        <v>43557</v>
      </c>
      <c r="D2276" s="467">
        <v>43557</v>
      </c>
      <c r="E2276" s="467"/>
      <c r="F2276" s="466" t="s">
        <v>5780</v>
      </c>
      <c r="G2276" s="444" t="s">
        <v>5278</v>
      </c>
      <c r="H2276" s="463" t="s">
        <v>5449</v>
      </c>
      <c r="I2276" s="502">
        <f t="shared" si="182"/>
        <v>2186.2407685899998</v>
      </c>
      <c r="J2276" s="502">
        <f t="shared" si="184"/>
        <v>429.82929999999999</v>
      </c>
      <c r="K2276" s="376">
        <f t="shared" si="180"/>
        <v>238.81315907999999</v>
      </c>
      <c r="L2276" s="366">
        <f t="shared" si="181"/>
        <v>47.762631816000003</v>
      </c>
      <c r="M2276" s="366" t="s">
        <v>6169</v>
      </c>
      <c r="N2276" s="463" t="s">
        <v>3785</v>
      </c>
      <c r="O2276" s="463" t="s">
        <v>5567</v>
      </c>
      <c r="P2276" s="464" t="s">
        <v>3659</v>
      </c>
      <c r="Q2276" s="431">
        <v>0.2</v>
      </c>
      <c r="R2276" s="464">
        <v>1900002374</v>
      </c>
      <c r="S2276" s="466"/>
      <c r="T2276" s="2" t="s">
        <v>5914</v>
      </c>
    </row>
    <row r="2277" spans="1:21" x14ac:dyDescent="0.35">
      <c r="A2277" s="494" t="s">
        <v>4197</v>
      </c>
      <c r="B2277" s="463" t="s">
        <v>2449</v>
      </c>
      <c r="C2277" s="467">
        <v>43557</v>
      </c>
      <c r="D2277" s="467">
        <v>43557</v>
      </c>
      <c r="E2277" s="467"/>
      <c r="F2277" s="466" t="s">
        <v>5780</v>
      </c>
      <c r="G2277" s="444" t="s">
        <v>5278</v>
      </c>
      <c r="H2277" s="463" t="s">
        <v>5449</v>
      </c>
      <c r="I2277" s="502">
        <f t="shared" si="182"/>
        <v>2186.2407685899998</v>
      </c>
      <c r="J2277" s="502">
        <f t="shared" si="184"/>
        <v>429.82929999999999</v>
      </c>
      <c r="K2277" s="376">
        <f t="shared" si="180"/>
        <v>238.81315907999999</v>
      </c>
      <c r="L2277" s="366">
        <f t="shared" si="181"/>
        <v>47.762631816000003</v>
      </c>
      <c r="M2277" s="366" t="s">
        <v>6169</v>
      </c>
      <c r="N2277" s="463" t="s">
        <v>3785</v>
      </c>
      <c r="O2277" s="463" t="s">
        <v>5567</v>
      </c>
      <c r="P2277" s="464" t="s">
        <v>3659</v>
      </c>
      <c r="Q2277" s="431">
        <v>0.2</v>
      </c>
      <c r="R2277" s="464">
        <v>1900002374</v>
      </c>
      <c r="S2277" s="466"/>
      <c r="T2277" s="2" t="s">
        <v>5914</v>
      </c>
    </row>
    <row r="2278" spans="1:21" x14ac:dyDescent="0.35">
      <c r="A2278" s="494" t="s">
        <v>4198</v>
      </c>
      <c r="B2278" s="463" t="s">
        <v>2449</v>
      </c>
      <c r="C2278" s="467">
        <v>43557</v>
      </c>
      <c r="D2278" s="467">
        <v>43557</v>
      </c>
      <c r="E2278" s="467"/>
      <c r="F2278" s="466" t="s">
        <v>5780</v>
      </c>
      <c r="G2278" s="444" t="s">
        <v>5278</v>
      </c>
      <c r="H2278" s="463" t="s">
        <v>5449</v>
      </c>
      <c r="I2278" s="502">
        <f t="shared" si="182"/>
        <v>2186.2407685899998</v>
      </c>
      <c r="J2278" s="502">
        <f t="shared" si="184"/>
        <v>429.82929999999999</v>
      </c>
      <c r="K2278" s="376">
        <f t="shared" si="180"/>
        <v>238.81315907999999</v>
      </c>
      <c r="L2278" s="366">
        <f t="shared" si="181"/>
        <v>47.762631816000003</v>
      </c>
      <c r="M2278" s="366" t="s">
        <v>6169</v>
      </c>
      <c r="N2278" s="463" t="s">
        <v>3785</v>
      </c>
      <c r="O2278" s="463" t="s">
        <v>5567</v>
      </c>
      <c r="P2278" s="464" t="s">
        <v>3659</v>
      </c>
      <c r="Q2278" s="431">
        <v>0.2</v>
      </c>
      <c r="R2278" s="464">
        <v>1900002374</v>
      </c>
      <c r="S2278" s="466"/>
      <c r="T2278" s="2" t="s">
        <v>5914</v>
      </c>
    </row>
    <row r="2279" spans="1:21" hidden="1" x14ac:dyDescent="0.35">
      <c r="A2279" s="494" t="s">
        <v>4199</v>
      </c>
      <c r="B2279" s="463" t="s">
        <v>3461</v>
      </c>
      <c r="C2279" s="467">
        <v>43565</v>
      </c>
      <c r="D2279" s="467">
        <v>43565</v>
      </c>
      <c r="E2279" s="467"/>
      <c r="F2279" s="466" t="s">
        <v>4704</v>
      </c>
      <c r="G2279" s="466" t="s">
        <v>5774</v>
      </c>
      <c r="H2279" s="463" t="s">
        <v>5449</v>
      </c>
      <c r="I2279" s="502">
        <f t="shared" si="182"/>
        <v>21459.484732909994</v>
      </c>
      <c r="J2279" s="502">
        <v>4219.0756999999994</v>
      </c>
      <c r="K2279" s="376">
        <f t="shared" si="180"/>
        <v>2344.1184589199997</v>
      </c>
      <c r="L2279" s="366">
        <f>+K2279*Q2279</f>
        <v>468.82369178399995</v>
      </c>
      <c r="M2279" s="366" t="s">
        <v>6169</v>
      </c>
      <c r="N2279" s="463" t="s">
        <v>3785</v>
      </c>
      <c r="O2279" s="463" t="s">
        <v>3986</v>
      </c>
      <c r="P2279" s="464" t="s">
        <v>3659</v>
      </c>
      <c r="Q2279" s="431">
        <v>0.2</v>
      </c>
      <c r="R2279" s="464">
        <v>1900002053</v>
      </c>
      <c r="S2279" s="466" t="s">
        <v>2504</v>
      </c>
      <c r="T2279" s="2" t="s">
        <v>5915</v>
      </c>
      <c r="U2279" s="9" t="s">
        <v>5917</v>
      </c>
    </row>
    <row r="2280" spans="1:21" hidden="1" x14ac:dyDescent="0.35">
      <c r="A2280" s="494" t="s">
        <v>4200</v>
      </c>
      <c r="B2280" s="463" t="s">
        <v>3463</v>
      </c>
      <c r="C2280" s="467">
        <v>43565</v>
      </c>
      <c r="D2280" s="467">
        <v>43565</v>
      </c>
      <c r="E2280" s="467"/>
      <c r="F2280" s="466" t="s">
        <v>4704</v>
      </c>
      <c r="G2280" s="466" t="s">
        <v>5782</v>
      </c>
      <c r="H2280" s="463" t="s">
        <v>5449</v>
      </c>
      <c r="I2280" s="502">
        <f t="shared" si="182"/>
        <v>14044.675575650001</v>
      </c>
      <c r="J2280" s="502">
        <v>2761.2755000000002</v>
      </c>
      <c r="K2280" s="376">
        <f t="shared" si="180"/>
        <v>1534.1646678</v>
      </c>
      <c r="L2280" s="366">
        <f>+K2280*Q2280</f>
        <v>306.83293356000001</v>
      </c>
      <c r="M2280" s="366" t="s">
        <v>6169</v>
      </c>
      <c r="N2280" s="463" t="s">
        <v>3785</v>
      </c>
      <c r="O2280" s="463" t="s">
        <v>3986</v>
      </c>
      <c r="P2280" s="464" t="s">
        <v>3659</v>
      </c>
      <c r="Q2280" s="431">
        <v>0.2</v>
      </c>
      <c r="R2280" s="464">
        <v>1900002053</v>
      </c>
      <c r="S2280" s="466" t="s">
        <v>2504</v>
      </c>
      <c r="T2280" s="2" t="s">
        <v>5915</v>
      </c>
      <c r="U2280" s="9" t="s">
        <v>5917</v>
      </c>
    </row>
    <row r="2281" spans="1:21" hidden="1" x14ac:dyDescent="0.35">
      <c r="A2281" s="494" t="s">
        <v>4201</v>
      </c>
      <c r="B2281" s="463" t="s">
        <v>2646</v>
      </c>
      <c r="C2281" s="467">
        <v>44890</v>
      </c>
      <c r="D2281" s="467">
        <v>44890</v>
      </c>
      <c r="E2281" s="467" t="s">
        <v>5955</v>
      </c>
      <c r="F2281" s="466">
        <v>2022300259</v>
      </c>
      <c r="G2281" s="466" t="s">
        <v>5274</v>
      </c>
      <c r="H2281" s="463" t="s">
        <v>5449</v>
      </c>
      <c r="I2281" s="508">
        <f>262427.32+45394.57</f>
        <v>307821.89</v>
      </c>
      <c r="J2281" s="508">
        <f>23500+4523.75</f>
        <v>28023.75</v>
      </c>
      <c r="K2281" s="379">
        <f t="shared" ref="K2281:K2286" si="185">+J2281*(0.5556)</f>
        <v>15569.995499999999</v>
      </c>
      <c r="L2281" s="380">
        <f t="shared" ref="L2281:L2286" si="186">+K2281*Q2281</f>
        <v>3113.9991</v>
      </c>
      <c r="M2281" s="380" t="s">
        <v>6169</v>
      </c>
      <c r="N2281" s="463" t="s">
        <v>3785</v>
      </c>
      <c r="O2281" s="463" t="s">
        <v>3986</v>
      </c>
      <c r="P2281" s="464" t="s">
        <v>3659</v>
      </c>
      <c r="Q2281" s="431">
        <v>0.2</v>
      </c>
      <c r="R2281" s="509" t="s">
        <v>5783</v>
      </c>
      <c r="S2281" s="466" t="s">
        <v>2675</v>
      </c>
      <c r="T2281" s="2" t="s">
        <v>5915</v>
      </c>
      <c r="U2281" s="9" t="s">
        <v>2675</v>
      </c>
    </row>
    <row r="2282" spans="1:21" hidden="1" x14ac:dyDescent="0.35">
      <c r="A2282" s="494" t="s">
        <v>4202</v>
      </c>
      <c r="B2282" s="463" t="s">
        <v>2646</v>
      </c>
      <c r="C2282" s="467">
        <v>44909</v>
      </c>
      <c r="D2282" s="467" t="s">
        <v>5784</v>
      </c>
      <c r="E2282" s="467" t="s">
        <v>5956</v>
      </c>
      <c r="F2282" s="466">
        <v>2022300259</v>
      </c>
      <c r="G2282" s="466" t="s">
        <v>5274</v>
      </c>
      <c r="H2282" s="463" t="s">
        <v>5449</v>
      </c>
      <c r="I2282" s="508">
        <v>307821.89</v>
      </c>
      <c r="J2282" s="508">
        <v>28023.75</v>
      </c>
      <c r="K2282" s="379">
        <f t="shared" si="185"/>
        <v>15569.995499999999</v>
      </c>
      <c r="L2282" s="380">
        <f t="shared" si="186"/>
        <v>3113.9991</v>
      </c>
      <c r="M2282" s="380" t="s">
        <v>6169</v>
      </c>
      <c r="N2282" s="463" t="s">
        <v>3785</v>
      </c>
      <c r="O2282" s="463" t="s">
        <v>3986</v>
      </c>
      <c r="P2282" s="464" t="s">
        <v>3659</v>
      </c>
      <c r="Q2282" s="431">
        <v>0.2</v>
      </c>
      <c r="R2282" s="464" t="s">
        <v>5783</v>
      </c>
      <c r="S2282" s="466" t="s">
        <v>2675</v>
      </c>
      <c r="T2282" s="2" t="s">
        <v>5915</v>
      </c>
      <c r="U2282" s="9" t="s">
        <v>2675</v>
      </c>
    </row>
    <row r="2283" spans="1:21" hidden="1" x14ac:dyDescent="0.35">
      <c r="A2283" s="494" t="s">
        <v>4203</v>
      </c>
      <c r="B2283" s="463" t="s">
        <v>2645</v>
      </c>
      <c r="C2283" s="467" t="s">
        <v>5784</v>
      </c>
      <c r="D2283" s="467" t="s">
        <v>5784</v>
      </c>
      <c r="E2283" s="467" t="s">
        <v>2989</v>
      </c>
      <c r="F2283" s="473" t="s">
        <v>5785</v>
      </c>
      <c r="G2283" s="473" t="s">
        <v>5323</v>
      </c>
      <c r="H2283" s="463" t="s">
        <v>5449</v>
      </c>
      <c r="I2283" s="508">
        <f>366044+54087.14</f>
        <v>420131.14</v>
      </c>
      <c r="J2283" s="508">
        <f>28000+5390</f>
        <v>33390</v>
      </c>
      <c r="K2283" s="379">
        <f t="shared" si="185"/>
        <v>18551.484</v>
      </c>
      <c r="L2283" s="380">
        <f t="shared" si="186"/>
        <v>3710.2968000000001</v>
      </c>
      <c r="M2283" s="380" t="s">
        <v>6169</v>
      </c>
      <c r="N2283" s="463" t="s">
        <v>3785</v>
      </c>
      <c r="O2283" s="463" t="s">
        <v>3986</v>
      </c>
      <c r="P2283" s="464" t="s">
        <v>3659</v>
      </c>
      <c r="Q2283" s="431">
        <v>0.2</v>
      </c>
      <c r="R2283" s="509" t="s">
        <v>5786</v>
      </c>
      <c r="S2283" s="466" t="s">
        <v>1377</v>
      </c>
      <c r="T2283" s="2" t="s">
        <v>5915</v>
      </c>
    </row>
    <row r="2284" spans="1:21" hidden="1" x14ac:dyDescent="0.35">
      <c r="A2284" s="494" t="s">
        <v>4204</v>
      </c>
      <c r="B2284" s="463" t="s">
        <v>2645</v>
      </c>
      <c r="C2284" s="467" t="s">
        <v>5784</v>
      </c>
      <c r="D2284" s="467" t="s">
        <v>5784</v>
      </c>
      <c r="E2284" s="467"/>
      <c r="F2284" s="466" t="s">
        <v>5785</v>
      </c>
      <c r="G2284" s="473" t="s">
        <v>5323</v>
      </c>
      <c r="H2284" s="463" t="s">
        <v>5449</v>
      </c>
      <c r="I2284" s="508">
        <v>420131.14</v>
      </c>
      <c r="J2284" s="508">
        <f>28000+5390</f>
        <v>33390</v>
      </c>
      <c r="K2284" s="379">
        <f t="shared" si="185"/>
        <v>18551.484</v>
      </c>
      <c r="L2284" s="380">
        <f t="shared" si="186"/>
        <v>3710.2968000000001</v>
      </c>
      <c r="M2284" s="380" t="s">
        <v>6169</v>
      </c>
      <c r="N2284" s="463" t="s">
        <v>3785</v>
      </c>
      <c r="O2284" s="463" t="s">
        <v>3986</v>
      </c>
      <c r="P2284" s="464" t="s">
        <v>3659</v>
      </c>
      <c r="Q2284" s="431">
        <v>0.2</v>
      </c>
      <c r="R2284" s="464" t="s">
        <v>5786</v>
      </c>
      <c r="S2284" s="466" t="s">
        <v>509</v>
      </c>
      <c r="T2284" s="2" t="s">
        <v>5914</v>
      </c>
      <c r="U2284" s="9" t="s">
        <v>509</v>
      </c>
    </row>
    <row r="2285" spans="1:21" hidden="1" x14ac:dyDescent="0.35">
      <c r="A2285" s="494" t="s">
        <v>4205</v>
      </c>
      <c r="B2285" s="463" t="s">
        <v>2645</v>
      </c>
      <c r="C2285" s="467" t="s">
        <v>5784</v>
      </c>
      <c r="D2285" s="467" t="s">
        <v>5784</v>
      </c>
      <c r="E2285" s="467"/>
      <c r="F2285" s="466" t="s">
        <v>5785</v>
      </c>
      <c r="G2285" s="473" t="s">
        <v>5323</v>
      </c>
      <c r="H2285" s="463" t="s">
        <v>5449</v>
      </c>
      <c r="I2285" s="508">
        <v>420131.14</v>
      </c>
      <c r="J2285" s="508">
        <f>28000+5390</f>
        <v>33390</v>
      </c>
      <c r="K2285" s="379">
        <f t="shared" si="185"/>
        <v>18551.484</v>
      </c>
      <c r="L2285" s="380">
        <f t="shared" si="186"/>
        <v>3710.2968000000001</v>
      </c>
      <c r="M2285" s="380" t="s">
        <v>6169</v>
      </c>
      <c r="N2285" s="463" t="s">
        <v>3785</v>
      </c>
      <c r="O2285" s="463" t="s">
        <v>3986</v>
      </c>
      <c r="P2285" s="464" t="s">
        <v>3659</v>
      </c>
      <c r="Q2285" s="431">
        <v>0.2</v>
      </c>
      <c r="R2285" s="464" t="s">
        <v>5786</v>
      </c>
      <c r="S2285" s="466" t="s">
        <v>509</v>
      </c>
      <c r="T2285" s="2" t="s">
        <v>5914</v>
      </c>
      <c r="U2285" s="9" t="s">
        <v>509</v>
      </c>
    </row>
    <row r="2286" spans="1:21" hidden="1" x14ac:dyDescent="0.35">
      <c r="A2286" s="494" t="s">
        <v>4206</v>
      </c>
      <c r="B2286" s="463" t="s">
        <v>2645</v>
      </c>
      <c r="C2286" s="467" t="s">
        <v>5784</v>
      </c>
      <c r="D2286" s="467" t="s">
        <v>5784</v>
      </c>
      <c r="E2286" s="467"/>
      <c r="F2286" s="466" t="s">
        <v>5785</v>
      </c>
      <c r="G2286" s="473" t="s">
        <v>5323</v>
      </c>
      <c r="H2286" s="463" t="s">
        <v>5449</v>
      </c>
      <c r="I2286" s="508">
        <v>420131.14</v>
      </c>
      <c r="J2286" s="508">
        <f>28000+5390</f>
        <v>33390</v>
      </c>
      <c r="K2286" s="379">
        <f t="shared" si="185"/>
        <v>18551.484</v>
      </c>
      <c r="L2286" s="380">
        <f t="shared" si="186"/>
        <v>3710.2968000000001</v>
      </c>
      <c r="M2286" s="380" t="s">
        <v>6169</v>
      </c>
      <c r="N2286" s="463" t="s">
        <v>3785</v>
      </c>
      <c r="O2286" s="463" t="s">
        <v>3986</v>
      </c>
      <c r="P2286" s="464" t="s">
        <v>3659</v>
      </c>
      <c r="Q2286" s="431">
        <v>0.2</v>
      </c>
      <c r="R2286" s="464" t="s">
        <v>5786</v>
      </c>
      <c r="S2286" s="466" t="s">
        <v>509</v>
      </c>
      <c r="T2286" s="2" t="s">
        <v>5914</v>
      </c>
      <c r="U2286" s="9" t="s">
        <v>509</v>
      </c>
    </row>
    <row r="2287" spans="1:21" hidden="1" x14ac:dyDescent="0.35">
      <c r="A2287" s="494"/>
      <c r="B2287" s="463" t="s">
        <v>3545</v>
      </c>
      <c r="C2287" s="467" t="s">
        <v>5784</v>
      </c>
      <c r="D2287" s="467" t="s">
        <v>5784</v>
      </c>
      <c r="E2287" s="467" t="s">
        <v>3546</v>
      </c>
      <c r="F2287" s="466"/>
      <c r="G2287" s="473" t="s">
        <v>5270</v>
      </c>
      <c r="H2287" s="463" t="s">
        <v>5449</v>
      </c>
      <c r="I2287" s="508"/>
      <c r="J2287" s="508"/>
      <c r="K2287" s="379"/>
      <c r="L2287" s="380"/>
      <c r="M2287" s="380"/>
      <c r="N2287" s="463" t="s">
        <v>3785</v>
      </c>
      <c r="O2287" s="463" t="s">
        <v>3986</v>
      </c>
      <c r="P2287" s="464" t="s">
        <v>3659</v>
      </c>
      <c r="Q2287" s="431">
        <v>0.2</v>
      </c>
      <c r="R2287" s="464" t="s">
        <v>5786</v>
      </c>
      <c r="S2287" s="466" t="s">
        <v>3544</v>
      </c>
      <c r="T2287" s="2" t="s">
        <v>5915</v>
      </c>
    </row>
    <row r="2288" spans="1:21" hidden="1" x14ac:dyDescent="0.35">
      <c r="A2288" s="494"/>
      <c r="B2288" s="463" t="s">
        <v>3545</v>
      </c>
      <c r="C2288" s="467" t="s">
        <v>5784</v>
      </c>
      <c r="D2288" s="467" t="s">
        <v>5784</v>
      </c>
      <c r="E2288" s="467" t="s">
        <v>3548</v>
      </c>
      <c r="F2288" s="466"/>
      <c r="G2288" s="473" t="s">
        <v>5270</v>
      </c>
      <c r="H2288" s="463" t="s">
        <v>5449</v>
      </c>
      <c r="I2288" s="508"/>
      <c r="J2288" s="508"/>
      <c r="K2288" s="379"/>
      <c r="L2288" s="380"/>
      <c r="M2288" s="380"/>
      <c r="N2288" s="463" t="s">
        <v>3785</v>
      </c>
      <c r="O2288" s="463" t="s">
        <v>3986</v>
      </c>
      <c r="P2288" s="464" t="s">
        <v>3659</v>
      </c>
      <c r="Q2288" s="431">
        <v>0.2</v>
      </c>
      <c r="R2288" s="464" t="s">
        <v>5786</v>
      </c>
      <c r="S2288" s="466" t="s">
        <v>3547</v>
      </c>
      <c r="T2288" s="2" t="s">
        <v>5915</v>
      </c>
    </row>
    <row r="2289" spans="1:21" hidden="1" x14ac:dyDescent="0.35">
      <c r="A2289" s="494"/>
      <c r="B2289" s="463" t="s">
        <v>3545</v>
      </c>
      <c r="C2289" s="467" t="s">
        <v>5784</v>
      </c>
      <c r="D2289" s="467" t="s">
        <v>5784</v>
      </c>
      <c r="E2289" s="467" t="s">
        <v>3550</v>
      </c>
      <c r="F2289" s="466"/>
      <c r="G2289" s="473" t="s">
        <v>5270</v>
      </c>
      <c r="H2289" s="463" t="s">
        <v>5449</v>
      </c>
      <c r="I2289" s="508"/>
      <c r="J2289" s="508"/>
      <c r="K2289" s="379"/>
      <c r="L2289" s="380"/>
      <c r="M2289" s="380"/>
      <c r="N2289" s="463" t="s">
        <v>3785</v>
      </c>
      <c r="O2289" s="463" t="s">
        <v>3986</v>
      </c>
      <c r="P2289" s="464" t="s">
        <v>3659</v>
      </c>
      <c r="Q2289" s="431">
        <v>0.2</v>
      </c>
      <c r="R2289" s="464" t="s">
        <v>5786</v>
      </c>
      <c r="S2289" s="466" t="s">
        <v>3549</v>
      </c>
      <c r="T2289" s="2" t="s">
        <v>5915</v>
      </c>
    </row>
    <row r="2290" spans="1:21" hidden="1" x14ac:dyDescent="0.35">
      <c r="A2290" s="494"/>
      <c r="B2290" s="463" t="s">
        <v>3545</v>
      </c>
      <c r="C2290" s="467" t="s">
        <v>5784</v>
      </c>
      <c r="D2290" s="467" t="s">
        <v>5784</v>
      </c>
      <c r="E2290" s="467" t="s">
        <v>6450</v>
      </c>
      <c r="F2290" s="466"/>
      <c r="G2290" s="473" t="s">
        <v>5270</v>
      </c>
      <c r="H2290" s="463" t="s">
        <v>5449</v>
      </c>
      <c r="I2290" s="508"/>
      <c r="J2290" s="508"/>
      <c r="K2290" s="379"/>
      <c r="L2290" s="380"/>
      <c r="M2290" s="380"/>
      <c r="N2290" s="463" t="s">
        <v>3785</v>
      </c>
      <c r="O2290" s="463" t="s">
        <v>3986</v>
      </c>
      <c r="P2290" s="464" t="s">
        <v>3659</v>
      </c>
      <c r="Q2290" s="431">
        <v>0.2</v>
      </c>
      <c r="R2290" s="464" t="s">
        <v>5786</v>
      </c>
      <c r="S2290" s="466" t="s">
        <v>3559</v>
      </c>
      <c r="T2290" s="2" t="s">
        <v>5915</v>
      </c>
      <c r="U2290" s="9" t="s">
        <v>5917</v>
      </c>
    </row>
    <row r="2291" spans="1:21" hidden="1" x14ac:dyDescent="0.35">
      <c r="A2291" s="494"/>
      <c r="B2291" s="510" t="s">
        <v>3562</v>
      </c>
      <c r="C2291" s="467" t="s">
        <v>5784</v>
      </c>
      <c r="D2291" s="467" t="s">
        <v>5784</v>
      </c>
      <c r="E2291" s="511" t="s">
        <v>3563</v>
      </c>
      <c r="F2291" s="466"/>
      <c r="G2291" s="473" t="s">
        <v>5270</v>
      </c>
      <c r="H2291" s="463" t="s">
        <v>5449</v>
      </c>
      <c r="I2291" s="508"/>
      <c r="J2291" s="508"/>
      <c r="K2291" s="379"/>
      <c r="L2291" s="380"/>
      <c r="M2291" s="380"/>
      <c r="N2291" s="463" t="s">
        <v>3785</v>
      </c>
      <c r="O2291" s="463" t="s">
        <v>3986</v>
      </c>
      <c r="P2291" s="464" t="s">
        <v>3659</v>
      </c>
      <c r="Q2291" s="431">
        <v>0.2</v>
      </c>
      <c r="R2291" s="464" t="s">
        <v>5786</v>
      </c>
      <c r="S2291" s="466" t="s">
        <v>3561</v>
      </c>
      <c r="T2291" s="2" t="s">
        <v>5915</v>
      </c>
    </row>
    <row r="2292" spans="1:21" hidden="1" x14ac:dyDescent="0.35">
      <c r="A2292" s="494"/>
      <c r="B2292" s="510" t="s">
        <v>3565</v>
      </c>
      <c r="C2292" s="467" t="s">
        <v>5784</v>
      </c>
      <c r="D2292" s="467" t="s">
        <v>5784</v>
      </c>
      <c r="E2292" s="511" t="s">
        <v>3566</v>
      </c>
      <c r="F2292" s="466"/>
      <c r="G2292" s="473" t="s">
        <v>5270</v>
      </c>
      <c r="H2292" s="463" t="s">
        <v>5449</v>
      </c>
      <c r="I2292" s="508"/>
      <c r="J2292" s="508"/>
      <c r="K2292" s="379"/>
      <c r="L2292" s="380"/>
      <c r="M2292" s="380"/>
      <c r="N2292" s="463" t="s">
        <v>3785</v>
      </c>
      <c r="O2292" s="463" t="s">
        <v>3986</v>
      </c>
      <c r="P2292" s="464" t="s">
        <v>3659</v>
      </c>
      <c r="Q2292" s="431">
        <v>0.2</v>
      </c>
      <c r="R2292" s="464" t="s">
        <v>5786</v>
      </c>
      <c r="S2292" s="466" t="s">
        <v>3564</v>
      </c>
      <c r="T2292" s="2" t="s">
        <v>5915</v>
      </c>
    </row>
    <row r="2293" spans="1:21" hidden="1" x14ac:dyDescent="0.35">
      <c r="A2293" s="494"/>
      <c r="B2293" s="510" t="s">
        <v>5787</v>
      </c>
      <c r="C2293" s="467" t="s">
        <v>5784</v>
      </c>
      <c r="D2293" s="467" t="s">
        <v>5784</v>
      </c>
      <c r="E2293" s="511" t="s">
        <v>2664</v>
      </c>
      <c r="F2293" s="466"/>
      <c r="G2293" s="473" t="s">
        <v>5323</v>
      </c>
      <c r="H2293" s="463" t="s">
        <v>5449</v>
      </c>
      <c r="I2293" s="508"/>
      <c r="J2293" s="508"/>
      <c r="K2293" s="379"/>
      <c r="L2293" s="380"/>
      <c r="M2293" s="380"/>
      <c r="N2293" s="463" t="s">
        <v>3785</v>
      </c>
      <c r="O2293" s="463"/>
      <c r="P2293" s="464"/>
      <c r="Q2293" s="431"/>
      <c r="R2293" s="464"/>
      <c r="S2293" s="466" t="s">
        <v>3785</v>
      </c>
      <c r="T2293" s="2" t="s">
        <v>5915</v>
      </c>
    </row>
    <row r="2294" spans="1:21" hidden="1" x14ac:dyDescent="0.35">
      <c r="A2294" s="494"/>
      <c r="B2294" s="510" t="s">
        <v>5787</v>
      </c>
      <c r="C2294" s="467" t="s">
        <v>5784</v>
      </c>
      <c r="D2294" s="467" t="s">
        <v>5784</v>
      </c>
      <c r="E2294" s="511" t="s">
        <v>2667</v>
      </c>
      <c r="F2294" s="466"/>
      <c r="G2294" s="473" t="s">
        <v>5323</v>
      </c>
      <c r="H2294" s="463" t="s">
        <v>5449</v>
      </c>
      <c r="I2294" s="508"/>
      <c r="J2294" s="508"/>
      <c r="K2294" s="379"/>
      <c r="L2294" s="380"/>
      <c r="M2294" s="380"/>
      <c r="N2294" s="463" t="s">
        <v>3785</v>
      </c>
      <c r="O2294" s="463"/>
      <c r="P2294" s="464"/>
      <c r="Q2294" s="431"/>
      <c r="R2294" s="464"/>
      <c r="S2294" s="466" t="s">
        <v>3785</v>
      </c>
      <c r="T2294" s="2" t="s">
        <v>5915</v>
      </c>
    </row>
    <row r="2295" spans="1:21" hidden="1" x14ac:dyDescent="0.35">
      <c r="A2295" s="494"/>
      <c r="B2295" s="510" t="s">
        <v>5788</v>
      </c>
      <c r="C2295" s="467" t="s">
        <v>5784</v>
      </c>
      <c r="D2295" s="467" t="s">
        <v>5784</v>
      </c>
      <c r="E2295" s="511" t="s">
        <v>2717</v>
      </c>
      <c r="F2295" s="466"/>
      <c r="G2295" s="473" t="s">
        <v>5323</v>
      </c>
      <c r="H2295" s="463" t="s">
        <v>5449</v>
      </c>
      <c r="I2295" s="508"/>
      <c r="J2295" s="508"/>
      <c r="K2295" s="379"/>
      <c r="L2295" s="380"/>
      <c r="M2295" s="380"/>
      <c r="N2295" s="463" t="s">
        <v>3785</v>
      </c>
      <c r="O2295" s="463"/>
      <c r="P2295" s="464"/>
      <c r="Q2295" s="431"/>
      <c r="R2295" s="464"/>
      <c r="S2295" s="466" t="s">
        <v>3785</v>
      </c>
      <c r="T2295" s="2" t="s">
        <v>5915</v>
      </c>
    </row>
    <row r="2296" spans="1:21" hidden="1" x14ac:dyDescent="0.35">
      <c r="A2296" s="494"/>
      <c r="B2296" s="510" t="s">
        <v>5789</v>
      </c>
      <c r="C2296" s="467" t="s">
        <v>5784</v>
      </c>
      <c r="D2296" s="467" t="s">
        <v>5784</v>
      </c>
      <c r="E2296" s="511" t="s">
        <v>2986</v>
      </c>
      <c r="F2296" s="466"/>
      <c r="G2296" s="473" t="s">
        <v>5323</v>
      </c>
      <c r="H2296" s="463" t="s">
        <v>5449</v>
      </c>
      <c r="I2296" s="508"/>
      <c r="J2296" s="508"/>
      <c r="K2296" s="379"/>
      <c r="L2296" s="380"/>
      <c r="M2296" s="380"/>
      <c r="N2296" s="463" t="s">
        <v>1377</v>
      </c>
      <c r="O2296" s="463"/>
      <c r="P2296" s="464"/>
      <c r="Q2296" s="431"/>
      <c r="R2296" s="464"/>
      <c r="S2296" s="466" t="s">
        <v>1377</v>
      </c>
      <c r="T2296" s="2" t="s">
        <v>5915</v>
      </c>
    </row>
    <row r="2297" spans="1:21" hidden="1" x14ac:dyDescent="0.35">
      <c r="A2297" s="494"/>
      <c r="B2297" s="15" t="s">
        <v>5790</v>
      </c>
      <c r="C2297" s="467" t="s">
        <v>5784</v>
      </c>
      <c r="D2297" s="467" t="s">
        <v>5784</v>
      </c>
      <c r="E2297" s="511" t="s">
        <v>3011</v>
      </c>
      <c r="F2297" s="466"/>
      <c r="G2297" s="473" t="s">
        <v>5323</v>
      </c>
      <c r="H2297" s="463" t="s">
        <v>5449</v>
      </c>
      <c r="I2297" s="508"/>
      <c r="J2297" s="508"/>
      <c r="K2297" s="379"/>
      <c r="L2297" s="380"/>
      <c r="M2297" s="380"/>
      <c r="N2297" s="463" t="s">
        <v>1377</v>
      </c>
      <c r="O2297" s="463"/>
      <c r="P2297" s="464"/>
      <c r="Q2297" s="431"/>
      <c r="R2297" s="464"/>
      <c r="S2297" s="466" t="s">
        <v>1377</v>
      </c>
      <c r="T2297" s="2" t="s">
        <v>5915</v>
      </c>
    </row>
    <row r="2298" spans="1:21" hidden="1" x14ac:dyDescent="0.35">
      <c r="A2298" s="494"/>
      <c r="B2298" s="510" t="s">
        <v>5791</v>
      </c>
      <c r="C2298" s="467" t="s">
        <v>5784</v>
      </c>
      <c r="D2298" s="467" t="s">
        <v>5784</v>
      </c>
      <c r="E2298" s="511" t="s">
        <v>3034</v>
      </c>
      <c r="F2298" s="466"/>
      <c r="G2298" s="473" t="s">
        <v>5323</v>
      </c>
      <c r="H2298" s="463" t="s">
        <v>5449</v>
      </c>
      <c r="I2298" s="508"/>
      <c r="J2298" s="508"/>
      <c r="K2298" s="379"/>
      <c r="L2298" s="380"/>
      <c r="M2298" s="380"/>
      <c r="N2298" s="463" t="s">
        <v>2701</v>
      </c>
      <c r="O2298" s="463"/>
      <c r="P2298" s="464"/>
      <c r="Q2298" s="431"/>
      <c r="R2298" s="464"/>
      <c r="S2298" s="466" t="s">
        <v>2701</v>
      </c>
      <c r="T2298" s="2" t="s">
        <v>5915</v>
      </c>
    </row>
    <row r="2299" spans="1:21" hidden="1" x14ac:dyDescent="0.35">
      <c r="A2299" s="494"/>
      <c r="B2299" s="510" t="s">
        <v>5791</v>
      </c>
      <c r="C2299" s="467" t="s">
        <v>5784</v>
      </c>
      <c r="D2299" s="467" t="s">
        <v>5784</v>
      </c>
      <c r="E2299" s="511" t="s">
        <v>3043</v>
      </c>
      <c r="F2299" s="466"/>
      <c r="G2299" s="473" t="s">
        <v>5323</v>
      </c>
      <c r="H2299" s="463" t="s">
        <v>5449</v>
      </c>
      <c r="I2299" s="508"/>
      <c r="J2299" s="508"/>
      <c r="K2299" s="379"/>
      <c r="L2299" s="380"/>
      <c r="M2299" s="380"/>
      <c r="N2299" s="463" t="s">
        <v>2701</v>
      </c>
      <c r="O2299" s="463"/>
      <c r="P2299" s="464"/>
      <c r="Q2299" s="431"/>
      <c r="R2299" s="464"/>
      <c r="S2299" s="466" t="s">
        <v>2701</v>
      </c>
      <c r="T2299" s="2" t="s">
        <v>5915</v>
      </c>
    </row>
    <row r="2300" spans="1:21" hidden="1" x14ac:dyDescent="0.35">
      <c r="A2300" s="494"/>
      <c r="B2300" s="510" t="s">
        <v>5792</v>
      </c>
      <c r="C2300" s="467" t="s">
        <v>5784</v>
      </c>
      <c r="D2300" s="467" t="s">
        <v>5784</v>
      </c>
      <c r="E2300" s="511" t="s">
        <v>3046</v>
      </c>
      <c r="F2300" s="466"/>
      <c r="G2300" s="473" t="s">
        <v>5323</v>
      </c>
      <c r="H2300" s="463" t="s">
        <v>5449</v>
      </c>
      <c r="I2300" s="508"/>
      <c r="J2300" s="508"/>
      <c r="K2300" s="379"/>
      <c r="L2300" s="380"/>
      <c r="M2300" s="380"/>
      <c r="N2300" s="463" t="s">
        <v>2701</v>
      </c>
      <c r="O2300" s="463"/>
      <c r="P2300" s="464"/>
      <c r="Q2300" s="431"/>
      <c r="R2300" s="464"/>
      <c r="S2300" s="466" t="s">
        <v>2701</v>
      </c>
      <c r="T2300" s="2" t="s">
        <v>5915</v>
      </c>
    </row>
    <row r="2301" spans="1:21" hidden="1" x14ac:dyDescent="0.35">
      <c r="A2301" s="494"/>
      <c r="B2301" s="510" t="s">
        <v>5788</v>
      </c>
      <c r="C2301" s="467" t="s">
        <v>5784</v>
      </c>
      <c r="D2301" s="467" t="s">
        <v>5784</v>
      </c>
      <c r="E2301" s="511" t="s">
        <v>2670</v>
      </c>
      <c r="F2301" s="466"/>
      <c r="G2301" s="473" t="s">
        <v>5274</v>
      </c>
      <c r="H2301" s="463" t="s">
        <v>5449</v>
      </c>
      <c r="I2301" s="508"/>
      <c r="J2301" s="508"/>
      <c r="K2301" s="379"/>
      <c r="L2301" s="380"/>
      <c r="M2301" s="380"/>
      <c r="N2301" s="463" t="s">
        <v>3785</v>
      </c>
      <c r="O2301" s="463"/>
      <c r="P2301" s="464"/>
      <c r="Q2301" s="431"/>
      <c r="R2301" s="464"/>
      <c r="S2301" s="466" t="s">
        <v>3785</v>
      </c>
      <c r="T2301" s="2" t="s">
        <v>5915</v>
      </c>
    </row>
    <row r="2302" spans="1:21" hidden="1" x14ac:dyDescent="0.35">
      <c r="A2302" s="494"/>
      <c r="B2302" s="510" t="s">
        <v>5793</v>
      </c>
      <c r="C2302" s="467" t="s">
        <v>5784</v>
      </c>
      <c r="D2302" s="467" t="s">
        <v>5784</v>
      </c>
      <c r="E2302" s="511" t="s">
        <v>2678</v>
      </c>
      <c r="F2302" s="466"/>
      <c r="G2302" s="473" t="s">
        <v>5274</v>
      </c>
      <c r="H2302" s="463" t="s">
        <v>5449</v>
      </c>
      <c r="I2302" s="508"/>
      <c r="J2302" s="508"/>
      <c r="K2302" s="379"/>
      <c r="L2302" s="380"/>
      <c r="M2302" s="380"/>
      <c r="N2302" s="463" t="s">
        <v>2675</v>
      </c>
      <c r="O2302" s="463"/>
      <c r="P2302" s="464"/>
      <c r="Q2302" s="431"/>
      <c r="R2302" s="464"/>
      <c r="S2302" s="466" t="s">
        <v>2675</v>
      </c>
      <c r="T2302" s="2" t="s">
        <v>5915</v>
      </c>
    </row>
    <row r="2303" spans="1:21" hidden="1" x14ac:dyDescent="0.35">
      <c r="A2303" s="494"/>
      <c r="B2303" s="510" t="s">
        <v>5794</v>
      </c>
      <c r="C2303" s="467" t="s">
        <v>5784</v>
      </c>
      <c r="D2303" s="467" t="s">
        <v>5784</v>
      </c>
      <c r="E2303" s="511" t="s">
        <v>2681</v>
      </c>
      <c r="F2303" s="466"/>
      <c r="G2303" s="473" t="s">
        <v>5274</v>
      </c>
      <c r="H2303" s="463" t="s">
        <v>5449</v>
      </c>
      <c r="I2303" s="508"/>
      <c r="J2303" s="508"/>
      <c r="K2303" s="379"/>
      <c r="L2303" s="380"/>
      <c r="M2303" s="380"/>
      <c r="N2303" s="463" t="s">
        <v>1377</v>
      </c>
      <c r="O2303" s="463"/>
      <c r="P2303" s="464"/>
      <c r="Q2303" s="431"/>
      <c r="R2303" s="464"/>
      <c r="S2303" s="466" t="s">
        <v>2617</v>
      </c>
      <c r="T2303" s="2" t="s">
        <v>5915</v>
      </c>
    </row>
    <row r="2304" spans="1:21" hidden="1" x14ac:dyDescent="0.35">
      <c r="A2304" s="494"/>
      <c r="B2304" s="510" t="s">
        <v>5795</v>
      </c>
      <c r="C2304" s="467" t="s">
        <v>5784</v>
      </c>
      <c r="D2304" s="467" t="s">
        <v>5784</v>
      </c>
      <c r="E2304" s="511" t="s">
        <v>2684</v>
      </c>
      <c r="F2304" s="466"/>
      <c r="G2304" s="473" t="s">
        <v>5274</v>
      </c>
      <c r="H2304" s="463" t="s">
        <v>5449</v>
      </c>
      <c r="I2304" s="508"/>
      <c r="J2304" s="508"/>
      <c r="K2304" s="379"/>
      <c r="L2304" s="380"/>
      <c r="M2304" s="380"/>
      <c r="N2304" s="463" t="s">
        <v>1377</v>
      </c>
      <c r="O2304" s="463"/>
      <c r="P2304" s="464"/>
      <c r="Q2304" s="431"/>
      <c r="R2304" s="464"/>
      <c r="S2304" s="466" t="s">
        <v>1377</v>
      </c>
      <c r="T2304" s="2" t="s">
        <v>5915</v>
      </c>
    </row>
    <row r="2305" spans="1:20" hidden="1" x14ac:dyDescent="0.35">
      <c r="A2305" s="494"/>
      <c r="B2305" s="510" t="s">
        <v>5796</v>
      </c>
      <c r="C2305" s="467" t="s">
        <v>5784</v>
      </c>
      <c r="D2305" s="467" t="s">
        <v>5784</v>
      </c>
      <c r="E2305" s="511" t="s">
        <v>2687</v>
      </c>
      <c r="F2305" s="466"/>
      <c r="G2305" s="473" t="s">
        <v>5274</v>
      </c>
      <c r="H2305" s="463" t="s">
        <v>5449</v>
      </c>
      <c r="I2305" s="508"/>
      <c r="J2305" s="508"/>
      <c r="K2305" s="379"/>
      <c r="L2305" s="380"/>
      <c r="M2305" s="380"/>
      <c r="N2305" s="463" t="s">
        <v>1377</v>
      </c>
      <c r="O2305" s="463"/>
      <c r="P2305" s="464"/>
      <c r="Q2305" s="431"/>
      <c r="R2305" s="464"/>
      <c r="S2305" s="466" t="s">
        <v>1377</v>
      </c>
      <c r="T2305" s="2" t="s">
        <v>5915</v>
      </c>
    </row>
    <row r="2306" spans="1:20" hidden="1" x14ac:dyDescent="0.35">
      <c r="A2306" s="494"/>
      <c r="B2306" s="510" t="s">
        <v>5797</v>
      </c>
      <c r="C2306" s="467" t="s">
        <v>5784</v>
      </c>
      <c r="D2306" s="467" t="s">
        <v>5784</v>
      </c>
      <c r="E2306" s="511" t="s">
        <v>2690</v>
      </c>
      <c r="F2306" s="466"/>
      <c r="G2306" s="473" t="s">
        <v>5274</v>
      </c>
      <c r="H2306" s="463" t="s">
        <v>5449</v>
      </c>
      <c r="I2306" s="508"/>
      <c r="J2306" s="508"/>
      <c r="K2306" s="379"/>
      <c r="L2306" s="380"/>
      <c r="M2306" s="380"/>
      <c r="N2306" s="463" t="s">
        <v>1377</v>
      </c>
      <c r="O2306" s="463"/>
      <c r="P2306" s="464"/>
      <c r="Q2306" s="431"/>
      <c r="R2306" s="464"/>
      <c r="S2306" s="466" t="s">
        <v>1377</v>
      </c>
      <c r="T2306" s="2" t="s">
        <v>5915</v>
      </c>
    </row>
    <row r="2307" spans="1:20" hidden="1" x14ac:dyDescent="0.35">
      <c r="A2307" s="494"/>
      <c r="B2307" s="510" t="s">
        <v>5798</v>
      </c>
      <c r="C2307" s="467" t="s">
        <v>5784</v>
      </c>
      <c r="D2307" s="467" t="s">
        <v>5784</v>
      </c>
      <c r="E2307" s="511" t="s">
        <v>2857</v>
      </c>
      <c r="F2307" s="466"/>
      <c r="G2307" s="473" t="s">
        <v>5274</v>
      </c>
      <c r="H2307" s="463" t="s">
        <v>5449</v>
      </c>
      <c r="I2307" s="508"/>
      <c r="J2307" s="508"/>
      <c r="K2307" s="379"/>
      <c r="L2307" s="380"/>
      <c r="M2307" s="380"/>
      <c r="N2307" s="463" t="s">
        <v>3785</v>
      </c>
      <c r="O2307" s="463"/>
      <c r="P2307" s="464"/>
      <c r="Q2307" s="431"/>
      <c r="R2307" s="464"/>
      <c r="S2307" s="466" t="s">
        <v>3785</v>
      </c>
      <c r="T2307" s="2" t="s">
        <v>5915</v>
      </c>
    </row>
    <row r="2308" spans="1:20" hidden="1" x14ac:dyDescent="0.35">
      <c r="A2308" s="494"/>
      <c r="B2308" s="510" t="s">
        <v>5798</v>
      </c>
      <c r="C2308" s="467" t="s">
        <v>5784</v>
      </c>
      <c r="D2308" s="467" t="s">
        <v>5784</v>
      </c>
      <c r="E2308" s="511" t="s">
        <v>2859</v>
      </c>
      <c r="F2308" s="466"/>
      <c r="G2308" s="473" t="s">
        <v>5274</v>
      </c>
      <c r="H2308" s="463" t="s">
        <v>5449</v>
      </c>
      <c r="I2308" s="508"/>
      <c r="J2308" s="508"/>
      <c r="K2308" s="379"/>
      <c r="L2308" s="380"/>
      <c r="M2308" s="380"/>
      <c r="N2308" s="463" t="s">
        <v>3785</v>
      </c>
      <c r="O2308" s="463"/>
      <c r="P2308" s="464"/>
      <c r="Q2308" s="431"/>
      <c r="R2308" s="464"/>
      <c r="S2308" s="466" t="s">
        <v>3785</v>
      </c>
      <c r="T2308" s="2" t="s">
        <v>5915</v>
      </c>
    </row>
    <row r="2309" spans="1:20" hidden="1" x14ac:dyDescent="0.35">
      <c r="A2309" s="494"/>
      <c r="B2309" s="510" t="s">
        <v>5798</v>
      </c>
      <c r="C2309" s="467" t="s">
        <v>5784</v>
      </c>
      <c r="D2309" s="467" t="s">
        <v>5784</v>
      </c>
      <c r="E2309" s="511" t="s">
        <v>2861</v>
      </c>
      <c r="F2309" s="466"/>
      <c r="G2309" s="473" t="s">
        <v>5274</v>
      </c>
      <c r="H2309" s="463" t="s">
        <v>5449</v>
      </c>
      <c r="I2309" s="508"/>
      <c r="J2309" s="508"/>
      <c r="K2309" s="379"/>
      <c r="L2309" s="380"/>
      <c r="M2309" s="380"/>
      <c r="N2309" s="463" t="s">
        <v>3785</v>
      </c>
      <c r="O2309" s="463"/>
      <c r="P2309" s="464"/>
      <c r="Q2309" s="431"/>
      <c r="R2309" s="464"/>
      <c r="S2309" s="466" t="s">
        <v>3785</v>
      </c>
      <c r="T2309" s="2" t="s">
        <v>5915</v>
      </c>
    </row>
    <row r="2310" spans="1:20" hidden="1" x14ac:dyDescent="0.35">
      <c r="A2310" s="494"/>
      <c r="B2310" s="510" t="s">
        <v>5798</v>
      </c>
      <c r="C2310" s="467" t="s">
        <v>5784</v>
      </c>
      <c r="D2310" s="467" t="s">
        <v>5784</v>
      </c>
      <c r="E2310" s="511" t="s">
        <v>2863</v>
      </c>
      <c r="F2310" s="466"/>
      <c r="G2310" s="473" t="s">
        <v>5274</v>
      </c>
      <c r="H2310" s="463" t="s">
        <v>5449</v>
      </c>
      <c r="I2310" s="508"/>
      <c r="J2310" s="508"/>
      <c r="K2310" s="379"/>
      <c r="L2310" s="380"/>
      <c r="M2310" s="380"/>
      <c r="N2310" s="463" t="s">
        <v>3785</v>
      </c>
      <c r="O2310" s="463"/>
      <c r="P2310" s="464"/>
      <c r="Q2310" s="431"/>
      <c r="R2310" s="464"/>
      <c r="S2310" s="466" t="s">
        <v>3785</v>
      </c>
      <c r="T2310" s="2" t="s">
        <v>5915</v>
      </c>
    </row>
    <row r="2311" spans="1:20" hidden="1" x14ac:dyDescent="0.35">
      <c r="A2311" s="494"/>
      <c r="B2311" s="510" t="s">
        <v>5798</v>
      </c>
      <c r="C2311" s="467" t="s">
        <v>5784</v>
      </c>
      <c r="D2311" s="467" t="s">
        <v>5784</v>
      </c>
      <c r="E2311" s="511" t="s">
        <v>2865</v>
      </c>
      <c r="F2311" s="466"/>
      <c r="G2311" s="473" t="s">
        <v>5274</v>
      </c>
      <c r="H2311" s="463" t="s">
        <v>5449</v>
      </c>
      <c r="I2311" s="508"/>
      <c r="J2311" s="508"/>
      <c r="K2311" s="379"/>
      <c r="L2311" s="380"/>
      <c r="M2311" s="380"/>
      <c r="N2311" s="463" t="s">
        <v>3785</v>
      </c>
      <c r="O2311" s="463"/>
      <c r="P2311" s="464"/>
      <c r="Q2311" s="431"/>
      <c r="R2311" s="464"/>
      <c r="S2311" s="466" t="s">
        <v>3785</v>
      </c>
      <c r="T2311" s="2" t="s">
        <v>5915</v>
      </c>
    </row>
    <row r="2312" spans="1:20" hidden="1" x14ac:dyDescent="0.35">
      <c r="A2312" s="494"/>
      <c r="B2312" s="510" t="s">
        <v>5798</v>
      </c>
      <c r="C2312" s="467" t="s">
        <v>5784</v>
      </c>
      <c r="D2312" s="467" t="s">
        <v>5784</v>
      </c>
      <c r="E2312" s="511" t="s">
        <v>2867</v>
      </c>
      <c r="F2312" s="466"/>
      <c r="G2312" s="473" t="s">
        <v>5274</v>
      </c>
      <c r="H2312" s="463" t="s">
        <v>5449</v>
      </c>
      <c r="I2312" s="508"/>
      <c r="J2312" s="508"/>
      <c r="K2312" s="379"/>
      <c r="L2312" s="380"/>
      <c r="M2312" s="380"/>
      <c r="N2312" s="463" t="s">
        <v>3785</v>
      </c>
      <c r="O2312" s="463"/>
      <c r="P2312" s="464"/>
      <c r="Q2312" s="431"/>
      <c r="R2312" s="464"/>
      <c r="S2312" s="466" t="s">
        <v>3785</v>
      </c>
      <c r="T2312" s="2" t="s">
        <v>5915</v>
      </c>
    </row>
    <row r="2313" spans="1:20" hidden="1" x14ac:dyDescent="0.35">
      <c r="A2313" s="494"/>
      <c r="B2313" s="510" t="s">
        <v>5798</v>
      </c>
      <c r="C2313" s="467" t="s">
        <v>5784</v>
      </c>
      <c r="D2313" s="467" t="s">
        <v>5784</v>
      </c>
      <c r="E2313" s="511" t="s">
        <v>2869</v>
      </c>
      <c r="F2313" s="466"/>
      <c r="G2313" s="473" t="s">
        <v>5274</v>
      </c>
      <c r="H2313" s="463" t="s">
        <v>5449</v>
      </c>
      <c r="I2313" s="508"/>
      <c r="J2313" s="508"/>
      <c r="K2313" s="379"/>
      <c r="L2313" s="380"/>
      <c r="M2313" s="380"/>
      <c r="N2313" s="463" t="s">
        <v>3785</v>
      </c>
      <c r="O2313" s="463"/>
      <c r="P2313" s="464"/>
      <c r="Q2313" s="431"/>
      <c r="R2313" s="464"/>
      <c r="S2313" s="466" t="s">
        <v>3785</v>
      </c>
      <c r="T2313" s="2" t="s">
        <v>5915</v>
      </c>
    </row>
    <row r="2314" spans="1:20" hidden="1" x14ac:dyDescent="0.35">
      <c r="A2314" s="494"/>
      <c r="B2314" s="510" t="s">
        <v>5798</v>
      </c>
      <c r="C2314" s="467" t="s">
        <v>5784</v>
      </c>
      <c r="D2314" s="467" t="s">
        <v>5784</v>
      </c>
      <c r="E2314" s="511" t="s">
        <v>2871</v>
      </c>
      <c r="F2314" s="466"/>
      <c r="G2314" s="473" t="s">
        <v>5274</v>
      </c>
      <c r="H2314" s="463" t="s">
        <v>5449</v>
      </c>
      <c r="I2314" s="508"/>
      <c r="J2314" s="508"/>
      <c r="K2314" s="379"/>
      <c r="L2314" s="380"/>
      <c r="M2314" s="380"/>
      <c r="N2314" s="463" t="s">
        <v>3785</v>
      </c>
      <c r="O2314" s="463"/>
      <c r="P2314" s="464"/>
      <c r="Q2314" s="431"/>
      <c r="R2314" s="464"/>
      <c r="S2314" s="466" t="s">
        <v>3785</v>
      </c>
      <c r="T2314" s="2" t="s">
        <v>5915</v>
      </c>
    </row>
    <row r="2315" spans="1:20" hidden="1" x14ac:dyDescent="0.35">
      <c r="A2315" s="494"/>
      <c r="B2315" s="510" t="s">
        <v>5798</v>
      </c>
      <c r="C2315" s="467" t="s">
        <v>5784</v>
      </c>
      <c r="D2315" s="467" t="s">
        <v>5784</v>
      </c>
      <c r="E2315" s="511" t="s">
        <v>2873</v>
      </c>
      <c r="F2315" s="466"/>
      <c r="G2315" s="473" t="s">
        <v>5274</v>
      </c>
      <c r="H2315" s="463" t="s">
        <v>5449</v>
      </c>
      <c r="I2315" s="508"/>
      <c r="J2315" s="508"/>
      <c r="K2315" s="379"/>
      <c r="L2315" s="380"/>
      <c r="M2315" s="380"/>
      <c r="N2315" s="463" t="s">
        <v>3785</v>
      </c>
      <c r="O2315" s="463"/>
      <c r="P2315" s="464"/>
      <c r="Q2315" s="431"/>
      <c r="R2315" s="464"/>
      <c r="S2315" s="466" t="s">
        <v>3785</v>
      </c>
      <c r="T2315" s="2" t="s">
        <v>5915</v>
      </c>
    </row>
    <row r="2316" spans="1:20" hidden="1" x14ac:dyDescent="0.35">
      <c r="A2316" s="494"/>
      <c r="B2316" s="510" t="s">
        <v>5798</v>
      </c>
      <c r="C2316" s="467" t="s">
        <v>5784</v>
      </c>
      <c r="D2316" s="467" t="s">
        <v>5784</v>
      </c>
      <c r="E2316" s="511" t="s">
        <v>2875</v>
      </c>
      <c r="F2316" s="466"/>
      <c r="G2316" s="473" t="s">
        <v>5274</v>
      </c>
      <c r="H2316" s="463" t="s">
        <v>5449</v>
      </c>
      <c r="I2316" s="508"/>
      <c r="J2316" s="508"/>
      <c r="K2316" s="379"/>
      <c r="L2316" s="380"/>
      <c r="M2316" s="380"/>
      <c r="N2316" s="463" t="s">
        <v>3785</v>
      </c>
      <c r="O2316" s="463"/>
      <c r="P2316" s="464"/>
      <c r="Q2316" s="431"/>
      <c r="R2316" s="464"/>
      <c r="S2316" s="466" t="s">
        <v>3785</v>
      </c>
      <c r="T2316" s="2" t="s">
        <v>5915</v>
      </c>
    </row>
    <row r="2317" spans="1:20" hidden="1" x14ac:dyDescent="0.35">
      <c r="A2317" s="494"/>
      <c r="B2317" s="510" t="s">
        <v>5798</v>
      </c>
      <c r="C2317" s="467" t="s">
        <v>5784</v>
      </c>
      <c r="D2317" s="467" t="s">
        <v>5784</v>
      </c>
      <c r="E2317" s="511" t="s">
        <v>2877</v>
      </c>
      <c r="F2317" s="466"/>
      <c r="G2317" s="473" t="s">
        <v>5274</v>
      </c>
      <c r="H2317" s="463" t="s">
        <v>5449</v>
      </c>
      <c r="I2317" s="508"/>
      <c r="J2317" s="508"/>
      <c r="K2317" s="379"/>
      <c r="L2317" s="380"/>
      <c r="M2317" s="380"/>
      <c r="N2317" s="463" t="s">
        <v>3785</v>
      </c>
      <c r="O2317" s="463"/>
      <c r="P2317" s="464"/>
      <c r="Q2317" s="431"/>
      <c r="R2317" s="464"/>
      <c r="S2317" s="466" t="s">
        <v>3785</v>
      </c>
      <c r="T2317" s="2" t="s">
        <v>5915</v>
      </c>
    </row>
    <row r="2318" spans="1:20" hidden="1" x14ac:dyDescent="0.35">
      <c r="A2318" s="494"/>
      <c r="B2318" s="510" t="s">
        <v>5798</v>
      </c>
      <c r="C2318" s="467" t="s">
        <v>5784</v>
      </c>
      <c r="D2318" s="467" t="s">
        <v>5784</v>
      </c>
      <c r="E2318" s="511" t="s">
        <v>2879</v>
      </c>
      <c r="F2318" s="466"/>
      <c r="G2318" s="473" t="s">
        <v>5274</v>
      </c>
      <c r="H2318" s="463" t="s">
        <v>5449</v>
      </c>
      <c r="I2318" s="508"/>
      <c r="J2318" s="508"/>
      <c r="K2318" s="379"/>
      <c r="L2318" s="380"/>
      <c r="M2318" s="380"/>
      <c r="N2318" s="463" t="s">
        <v>3785</v>
      </c>
      <c r="O2318" s="463"/>
      <c r="P2318" s="464"/>
      <c r="Q2318" s="431"/>
      <c r="R2318" s="464"/>
      <c r="S2318" s="466" t="s">
        <v>3785</v>
      </c>
      <c r="T2318" s="2" t="s">
        <v>5915</v>
      </c>
    </row>
    <row r="2319" spans="1:20" hidden="1" x14ac:dyDescent="0.35">
      <c r="A2319" s="494"/>
      <c r="B2319" s="510" t="s">
        <v>5798</v>
      </c>
      <c r="C2319" s="467" t="s">
        <v>5784</v>
      </c>
      <c r="D2319" s="467" t="s">
        <v>5784</v>
      </c>
      <c r="E2319" s="511" t="s">
        <v>2881</v>
      </c>
      <c r="F2319" s="466"/>
      <c r="G2319" s="473" t="s">
        <v>5274</v>
      </c>
      <c r="H2319" s="463" t="s">
        <v>5449</v>
      </c>
      <c r="I2319" s="508"/>
      <c r="J2319" s="508"/>
      <c r="K2319" s="379"/>
      <c r="L2319" s="380"/>
      <c r="M2319" s="380"/>
      <c r="N2319" s="463" t="s">
        <v>3785</v>
      </c>
      <c r="O2319" s="463"/>
      <c r="P2319" s="464"/>
      <c r="Q2319" s="431"/>
      <c r="R2319" s="464"/>
      <c r="S2319" s="466" t="s">
        <v>3785</v>
      </c>
      <c r="T2319" s="2" t="s">
        <v>5915</v>
      </c>
    </row>
    <row r="2320" spans="1:20" hidden="1" x14ac:dyDescent="0.35">
      <c r="A2320" s="494"/>
      <c r="B2320" s="510" t="s">
        <v>5798</v>
      </c>
      <c r="C2320" s="467" t="s">
        <v>5784</v>
      </c>
      <c r="D2320" s="467" t="s">
        <v>5784</v>
      </c>
      <c r="E2320" s="511" t="s">
        <v>2883</v>
      </c>
      <c r="F2320" s="466"/>
      <c r="G2320" s="473" t="s">
        <v>5274</v>
      </c>
      <c r="H2320" s="463" t="s">
        <v>5449</v>
      </c>
      <c r="I2320" s="508"/>
      <c r="J2320" s="508"/>
      <c r="K2320" s="379"/>
      <c r="L2320" s="380"/>
      <c r="M2320" s="380"/>
      <c r="N2320" s="463" t="s">
        <v>3785</v>
      </c>
      <c r="O2320" s="463"/>
      <c r="P2320" s="464"/>
      <c r="Q2320" s="431"/>
      <c r="R2320" s="464"/>
      <c r="S2320" s="466" t="s">
        <v>3785</v>
      </c>
      <c r="T2320" s="2" t="s">
        <v>5915</v>
      </c>
    </row>
    <row r="2321" spans="1:20" hidden="1" x14ac:dyDescent="0.35">
      <c r="A2321" s="494"/>
      <c r="B2321" s="510" t="s">
        <v>5798</v>
      </c>
      <c r="C2321" s="467" t="s">
        <v>5784</v>
      </c>
      <c r="D2321" s="467" t="s">
        <v>5784</v>
      </c>
      <c r="E2321" s="511" t="s">
        <v>2885</v>
      </c>
      <c r="F2321" s="466"/>
      <c r="G2321" s="473" t="s">
        <v>5274</v>
      </c>
      <c r="H2321" s="463" t="s">
        <v>5449</v>
      </c>
      <c r="I2321" s="508"/>
      <c r="J2321" s="508"/>
      <c r="K2321" s="379"/>
      <c r="L2321" s="380"/>
      <c r="M2321" s="380"/>
      <c r="N2321" s="463" t="s">
        <v>3785</v>
      </c>
      <c r="O2321" s="463"/>
      <c r="P2321" s="464"/>
      <c r="Q2321" s="431"/>
      <c r="R2321" s="464"/>
      <c r="S2321" s="466" t="s">
        <v>3785</v>
      </c>
      <c r="T2321" s="2" t="s">
        <v>5915</v>
      </c>
    </row>
    <row r="2322" spans="1:20" hidden="1" x14ac:dyDescent="0.35">
      <c r="A2322" s="494"/>
      <c r="B2322" s="510" t="s">
        <v>5798</v>
      </c>
      <c r="C2322" s="467" t="s">
        <v>5784</v>
      </c>
      <c r="D2322" s="467" t="s">
        <v>5784</v>
      </c>
      <c r="E2322" s="511" t="s">
        <v>2887</v>
      </c>
      <c r="F2322" s="466"/>
      <c r="G2322" s="473" t="s">
        <v>5274</v>
      </c>
      <c r="H2322" s="463" t="s">
        <v>5449</v>
      </c>
      <c r="I2322" s="508"/>
      <c r="J2322" s="508"/>
      <c r="K2322" s="379"/>
      <c r="L2322" s="380"/>
      <c r="M2322" s="380"/>
      <c r="N2322" s="463" t="s">
        <v>3785</v>
      </c>
      <c r="O2322" s="463"/>
      <c r="P2322" s="464"/>
      <c r="Q2322" s="431"/>
      <c r="R2322" s="464"/>
      <c r="S2322" s="466" t="s">
        <v>3785</v>
      </c>
      <c r="T2322" s="2" t="s">
        <v>5915</v>
      </c>
    </row>
    <row r="2323" spans="1:20" hidden="1" x14ac:dyDescent="0.35">
      <c r="A2323" s="494"/>
      <c r="B2323" s="510" t="s">
        <v>5798</v>
      </c>
      <c r="C2323" s="467" t="s">
        <v>5784</v>
      </c>
      <c r="D2323" s="467" t="s">
        <v>5784</v>
      </c>
      <c r="E2323" s="511" t="s">
        <v>2889</v>
      </c>
      <c r="F2323" s="466"/>
      <c r="G2323" s="473" t="s">
        <v>5274</v>
      </c>
      <c r="H2323" s="463" t="s">
        <v>5449</v>
      </c>
      <c r="I2323" s="508"/>
      <c r="J2323" s="508"/>
      <c r="K2323" s="379"/>
      <c r="L2323" s="380"/>
      <c r="M2323" s="380"/>
      <c r="N2323" s="463" t="s">
        <v>3785</v>
      </c>
      <c r="O2323" s="463"/>
      <c r="P2323" s="464"/>
      <c r="Q2323" s="431"/>
      <c r="R2323" s="464"/>
      <c r="S2323" s="466" t="s">
        <v>3785</v>
      </c>
      <c r="T2323" s="2" t="s">
        <v>5915</v>
      </c>
    </row>
    <row r="2324" spans="1:20" hidden="1" x14ac:dyDescent="0.35">
      <c r="A2324" s="494"/>
      <c r="B2324" s="510" t="s">
        <v>5798</v>
      </c>
      <c r="C2324" s="467" t="s">
        <v>5784</v>
      </c>
      <c r="D2324" s="467" t="s">
        <v>5784</v>
      </c>
      <c r="E2324" s="511" t="s">
        <v>2891</v>
      </c>
      <c r="F2324" s="466"/>
      <c r="G2324" s="473" t="s">
        <v>5274</v>
      </c>
      <c r="H2324" s="463" t="s">
        <v>5449</v>
      </c>
      <c r="I2324" s="508"/>
      <c r="J2324" s="508"/>
      <c r="K2324" s="379"/>
      <c r="L2324" s="380"/>
      <c r="M2324" s="380"/>
      <c r="N2324" s="463" t="s">
        <v>3785</v>
      </c>
      <c r="O2324" s="463"/>
      <c r="P2324" s="464"/>
      <c r="Q2324" s="431"/>
      <c r="R2324" s="464"/>
      <c r="S2324" s="466" t="s">
        <v>3785</v>
      </c>
      <c r="T2324" s="2" t="s">
        <v>5915</v>
      </c>
    </row>
    <row r="2325" spans="1:20" hidden="1" x14ac:dyDescent="0.35">
      <c r="A2325" s="494"/>
      <c r="B2325" s="510" t="s">
        <v>5798</v>
      </c>
      <c r="C2325" s="467" t="s">
        <v>5784</v>
      </c>
      <c r="D2325" s="467" t="s">
        <v>5784</v>
      </c>
      <c r="E2325" s="511" t="s">
        <v>2893</v>
      </c>
      <c r="F2325" s="466"/>
      <c r="G2325" s="473" t="s">
        <v>5274</v>
      </c>
      <c r="H2325" s="463" t="s">
        <v>5449</v>
      </c>
      <c r="I2325" s="508"/>
      <c r="J2325" s="508"/>
      <c r="K2325" s="379"/>
      <c r="L2325" s="380"/>
      <c r="M2325" s="380"/>
      <c r="N2325" s="463" t="s">
        <v>3785</v>
      </c>
      <c r="O2325" s="463"/>
      <c r="P2325" s="464"/>
      <c r="Q2325" s="431"/>
      <c r="R2325" s="464"/>
      <c r="S2325" s="466" t="s">
        <v>3785</v>
      </c>
      <c r="T2325" s="2" t="s">
        <v>5915</v>
      </c>
    </row>
    <row r="2326" spans="1:20" hidden="1" x14ac:dyDescent="0.35">
      <c r="A2326" s="494"/>
      <c r="B2326" s="510" t="s">
        <v>5798</v>
      </c>
      <c r="C2326" s="467" t="s">
        <v>5784</v>
      </c>
      <c r="D2326" s="467" t="s">
        <v>5784</v>
      </c>
      <c r="E2326" s="511" t="s">
        <v>2895</v>
      </c>
      <c r="F2326" s="466"/>
      <c r="G2326" s="473" t="s">
        <v>5274</v>
      </c>
      <c r="H2326" s="463" t="s">
        <v>5449</v>
      </c>
      <c r="I2326" s="508"/>
      <c r="J2326" s="508"/>
      <c r="K2326" s="379"/>
      <c r="L2326" s="380"/>
      <c r="M2326" s="380"/>
      <c r="N2326" s="463" t="s">
        <v>3785</v>
      </c>
      <c r="O2326" s="463"/>
      <c r="P2326" s="464"/>
      <c r="Q2326" s="431"/>
      <c r="R2326" s="464"/>
      <c r="S2326" s="466" t="s">
        <v>3785</v>
      </c>
      <c r="T2326" s="2" t="s">
        <v>5915</v>
      </c>
    </row>
    <row r="2327" spans="1:20" hidden="1" x14ac:dyDescent="0.35">
      <c r="A2327" s="494"/>
      <c r="B2327" s="510" t="s">
        <v>5799</v>
      </c>
      <c r="C2327" s="467" t="s">
        <v>5784</v>
      </c>
      <c r="D2327" s="467" t="s">
        <v>5784</v>
      </c>
      <c r="E2327" s="511" t="s">
        <v>2931</v>
      </c>
      <c r="F2327" s="466"/>
      <c r="G2327" s="473" t="s">
        <v>5274</v>
      </c>
      <c r="H2327" s="463" t="s">
        <v>5449</v>
      </c>
      <c r="I2327" s="508"/>
      <c r="J2327" s="508"/>
      <c r="K2327" s="379"/>
      <c r="L2327" s="380"/>
      <c r="M2327" s="380"/>
      <c r="N2327" s="463" t="s">
        <v>2675</v>
      </c>
      <c r="O2327" s="463"/>
      <c r="P2327" s="464"/>
      <c r="Q2327" s="431"/>
      <c r="R2327" s="464"/>
      <c r="S2327" s="466" t="s">
        <v>2675</v>
      </c>
      <c r="T2327" s="2" t="s">
        <v>5915</v>
      </c>
    </row>
    <row r="2328" spans="1:20" hidden="1" x14ac:dyDescent="0.35">
      <c r="A2328" s="494"/>
      <c r="B2328" s="510" t="s">
        <v>5799</v>
      </c>
      <c r="C2328" s="467" t="s">
        <v>5784</v>
      </c>
      <c r="D2328" s="467" t="s">
        <v>5784</v>
      </c>
      <c r="E2328" s="511" t="s">
        <v>2939</v>
      </c>
      <c r="F2328" s="466"/>
      <c r="G2328" s="473" t="s">
        <v>5274</v>
      </c>
      <c r="H2328" s="463" t="s">
        <v>5449</v>
      </c>
      <c r="I2328" s="508"/>
      <c r="J2328" s="508"/>
      <c r="K2328" s="379"/>
      <c r="L2328" s="380"/>
      <c r="M2328" s="380"/>
      <c r="N2328" s="463" t="s">
        <v>2675</v>
      </c>
      <c r="O2328" s="463"/>
      <c r="P2328" s="464"/>
      <c r="Q2328" s="431"/>
      <c r="R2328" s="464"/>
      <c r="S2328" s="466" t="s">
        <v>2675</v>
      </c>
      <c r="T2328" s="2" t="s">
        <v>5915</v>
      </c>
    </row>
    <row r="2329" spans="1:20" hidden="1" x14ac:dyDescent="0.35">
      <c r="A2329" s="494"/>
      <c r="B2329" s="510" t="s">
        <v>5800</v>
      </c>
      <c r="C2329" s="467" t="s">
        <v>5784</v>
      </c>
      <c r="D2329" s="467" t="s">
        <v>5784</v>
      </c>
      <c r="E2329" s="511" t="s">
        <v>2968</v>
      </c>
      <c r="F2329" s="466"/>
      <c r="G2329" s="473" t="s">
        <v>5274</v>
      </c>
      <c r="H2329" s="463" t="s">
        <v>5449</v>
      </c>
      <c r="I2329" s="508"/>
      <c r="J2329" s="508"/>
      <c r="K2329" s="379"/>
      <c r="L2329" s="380"/>
      <c r="M2329" s="380"/>
      <c r="N2329" s="463" t="s">
        <v>1377</v>
      </c>
      <c r="O2329" s="463"/>
      <c r="P2329" s="464"/>
      <c r="Q2329" s="431"/>
      <c r="R2329" s="464"/>
      <c r="S2329" s="466" t="s">
        <v>1377</v>
      </c>
      <c r="T2329" s="2" t="s">
        <v>5915</v>
      </c>
    </row>
    <row r="2330" spans="1:20" hidden="1" x14ac:dyDescent="0.35">
      <c r="A2330" s="494"/>
      <c r="B2330" s="510" t="s">
        <v>5800</v>
      </c>
      <c r="C2330" s="467" t="s">
        <v>5784</v>
      </c>
      <c r="D2330" s="467" t="s">
        <v>5784</v>
      </c>
      <c r="E2330" s="511" t="s">
        <v>2970</v>
      </c>
      <c r="F2330" s="466"/>
      <c r="G2330" s="473" t="s">
        <v>5274</v>
      </c>
      <c r="H2330" s="463" t="s">
        <v>5449</v>
      </c>
      <c r="I2330" s="508"/>
      <c r="J2330" s="508"/>
      <c r="K2330" s="379"/>
      <c r="L2330" s="380"/>
      <c r="M2330" s="380"/>
      <c r="N2330" s="463" t="s">
        <v>1377</v>
      </c>
      <c r="O2330" s="463"/>
      <c r="P2330" s="464"/>
      <c r="Q2330" s="431"/>
      <c r="R2330" s="464"/>
      <c r="S2330" s="466" t="s">
        <v>1377</v>
      </c>
      <c r="T2330" s="2" t="s">
        <v>5915</v>
      </c>
    </row>
    <row r="2331" spans="1:20" hidden="1" x14ac:dyDescent="0.35">
      <c r="A2331" s="494"/>
      <c r="B2331" s="510" t="s">
        <v>5801</v>
      </c>
      <c r="C2331" s="467" t="s">
        <v>5784</v>
      </c>
      <c r="D2331" s="467" t="s">
        <v>5784</v>
      </c>
      <c r="E2331" s="511" t="s">
        <v>2992</v>
      </c>
      <c r="F2331" s="466"/>
      <c r="G2331" s="473" t="s">
        <v>5274</v>
      </c>
      <c r="H2331" s="463" t="s">
        <v>5449</v>
      </c>
      <c r="I2331" s="508"/>
      <c r="J2331" s="508"/>
      <c r="K2331" s="379"/>
      <c r="L2331" s="380"/>
      <c r="M2331" s="380"/>
      <c r="N2331" s="463" t="s">
        <v>1377</v>
      </c>
      <c r="O2331" s="463"/>
      <c r="P2331" s="464"/>
      <c r="Q2331" s="431"/>
      <c r="R2331" s="464"/>
      <c r="S2331" s="466" t="s">
        <v>1664</v>
      </c>
      <c r="T2331" s="2" t="s">
        <v>5915</v>
      </c>
    </row>
    <row r="2332" spans="1:20" hidden="1" x14ac:dyDescent="0.35">
      <c r="A2332" s="494"/>
      <c r="B2332" s="510" t="s">
        <v>5800</v>
      </c>
      <c r="C2332" s="467" t="s">
        <v>5784</v>
      </c>
      <c r="D2332" s="467" t="s">
        <v>5784</v>
      </c>
      <c r="E2332" s="511" t="s">
        <v>2994</v>
      </c>
      <c r="F2332" s="466"/>
      <c r="G2332" s="473" t="s">
        <v>5274</v>
      </c>
      <c r="H2332" s="463" t="s">
        <v>5449</v>
      </c>
      <c r="I2332" s="508"/>
      <c r="J2332" s="508"/>
      <c r="K2332" s="379"/>
      <c r="L2332" s="380"/>
      <c r="M2332" s="380"/>
      <c r="N2332" s="463" t="s">
        <v>1377</v>
      </c>
      <c r="O2332" s="463"/>
      <c r="P2332" s="464"/>
      <c r="Q2332" s="431"/>
      <c r="R2332" s="464"/>
      <c r="S2332" s="466" t="s">
        <v>1377</v>
      </c>
      <c r="T2332" s="2" t="s">
        <v>5915</v>
      </c>
    </row>
    <row r="2333" spans="1:20" hidden="1" x14ac:dyDescent="0.35">
      <c r="A2333" s="494"/>
      <c r="B2333" s="510" t="s">
        <v>5802</v>
      </c>
      <c r="C2333" s="467" t="s">
        <v>5784</v>
      </c>
      <c r="D2333" s="467" t="s">
        <v>5784</v>
      </c>
      <c r="E2333" s="511" t="s">
        <v>2997</v>
      </c>
      <c r="F2333" s="466"/>
      <c r="G2333" s="473" t="s">
        <v>5274</v>
      </c>
      <c r="H2333" s="463" t="s">
        <v>5449</v>
      </c>
      <c r="I2333" s="508"/>
      <c r="J2333" s="508"/>
      <c r="K2333" s="379"/>
      <c r="L2333" s="380"/>
      <c r="M2333" s="380"/>
      <c r="N2333" s="463" t="s">
        <v>1377</v>
      </c>
      <c r="O2333" s="463"/>
      <c r="P2333" s="464"/>
      <c r="Q2333" s="431"/>
      <c r="R2333" s="464"/>
      <c r="S2333" s="466" t="s">
        <v>1377</v>
      </c>
      <c r="T2333" s="2" t="s">
        <v>5915</v>
      </c>
    </row>
    <row r="2334" spans="1:20" hidden="1" x14ac:dyDescent="0.35">
      <c r="A2334" s="494"/>
      <c r="B2334" s="510" t="s">
        <v>5803</v>
      </c>
      <c r="C2334" s="467" t="s">
        <v>5784</v>
      </c>
      <c r="D2334" s="467" t="s">
        <v>5784</v>
      </c>
      <c r="E2334" s="511" t="s">
        <v>3000</v>
      </c>
      <c r="F2334" s="466"/>
      <c r="G2334" s="473" t="s">
        <v>5274</v>
      </c>
      <c r="H2334" s="463" t="s">
        <v>5449</v>
      </c>
      <c r="I2334" s="508"/>
      <c r="J2334" s="508"/>
      <c r="K2334" s="379"/>
      <c r="L2334" s="380"/>
      <c r="M2334" s="380"/>
      <c r="N2334" s="463" t="s">
        <v>1377</v>
      </c>
      <c r="O2334" s="463"/>
      <c r="P2334" s="464"/>
      <c r="Q2334" s="431"/>
      <c r="R2334" s="464"/>
      <c r="S2334" s="466" t="s">
        <v>1664</v>
      </c>
      <c r="T2334" s="2" t="s">
        <v>5915</v>
      </c>
    </row>
    <row r="2335" spans="1:20" hidden="1" x14ac:dyDescent="0.35">
      <c r="A2335" s="494"/>
      <c r="B2335" s="510" t="s">
        <v>5800</v>
      </c>
      <c r="C2335" s="467" t="s">
        <v>5784</v>
      </c>
      <c r="D2335" s="467" t="s">
        <v>5784</v>
      </c>
      <c r="E2335" s="511" t="s">
        <v>3002</v>
      </c>
      <c r="F2335" s="466"/>
      <c r="G2335" s="473" t="s">
        <v>5274</v>
      </c>
      <c r="H2335" s="463" t="s">
        <v>5449</v>
      </c>
      <c r="I2335" s="508"/>
      <c r="J2335" s="508"/>
      <c r="K2335" s="379"/>
      <c r="L2335" s="380"/>
      <c r="M2335" s="380"/>
      <c r="N2335" s="463" t="s">
        <v>1377</v>
      </c>
      <c r="O2335" s="463"/>
      <c r="P2335" s="464"/>
      <c r="Q2335" s="431"/>
      <c r="R2335" s="464"/>
      <c r="S2335" s="466" t="s">
        <v>1377</v>
      </c>
      <c r="T2335" s="2" t="s">
        <v>5915</v>
      </c>
    </row>
    <row r="2336" spans="1:20" hidden="1" x14ac:dyDescent="0.35">
      <c r="A2336" s="494"/>
      <c r="B2336" s="510" t="s">
        <v>5800</v>
      </c>
      <c r="C2336" s="467" t="s">
        <v>5784</v>
      </c>
      <c r="D2336" s="467" t="s">
        <v>5784</v>
      </c>
      <c r="E2336" s="511" t="s">
        <v>3004</v>
      </c>
      <c r="F2336" s="466"/>
      <c r="G2336" s="473" t="s">
        <v>5274</v>
      </c>
      <c r="H2336" s="463" t="s">
        <v>5449</v>
      </c>
      <c r="I2336" s="508"/>
      <c r="J2336" s="508"/>
      <c r="K2336" s="379"/>
      <c r="L2336" s="380"/>
      <c r="M2336" s="380"/>
      <c r="N2336" s="463" t="s">
        <v>1377</v>
      </c>
      <c r="O2336" s="463"/>
      <c r="P2336" s="464"/>
      <c r="Q2336" s="431"/>
      <c r="R2336" s="464"/>
      <c r="S2336" s="466" t="s">
        <v>1377</v>
      </c>
      <c r="T2336" s="2" t="s">
        <v>5915</v>
      </c>
    </row>
    <row r="2337" spans="1:20" hidden="1" x14ac:dyDescent="0.35">
      <c r="A2337" s="494"/>
      <c r="B2337" s="510" t="s">
        <v>5802</v>
      </c>
      <c r="C2337" s="467" t="s">
        <v>5784</v>
      </c>
      <c r="D2337" s="467" t="s">
        <v>5784</v>
      </c>
      <c r="E2337" s="511" t="s">
        <v>3006</v>
      </c>
      <c r="F2337" s="466"/>
      <c r="G2337" s="473" t="s">
        <v>5274</v>
      </c>
      <c r="H2337" s="463" t="s">
        <v>5449</v>
      </c>
      <c r="I2337" s="508"/>
      <c r="J2337" s="508"/>
      <c r="K2337" s="379"/>
      <c r="L2337" s="380"/>
      <c r="M2337" s="380"/>
      <c r="N2337" s="463" t="s">
        <v>1377</v>
      </c>
      <c r="O2337" s="463"/>
      <c r="P2337" s="464"/>
      <c r="Q2337" s="431"/>
      <c r="R2337" s="464"/>
      <c r="S2337" s="466" t="s">
        <v>1377</v>
      </c>
      <c r="T2337" s="2" t="s">
        <v>5915</v>
      </c>
    </row>
    <row r="2338" spans="1:20" hidden="1" x14ac:dyDescent="0.35">
      <c r="A2338" s="494"/>
      <c r="B2338" s="510" t="s">
        <v>5800</v>
      </c>
      <c r="C2338" s="467" t="s">
        <v>5784</v>
      </c>
      <c r="D2338" s="467" t="s">
        <v>5784</v>
      </c>
      <c r="E2338" s="511" t="s">
        <v>3008</v>
      </c>
      <c r="F2338" s="466"/>
      <c r="G2338" s="473" t="s">
        <v>5274</v>
      </c>
      <c r="H2338" s="463" t="s">
        <v>5449</v>
      </c>
      <c r="I2338" s="508"/>
      <c r="J2338" s="508"/>
      <c r="K2338" s="379"/>
      <c r="L2338" s="380"/>
      <c r="M2338" s="380"/>
      <c r="N2338" s="463" t="s">
        <v>1377</v>
      </c>
      <c r="O2338" s="463"/>
      <c r="P2338" s="464"/>
      <c r="Q2338" s="431"/>
      <c r="R2338" s="464"/>
      <c r="S2338" s="466" t="s">
        <v>1377</v>
      </c>
      <c r="T2338" s="2" t="s">
        <v>5915</v>
      </c>
    </row>
    <row r="2339" spans="1:20" hidden="1" x14ac:dyDescent="0.35">
      <c r="A2339" s="494"/>
      <c r="B2339" s="510" t="s">
        <v>5800</v>
      </c>
      <c r="C2339" s="467" t="s">
        <v>5784</v>
      </c>
      <c r="D2339" s="467" t="s">
        <v>5784</v>
      </c>
      <c r="E2339" s="511" t="s">
        <v>3013</v>
      </c>
      <c r="F2339" s="466"/>
      <c r="G2339" s="473" t="s">
        <v>5274</v>
      </c>
      <c r="H2339" s="463" t="s">
        <v>5449</v>
      </c>
      <c r="I2339" s="508"/>
      <c r="J2339" s="508"/>
      <c r="K2339" s="379"/>
      <c r="L2339" s="380"/>
      <c r="M2339" s="380"/>
      <c r="N2339" s="463" t="s">
        <v>1377</v>
      </c>
      <c r="O2339" s="463"/>
      <c r="P2339" s="464"/>
      <c r="Q2339" s="431"/>
      <c r="R2339" s="464"/>
      <c r="S2339" s="466" t="s">
        <v>2617</v>
      </c>
      <c r="T2339" s="2" t="s">
        <v>5915</v>
      </c>
    </row>
    <row r="2340" spans="1:20" hidden="1" x14ac:dyDescent="0.35">
      <c r="A2340" s="494"/>
      <c r="B2340" s="510" t="s">
        <v>5800</v>
      </c>
      <c r="C2340" s="467" t="s">
        <v>5784</v>
      </c>
      <c r="D2340" s="467" t="s">
        <v>5784</v>
      </c>
      <c r="E2340" s="511" t="s">
        <v>3015</v>
      </c>
      <c r="F2340" s="466"/>
      <c r="G2340" s="473" t="s">
        <v>5274</v>
      </c>
      <c r="H2340" s="463" t="s">
        <v>5449</v>
      </c>
      <c r="I2340" s="508"/>
      <c r="J2340" s="508"/>
      <c r="K2340" s="379"/>
      <c r="L2340" s="380"/>
      <c r="M2340" s="380"/>
      <c r="N2340" s="463" t="s">
        <v>1377</v>
      </c>
      <c r="O2340" s="463"/>
      <c r="P2340" s="464"/>
      <c r="Q2340" s="431"/>
      <c r="R2340" s="464"/>
      <c r="S2340" s="466" t="s">
        <v>1377</v>
      </c>
      <c r="T2340" s="2" t="s">
        <v>5915</v>
      </c>
    </row>
    <row r="2341" spans="1:20" hidden="1" x14ac:dyDescent="0.35">
      <c r="A2341" s="494"/>
      <c r="B2341" s="510" t="s">
        <v>5800</v>
      </c>
      <c r="C2341" s="467" t="s">
        <v>5784</v>
      </c>
      <c r="D2341" s="467" t="s">
        <v>5784</v>
      </c>
      <c r="E2341" s="511" t="s">
        <v>3017</v>
      </c>
      <c r="F2341" s="466"/>
      <c r="G2341" s="473" t="s">
        <v>5274</v>
      </c>
      <c r="H2341" s="463" t="s">
        <v>5449</v>
      </c>
      <c r="I2341" s="508"/>
      <c r="J2341" s="508"/>
      <c r="K2341" s="379"/>
      <c r="L2341" s="380"/>
      <c r="M2341" s="380"/>
      <c r="N2341" s="463" t="s">
        <v>1377</v>
      </c>
      <c r="O2341" s="463"/>
      <c r="P2341" s="464"/>
      <c r="Q2341" s="431"/>
      <c r="R2341" s="464"/>
      <c r="S2341" s="466" t="s">
        <v>1377</v>
      </c>
      <c r="T2341" s="2" t="s">
        <v>5915</v>
      </c>
    </row>
    <row r="2342" spans="1:20" hidden="1" x14ac:dyDescent="0.35">
      <c r="A2342" s="494"/>
      <c r="B2342" s="510" t="s">
        <v>5802</v>
      </c>
      <c r="C2342" s="467" t="s">
        <v>5784</v>
      </c>
      <c r="D2342" s="467" t="s">
        <v>5784</v>
      </c>
      <c r="E2342" s="511" t="s">
        <v>3019</v>
      </c>
      <c r="F2342" s="466"/>
      <c r="G2342" s="473" t="s">
        <v>5274</v>
      </c>
      <c r="H2342" s="463" t="s">
        <v>5449</v>
      </c>
      <c r="I2342" s="508"/>
      <c r="J2342" s="508"/>
      <c r="K2342" s="379"/>
      <c r="L2342" s="380"/>
      <c r="M2342" s="380"/>
      <c r="N2342" s="463" t="s">
        <v>1377</v>
      </c>
      <c r="O2342" s="463"/>
      <c r="P2342" s="464"/>
      <c r="Q2342" s="431"/>
      <c r="R2342" s="464"/>
      <c r="S2342" s="466" t="s">
        <v>1377</v>
      </c>
      <c r="T2342" s="2" t="s">
        <v>5915</v>
      </c>
    </row>
    <row r="2343" spans="1:20" hidden="1" x14ac:dyDescent="0.35">
      <c r="A2343" s="494"/>
      <c r="B2343" s="510" t="s">
        <v>5800</v>
      </c>
      <c r="C2343" s="467" t="s">
        <v>5784</v>
      </c>
      <c r="D2343" s="467" t="s">
        <v>5784</v>
      </c>
      <c r="E2343" s="511" t="s">
        <v>3021</v>
      </c>
      <c r="F2343" s="466"/>
      <c r="G2343" s="473" t="s">
        <v>5274</v>
      </c>
      <c r="H2343" s="463" t="s">
        <v>5449</v>
      </c>
      <c r="I2343" s="508"/>
      <c r="J2343" s="508"/>
      <c r="K2343" s="379"/>
      <c r="L2343" s="380"/>
      <c r="M2343" s="380"/>
      <c r="N2343" s="463" t="s">
        <v>1377</v>
      </c>
      <c r="O2343" s="463"/>
      <c r="P2343" s="464"/>
      <c r="Q2343" s="431"/>
      <c r="R2343" s="464"/>
      <c r="S2343" s="466" t="s">
        <v>1377</v>
      </c>
      <c r="T2343" s="2" t="s">
        <v>5915</v>
      </c>
    </row>
    <row r="2344" spans="1:20" hidden="1" x14ac:dyDescent="0.35">
      <c r="A2344" s="494"/>
      <c r="B2344" s="510" t="s">
        <v>5800</v>
      </c>
      <c r="C2344" s="467" t="s">
        <v>5784</v>
      </c>
      <c r="D2344" s="467" t="s">
        <v>5784</v>
      </c>
      <c r="E2344" s="511" t="s">
        <v>3023</v>
      </c>
      <c r="F2344" s="466"/>
      <c r="G2344" s="473" t="s">
        <v>5274</v>
      </c>
      <c r="H2344" s="463" t="s">
        <v>5449</v>
      </c>
      <c r="I2344" s="508"/>
      <c r="J2344" s="508"/>
      <c r="K2344" s="379"/>
      <c r="L2344" s="380"/>
      <c r="M2344" s="380"/>
      <c r="N2344" s="463" t="s">
        <v>1377</v>
      </c>
      <c r="O2344" s="463"/>
      <c r="P2344" s="464"/>
      <c r="Q2344" s="431"/>
      <c r="R2344" s="464"/>
      <c r="S2344" s="466" t="s">
        <v>1377</v>
      </c>
      <c r="T2344" s="2" t="s">
        <v>5915</v>
      </c>
    </row>
    <row r="2345" spans="1:20" hidden="1" x14ac:dyDescent="0.35">
      <c r="A2345" s="494"/>
      <c r="B2345" s="510" t="s">
        <v>5804</v>
      </c>
      <c r="C2345" s="467" t="s">
        <v>5784</v>
      </c>
      <c r="D2345" s="467" t="s">
        <v>5784</v>
      </c>
      <c r="E2345" s="511" t="s">
        <v>3039</v>
      </c>
      <c r="F2345" s="466"/>
      <c r="G2345" s="473" t="s">
        <v>5274</v>
      </c>
      <c r="H2345" s="463" t="s">
        <v>5449</v>
      </c>
      <c r="I2345" s="508"/>
      <c r="J2345" s="508"/>
      <c r="K2345" s="379"/>
      <c r="L2345" s="380"/>
      <c r="M2345" s="380"/>
      <c r="N2345" s="463" t="s">
        <v>2701</v>
      </c>
      <c r="O2345" s="463"/>
      <c r="P2345" s="464"/>
      <c r="Q2345" s="431"/>
      <c r="R2345" s="464"/>
      <c r="S2345" s="466" t="s">
        <v>2701</v>
      </c>
      <c r="T2345" s="2" t="s">
        <v>5915</v>
      </c>
    </row>
    <row r="2346" spans="1:20" hidden="1" x14ac:dyDescent="0.35">
      <c r="A2346" s="494"/>
      <c r="B2346" s="510" t="s">
        <v>2693</v>
      </c>
      <c r="C2346" s="467" t="s">
        <v>5784</v>
      </c>
      <c r="D2346" s="467" t="s">
        <v>5784</v>
      </c>
      <c r="E2346" s="511">
        <v>12801184160</v>
      </c>
      <c r="F2346" s="466"/>
      <c r="G2346" s="473" t="s">
        <v>2694</v>
      </c>
      <c r="H2346" s="463" t="s">
        <v>5449</v>
      </c>
      <c r="I2346" s="508"/>
      <c r="J2346" s="508"/>
      <c r="K2346" s="379"/>
      <c r="L2346" s="380"/>
      <c r="M2346" s="380"/>
      <c r="N2346" s="463" t="s">
        <v>3785</v>
      </c>
      <c r="O2346" s="463"/>
      <c r="P2346" s="464"/>
      <c r="Q2346" s="431"/>
      <c r="R2346" s="464"/>
      <c r="S2346" s="466" t="s">
        <v>3785</v>
      </c>
      <c r="T2346" s="2" t="s">
        <v>5915</v>
      </c>
    </row>
    <row r="2347" spans="1:20" hidden="1" x14ac:dyDescent="0.35">
      <c r="A2347" s="494"/>
      <c r="B2347" s="510" t="s">
        <v>2693</v>
      </c>
      <c r="C2347" s="467" t="s">
        <v>5784</v>
      </c>
      <c r="D2347" s="467" t="s">
        <v>5784</v>
      </c>
      <c r="E2347" s="511">
        <v>12801184250</v>
      </c>
      <c r="F2347" s="466"/>
      <c r="G2347" s="473" t="s">
        <v>2694</v>
      </c>
      <c r="H2347" s="463" t="s">
        <v>5449</v>
      </c>
      <c r="I2347" s="508"/>
      <c r="J2347" s="508"/>
      <c r="K2347" s="379"/>
      <c r="L2347" s="380"/>
      <c r="M2347" s="380"/>
      <c r="N2347" s="463" t="s">
        <v>3785</v>
      </c>
      <c r="O2347" s="463"/>
      <c r="P2347" s="464"/>
      <c r="Q2347" s="431"/>
      <c r="R2347" s="464"/>
      <c r="S2347" s="466" t="s">
        <v>3785</v>
      </c>
      <c r="T2347" s="2" t="s">
        <v>5915</v>
      </c>
    </row>
    <row r="2348" spans="1:20" hidden="1" x14ac:dyDescent="0.35">
      <c r="A2348" s="494"/>
      <c r="B2348" s="510" t="s">
        <v>2693</v>
      </c>
      <c r="C2348" s="467" t="s">
        <v>5784</v>
      </c>
      <c r="D2348" s="467" t="s">
        <v>5784</v>
      </c>
      <c r="E2348" s="511">
        <v>12801204604</v>
      </c>
      <c r="F2348" s="466"/>
      <c r="G2348" s="473" t="s">
        <v>2694</v>
      </c>
      <c r="H2348" s="463" t="s">
        <v>5449</v>
      </c>
      <c r="I2348" s="508"/>
      <c r="J2348" s="508"/>
      <c r="K2348" s="379"/>
      <c r="L2348" s="380"/>
      <c r="M2348" s="380"/>
      <c r="N2348" s="463" t="s">
        <v>1377</v>
      </c>
      <c r="O2348" s="463"/>
      <c r="P2348" s="464"/>
      <c r="Q2348" s="431"/>
      <c r="R2348" s="464"/>
      <c r="S2348" s="466" t="s">
        <v>1377</v>
      </c>
      <c r="T2348" s="2" t="s">
        <v>5915</v>
      </c>
    </row>
    <row r="2349" spans="1:20" hidden="1" x14ac:dyDescent="0.35">
      <c r="A2349" s="494"/>
      <c r="B2349" s="510" t="s">
        <v>2693</v>
      </c>
      <c r="C2349" s="467" t="s">
        <v>5784</v>
      </c>
      <c r="D2349" s="467" t="s">
        <v>5784</v>
      </c>
      <c r="E2349" s="511">
        <v>12801204413</v>
      </c>
      <c r="F2349" s="466"/>
      <c r="G2349" s="473" t="s">
        <v>2694</v>
      </c>
      <c r="H2349" s="463" t="s">
        <v>5449</v>
      </c>
      <c r="I2349" s="508"/>
      <c r="J2349" s="508"/>
      <c r="K2349" s="379"/>
      <c r="L2349" s="380"/>
      <c r="M2349" s="380"/>
      <c r="N2349" s="463" t="s">
        <v>1377</v>
      </c>
      <c r="O2349" s="463"/>
      <c r="P2349" s="464"/>
      <c r="Q2349" s="431"/>
      <c r="R2349" s="464"/>
      <c r="S2349" s="466" t="s">
        <v>1377</v>
      </c>
      <c r="T2349" s="2" t="s">
        <v>5915</v>
      </c>
    </row>
    <row r="2350" spans="1:20" hidden="1" x14ac:dyDescent="0.35">
      <c r="A2350" s="494"/>
      <c r="B2350" s="510" t="s">
        <v>5805</v>
      </c>
      <c r="C2350" s="467" t="s">
        <v>5784</v>
      </c>
      <c r="D2350" s="467" t="s">
        <v>5784</v>
      </c>
      <c r="E2350" s="511" t="s">
        <v>2781</v>
      </c>
      <c r="F2350" s="466"/>
      <c r="G2350" s="473" t="s">
        <v>2694</v>
      </c>
      <c r="H2350" s="463" t="s">
        <v>5449</v>
      </c>
      <c r="I2350" s="508"/>
      <c r="J2350" s="508"/>
      <c r="K2350" s="379"/>
      <c r="L2350" s="380"/>
      <c r="M2350" s="380"/>
      <c r="N2350" s="463" t="s">
        <v>3785</v>
      </c>
      <c r="O2350" s="463"/>
      <c r="P2350" s="464"/>
      <c r="Q2350" s="431"/>
      <c r="R2350" s="464"/>
      <c r="S2350" s="466" t="s">
        <v>3785</v>
      </c>
      <c r="T2350" s="2" t="s">
        <v>5915</v>
      </c>
    </row>
    <row r="2351" spans="1:20" hidden="1" x14ac:dyDescent="0.35">
      <c r="A2351" s="494"/>
      <c r="B2351" s="510" t="s">
        <v>5805</v>
      </c>
      <c r="C2351" s="467" t="s">
        <v>5784</v>
      </c>
      <c r="D2351" s="467" t="s">
        <v>5784</v>
      </c>
      <c r="E2351" s="511" t="s">
        <v>2783</v>
      </c>
      <c r="F2351" s="466"/>
      <c r="G2351" s="473" t="s">
        <v>2694</v>
      </c>
      <c r="H2351" s="463" t="s">
        <v>5449</v>
      </c>
      <c r="I2351" s="508"/>
      <c r="J2351" s="508"/>
      <c r="K2351" s="379"/>
      <c r="L2351" s="380"/>
      <c r="M2351" s="380"/>
      <c r="N2351" s="463" t="s">
        <v>3785</v>
      </c>
      <c r="O2351" s="463"/>
      <c r="P2351" s="464"/>
      <c r="Q2351" s="431"/>
      <c r="R2351" s="464"/>
      <c r="S2351" s="466" t="s">
        <v>3785</v>
      </c>
      <c r="T2351" s="2" t="s">
        <v>5915</v>
      </c>
    </row>
    <row r="2352" spans="1:20" hidden="1" x14ac:dyDescent="0.35">
      <c r="A2352" s="494"/>
      <c r="B2352" s="510" t="s">
        <v>5806</v>
      </c>
      <c r="C2352" s="467" t="s">
        <v>5784</v>
      </c>
      <c r="D2352" s="467" t="s">
        <v>5784</v>
      </c>
      <c r="E2352" s="511" t="s">
        <v>2653</v>
      </c>
      <c r="F2352" s="466"/>
      <c r="G2352" s="473" t="s">
        <v>5807</v>
      </c>
      <c r="H2352" s="463" t="s">
        <v>5449</v>
      </c>
      <c r="I2352" s="508"/>
      <c r="J2352" s="508"/>
      <c r="K2352" s="379"/>
      <c r="L2352" s="380"/>
      <c r="M2352" s="380"/>
      <c r="N2352" s="463" t="s">
        <v>3785</v>
      </c>
      <c r="O2352" s="463"/>
      <c r="P2352" s="464"/>
      <c r="Q2352" s="431"/>
      <c r="R2352" s="464"/>
      <c r="S2352" s="466" t="s">
        <v>3785</v>
      </c>
      <c r="T2352" s="2" t="s">
        <v>5915</v>
      </c>
    </row>
    <row r="2353" spans="1:20" hidden="1" x14ac:dyDescent="0.35">
      <c r="A2353" s="494"/>
      <c r="B2353" s="510" t="s">
        <v>5806</v>
      </c>
      <c r="C2353" s="467" t="s">
        <v>5784</v>
      </c>
      <c r="D2353" s="467" t="s">
        <v>5784</v>
      </c>
      <c r="E2353" s="511" t="s">
        <v>2656</v>
      </c>
      <c r="F2353" s="466"/>
      <c r="G2353" s="473" t="s">
        <v>5807</v>
      </c>
      <c r="H2353" s="463" t="s">
        <v>5449</v>
      </c>
      <c r="I2353" s="508"/>
      <c r="J2353" s="508"/>
      <c r="K2353" s="379"/>
      <c r="L2353" s="380"/>
      <c r="M2353" s="380"/>
      <c r="N2353" s="463" t="s">
        <v>3785</v>
      </c>
      <c r="O2353" s="463"/>
      <c r="P2353" s="464"/>
      <c r="Q2353" s="431"/>
      <c r="R2353" s="464"/>
      <c r="S2353" s="466" t="s">
        <v>3785</v>
      </c>
      <c r="T2353" s="2" t="s">
        <v>5915</v>
      </c>
    </row>
    <row r="2354" spans="1:20" hidden="1" x14ac:dyDescent="0.35">
      <c r="A2354" s="494"/>
      <c r="B2354" s="510" t="s">
        <v>5806</v>
      </c>
      <c r="C2354" s="467" t="s">
        <v>5784</v>
      </c>
      <c r="D2354" s="467" t="s">
        <v>5784</v>
      </c>
      <c r="E2354" s="511" t="s">
        <v>2658</v>
      </c>
      <c r="F2354" s="466"/>
      <c r="G2354" s="473" t="s">
        <v>5807</v>
      </c>
      <c r="H2354" s="463" t="s">
        <v>5449</v>
      </c>
      <c r="I2354" s="508"/>
      <c r="J2354" s="508"/>
      <c r="K2354" s="379"/>
      <c r="L2354" s="380"/>
      <c r="M2354" s="380"/>
      <c r="N2354" s="463" t="s">
        <v>1377</v>
      </c>
      <c r="O2354" s="463"/>
      <c r="P2354" s="464"/>
      <c r="Q2354" s="431"/>
      <c r="R2354" s="464"/>
      <c r="S2354" s="466" t="s">
        <v>1377</v>
      </c>
      <c r="T2354" s="2" t="s">
        <v>5915</v>
      </c>
    </row>
    <row r="2355" spans="1:20" hidden="1" x14ac:dyDescent="0.35">
      <c r="A2355" s="494"/>
      <c r="B2355" s="510" t="s">
        <v>5806</v>
      </c>
      <c r="C2355" s="467" t="s">
        <v>5784</v>
      </c>
      <c r="D2355" s="467" t="s">
        <v>5784</v>
      </c>
      <c r="E2355" s="511" t="s">
        <v>2660</v>
      </c>
      <c r="F2355" s="466"/>
      <c r="G2355" s="473" t="s">
        <v>5807</v>
      </c>
      <c r="H2355" s="463" t="s">
        <v>5449</v>
      </c>
      <c r="I2355" s="508"/>
      <c r="J2355" s="508"/>
      <c r="K2355" s="379"/>
      <c r="L2355" s="380"/>
      <c r="M2355" s="380"/>
      <c r="N2355" s="463" t="s">
        <v>1377</v>
      </c>
      <c r="O2355" s="463"/>
      <c r="P2355" s="464"/>
      <c r="Q2355" s="431"/>
      <c r="R2355" s="464"/>
      <c r="S2355" s="466" t="s">
        <v>1377</v>
      </c>
      <c r="T2355" s="2" t="s">
        <v>5915</v>
      </c>
    </row>
    <row r="2356" spans="1:20" hidden="1" x14ac:dyDescent="0.35">
      <c r="A2356" s="494"/>
      <c r="B2356" s="510" t="s">
        <v>5808</v>
      </c>
      <c r="C2356" s="467" t="s">
        <v>5784</v>
      </c>
      <c r="D2356" s="467" t="s">
        <v>5784</v>
      </c>
      <c r="E2356" s="511" t="s">
        <v>2709</v>
      </c>
      <c r="F2356" s="466"/>
      <c r="G2356" s="473" t="s">
        <v>5809</v>
      </c>
      <c r="H2356" s="463" t="s">
        <v>5449</v>
      </c>
      <c r="I2356" s="508"/>
      <c r="J2356" s="508"/>
      <c r="K2356" s="379"/>
      <c r="L2356" s="380"/>
      <c r="M2356" s="380"/>
      <c r="N2356" s="463" t="s">
        <v>2701</v>
      </c>
      <c r="O2356" s="463"/>
      <c r="P2356" s="464"/>
      <c r="Q2356" s="431"/>
      <c r="R2356" s="464"/>
      <c r="S2356" s="466" t="s">
        <v>2701</v>
      </c>
      <c r="T2356" s="2" t="s">
        <v>5915</v>
      </c>
    </row>
    <row r="2357" spans="1:20" hidden="1" x14ac:dyDescent="0.35">
      <c r="A2357" s="494"/>
      <c r="B2357" s="510" t="s">
        <v>5810</v>
      </c>
      <c r="C2357" s="467" t="s">
        <v>5784</v>
      </c>
      <c r="D2357" s="467" t="s">
        <v>5784</v>
      </c>
      <c r="E2357" s="511" t="s">
        <v>2713</v>
      </c>
      <c r="F2357" s="466"/>
      <c r="G2357" s="473" t="s">
        <v>5809</v>
      </c>
      <c r="H2357" s="463" t="s">
        <v>5449</v>
      </c>
      <c r="I2357" s="508"/>
      <c r="J2357" s="508"/>
      <c r="K2357" s="379"/>
      <c r="L2357" s="380"/>
      <c r="M2357" s="380"/>
      <c r="N2357" s="463" t="s">
        <v>2701</v>
      </c>
      <c r="O2357" s="463"/>
      <c r="P2357" s="464"/>
      <c r="Q2357" s="431"/>
      <c r="R2357" s="464"/>
      <c r="S2357" s="466" t="s">
        <v>2701</v>
      </c>
      <c r="T2357" s="2" t="s">
        <v>5915</v>
      </c>
    </row>
    <row r="2358" spans="1:20" hidden="1" x14ac:dyDescent="0.35">
      <c r="A2358" s="494"/>
      <c r="B2358" s="510" t="s">
        <v>5808</v>
      </c>
      <c r="C2358" s="467" t="s">
        <v>5784</v>
      </c>
      <c r="D2358" s="467" t="s">
        <v>5784</v>
      </c>
      <c r="E2358" s="511" t="s">
        <v>2715</v>
      </c>
      <c r="F2358" s="466"/>
      <c r="G2358" s="473" t="s">
        <v>5809</v>
      </c>
      <c r="H2358" s="463" t="s">
        <v>5449</v>
      </c>
      <c r="I2358" s="508"/>
      <c r="J2358" s="508"/>
      <c r="K2358" s="379"/>
      <c r="L2358" s="380"/>
      <c r="M2358" s="380"/>
      <c r="N2358" s="463" t="s">
        <v>2701</v>
      </c>
      <c r="O2358" s="463"/>
      <c r="P2358" s="464"/>
      <c r="Q2358" s="431"/>
      <c r="R2358" s="464"/>
      <c r="S2358" s="466" t="s">
        <v>2701</v>
      </c>
      <c r="T2358" s="2" t="s">
        <v>5915</v>
      </c>
    </row>
    <row r="2359" spans="1:20" hidden="1" x14ac:dyDescent="0.35">
      <c r="A2359" s="494"/>
      <c r="B2359" s="510" t="s">
        <v>5811</v>
      </c>
      <c r="C2359" s="467" t="s">
        <v>5784</v>
      </c>
      <c r="D2359" s="467" t="s">
        <v>5784</v>
      </c>
      <c r="E2359" s="511" t="s">
        <v>2732</v>
      </c>
      <c r="F2359" s="466"/>
      <c r="G2359" s="473" t="s">
        <v>5809</v>
      </c>
      <c r="H2359" s="463" t="s">
        <v>5449</v>
      </c>
      <c r="I2359" s="508"/>
      <c r="J2359" s="508"/>
      <c r="K2359" s="379"/>
      <c r="L2359" s="380"/>
      <c r="M2359" s="380"/>
      <c r="N2359" s="463" t="s">
        <v>3785</v>
      </c>
      <c r="O2359" s="463"/>
      <c r="P2359" s="464"/>
      <c r="Q2359" s="431"/>
      <c r="R2359" s="464"/>
      <c r="S2359" s="466" t="s">
        <v>3785</v>
      </c>
      <c r="T2359" s="2" t="s">
        <v>5915</v>
      </c>
    </row>
    <row r="2360" spans="1:20" hidden="1" x14ac:dyDescent="0.35">
      <c r="A2360" s="494"/>
      <c r="B2360" s="510" t="s">
        <v>5811</v>
      </c>
      <c r="C2360" s="467" t="s">
        <v>5784</v>
      </c>
      <c r="D2360" s="467" t="s">
        <v>5784</v>
      </c>
      <c r="E2360" s="511" t="s">
        <v>2734</v>
      </c>
      <c r="F2360" s="466"/>
      <c r="G2360" s="473" t="s">
        <v>5809</v>
      </c>
      <c r="H2360" s="463" t="s">
        <v>5449</v>
      </c>
      <c r="I2360" s="508"/>
      <c r="J2360" s="508"/>
      <c r="K2360" s="379"/>
      <c r="L2360" s="380"/>
      <c r="M2360" s="380"/>
      <c r="N2360" s="463" t="s">
        <v>3785</v>
      </c>
      <c r="O2360" s="463"/>
      <c r="P2360" s="464"/>
      <c r="Q2360" s="431"/>
      <c r="R2360" s="464"/>
      <c r="S2360" s="466" t="s">
        <v>3785</v>
      </c>
      <c r="T2360" s="2" t="s">
        <v>5915</v>
      </c>
    </row>
    <row r="2361" spans="1:20" hidden="1" x14ac:dyDescent="0.35">
      <c r="A2361" s="494"/>
      <c r="B2361" s="510" t="s">
        <v>5811</v>
      </c>
      <c r="C2361" s="467" t="s">
        <v>5784</v>
      </c>
      <c r="D2361" s="467" t="s">
        <v>5784</v>
      </c>
      <c r="E2361" s="511" t="s">
        <v>2736</v>
      </c>
      <c r="F2361" s="466"/>
      <c r="G2361" s="473" t="s">
        <v>5809</v>
      </c>
      <c r="H2361" s="463" t="s">
        <v>5449</v>
      </c>
      <c r="I2361" s="508"/>
      <c r="J2361" s="508"/>
      <c r="K2361" s="379"/>
      <c r="L2361" s="380"/>
      <c r="M2361" s="380"/>
      <c r="N2361" s="463" t="s">
        <v>3785</v>
      </c>
      <c r="O2361" s="463"/>
      <c r="P2361" s="464"/>
      <c r="Q2361" s="431"/>
      <c r="R2361" s="464"/>
      <c r="S2361" s="466" t="s">
        <v>3785</v>
      </c>
      <c r="T2361" s="2" t="s">
        <v>5915</v>
      </c>
    </row>
    <row r="2362" spans="1:20" hidden="1" x14ac:dyDescent="0.35">
      <c r="A2362" s="494"/>
      <c r="B2362" s="510" t="s">
        <v>5811</v>
      </c>
      <c r="C2362" s="467" t="s">
        <v>5784</v>
      </c>
      <c r="D2362" s="467" t="s">
        <v>5784</v>
      </c>
      <c r="E2362" s="511" t="s">
        <v>2738</v>
      </c>
      <c r="F2362" s="466"/>
      <c r="G2362" s="473" t="s">
        <v>5809</v>
      </c>
      <c r="H2362" s="463" t="s">
        <v>5449</v>
      </c>
      <c r="I2362" s="508"/>
      <c r="J2362" s="508"/>
      <c r="K2362" s="379"/>
      <c r="L2362" s="380"/>
      <c r="M2362" s="380"/>
      <c r="N2362" s="463" t="s">
        <v>3785</v>
      </c>
      <c r="O2362" s="463"/>
      <c r="P2362" s="464"/>
      <c r="Q2362" s="431"/>
      <c r="R2362" s="464"/>
      <c r="S2362" s="466" t="s">
        <v>3785</v>
      </c>
      <c r="T2362" s="2" t="s">
        <v>5915</v>
      </c>
    </row>
    <row r="2363" spans="1:20" hidden="1" x14ac:dyDescent="0.35">
      <c r="A2363" s="494"/>
      <c r="B2363" s="510" t="s">
        <v>5811</v>
      </c>
      <c r="C2363" s="467" t="s">
        <v>5784</v>
      </c>
      <c r="D2363" s="467" t="s">
        <v>5784</v>
      </c>
      <c r="E2363" s="511" t="s">
        <v>2740</v>
      </c>
      <c r="F2363" s="466"/>
      <c r="G2363" s="473" t="s">
        <v>5809</v>
      </c>
      <c r="H2363" s="463" t="s">
        <v>5449</v>
      </c>
      <c r="I2363" s="508"/>
      <c r="J2363" s="508"/>
      <c r="K2363" s="379"/>
      <c r="L2363" s="380"/>
      <c r="M2363" s="380"/>
      <c r="N2363" s="463" t="s">
        <v>3785</v>
      </c>
      <c r="O2363" s="463"/>
      <c r="P2363" s="464"/>
      <c r="Q2363" s="431"/>
      <c r="R2363" s="464"/>
      <c r="S2363" s="466" t="s">
        <v>3785</v>
      </c>
      <c r="T2363" s="2" t="s">
        <v>5915</v>
      </c>
    </row>
    <row r="2364" spans="1:20" hidden="1" x14ac:dyDescent="0.35">
      <c r="A2364" s="494"/>
      <c r="B2364" s="510" t="s">
        <v>5811</v>
      </c>
      <c r="C2364" s="467" t="s">
        <v>5784</v>
      </c>
      <c r="D2364" s="467" t="s">
        <v>5784</v>
      </c>
      <c r="E2364" s="511" t="s">
        <v>2742</v>
      </c>
      <c r="F2364" s="466"/>
      <c r="G2364" s="473" t="s">
        <v>5809</v>
      </c>
      <c r="H2364" s="463" t="s">
        <v>5449</v>
      </c>
      <c r="I2364" s="508"/>
      <c r="J2364" s="508"/>
      <c r="K2364" s="379"/>
      <c r="L2364" s="380"/>
      <c r="M2364" s="380"/>
      <c r="N2364" s="463" t="s">
        <v>3785</v>
      </c>
      <c r="O2364" s="463"/>
      <c r="P2364" s="464"/>
      <c r="Q2364" s="431"/>
      <c r="R2364" s="464"/>
      <c r="S2364" s="466" t="s">
        <v>3785</v>
      </c>
      <c r="T2364" s="2" t="s">
        <v>5915</v>
      </c>
    </row>
    <row r="2365" spans="1:20" hidden="1" x14ac:dyDescent="0.35">
      <c r="A2365" s="494"/>
      <c r="B2365" s="510" t="s">
        <v>5811</v>
      </c>
      <c r="C2365" s="467" t="s">
        <v>5784</v>
      </c>
      <c r="D2365" s="467" t="s">
        <v>5784</v>
      </c>
      <c r="E2365" s="511" t="s">
        <v>2744</v>
      </c>
      <c r="F2365" s="466"/>
      <c r="G2365" s="473" t="s">
        <v>5809</v>
      </c>
      <c r="H2365" s="463" t="s">
        <v>5449</v>
      </c>
      <c r="I2365" s="508"/>
      <c r="J2365" s="508"/>
      <c r="K2365" s="379"/>
      <c r="L2365" s="380"/>
      <c r="M2365" s="380"/>
      <c r="N2365" s="463" t="s">
        <v>3785</v>
      </c>
      <c r="O2365" s="463"/>
      <c r="P2365" s="464"/>
      <c r="Q2365" s="431"/>
      <c r="R2365" s="464"/>
      <c r="S2365" s="466" t="s">
        <v>3785</v>
      </c>
      <c r="T2365" s="2" t="s">
        <v>5915</v>
      </c>
    </row>
    <row r="2366" spans="1:20" hidden="1" x14ac:dyDescent="0.35">
      <c r="A2366" s="494"/>
      <c r="B2366" s="510" t="s">
        <v>5811</v>
      </c>
      <c r="C2366" s="467" t="s">
        <v>5784</v>
      </c>
      <c r="D2366" s="467" t="s">
        <v>5784</v>
      </c>
      <c r="E2366" s="511" t="s">
        <v>2752</v>
      </c>
      <c r="F2366" s="466"/>
      <c r="G2366" s="473" t="s">
        <v>5809</v>
      </c>
      <c r="H2366" s="463" t="s">
        <v>5449</v>
      </c>
      <c r="I2366" s="508"/>
      <c r="J2366" s="508"/>
      <c r="K2366" s="379"/>
      <c r="L2366" s="380"/>
      <c r="M2366" s="380"/>
      <c r="N2366" s="463" t="s">
        <v>3785</v>
      </c>
      <c r="O2366" s="463"/>
      <c r="P2366" s="464"/>
      <c r="Q2366" s="431"/>
      <c r="R2366" s="464"/>
      <c r="S2366" s="466" t="s">
        <v>3785</v>
      </c>
      <c r="T2366" s="2" t="s">
        <v>5915</v>
      </c>
    </row>
    <row r="2367" spans="1:20" hidden="1" x14ac:dyDescent="0.35">
      <c r="A2367" s="494"/>
      <c r="B2367" s="510" t="s">
        <v>5811</v>
      </c>
      <c r="C2367" s="467" t="s">
        <v>5784</v>
      </c>
      <c r="D2367" s="467" t="s">
        <v>5784</v>
      </c>
      <c r="E2367" s="511" t="s">
        <v>2754</v>
      </c>
      <c r="F2367" s="466"/>
      <c r="G2367" s="473" t="s">
        <v>5809</v>
      </c>
      <c r="H2367" s="463" t="s">
        <v>5449</v>
      </c>
      <c r="I2367" s="508"/>
      <c r="J2367" s="508"/>
      <c r="K2367" s="379"/>
      <c r="L2367" s="380"/>
      <c r="M2367" s="380"/>
      <c r="N2367" s="463" t="s">
        <v>3785</v>
      </c>
      <c r="O2367" s="463"/>
      <c r="P2367" s="464"/>
      <c r="Q2367" s="431"/>
      <c r="R2367" s="464"/>
      <c r="S2367" s="466" t="s">
        <v>3785</v>
      </c>
      <c r="T2367" s="2" t="s">
        <v>5915</v>
      </c>
    </row>
    <row r="2368" spans="1:20" hidden="1" x14ac:dyDescent="0.35">
      <c r="A2368" s="494"/>
      <c r="B2368" s="510" t="s">
        <v>5811</v>
      </c>
      <c r="C2368" s="467" t="s">
        <v>5784</v>
      </c>
      <c r="D2368" s="467" t="s">
        <v>5784</v>
      </c>
      <c r="E2368" s="511" t="s">
        <v>2756</v>
      </c>
      <c r="F2368" s="466"/>
      <c r="G2368" s="473" t="s">
        <v>5809</v>
      </c>
      <c r="H2368" s="463" t="s">
        <v>5449</v>
      </c>
      <c r="I2368" s="508"/>
      <c r="J2368" s="508"/>
      <c r="K2368" s="379"/>
      <c r="L2368" s="380"/>
      <c r="M2368" s="380"/>
      <c r="N2368" s="463" t="s">
        <v>3785</v>
      </c>
      <c r="O2368" s="463"/>
      <c r="P2368" s="464"/>
      <c r="Q2368" s="431"/>
      <c r="R2368" s="464"/>
      <c r="S2368" s="466" t="s">
        <v>3785</v>
      </c>
      <c r="T2368" s="2" t="s">
        <v>5915</v>
      </c>
    </row>
    <row r="2369" spans="1:20" hidden="1" x14ac:dyDescent="0.35">
      <c r="A2369" s="494"/>
      <c r="B2369" s="510" t="s">
        <v>5811</v>
      </c>
      <c r="C2369" s="467" t="s">
        <v>5784</v>
      </c>
      <c r="D2369" s="467" t="s">
        <v>5784</v>
      </c>
      <c r="E2369" s="511" t="s">
        <v>2758</v>
      </c>
      <c r="F2369" s="466"/>
      <c r="G2369" s="473" t="s">
        <v>5809</v>
      </c>
      <c r="H2369" s="463" t="s">
        <v>5449</v>
      </c>
      <c r="I2369" s="508"/>
      <c r="J2369" s="508"/>
      <c r="K2369" s="379"/>
      <c r="L2369" s="380"/>
      <c r="M2369" s="380"/>
      <c r="N2369" s="463" t="s">
        <v>3785</v>
      </c>
      <c r="O2369" s="463"/>
      <c r="P2369" s="464"/>
      <c r="Q2369" s="431"/>
      <c r="R2369" s="464"/>
      <c r="S2369" s="466" t="s">
        <v>3785</v>
      </c>
      <c r="T2369" s="2" t="s">
        <v>5915</v>
      </c>
    </row>
    <row r="2370" spans="1:20" hidden="1" x14ac:dyDescent="0.35">
      <c r="A2370" s="494"/>
      <c r="B2370" s="510" t="s">
        <v>5811</v>
      </c>
      <c r="C2370" s="467" t="s">
        <v>5784</v>
      </c>
      <c r="D2370" s="467" t="s">
        <v>5784</v>
      </c>
      <c r="E2370" s="511" t="s">
        <v>2760</v>
      </c>
      <c r="F2370" s="466"/>
      <c r="G2370" s="473" t="s">
        <v>5809</v>
      </c>
      <c r="H2370" s="463" t="s">
        <v>5449</v>
      </c>
      <c r="I2370" s="508"/>
      <c r="J2370" s="508"/>
      <c r="K2370" s="379"/>
      <c r="L2370" s="380"/>
      <c r="M2370" s="380"/>
      <c r="N2370" s="463" t="s">
        <v>3785</v>
      </c>
      <c r="O2370" s="463"/>
      <c r="P2370" s="464"/>
      <c r="Q2370" s="431"/>
      <c r="R2370" s="464"/>
      <c r="S2370" s="466" t="s">
        <v>3785</v>
      </c>
      <c r="T2370" s="2" t="s">
        <v>5915</v>
      </c>
    </row>
    <row r="2371" spans="1:20" hidden="1" x14ac:dyDescent="0.35">
      <c r="A2371" s="494"/>
      <c r="B2371" s="510" t="s">
        <v>5811</v>
      </c>
      <c r="C2371" s="467" t="s">
        <v>5784</v>
      </c>
      <c r="D2371" s="467" t="s">
        <v>5784</v>
      </c>
      <c r="E2371" s="511" t="s">
        <v>2762</v>
      </c>
      <c r="F2371" s="466"/>
      <c r="G2371" s="473" t="s">
        <v>5809</v>
      </c>
      <c r="H2371" s="463" t="s">
        <v>5449</v>
      </c>
      <c r="I2371" s="508"/>
      <c r="J2371" s="508"/>
      <c r="K2371" s="379"/>
      <c r="L2371" s="380"/>
      <c r="M2371" s="380"/>
      <c r="N2371" s="463" t="s">
        <v>3785</v>
      </c>
      <c r="O2371" s="463"/>
      <c r="P2371" s="464"/>
      <c r="Q2371" s="431"/>
      <c r="R2371" s="464"/>
      <c r="S2371" s="466" t="s">
        <v>3785</v>
      </c>
      <c r="T2371" s="2" t="s">
        <v>5915</v>
      </c>
    </row>
    <row r="2372" spans="1:20" hidden="1" x14ac:dyDescent="0.35">
      <c r="A2372" s="494"/>
      <c r="B2372" s="510" t="s">
        <v>5811</v>
      </c>
      <c r="C2372" s="467" t="s">
        <v>5784</v>
      </c>
      <c r="D2372" s="467" t="s">
        <v>5784</v>
      </c>
      <c r="E2372" s="511" t="s">
        <v>2764</v>
      </c>
      <c r="F2372" s="466"/>
      <c r="G2372" s="473" t="s">
        <v>5809</v>
      </c>
      <c r="H2372" s="463" t="s">
        <v>5449</v>
      </c>
      <c r="I2372" s="508"/>
      <c r="J2372" s="508"/>
      <c r="K2372" s="379"/>
      <c r="L2372" s="380"/>
      <c r="M2372" s="380"/>
      <c r="N2372" s="463" t="s">
        <v>3785</v>
      </c>
      <c r="O2372" s="463"/>
      <c r="P2372" s="464"/>
      <c r="Q2372" s="431"/>
      <c r="R2372" s="464"/>
      <c r="S2372" s="466" t="s">
        <v>3785</v>
      </c>
      <c r="T2372" s="2" t="s">
        <v>5915</v>
      </c>
    </row>
    <row r="2373" spans="1:20" hidden="1" x14ac:dyDescent="0.35">
      <c r="A2373" s="494"/>
      <c r="B2373" s="510" t="s">
        <v>5811</v>
      </c>
      <c r="C2373" s="467" t="s">
        <v>5784</v>
      </c>
      <c r="D2373" s="467" t="s">
        <v>5784</v>
      </c>
      <c r="E2373" s="511" t="s">
        <v>2766</v>
      </c>
      <c r="F2373" s="466"/>
      <c r="G2373" s="473" t="s">
        <v>5809</v>
      </c>
      <c r="H2373" s="463" t="s">
        <v>5449</v>
      </c>
      <c r="I2373" s="508"/>
      <c r="J2373" s="508"/>
      <c r="K2373" s="379"/>
      <c r="L2373" s="380"/>
      <c r="M2373" s="380"/>
      <c r="N2373" s="463" t="s">
        <v>3785</v>
      </c>
      <c r="O2373" s="463"/>
      <c r="P2373" s="464"/>
      <c r="Q2373" s="431"/>
      <c r="R2373" s="464"/>
      <c r="S2373" s="466" t="s">
        <v>3785</v>
      </c>
      <c r="T2373" s="2" t="s">
        <v>5915</v>
      </c>
    </row>
    <row r="2374" spans="1:20" hidden="1" x14ac:dyDescent="0.35">
      <c r="A2374" s="494"/>
      <c r="B2374" s="510" t="s">
        <v>5811</v>
      </c>
      <c r="C2374" s="467" t="s">
        <v>5784</v>
      </c>
      <c r="D2374" s="467" t="s">
        <v>5784</v>
      </c>
      <c r="E2374" s="511" t="s">
        <v>2768</v>
      </c>
      <c r="F2374" s="466"/>
      <c r="G2374" s="473" t="s">
        <v>5809</v>
      </c>
      <c r="H2374" s="463" t="s">
        <v>5449</v>
      </c>
      <c r="I2374" s="508"/>
      <c r="J2374" s="508"/>
      <c r="K2374" s="379"/>
      <c r="L2374" s="380"/>
      <c r="M2374" s="380"/>
      <c r="N2374" s="463" t="s">
        <v>3785</v>
      </c>
      <c r="O2374" s="463"/>
      <c r="P2374" s="464"/>
      <c r="Q2374" s="431"/>
      <c r="R2374" s="464"/>
      <c r="S2374" s="466" t="s">
        <v>3785</v>
      </c>
      <c r="T2374" s="2" t="s">
        <v>5915</v>
      </c>
    </row>
    <row r="2375" spans="1:20" hidden="1" x14ac:dyDescent="0.35">
      <c r="A2375" s="494"/>
      <c r="B2375" s="510" t="s">
        <v>5811</v>
      </c>
      <c r="C2375" s="467" t="s">
        <v>5784</v>
      </c>
      <c r="D2375" s="467" t="s">
        <v>5784</v>
      </c>
      <c r="E2375" s="511" t="s">
        <v>2770</v>
      </c>
      <c r="F2375" s="466"/>
      <c r="G2375" s="473" t="s">
        <v>5809</v>
      </c>
      <c r="H2375" s="463" t="s">
        <v>5449</v>
      </c>
      <c r="I2375" s="508"/>
      <c r="J2375" s="508"/>
      <c r="K2375" s="379"/>
      <c r="L2375" s="380"/>
      <c r="M2375" s="380"/>
      <c r="N2375" s="463" t="s">
        <v>3785</v>
      </c>
      <c r="O2375" s="463"/>
      <c r="P2375" s="464"/>
      <c r="Q2375" s="431"/>
      <c r="R2375" s="464"/>
      <c r="S2375" s="466" t="s">
        <v>3785</v>
      </c>
      <c r="T2375" s="2" t="s">
        <v>5915</v>
      </c>
    </row>
    <row r="2376" spans="1:20" hidden="1" x14ac:dyDescent="0.35">
      <c r="A2376" s="494"/>
      <c r="B2376" s="510" t="s">
        <v>5811</v>
      </c>
      <c r="C2376" s="467" t="s">
        <v>5784</v>
      </c>
      <c r="D2376" s="467" t="s">
        <v>5784</v>
      </c>
      <c r="E2376" s="511" t="s">
        <v>2772</v>
      </c>
      <c r="F2376" s="466"/>
      <c r="G2376" s="473" t="s">
        <v>5809</v>
      </c>
      <c r="H2376" s="463" t="s">
        <v>5449</v>
      </c>
      <c r="I2376" s="508"/>
      <c r="J2376" s="508"/>
      <c r="K2376" s="379"/>
      <c r="L2376" s="380"/>
      <c r="M2376" s="380"/>
      <c r="N2376" s="463" t="s">
        <v>3785</v>
      </c>
      <c r="O2376" s="463"/>
      <c r="P2376" s="464"/>
      <c r="Q2376" s="431"/>
      <c r="R2376" s="464"/>
      <c r="S2376" s="466" t="s">
        <v>3785</v>
      </c>
      <c r="T2376" s="2" t="s">
        <v>5915</v>
      </c>
    </row>
    <row r="2377" spans="1:20" hidden="1" x14ac:dyDescent="0.35">
      <c r="A2377" s="494"/>
      <c r="B2377" s="510" t="s">
        <v>5811</v>
      </c>
      <c r="C2377" s="467" t="s">
        <v>5784</v>
      </c>
      <c r="D2377" s="467" t="s">
        <v>5784</v>
      </c>
      <c r="E2377" s="511" t="s">
        <v>2774</v>
      </c>
      <c r="F2377" s="466"/>
      <c r="G2377" s="473" t="s">
        <v>5809</v>
      </c>
      <c r="H2377" s="463" t="s">
        <v>5449</v>
      </c>
      <c r="I2377" s="508"/>
      <c r="J2377" s="508"/>
      <c r="K2377" s="379"/>
      <c r="L2377" s="380"/>
      <c r="M2377" s="380"/>
      <c r="N2377" s="463" t="s">
        <v>3785</v>
      </c>
      <c r="O2377" s="463"/>
      <c r="P2377" s="464"/>
      <c r="Q2377" s="431"/>
      <c r="R2377" s="464"/>
      <c r="S2377" s="466" t="s">
        <v>3785</v>
      </c>
      <c r="T2377" s="2" t="s">
        <v>5915</v>
      </c>
    </row>
    <row r="2378" spans="1:20" hidden="1" x14ac:dyDescent="0.35">
      <c r="A2378" s="494"/>
      <c r="B2378" s="510" t="s">
        <v>5811</v>
      </c>
      <c r="C2378" s="467" t="s">
        <v>5784</v>
      </c>
      <c r="D2378" s="467" t="s">
        <v>5784</v>
      </c>
      <c r="E2378" s="511" t="s">
        <v>2776</v>
      </c>
      <c r="F2378" s="466"/>
      <c r="G2378" s="473" t="s">
        <v>5809</v>
      </c>
      <c r="H2378" s="463" t="s">
        <v>5449</v>
      </c>
      <c r="I2378" s="508"/>
      <c r="J2378" s="508"/>
      <c r="K2378" s="379"/>
      <c r="L2378" s="380"/>
      <c r="M2378" s="380"/>
      <c r="N2378" s="463" t="s">
        <v>3785</v>
      </c>
      <c r="O2378" s="463"/>
      <c r="P2378" s="464"/>
      <c r="Q2378" s="431"/>
      <c r="R2378" s="464"/>
      <c r="S2378" s="466" t="s">
        <v>3785</v>
      </c>
      <c r="T2378" s="2" t="s">
        <v>5915</v>
      </c>
    </row>
    <row r="2379" spans="1:20" hidden="1" x14ac:dyDescent="0.35">
      <c r="A2379" s="494"/>
      <c r="B2379" s="510" t="s">
        <v>5811</v>
      </c>
      <c r="C2379" s="467" t="s">
        <v>5784</v>
      </c>
      <c r="D2379" s="467" t="s">
        <v>5784</v>
      </c>
      <c r="E2379" s="511" t="s">
        <v>2778</v>
      </c>
      <c r="F2379" s="466"/>
      <c r="G2379" s="473" t="s">
        <v>5809</v>
      </c>
      <c r="H2379" s="463" t="s">
        <v>5449</v>
      </c>
      <c r="I2379" s="508"/>
      <c r="J2379" s="508"/>
      <c r="K2379" s="379"/>
      <c r="L2379" s="380"/>
      <c r="M2379" s="380"/>
      <c r="N2379" s="463" t="s">
        <v>3785</v>
      </c>
      <c r="O2379" s="463"/>
      <c r="P2379" s="464"/>
      <c r="Q2379" s="431"/>
      <c r="R2379" s="464"/>
      <c r="S2379" s="466" t="s">
        <v>3785</v>
      </c>
      <c r="T2379" s="2" t="s">
        <v>5915</v>
      </c>
    </row>
    <row r="2380" spans="1:20" hidden="1" x14ac:dyDescent="0.35">
      <c r="A2380" s="494"/>
      <c r="B2380" s="510" t="s">
        <v>5811</v>
      </c>
      <c r="C2380" s="467" t="s">
        <v>5784</v>
      </c>
      <c r="D2380" s="467" t="s">
        <v>5784</v>
      </c>
      <c r="E2380" s="511" t="s">
        <v>2785</v>
      </c>
      <c r="F2380" s="466"/>
      <c r="G2380" s="473" t="s">
        <v>5809</v>
      </c>
      <c r="H2380" s="463" t="s">
        <v>5449</v>
      </c>
      <c r="I2380" s="508"/>
      <c r="J2380" s="508"/>
      <c r="K2380" s="379"/>
      <c r="L2380" s="380"/>
      <c r="M2380" s="380"/>
      <c r="N2380" s="463" t="s">
        <v>3785</v>
      </c>
      <c r="O2380" s="463"/>
      <c r="P2380" s="464"/>
      <c r="Q2380" s="431"/>
      <c r="R2380" s="464"/>
      <c r="S2380" s="466" t="s">
        <v>3785</v>
      </c>
      <c r="T2380" s="2" t="s">
        <v>5915</v>
      </c>
    </row>
    <row r="2381" spans="1:20" hidden="1" x14ac:dyDescent="0.35">
      <c r="A2381" s="494"/>
      <c r="B2381" s="510" t="s">
        <v>5811</v>
      </c>
      <c r="C2381" s="467" t="s">
        <v>5784</v>
      </c>
      <c r="D2381" s="467" t="s">
        <v>5784</v>
      </c>
      <c r="E2381" s="511" t="s">
        <v>2787</v>
      </c>
      <c r="F2381" s="466"/>
      <c r="G2381" s="473" t="s">
        <v>5809</v>
      </c>
      <c r="H2381" s="463" t="s">
        <v>5449</v>
      </c>
      <c r="I2381" s="508"/>
      <c r="J2381" s="508"/>
      <c r="K2381" s="379"/>
      <c r="L2381" s="380"/>
      <c r="M2381" s="380"/>
      <c r="N2381" s="463" t="s">
        <v>3785</v>
      </c>
      <c r="O2381" s="463"/>
      <c r="P2381" s="464"/>
      <c r="Q2381" s="431"/>
      <c r="R2381" s="464"/>
      <c r="S2381" s="466" t="s">
        <v>3785</v>
      </c>
      <c r="T2381" s="2" t="s">
        <v>5915</v>
      </c>
    </row>
    <row r="2382" spans="1:20" hidden="1" x14ac:dyDescent="0.35">
      <c r="A2382" s="494"/>
      <c r="B2382" s="510" t="s">
        <v>5811</v>
      </c>
      <c r="C2382" s="467" t="s">
        <v>5784</v>
      </c>
      <c r="D2382" s="467" t="s">
        <v>5784</v>
      </c>
      <c r="E2382" s="511" t="s">
        <v>2808</v>
      </c>
      <c r="F2382" s="466"/>
      <c r="G2382" s="473" t="s">
        <v>5809</v>
      </c>
      <c r="H2382" s="463" t="s">
        <v>5449</v>
      </c>
      <c r="I2382" s="508"/>
      <c r="J2382" s="508"/>
      <c r="K2382" s="379"/>
      <c r="L2382" s="380"/>
      <c r="M2382" s="380"/>
      <c r="N2382" s="463" t="s">
        <v>3785</v>
      </c>
      <c r="O2382" s="463"/>
      <c r="P2382" s="464"/>
      <c r="Q2382" s="431"/>
      <c r="R2382" s="464"/>
      <c r="S2382" s="466" t="s">
        <v>3785</v>
      </c>
      <c r="T2382" s="2" t="s">
        <v>5915</v>
      </c>
    </row>
    <row r="2383" spans="1:20" hidden="1" x14ac:dyDescent="0.35">
      <c r="A2383" s="494"/>
      <c r="B2383" s="510" t="s">
        <v>5811</v>
      </c>
      <c r="C2383" s="467" t="s">
        <v>5784</v>
      </c>
      <c r="D2383" s="467" t="s">
        <v>5784</v>
      </c>
      <c r="E2383" s="511" t="s">
        <v>2810</v>
      </c>
      <c r="F2383" s="466"/>
      <c r="G2383" s="473" t="s">
        <v>5809</v>
      </c>
      <c r="H2383" s="463" t="s">
        <v>5449</v>
      </c>
      <c r="I2383" s="508"/>
      <c r="J2383" s="508"/>
      <c r="K2383" s="379"/>
      <c r="L2383" s="380"/>
      <c r="M2383" s="380"/>
      <c r="N2383" s="463" t="s">
        <v>3785</v>
      </c>
      <c r="O2383" s="463"/>
      <c r="P2383" s="464"/>
      <c r="Q2383" s="431"/>
      <c r="R2383" s="464"/>
      <c r="S2383" s="466" t="s">
        <v>3785</v>
      </c>
      <c r="T2383" s="2" t="s">
        <v>5915</v>
      </c>
    </row>
    <row r="2384" spans="1:20" hidden="1" x14ac:dyDescent="0.35">
      <c r="A2384" s="494"/>
      <c r="B2384" s="510" t="s">
        <v>5811</v>
      </c>
      <c r="C2384" s="467" t="s">
        <v>5784</v>
      </c>
      <c r="D2384" s="467" t="s">
        <v>5784</v>
      </c>
      <c r="E2384" s="511" t="s">
        <v>2818</v>
      </c>
      <c r="F2384" s="466"/>
      <c r="G2384" s="473" t="s">
        <v>5809</v>
      </c>
      <c r="H2384" s="463" t="s">
        <v>5449</v>
      </c>
      <c r="I2384" s="508"/>
      <c r="J2384" s="508"/>
      <c r="K2384" s="379"/>
      <c r="L2384" s="380"/>
      <c r="M2384" s="380"/>
      <c r="N2384" s="463" t="s">
        <v>3785</v>
      </c>
      <c r="O2384" s="463"/>
      <c r="P2384" s="464"/>
      <c r="Q2384" s="431"/>
      <c r="R2384" s="464"/>
      <c r="S2384" s="466" t="s">
        <v>3785</v>
      </c>
      <c r="T2384" s="2" t="s">
        <v>5915</v>
      </c>
    </row>
    <row r="2385" spans="1:20" hidden="1" x14ac:dyDescent="0.35">
      <c r="A2385" s="494"/>
      <c r="B2385" s="510" t="s">
        <v>5811</v>
      </c>
      <c r="C2385" s="467" t="s">
        <v>5784</v>
      </c>
      <c r="D2385" s="467" t="s">
        <v>5784</v>
      </c>
      <c r="E2385" s="511" t="s">
        <v>2826</v>
      </c>
      <c r="F2385" s="466"/>
      <c r="G2385" s="473" t="s">
        <v>5809</v>
      </c>
      <c r="H2385" s="463" t="s">
        <v>5449</v>
      </c>
      <c r="I2385" s="508"/>
      <c r="J2385" s="508"/>
      <c r="K2385" s="379"/>
      <c r="L2385" s="380"/>
      <c r="M2385" s="380"/>
      <c r="N2385" s="463" t="s">
        <v>3785</v>
      </c>
      <c r="O2385" s="463"/>
      <c r="P2385" s="464"/>
      <c r="Q2385" s="431"/>
      <c r="R2385" s="464"/>
      <c r="S2385" s="466" t="s">
        <v>3785</v>
      </c>
      <c r="T2385" s="2" t="s">
        <v>5915</v>
      </c>
    </row>
    <row r="2386" spans="1:20" hidden="1" x14ac:dyDescent="0.35">
      <c r="A2386" s="494"/>
      <c r="B2386" s="510" t="s">
        <v>5811</v>
      </c>
      <c r="C2386" s="467" t="s">
        <v>5784</v>
      </c>
      <c r="D2386" s="467" t="s">
        <v>5784</v>
      </c>
      <c r="E2386" s="511" t="s">
        <v>2828</v>
      </c>
      <c r="F2386" s="466"/>
      <c r="G2386" s="473" t="s">
        <v>5809</v>
      </c>
      <c r="H2386" s="463" t="s">
        <v>5449</v>
      </c>
      <c r="I2386" s="508"/>
      <c r="J2386" s="508"/>
      <c r="K2386" s="379"/>
      <c r="L2386" s="380"/>
      <c r="M2386" s="380"/>
      <c r="N2386" s="463" t="s">
        <v>3785</v>
      </c>
      <c r="O2386" s="463"/>
      <c r="P2386" s="464"/>
      <c r="Q2386" s="431"/>
      <c r="R2386" s="464"/>
      <c r="S2386" s="466" t="s">
        <v>3785</v>
      </c>
      <c r="T2386" s="2" t="s">
        <v>5915</v>
      </c>
    </row>
    <row r="2387" spans="1:20" hidden="1" x14ac:dyDescent="0.35">
      <c r="A2387" s="494"/>
      <c r="B2387" s="510" t="s">
        <v>5811</v>
      </c>
      <c r="C2387" s="467" t="s">
        <v>5784</v>
      </c>
      <c r="D2387" s="467" t="s">
        <v>5784</v>
      </c>
      <c r="E2387" s="511" t="s">
        <v>2830</v>
      </c>
      <c r="F2387" s="466"/>
      <c r="G2387" s="473" t="s">
        <v>5809</v>
      </c>
      <c r="H2387" s="463" t="s">
        <v>5449</v>
      </c>
      <c r="I2387" s="508"/>
      <c r="J2387" s="508"/>
      <c r="K2387" s="379"/>
      <c r="L2387" s="380"/>
      <c r="M2387" s="380"/>
      <c r="N2387" s="463" t="s">
        <v>3785</v>
      </c>
      <c r="O2387" s="463"/>
      <c r="P2387" s="464"/>
      <c r="Q2387" s="431"/>
      <c r="R2387" s="464"/>
      <c r="S2387" s="466" t="s">
        <v>3785</v>
      </c>
      <c r="T2387" s="2" t="s">
        <v>5915</v>
      </c>
    </row>
    <row r="2388" spans="1:20" hidden="1" x14ac:dyDescent="0.35">
      <c r="A2388" s="494"/>
      <c r="B2388" s="510" t="s">
        <v>5811</v>
      </c>
      <c r="C2388" s="467" t="s">
        <v>5784</v>
      </c>
      <c r="D2388" s="467" t="s">
        <v>5784</v>
      </c>
      <c r="E2388" s="511" t="s">
        <v>2832</v>
      </c>
      <c r="F2388" s="466"/>
      <c r="G2388" s="473" t="s">
        <v>5809</v>
      </c>
      <c r="H2388" s="463" t="s">
        <v>5449</v>
      </c>
      <c r="I2388" s="508"/>
      <c r="J2388" s="508"/>
      <c r="K2388" s="379"/>
      <c r="L2388" s="380"/>
      <c r="M2388" s="380"/>
      <c r="N2388" s="463" t="s">
        <v>3785</v>
      </c>
      <c r="O2388" s="463"/>
      <c r="P2388" s="464"/>
      <c r="Q2388" s="431"/>
      <c r="R2388" s="464"/>
      <c r="S2388" s="466" t="s">
        <v>3785</v>
      </c>
      <c r="T2388" s="2" t="s">
        <v>5915</v>
      </c>
    </row>
    <row r="2389" spans="1:20" hidden="1" x14ac:dyDescent="0.35">
      <c r="A2389" s="494"/>
      <c r="B2389" s="510" t="s">
        <v>5811</v>
      </c>
      <c r="C2389" s="467" t="s">
        <v>5784</v>
      </c>
      <c r="D2389" s="467" t="s">
        <v>5784</v>
      </c>
      <c r="E2389" s="511" t="s">
        <v>2834</v>
      </c>
      <c r="F2389" s="466"/>
      <c r="G2389" s="473" t="s">
        <v>5809</v>
      </c>
      <c r="H2389" s="463" t="s">
        <v>5449</v>
      </c>
      <c r="I2389" s="508"/>
      <c r="J2389" s="508"/>
      <c r="K2389" s="379"/>
      <c r="L2389" s="380"/>
      <c r="M2389" s="380"/>
      <c r="N2389" s="463" t="s">
        <v>3785</v>
      </c>
      <c r="O2389" s="463"/>
      <c r="P2389" s="464"/>
      <c r="Q2389" s="431"/>
      <c r="R2389" s="464"/>
      <c r="S2389" s="466" t="s">
        <v>3785</v>
      </c>
      <c r="T2389" s="2" t="s">
        <v>5915</v>
      </c>
    </row>
    <row r="2390" spans="1:20" hidden="1" x14ac:dyDescent="0.35">
      <c r="A2390" s="494"/>
      <c r="B2390" s="510" t="s">
        <v>5811</v>
      </c>
      <c r="C2390" s="467" t="s">
        <v>5784</v>
      </c>
      <c r="D2390" s="467" t="s">
        <v>5784</v>
      </c>
      <c r="E2390" s="511" t="s">
        <v>2838</v>
      </c>
      <c r="F2390" s="466"/>
      <c r="G2390" s="473" t="s">
        <v>5809</v>
      </c>
      <c r="H2390" s="463" t="s">
        <v>5449</v>
      </c>
      <c r="I2390" s="508"/>
      <c r="J2390" s="508"/>
      <c r="K2390" s="379"/>
      <c r="L2390" s="380"/>
      <c r="M2390" s="380"/>
      <c r="N2390" s="463" t="s">
        <v>3785</v>
      </c>
      <c r="O2390" s="463"/>
      <c r="P2390" s="464"/>
      <c r="Q2390" s="431"/>
      <c r="R2390" s="464"/>
      <c r="S2390" s="466" t="s">
        <v>3785</v>
      </c>
      <c r="T2390" s="2" t="s">
        <v>5915</v>
      </c>
    </row>
    <row r="2391" spans="1:20" hidden="1" x14ac:dyDescent="0.35">
      <c r="A2391" s="494"/>
      <c r="B2391" s="510" t="s">
        <v>5811</v>
      </c>
      <c r="C2391" s="467" t="s">
        <v>5784</v>
      </c>
      <c r="D2391" s="467" t="s">
        <v>5784</v>
      </c>
      <c r="E2391" s="511" t="s">
        <v>2840</v>
      </c>
      <c r="F2391" s="466"/>
      <c r="G2391" s="473" t="s">
        <v>5809</v>
      </c>
      <c r="H2391" s="463" t="s">
        <v>5449</v>
      </c>
      <c r="I2391" s="508"/>
      <c r="J2391" s="508"/>
      <c r="K2391" s="379"/>
      <c r="L2391" s="380"/>
      <c r="M2391" s="380"/>
      <c r="N2391" s="463" t="s">
        <v>3785</v>
      </c>
      <c r="O2391" s="463"/>
      <c r="P2391" s="464"/>
      <c r="Q2391" s="431"/>
      <c r="R2391" s="464"/>
      <c r="S2391" s="466" t="s">
        <v>3785</v>
      </c>
      <c r="T2391" s="2" t="s">
        <v>5915</v>
      </c>
    </row>
    <row r="2392" spans="1:20" hidden="1" x14ac:dyDescent="0.35">
      <c r="A2392" s="494"/>
      <c r="B2392" s="510" t="s">
        <v>5811</v>
      </c>
      <c r="C2392" s="467" t="s">
        <v>5784</v>
      </c>
      <c r="D2392" s="467" t="s">
        <v>5784</v>
      </c>
      <c r="E2392" s="511" t="s">
        <v>2842</v>
      </c>
      <c r="F2392" s="466"/>
      <c r="G2392" s="473" t="s">
        <v>5809</v>
      </c>
      <c r="H2392" s="463" t="s">
        <v>5449</v>
      </c>
      <c r="I2392" s="508"/>
      <c r="J2392" s="508"/>
      <c r="K2392" s="379"/>
      <c r="L2392" s="380"/>
      <c r="M2392" s="380"/>
      <c r="N2392" s="463" t="s">
        <v>3785</v>
      </c>
      <c r="O2392" s="463"/>
      <c r="P2392" s="464"/>
      <c r="Q2392" s="431"/>
      <c r="R2392" s="464"/>
      <c r="S2392" s="466" t="s">
        <v>3785</v>
      </c>
      <c r="T2392" s="2" t="s">
        <v>5915</v>
      </c>
    </row>
    <row r="2393" spans="1:20" hidden="1" x14ac:dyDescent="0.35">
      <c r="A2393" s="494"/>
      <c r="B2393" s="510" t="s">
        <v>5811</v>
      </c>
      <c r="C2393" s="467" t="s">
        <v>5784</v>
      </c>
      <c r="D2393" s="467" t="s">
        <v>5784</v>
      </c>
      <c r="E2393" s="511" t="s">
        <v>2897</v>
      </c>
      <c r="F2393" s="466"/>
      <c r="G2393" s="473" t="s">
        <v>5809</v>
      </c>
      <c r="H2393" s="463" t="s">
        <v>5449</v>
      </c>
      <c r="I2393" s="508"/>
      <c r="J2393" s="508"/>
      <c r="K2393" s="379"/>
      <c r="L2393" s="380"/>
      <c r="M2393" s="380"/>
      <c r="N2393" s="463" t="s">
        <v>3785</v>
      </c>
      <c r="O2393" s="463"/>
      <c r="P2393" s="464"/>
      <c r="Q2393" s="431"/>
      <c r="R2393" s="464"/>
      <c r="S2393" s="466" t="s">
        <v>3785</v>
      </c>
      <c r="T2393" s="2" t="s">
        <v>5915</v>
      </c>
    </row>
    <row r="2394" spans="1:20" hidden="1" x14ac:dyDescent="0.35">
      <c r="A2394" s="494"/>
      <c r="B2394" s="510" t="s">
        <v>5811</v>
      </c>
      <c r="C2394" s="467" t="s">
        <v>5784</v>
      </c>
      <c r="D2394" s="467" t="s">
        <v>5784</v>
      </c>
      <c r="E2394" s="511" t="s">
        <v>2899</v>
      </c>
      <c r="F2394" s="466"/>
      <c r="G2394" s="473" t="s">
        <v>5809</v>
      </c>
      <c r="H2394" s="463" t="s">
        <v>5449</v>
      </c>
      <c r="I2394" s="508"/>
      <c r="J2394" s="508"/>
      <c r="K2394" s="379"/>
      <c r="L2394" s="380"/>
      <c r="M2394" s="380"/>
      <c r="N2394" s="463" t="s">
        <v>3785</v>
      </c>
      <c r="O2394" s="463"/>
      <c r="P2394" s="464"/>
      <c r="Q2394" s="431"/>
      <c r="R2394" s="464"/>
      <c r="S2394" s="466" t="s">
        <v>3785</v>
      </c>
      <c r="T2394" s="2" t="s">
        <v>5915</v>
      </c>
    </row>
    <row r="2395" spans="1:20" hidden="1" x14ac:dyDescent="0.35">
      <c r="A2395" s="494"/>
      <c r="B2395" s="510" t="s">
        <v>5811</v>
      </c>
      <c r="C2395" s="467" t="s">
        <v>5784</v>
      </c>
      <c r="D2395" s="467" t="s">
        <v>5784</v>
      </c>
      <c r="E2395" s="511" t="s">
        <v>2901</v>
      </c>
      <c r="F2395" s="466"/>
      <c r="G2395" s="473" t="s">
        <v>5809</v>
      </c>
      <c r="H2395" s="463" t="s">
        <v>5449</v>
      </c>
      <c r="I2395" s="508"/>
      <c r="J2395" s="508"/>
      <c r="K2395" s="379"/>
      <c r="L2395" s="380"/>
      <c r="M2395" s="380"/>
      <c r="N2395" s="463" t="s">
        <v>3785</v>
      </c>
      <c r="O2395" s="463"/>
      <c r="P2395" s="464"/>
      <c r="Q2395" s="431"/>
      <c r="R2395" s="464"/>
      <c r="S2395" s="466" t="s">
        <v>3785</v>
      </c>
      <c r="T2395" s="2" t="s">
        <v>5915</v>
      </c>
    </row>
    <row r="2396" spans="1:20" hidden="1" x14ac:dyDescent="0.35">
      <c r="A2396" s="494"/>
      <c r="B2396" s="510" t="s">
        <v>5811</v>
      </c>
      <c r="C2396" s="467" t="s">
        <v>5784</v>
      </c>
      <c r="D2396" s="467" t="s">
        <v>5784</v>
      </c>
      <c r="E2396" s="511" t="s">
        <v>2903</v>
      </c>
      <c r="F2396" s="466"/>
      <c r="G2396" s="473" t="s">
        <v>5809</v>
      </c>
      <c r="H2396" s="463" t="s">
        <v>5449</v>
      </c>
      <c r="I2396" s="508"/>
      <c r="J2396" s="508"/>
      <c r="K2396" s="379"/>
      <c r="L2396" s="380"/>
      <c r="M2396" s="380"/>
      <c r="N2396" s="463" t="s">
        <v>3785</v>
      </c>
      <c r="O2396" s="463"/>
      <c r="P2396" s="464"/>
      <c r="Q2396" s="431"/>
      <c r="R2396" s="464"/>
      <c r="S2396" s="466" t="s">
        <v>3785</v>
      </c>
      <c r="T2396" s="2" t="s">
        <v>5915</v>
      </c>
    </row>
    <row r="2397" spans="1:20" hidden="1" x14ac:dyDescent="0.35">
      <c r="A2397" s="494"/>
      <c r="B2397" s="510" t="s">
        <v>5811</v>
      </c>
      <c r="C2397" s="467" t="s">
        <v>5784</v>
      </c>
      <c r="D2397" s="467" t="s">
        <v>5784</v>
      </c>
      <c r="E2397" s="511" t="s">
        <v>2905</v>
      </c>
      <c r="F2397" s="466"/>
      <c r="G2397" s="473" t="s">
        <v>5809</v>
      </c>
      <c r="H2397" s="463" t="s">
        <v>5449</v>
      </c>
      <c r="I2397" s="508"/>
      <c r="J2397" s="508"/>
      <c r="K2397" s="379"/>
      <c r="L2397" s="380"/>
      <c r="M2397" s="380"/>
      <c r="N2397" s="463" t="s">
        <v>3785</v>
      </c>
      <c r="O2397" s="463"/>
      <c r="P2397" s="464"/>
      <c r="Q2397" s="431"/>
      <c r="R2397" s="464"/>
      <c r="S2397" s="466" t="s">
        <v>3785</v>
      </c>
      <c r="T2397" s="2" t="s">
        <v>5915</v>
      </c>
    </row>
    <row r="2398" spans="1:20" hidden="1" x14ac:dyDescent="0.35">
      <c r="A2398" s="494"/>
      <c r="B2398" s="510" t="s">
        <v>5811</v>
      </c>
      <c r="C2398" s="467" t="s">
        <v>5784</v>
      </c>
      <c r="D2398" s="467" t="s">
        <v>5784</v>
      </c>
      <c r="E2398" s="511" t="s">
        <v>2907</v>
      </c>
      <c r="F2398" s="466"/>
      <c r="G2398" s="473" t="s">
        <v>5809</v>
      </c>
      <c r="H2398" s="463" t="s">
        <v>5449</v>
      </c>
      <c r="I2398" s="508"/>
      <c r="J2398" s="508"/>
      <c r="K2398" s="379"/>
      <c r="L2398" s="380"/>
      <c r="M2398" s="380"/>
      <c r="N2398" s="463" t="s">
        <v>3785</v>
      </c>
      <c r="O2398" s="463"/>
      <c r="P2398" s="464"/>
      <c r="Q2398" s="431"/>
      <c r="R2398" s="464"/>
      <c r="S2398" s="466" t="s">
        <v>3785</v>
      </c>
      <c r="T2398" s="2" t="s">
        <v>5915</v>
      </c>
    </row>
    <row r="2399" spans="1:20" hidden="1" x14ac:dyDescent="0.35">
      <c r="A2399" s="494"/>
      <c r="B2399" s="510" t="s">
        <v>5811</v>
      </c>
      <c r="C2399" s="467" t="s">
        <v>5784</v>
      </c>
      <c r="D2399" s="467" t="s">
        <v>5784</v>
      </c>
      <c r="E2399" s="511" t="s">
        <v>2909</v>
      </c>
      <c r="F2399" s="466"/>
      <c r="G2399" s="473" t="s">
        <v>5809</v>
      </c>
      <c r="H2399" s="463" t="s">
        <v>5449</v>
      </c>
      <c r="I2399" s="508"/>
      <c r="J2399" s="508"/>
      <c r="K2399" s="379"/>
      <c r="L2399" s="380"/>
      <c r="M2399" s="380"/>
      <c r="N2399" s="463" t="s">
        <v>3785</v>
      </c>
      <c r="O2399" s="463"/>
      <c r="P2399" s="464"/>
      <c r="Q2399" s="431"/>
      <c r="R2399" s="464"/>
      <c r="S2399" s="466" t="s">
        <v>3785</v>
      </c>
      <c r="T2399" s="2" t="s">
        <v>5915</v>
      </c>
    </row>
    <row r="2400" spans="1:20" hidden="1" x14ac:dyDescent="0.35">
      <c r="A2400" s="494"/>
      <c r="B2400" s="510" t="s">
        <v>5811</v>
      </c>
      <c r="C2400" s="467" t="s">
        <v>5784</v>
      </c>
      <c r="D2400" s="467" t="s">
        <v>5784</v>
      </c>
      <c r="E2400" s="511" t="s">
        <v>2911</v>
      </c>
      <c r="F2400" s="466"/>
      <c r="G2400" s="473" t="s">
        <v>5809</v>
      </c>
      <c r="H2400" s="463" t="s">
        <v>5449</v>
      </c>
      <c r="I2400" s="508"/>
      <c r="J2400" s="508"/>
      <c r="K2400" s="379"/>
      <c r="L2400" s="380"/>
      <c r="M2400" s="380"/>
      <c r="N2400" s="463" t="s">
        <v>3785</v>
      </c>
      <c r="O2400" s="463"/>
      <c r="P2400" s="464"/>
      <c r="Q2400" s="431"/>
      <c r="R2400" s="464"/>
      <c r="S2400" s="466" t="s">
        <v>3785</v>
      </c>
      <c r="T2400" s="2" t="s">
        <v>5915</v>
      </c>
    </row>
    <row r="2401" spans="1:20" hidden="1" x14ac:dyDescent="0.35">
      <c r="A2401" s="494"/>
      <c r="B2401" s="510" t="s">
        <v>5808</v>
      </c>
      <c r="C2401" s="467" t="s">
        <v>5784</v>
      </c>
      <c r="D2401" s="467" t="s">
        <v>5784</v>
      </c>
      <c r="E2401" s="511" t="s">
        <v>2945</v>
      </c>
      <c r="F2401" s="466"/>
      <c r="G2401" s="473" t="s">
        <v>5809</v>
      </c>
      <c r="H2401" s="463" t="s">
        <v>5449</v>
      </c>
      <c r="I2401" s="508"/>
      <c r="J2401" s="508"/>
      <c r="K2401" s="379"/>
      <c r="L2401" s="380"/>
      <c r="M2401" s="380"/>
      <c r="N2401" s="463" t="s">
        <v>2675</v>
      </c>
      <c r="O2401" s="463"/>
      <c r="P2401" s="464"/>
      <c r="Q2401" s="431"/>
      <c r="R2401" s="464"/>
      <c r="S2401" s="466" t="s">
        <v>2675</v>
      </c>
      <c r="T2401" s="2" t="s">
        <v>5915</v>
      </c>
    </row>
    <row r="2402" spans="1:20" hidden="1" x14ac:dyDescent="0.35">
      <c r="A2402" s="494"/>
      <c r="B2402" s="510" t="s">
        <v>5808</v>
      </c>
      <c r="C2402" s="467" t="s">
        <v>5784</v>
      </c>
      <c r="D2402" s="467" t="s">
        <v>5784</v>
      </c>
      <c r="E2402" s="511" t="s">
        <v>2947</v>
      </c>
      <c r="F2402" s="466"/>
      <c r="G2402" s="473" t="s">
        <v>5809</v>
      </c>
      <c r="H2402" s="463" t="s">
        <v>5449</v>
      </c>
      <c r="I2402" s="508"/>
      <c r="J2402" s="508"/>
      <c r="K2402" s="379"/>
      <c r="L2402" s="380"/>
      <c r="M2402" s="380"/>
      <c r="N2402" s="463" t="s">
        <v>2675</v>
      </c>
      <c r="O2402" s="463"/>
      <c r="P2402" s="464"/>
      <c r="Q2402" s="431"/>
      <c r="R2402" s="464"/>
      <c r="S2402" s="466" t="s">
        <v>2675</v>
      </c>
      <c r="T2402" s="2" t="s">
        <v>5915</v>
      </c>
    </row>
    <row r="2403" spans="1:20" hidden="1" x14ac:dyDescent="0.35">
      <c r="A2403" s="494"/>
      <c r="B2403" s="510" t="s">
        <v>5808</v>
      </c>
      <c r="C2403" s="467" t="s">
        <v>5784</v>
      </c>
      <c r="D2403" s="467" t="s">
        <v>5784</v>
      </c>
      <c r="E2403" s="511" t="s">
        <v>2949</v>
      </c>
      <c r="F2403" s="466"/>
      <c r="G2403" s="473" t="s">
        <v>5809</v>
      </c>
      <c r="H2403" s="463" t="s">
        <v>5449</v>
      </c>
      <c r="I2403" s="508"/>
      <c r="J2403" s="508"/>
      <c r="K2403" s="379"/>
      <c r="L2403" s="380"/>
      <c r="M2403" s="380"/>
      <c r="N2403" s="463" t="s">
        <v>2675</v>
      </c>
      <c r="O2403" s="463"/>
      <c r="P2403" s="464"/>
      <c r="Q2403" s="431"/>
      <c r="R2403" s="464"/>
      <c r="S2403" s="466" t="s">
        <v>2675</v>
      </c>
      <c r="T2403" s="2" t="s">
        <v>5915</v>
      </c>
    </row>
    <row r="2404" spans="1:20" hidden="1" x14ac:dyDescent="0.35">
      <c r="A2404" s="494"/>
      <c r="B2404" s="510" t="s">
        <v>5810</v>
      </c>
      <c r="C2404" s="467" t="s">
        <v>5784</v>
      </c>
      <c r="D2404" s="467" t="s">
        <v>5784</v>
      </c>
      <c r="E2404" s="511" t="s">
        <v>2956</v>
      </c>
      <c r="F2404" s="466"/>
      <c r="G2404" s="473" t="s">
        <v>5809</v>
      </c>
      <c r="H2404" s="463" t="s">
        <v>5449</v>
      </c>
      <c r="I2404" s="508"/>
      <c r="J2404" s="508"/>
      <c r="K2404" s="379"/>
      <c r="L2404" s="380"/>
      <c r="M2404" s="380"/>
      <c r="N2404" s="463" t="s">
        <v>1377</v>
      </c>
      <c r="O2404" s="463"/>
      <c r="P2404" s="464"/>
      <c r="Q2404" s="431"/>
      <c r="R2404" s="464"/>
      <c r="S2404" s="466" t="s">
        <v>1377</v>
      </c>
      <c r="T2404" s="2" t="s">
        <v>5915</v>
      </c>
    </row>
    <row r="2405" spans="1:20" hidden="1" x14ac:dyDescent="0.35">
      <c r="A2405" s="494"/>
      <c r="B2405" s="510" t="s">
        <v>5810</v>
      </c>
      <c r="C2405" s="467" t="s">
        <v>5784</v>
      </c>
      <c r="D2405" s="467" t="s">
        <v>5784</v>
      </c>
      <c r="E2405" s="511" t="s">
        <v>2958</v>
      </c>
      <c r="F2405" s="466"/>
      <c r="G2405" s="473" t="s">
        <v>5809</v>
      </c>
      <c r="H2405" s="463" t="s">
        <v>5449</v>
      </c>
      <c r="I2405" s="508"/>
      <c r="J2405" s="508"/>
      <c r="K2405" s="379"/>
      <c r="L2405" s="380"/>
      <c r="M2405" s="380"/>
      <c r="N2405" s="463" t="s">
        <v>1377</v>
      </c>
      <c r="O2405" s="463"/>
      <c r="P2405" s="464"/>
      <c r="Q2405" s="431"/>
      <c r="R2405" s="464"/>
      <c r="S2405" s="466" t="s">
        <v>1377</v>
      </c>
      <c r="T2405" s="2" t="s">
        <v>5915</v>
      </c>
    </row>
    <row r="2406" spans="1:20" hidden="1" x14ac:dyDescent="0.35">
      <c r="A2406" s="494"/>
      <c r="B2406" s="510" t="s">
        <v>5812</v>
      </c>
      <c r="C2406" s="467" t="s">
        <v>5784</v>
      </c>
      <c r="D2406" s="467" t="s">
        <v>5784</v>
      </c>
      <c r="E2406" s="511" t="s">
        <v>3026</v>
      </c>
      <c r="F2406" s="466"/>
      <c r="G2406" s="473" t="s">
        <v>5809</v>
      </c>
      <c r="H2406" s="463" t="s">
        <v>5449</v>
      </c>
      <c r="I2406" s="508"/>
      <c r="J2406" s="508"/>
      <c r="K2406" s="379"/>
      <c r="L2406" s="380"/>
      <c r="M2406" s="380"/>
      <c r="N2406" s="463" t="s">
        <v>1377</v>
      </c>
      <c r="O2406" s="463"/>
      <c r="P2406" s="464"/>
      <c r="Q2406" s="431"/>
      <c r="R2406" s="464"/>
      <c r="S2406" s="466" t="s">
        <v>1377</v>
      </c>
      <c r="T2406" s="2" t="s">
        <v>5915</v>
      </c>
    </row>
    <row r="2407" spans="1:20" hidden="1" x14ac:dyDescent="0.35">
      <c r="A2407" s="494"/>
      <c r="B2407" s="510" t="s">
        <v>5813</v>
      </c>
      <c r="C2407" s="467" t="s">
        <v>5784</v>
      </c>
      <c r="D2407" s="467" t="s">
        <v>5784</v>
      </c>
      <c r="E2407" s="511" t="s">
        <v>3029</v>
      </c>
      <c r="F2407" s="466"/>
      <c r="G2407" s="473" t="s">
        <v>5809</v>
      </c>
      <c r="H2407" s="463" t="s">
        <v>5449</v>
      </c>
      <c r="I2407" s="508"/>
      <c r="J2407" s="508"/>
      <c r="K2407" s="379"/>
      <c r="L2407" s="380"/>
      <c r="M2407" s="380"/>
      <c r="N2407" s="463" t="s">
        <v>3785</v>
      </c>
      <c r="O2407" s="463"/>
      <c r="P2407" s="464"/>
      <c r="Q2407" s="431"/>
      <c r="R2407" s="464"/>
      <c r="S2407" s="466" t="s">
        <v>3785</v>
      </c>
      <c r="T2407" s="2" t="s">
        <v>5915</v>
      </c>
    </row>
    <row r="2408" spans="1:20" hidden="1" x14ac:dyDescent="0.35">
      <c r="A2408" s="494"/>
      <c r="B2408" s="510" t="s">
        <v>5808</v>
      </c>
      <c r="C2408" s="467" t="s">
        <v>5784</v>
      </c>
      <c r="D2408" s="467" t="s">
        <v>5784</v>
      </c>
      <c r="E2408" s="511" t="s">
        <v>3031</v>
      </c>
      <c r="F2408" s="466"/>
      <c r="G2408" s="473" t="s">
        <v>5809</v>
      </c>
      <c r="H2408" s="463" t="s">
        <v>5449</v>
      </c>
      <c r="I2408" s="508"/>
      <c r="J2408" s="508"/>
      <c r="K2408" s="379"/>
      <c r="L2408" s="380"/>
      <c r="M2408" s="380"/>
      <c r="N2408" s="463" t="s">
        <v>3785</v>
      </c>
      <c r="O2408" s="463"/>
      <c r="P2408" s="464"/>
      <c r="Q2408" s="431"/>
      <c r="R2408" s="464"/>
      <c r="S2408" s="466" t="s">
        <v>3785</v>
      </c>
      <c r="T2408" s="2" t="s">
        <v>5915</v>
      </c>
    </row>
    <row r="2409" spans="1:20" hidden="1" x14ac:dyDescent="0.35">
      <c r="A2409" s="494"/>
      <c r="B2409" s="510" t="s">
        <v>5808</v>
      </c>
      <c r="C2409" s="467" t="s">
        <v>5784</v>
      </c>
      <c r="D2409" s="467" t="s">
        <v>5784</v>
      </c>
      <c r="E2409" s="511" t="s">
        <v>3036</v>
      </c>
      <c r="F2409" s="466"/>
      <c r="G2409" s="473" t="s">
        <v>5809</v>
      </c>
      <c r="H2409" s="463" t="s">
        <v>5449</v>
      </c>
      <c r="I2409" s="508"/>
      <c r="J2409" s="508"/>
      <c r="K2409" s="379"/>
      <c r="L2409" s="380"/>
      <c r="M2409" s="380"/>
      <c r="N2409" s="463" t="s">
        <v>2701</v>
      </c>
      <c r="O2409" s="463"/>
      <c r="P2409" s="464"/>
      <c r="Q2409" s="431"/>
      <c r="R2409" s="464"/>
      <c r="S2409" s="466" t="s">
        <v>2701</v>
      </c>
      <c r="T2409" s="2" t="s">
        <v>5915</v>
      </c>
    </row>
    <row r="2410" spans="1:20" hidden="1" x14ac:dyDescent="0.35">
      <c r="A2410" s="494"/>
      <c r="B2410" s="510" t="s">
        <v>5808</v>
      </c>
      <c r="C2410" s="467" t="s">
        <v>5784</v>
      </c>
      <c r="D2410" s="467" t="s">
        <v>5784</v>
      </c>
      <c r="E2410" s="511" t="s">
        <v>3041</v>
      </c>
      <c r="F2410" s="466"/>
      <c r="G2410" s="473" t="s">
        <v>5809</v>
      </c>
      <c r="H2410" s="463" t="s">
        <v>5449</v>
      </c>
      <c r="I2410" s="508"/>
      <c r="J2410" s="508"/>
      <c r="K2410" s="379"/>
      <c r="L2410" s="380"/>
      <c r="M2410" s="380"/>
      <c r="N2410" s="463" t="s">
        <v>2701</v>
      </c>
      <c r="O2410" s="463"/>
      <c r="P2410" s="464"/>
      <c r="Q2410" s="431"/>
      <c r="R2410" s="464"/>
      <c r="S2410" s="466" t="s">
        <v>2701</v>
      </c>
      <c r="T2410" s="2" t="s">
        <v>5915</v>
      </c>
    </row>
    <row r="2411" spans="1:20" hidden="1" x14ac:dyDescent="0.35">
      <c r="A2411" s="494"/>
      <c r="B2411" s="510" t="s">
        <v>5814</v>
      </c>
      <c r="C2411" s="467" t="s">
        <v>5784</v>
      </c>
      <c r="D2411" s="467" t="s">
        <v>5784</v>
      </c>
      <c r="E2411" s="511" t="s">
        <v>2747</v>
      </c>
      <c r="F2411" s="466"/>
      <c r="G2411" s="473" t="s">
        <v>2748</v>
      </c>
      <c r="H2411" s="463" t="s">
        <v>5449</v>
      </c>
      <c r="I2411" s="508"/>
      <c r="J2411" s="508"/>
      <c r="K2411" s="379"/>
      <c r="L2411" s="380"/>
      <c r="M2411" s="380"/>
      <c r="N2411" s="463" t="s">
        <v>3785</v>
      </c>
      <c r="O2411" s="463"/>
      <c r="P2411" s="464"/>
      <c r="Q2411" s="431"/>
      <c r="R2411" s="464"/>
      <c r="S2411" s="466" t="s">
        <v>3785</v>
      </c>
      <c r="T2411" s="2" t="s">
        <v>5915</v>
      </c>
    </row>
    <row r="2412" spans="1:20" hidden="1" x14ac:dyDescent="0.35">
      <c r="A2412" s="494"/>
      <c r="B2412" s="510" t="s">
        <v>5814</v>
      </c>
      <c r="C2412" s="467" t="s">
        <v>5784</v>
      </c>
      <c r="D2412" s="467" t="s">
        <v>5784</v>
      </c>
      <c r="E2412" s="511" t="s">
        <v>2750</v>
      </c>
      <c r="F2412" s="466"/>
      <c r="G2412" s="473" t="s">
        <v>2748</v>
      </c>
      <c r="H2412" s="463" t="s">
        <v>5449</v>
      </c>
      <c r="I2412" s="508"/>
      <c r="J2412" s="508"/>
      <c r="K2412" s="379"/>
      <c r="L2412" s="380"/>
      <c r="M2412" s="380"/>
      <c r="N2412" s="463" t="s">
        <v>3785</v>
      </c>
      <c r="O2412" s="463"/>
      <c r="P2412" s="464"/>
      <c r="Q2412" s="431"/>
      <c r="R2412" s="464"/>
      <c r="S2412" s="466" t="s">
        <v>3785</v>
      </c>
      <c r="T2412" s="2" t="s">
        <v>5915</v>
      </c>
    </row>
    <row r="2413" spans="1:20" hidden="1" x14ac:dyDescent="0.35">
      <c r="A2413" s="494"/>
      <c r="B2413" s="15" t="s">
        <v>5815</v>
      </c>
      <c r="C2413" s="467" t="s">
        <v>5784</v>
      </c>
      <c r="D2413" s="467" t="s">
        <v>5784</v>
      </c>
      <c r="E2413" s="511" t="s">
        <v>2973</v>
      </c>
      <c r="F2413" s="466"/>
      <c r="G2413" s="473" t="s">
        <v>3612</v>
      </c>
      <c r="H2413" s="463" t="s">
        <v>5449</v>
      </c>
      <c r="I2413" s="508"/>
      <c r="J2413" s="508"/>
      <c r="K2413" s="379"/>
      <c r="L2413" s="380"/>
      <c r="M2413" s="380"/>
      <c r="N2413" s="463" t="s">
        <v>1377</v>
      </c>
      <c r="O2413" s="463"/>
      <c r="P2413" s="464"/>
      <c r="Q2413" s="431"/>
      <c r="R2413" s="464"/>
      <c r="S2413" s="466" t="s">
        <v>1377</v>
      </c>
      <c r="T2413" s="2" t="s">
        <v>5915</v>
      </c>
    </row>
    <row r="2414" spans="1:20" hidden="1" x14ac:dyDescent="0.35">
      <c r="A2414" s="494"/>
      <c r="B2414" s="15" t="s">
        <v>5815</v>
      </c>
      <c r="C2414" s="467" t="s">
        <v>5784</v>
      </c>
      <c r="D2414" s="467" t="s">
        <v>5784</v>
      </c>
      <c r="E2414" s="511" t="s">
        <v>2975</v>
      </c>
      <c r="F2414" s="466"/>
      <c r="G2414" s="473" t="s">
        <v>3612</v>
      </c>
      <c r="H2414" s="463" t="s">
        <v>5449</v>
      </c>
      <c r="I2414" s="508"/>
      <c r="J2414" s="508"/>
      <c r="K2414" s="379"/>
      <c r="L2414" s="380"/>
      <c r="M2414" s="380"/>
      <c r="N2414" s="463" t="s">
        <v>1377</v>
      </c>
      <c r="O2414" s="463"/>
      <c r="P2414" s="464"/>
      <c r="Q2414" s="431"/>
      <c r="R2414" s="464"/>
      <c r="S2414" s="466" t="s">
        <v>1377</v>
      </c>
      <c r="T2414" s="2" t="s">
        <v>5915</v>
      </c>
    </row>
    <row r="2415" spans="1:20" hidden="1" x14ac:dyDescent="0.35">
      <c r="A2415" s="494"/>
      <c r="B2415" s="510" t="s">
        <v>5816</v>
      </c>
      <c r="C2415" s="467" t="s">
        <v>5784</v>
      </c>
      <c r="D2415" s="467" t="s">
        <v>5784</v>
      </c>
      <c r="E2415" s="511" t="s">
        <v>2928</v>
      </c>
      <c r="F2415" s="466"/>
      <c r="G2415" s="473" t="s">
        <v>3613</v>
      </c>
      <c r="H2415" s="463" t="s">
        <v>5449</v>
      </c>
      <c r="I2415" s="508"/>
      <c r="J2415" s="508"/>
      <c r="K2415" s="379"/>
      <c r="L2415" s="380"/>
      <c r="M2415" s="380"/>
      <c r="N2415" s="463" t="s">
        <v>3785</v>
      </c>
      <c r="O2415" s="463"/>
      <c r="P2415" s="464"/>
      <c r="Q2415" s="431"/>
      <c r="R2415" s="464"/>
      <c r="S2415" s="466" t="s">
        <v>3785</v>
      </c>
      <c r="T2415" s="2" t="s">
        <v>5915</v>
      </c>
    </row>
    <row r="2416" spans="1:20" hidden="1" x14ac:dyDescent="0.35">
      <c r="A2416" s="494"/>
      <c r="B2416" s="510" t="s">
        <v>3629</v>
      </c>
      <c r="C2416" s="467" t="s">
        <v>5784</v>
      </c>
      <c r="D2416" s="467" t="s">
        <v>5784</v>
      </c>
      <c r="E2416" s="511" t="s">
        <v>3614</v>
      </c>
      <c r="F2416" s="466"/>
      <c r="G2416" s="473" t="s">
        <v>2665</v>
      </c>
      <c r="H2416" s="463" t="s">
        <v>5449</v>
      </c>
      <c r="I2416" s="508"/>
      <c r="J2416" s="508"/>
      <c r="K2416" s="379"/>
      <c r="L2416" s="380"/>
      <c r="M2416" s="380"/>
      <c r="N2416" s="463" t="s">
        <v>3785</v>
      </c>
      <c r="O2416" s="463"/>
      <c r="P2416" s="464"/>
      <c r="Q2416" s="431"/>
      <c r="R2416" s="464"/>
      <c r="S2416" s="466" t="s">
        <v>3785</v>
      </c>
      <c r="T2416" s="2" t="s">
        <v>5915</v>
      </c>
    </row>
    <row r="2417" spans="1:20" hidden="1" x14ac:dyDescent="0.35">
      <c r="A2417" s="494"/>
      <c r="B2417" s="510" t="s">
        <v>3630</v>
      </c>
      <c r="C2417" s="467" t="s">
        <v>5784</v>
      </c>
      <c r="D2417" s="467" t="s">
        <v>5784</v>
      </c>
      <c r="E2417" s="511" t="s">
        <v>3615</v>
      </c>
      <c r="F2417" s="466"/>
      <c r="G2417" s="473" t="s">
        <v>2665</v>
      </c>
      <c r="H2417" s="463" t="s">
        <v>5449</v>
      </c>
      <c r="I2417" s="508"/>
      <c r="J2417" s="508"/>
      <c r="K2417" s="379"/>
      <c r="L2417" s="380"/>
      <c r="M2417" s="380"/>
      <c r="N2417" s="463" t="s">
        <v>3785</v>
      </c>
      <c r="O2417" s="463"/>
      <c r="P2417" s="464"/>
      <c r="Q2417" s="431"/>
      <c r="R2417" s="464"/>
      <c r="S2417" s="466" t="s">
        <v>3785</v>
      </c>
      <c r="T2417" s="2" t="s">
        <v>5915</v>
      </c>
    </row>
    <row r="2418" spans="1:20" hidden="1" x14ac:dyDescent="0.35">
      <c r="A2418" s="494"/>
      <c r="B2418" s="510" t="s">
        <v>3630</v>
      </c>
      <c r="C2418" s="467" t="s">
        <v>5784</v>
      </c>
      <c r="D2418" s="467" t="s">
        <v>5784</v>
      </c>
      <c r="E2418" s="511" t="s">
        <v>3616</v>
      </c>
      <c r="F2418" s="466"/>
      <c r="G2418" s="473" t="s">
        <v>2665</v>
      </c>
      <c r="H2418" s="463" t="s">
        <v>5449</v>
      </c>
      <c r="I2418" s="508"/>
      <c r="J2418" s="508"/>
      <c r="K2418" s="379"/>
      <c r="L2418" s="380"/>
      <c r="M2418" s="380"/>
      <c r="N2418" s="463" t="s">
        <v>3785</v>
      </c>
      <c r="O2418" s="463"/>
      <c r="P2418" s="464"/>
      <c r="Q2418" s="431"/>
      <c r="R2418" s="464"/>
      <c r="S2418" s="466" t="s">
        <v>3785</v>
      </c>
      <c r="T2418" s="2" t="s">
        <v>5915</v>
      </c>
    </row>
    <row r="2419" spans="1:20" hidden="1" x14ac:dyDescent="0.35">
      <c r="A2419" s="494"/>
      <c r="B2419" s="510" t="s">
        <v>2693</v>
      </c>
      <c r="C2419" s="467" t="s">
        <v>5784</v>
      </c>
      <c r="D2419" s="467" t="s">
        <v>5784</v>
      </c>
      <c r="E2419" s="511">
        <v>16201047122</v>
      </c>
      <c r="F2419" s="466"/>
      <c r="G2419" s="473" t="s">
        <v>2694</v>
      </c>
      <c r="H2419" s="463" t="s">
        <v>5449</v>
      </c>
      <c r="I2419" s="508"/>
      <c r="J2419" s="508"/>
      <c r="K2419" s="379"/>
      <c r="L2419" s="380"/>
      <c r="M2419" s="380"/>
      <c r="N2419" s="463" t="s">
        <v>3785</v>
      </c>
      <c r="O2419" s="463"/>
      <c r="P2419" s="464"/>
      <c r="Q2419" s="431"/>
      <c r="R2419" s="464"/>
      <c r="S2419" s="466" t="s">
        <v>3785</v>
      </c>
      <c r="T2419" s="2" t="s">
        <v>5915</v>
      </c>
    </row>
    <row r="2420" spans="1:20" hidden="1" x14ac:dyDescent="0.35">
      <c r="A2420" s="494"/>
      <c r="B2420" s="510" t="s">
        <v>3631</v>
      </c>
      <c r="C2420" s="467" t="s">
        <v>5784</v>
      </c>
      <c r="D2420" s="467" t="s">
        <v>5784</v>
      </c>
      <c r="E2420" s="511">
        <v>16201047147</v>
      </c>
      <c r="F2420" s="466"/>
      <c r="G2420" s="473" t="s">
        <v>2694</v>
      </c>
      <c r="H2420" s="463" t="s">
        <v>5449</v>
      </c>
      <c r="I2420" s="508"/>
      <c r="J2420" s="508"/>
      <c r="K2420" s="379"/>
      <c r="L2420" s="380"/>
      <c r="M2420" s="380"/>
      <c r="N2420" s="463" t="s">
        <v>3785</v>
      </c>
      <c r="O2420" s="463"/>
      <c r="P2420" s="464"/>
      <c r="Q2420" s="431"/>
      <c r="R2420" s="464"/>
      <c r="S2420" s="466" t="s">
        <v>3785</v>
      </c>
      <c r="T2420" s="2" t="s">
        <v>5915</v>
      </c>
    </row>
    <row r="2421" spans="1:20" hidden="1" x14ac:dyDescent="0.35">
      <c r="A2421" s="494"/>
      <c r="B2421" s="510" t="s">
        <v>3632</v>
      </c>
      <c r="C2421" s="467" t="s">
        <v>5784</v>
      </c>
      <c r="D2421" s="467" t="s">
        <v>5784</v>
      </c>
      <c r="E2421" s="511" t="s">
        <v>3617</v>
      </c>
      <c r="F2421" s="466"/>
      <c r="G2421" s="473" t="s">
        <v>2665</v>
      </c>
      <c r="H2421" s="463" t="s">
        <v>5449</v>
      </c>
      <c r="I2421" s="508"/>
      <c r="J2421" s="508"/>
      <c r="K2421" s="379"/>
      <c r="L2421" s="380"/>
      <c r="M2421" s="380"/>
      <c r="N2421" s="463" t="s">
        <v>3785</v>
      </c>
      <c r="O2421" s="463"/>
      <c r="P2421" s="464"/>
      <c r="Q2421" s="431"/>
      <c r="R2421" s="464"/>
      <c r="S2421" s="466" t="s">
        <v>3785</v>
      </c>
      <c r="T2421" s="2" t="s">
        <v>5915</v>
      </c>
    </row>
    <row r="2422" spans="1:20" hidden="1" x14ac:dyDescent="0.35">
      <c r="A2422" s="494"/>
      <c r="B2422" s="510" t="s">
        <v>3635</v>
      </c>
      <c r="C2422" s="467" t="s">
        <v>5784</v>
      </c>
      <c r="D2422" s="467" t="s">
        <v>5784</v>
      </c>
      <c r="E2422" s="511" t="s">
        <v>3619</v>
      </c>
      <c r="F2422" s="466"/>
      <c r="G2422" s="473" t="s">
        <v>3621</v>
      </c>
      <c r="H2422" s="463" t="s">
        <v>5449</v>
      </c>
      <c r="I2422" s="508"/>
      <c r="J2422" s="508"/>
      <c r="K2422" s="379"/>
      <c r="L2422" s="380"/>
      <c r="M2422" s="380"/>
      <c r="N2422" s="463" t="s">
        <v>3785</v>
      </c>
      <c r="O2422" s="463"/>
      <c r="P2422" s="464"/>
      <c r="Q2422" s="431"/>
      <c r="R2422" s="464"/>
      <c r="S2422" s="466" t="s">
        <v>3785</v>
      </c>
      <c r="T2422" s="2" t="s">
        <v>5915</v>
      </c>
    </row>
    <row r="2423" spans="1:20" hidden="1" x14ac:dyDescent="0.35">
      <c r="A2423" s="494" t="s">
        <v>4207</v>
      </c>
      <c r="B2423" s="463" t="s">
        <v>2559</v>
      </c>
      <c r="C2423" s="467">
        <v>45237</v>
      </c>
      <c r="D2423" s="467">
        <v>45237</v>
      </c>
      <c r="E2423" s="467" t="s">
        <v>2560</v>
      </c>
      <c r="F2423" s="466" t="s">
        <v>5817</v>
      </c>
      <c r="G2423" s="466" t="s">
        <v>5168</v>
      </c>
      <c r="H2423" s="463" t="s">
        <v>5449</v>
      </c>
      <c r="I2423" s="508">
        <f>2119997.64/5</f>
        <v>423999.52800000005</v>
      </c>
      <c r="J2423" s="508">
        <f>187024.84/5</f>
        <v>37404.968000000001</v>
      </c>
      <c r="K2423" s="379">
        <f t="shared" ref="K2423:K2428" si="187">+J2423*(0.5556)</f>
        <v>20782.200220800001</v>
      </c>
      <c r="L2423" s="380">
        <f t="shared" ref="L2423:L2428" si="188">+K2423*Q2423</f>
        <v>4156.4400441600001</v>
      </c>
      <c r="M2423" s="380" t="s">
        <v>6169</v>
      </c>
      <c r="N2423" s="463" t="s">
        <v>3785</v>
      </c>
      <c r="O2423" s="463" t="s">
        <v>5818</v>
      </c>
      <c r="P2423" s="464" t="s">
        <v>3659</v>
      </c>
      <c r="Q2423" s="431">
        <v>0.2</v>
      </c>
      <c r="R2423" s="509" t="s">
        <v>5819</v>
      </c>
      <c r="S2423" s="466" t="s">
        <v>5820</v>
      </c>
      <c r="T2423" s="2" t="s">
        <v>5915</v>
      </c>
    </row>
    <row r="2424" spans="1:20" hidden="1" x14ac:dyDescent="0.35">
      <c r="A2424" s="494" t="s">
        <v>4208</v>
      </c>
      <c r="B2424" s="463" t="s">
        <v>2559</v>
      </c>
      <c r="C2424" s="467">
        <v>45237</v>
      </c>
      <c r="D2424" s="467">
        <v>45237</v>
      </c>
      <c r="E2424" s="467" t="s">
        <v>2561</v>
      </c>
      <c r="F2424" s="466" t="s">
        <v>5817</v>
      </c>
      <c r="G2424" s="466" t="s">
        <v>5168</v>
      </c>
      <c r="H2424" s="463" t="s">
        <v>5449</v>
      </c>
      <c r="I2424" s="508">
        <f>2119997.64/5</f>
        <v>423999.52800000005</v>
      </c>
      <c r="J2424" s="508">
        <f>187024.84/5</f>
        <v>37404.968000000001</v>
      </c>
      <c r="K2424" s="379">
        <f t="shared" si="187"/>
        <v>20782.200220800001</v>
      </c>
      <c r="L2424" s="380">
        <f t="shared" si="188"/>
        <v>4156.4400441600001</v>
      </c>
      <c r="M2424" s="380" t="s">
        <v>6169</v>
      </c>
      <c r="N2424" s="463" t="s">
        <v>3785</v>
      </c>
      <c r="O2424" s="463" t="s">
        <v>5818</v>
      </c>
      <c r="P2424" s="464" t="s">
        <v>3659</v>
      </c>
      <c r="Q2424" s="431">
        <v>0.2</v>
      </c>
      <c r="R2424" s="464" t="s">
        <v>5819</v>
      </c>
      <c r="S2424" s="466" t="s">
        <v>5821</v>
      </c>
      <c r="T2424" s="2" t="s">
        <v>5915</v>
      </c>
    </row>
    <row r="2425" spans="1:20" hidden="1" x14ac:dyDescent="0.35">
      <c r="A2425" s="494" t="s">
        <v>4209</v>
      </c>
      <c r="B2425" s="463" t="s">
        <v>2559</v>
      </c>
      <c r="C2425" s="467">
        <v>45237</v>
      </c>
      <c r="D2425" s="467">
        <v>45237</v>
      </c>
      <c r="E2425" s="467" t="s">
        <v>2562</v>
      </c>
      <c r="F2425" s="473" t="s">
        <v>5817</v>
      </c>
      <c r="G2425" s="473" t="s">
        <v>5168</v>
      </c>
      <c r="H2425" s="463" t="s">
        <v>5449</v>
      </c>
      <c r="I2425" s="508">
        <f>2119997.64/5</f>
        <v>423999.52800000005</v>
      </c>
      <c r="J2425" s="508">
        <f>187024.84/5</f>
        <v>37404.968000000001</v>
      </c>
      <c r="K2425" s="379">
        <f t="shared" si="187"/>
        <v>20782.200220800001</v>
      </c>
      <c r="L2425" s="380">
        <f t="shared" si="188"/>
        <v>4156.4400441600001</v>
      </c>
      <c r="M2425" s="380" t="s">
        <v>6169</v>
      </c>
      <c r="N2425" s="463" t="s">
        <v>3785</v>
      </c>
      <c r="O2425" s="463" t="s">
        <v>5818</v>
      </c>
      <c r="P2425" s="464" t="s">
        <v>3659</v>
      </c>
      <c r="Q2425" s="431">
        <v>0.2</v>
      </c>
      <c r="R2425" s="509" t="s">
        <v>5819</v>
      </c>
      <c r="S2425" s="466" t="s">
        <v>5822</v>
      </c>
      <c r="T2425" s="2" t="s">
        <v>5915</v>
      </c>
    </row>
    <row r="2426" spans="1:20" hidden="1" x14ac:dyDescent="0.35">
      <c r="A2426" s="494" t="s">
        <v>4211</v>
      </c>
      <c r="B2426" s="463" t="s">
        <v>2559</v>
      </c>
      <c r="C2426" s="467">
        <v>45237</v>
      </c>
      <c r="D2426" s="467">
        <v>45237</v>
      </c>
      <c r="E2426" s="467" t="s">
        <v>2563</v>
      </c>
      <c r="F2426" s="466" t="s">
        <v>5817</v>
      </c>
      <c r="G2426" s="466" t="s">
        <v>5168</v>
      </c>
      <c r="H2426" s="463" t="s">
        <v>5449</v>
      </c>
      <c r="I2426" s="508">
        <f>2119997.64/5</f>
        <v>423999.52800000005</v>
      </c>
      <c r="J2426" s="508">
        <f>187024.84/5</f>
        <v>37404.968000000001</v>
      </c>
      <c r="K2426" s="379">
        <f t="shared" si="187"/>
        <v>20782.200220800001</v>
      </c>
      <c r="L2426" s="380">
        <f t="shared" si="188"/>
        <v>4156.4400441600001</v>
      </c>
      <c r="M2426" s="380" t="s">
        <v>6169</v>
      </c>
      <c r="N2426" s="463" t="s">
        <v>3785</v>
      </c>
      <c r="O2426" s="463" t="s">
        <v>5818</v>
      </c>
      <c r="P2426" s="464" t="s">
        <v>3659</v>
      </c>
      <c r="Q2426" s="431">
        <v>0.2</v>
      </c>
      <c r="R2426" s="464" t="s">
        <v>5819</v>
      </c>
      <c r="S2426" s="466" t="s">
        <v>5823</v>
      </c>
      <c r="T2426" s="2" t="s">
        <v>5915</v>
      </c>
    </row>
    <row r="2427" spans="1:20" hidden="1" x14ac:dyDescent="0.35">
      <c r="A2427" s="494" t="s">
        <v>4212</v>
      </c>
      <c r="B2427" s="463" t="s">
        <v>2559</v>
      </c>
      <c r="C2427" s="467">
        <v>45237</v>
      </c>
      <c r="D2427" s="467">
        <v>45237</v>
      </c>
      <c r="E2427" s="467" t="s">
        <v>2564</v>
      </c>
      <c r="F2427" s="466" t="s">
        <v>5817</v>
      </c>
      <c r="G2427" s="466" t="s">
        <v>5168</v>
      </c>
      <c r="H2427" s="463" t="s">
        <v>5449</v>
      </c>
      <c r="I2427" s="508">
        <f>2119997.64/5</f>
        <v>423999.52800000005</v>
      </c>
      <c r="J2427" s="508">
        <f>187024.84/5</f>
        <v>37404.968000000001</v>
      </c>
      <c r="K2427" s="379">
        <f t="shared" si="187"/>
        <v>20782.200220800001</v>
      </c>
      <c r="L2427" s="380">
        <f t="shared" si="188"/>
        <v>4156.4400441600001</v>
      </c>
      <c r="M2427" s="380" t="s">
        <v>6169</v>
      </c>
      <c r="N2427" s="463" t="s">
        <v>3785</v>
      </c>
      <c r="O2427" s="463" t="s">
        <v>5818</v>
      </c>
      <c r="P2427" s="464" t="s">
        <v>3659</v>
      </c>
      <c r="Q2427" s="431">
        <v>0.2</v>
      </c>
      <c r="R2427" s="464" t="s">
        <v>5819</v>
      </c>
      <c r="S2427" s="466" t="s">
        <v>5824</v>
      </c>
      <c r="T2427" s="2" t="s">
        <v>5915</v>
      </c>
    </row>
    <row r="2428" spans="1:20" hidden="1" x14ac:dyDescent="0.35">
      <c r="A2428" s="494"/>
      <c r="B2428" s="463" t="s">
        <v>5825</v>
      </c>
      <c r="C2428" s="467">
        <v>45261</v>
      </c>
      <c r="D2428" s="467">
        <v>45261</v>
      </c>
      <c r="E2428" s="467" t="s">
        <v>3531</v>
      </c>
      <c r="F2428" s="466"/>
      <c r="G2428" s="466" t="s">
        <v>3530</v>
      </c>
      <c r="H2428" s="463" t="s">
        <v>5449</v>
      </c>
      <c r="I2428" s="508">
        <v>294719.88127352495</v>
      </c>
      <c r="J2428" s="508">
        <v>26000</v>
      </c>
      <c r="K2428" s="379">
        <f t="shared" si="187"/>
        <v>14445.6</v>
      </c>
      <c r="L2428" s="380">
        <f t="shared" si="188"/>
        <v>2889.1200000000003</v>
      </c>
      <c r="M2428" s="380" t="s">
        <v>6169</v>
      </c>
      <c r="N2428" s="463" t="s">
        <v>3785</v>
      </c>
      <c r="O2428" s="463" t="s">
        <v>5818</v>
      </c>
      <c r="P2428" s="464" t="s">
        <v>3659</v>
      </c>
      <c r="Q2428" s="431">
        <v>0.2</v>
      </c>
      <c r="R2428" s="464" t="s">
        <v>5819</v>
      </c>
      <c r="S2428" s="466" t="s">
        <v>3532</v>
      </c>
      <c r="T2428" s="2" t="s">
        <v>5915</v>
      </c>
    </row>
    <row r="2429" spans="1:20" hidden="1" x14ac:dyDescent="0.35">
      <c r="A2429" s="494" t="s">
        <v>4213</v>
      </c>
      <c r="B2429" s="463" t="s">
        <v>2559</v>
      </c>
      <c r="C2429" s="467">
        <v>45237</v>
      </c>
      <c r="D2429" s="467">
        <v>45237</v>
      </c>
      <c r="E2429" s="467" t="s">
        <v>2565</v>
      </c>
      <c r="F2429" s="466" t="s">
        <v>5817</v>
      </c>
      <c r="G2429" s="466" t="s">
        <v>5168</v>
      </c>
      <c r="H2429" s="463" t="s">
        <v>5449</v>
      </c>
      <c r="I2429" s="508">
        <v>423999.52999999997</v>
      </c>
      <c r="J2429" s="508">
        <v>36391.310000000005</v>
      </c>
      <c r="K2429" s="379">
        <f>+J2429*(0.5556)</f>
        <v>20219.011836000001</v>
      </c>
      <c r="L2429" s="380">
        <f t="shared" ref="L2429:L2436" si="189">+K2429*Q2429</f>
        <v>4043.8023672000004</v>
      </c>
      <c r="M2429" s="380" t="s">
        <v>6169</v>
      </c>
      <c r="N2429" s="463" t="s">
        <v>3785</v>
      </c>
      <c r="O2429" s="463" t="s">
        <v>5818</v>
      </c>
      <c r="P2429" s="464" t="s">
        <v>3659</v>
      </c>
      <c r="Q2429" s="431">
        <v>0.2</v>
      </c>
      <c r="R2429" s="509">
        <v>1900000169</v>
      </c>
      <c r="S2429" s="466" t="s">
        <v>5826</v>
      </c>
      <c r="T2429" s="2" t="s">
        <v>5915</v>
      </c>
    </row>
    <row r="2430" spans="1:20" hidden="1" x14ac:dyDescent="0.35">
      <c r="A2430" s="494" t="s">
        <v>4214</v>
      </c>
      <c r="B2430" s="463" t="s">
        <v>2559</v>
      </c>
      <c r="C2430" s="467">
        <v>45237</v>
      </c>
      <c r="D2430" s="467">
        <v>45237</v>
      </c>
      <c r="E2430" s="467" t="s">
        <v>2566</v>
      </c>
      <c r="F2430" s="466" t="s">
        <v>5817</v>
      </c>
      <c r="G2430" s="466" t="s">
        <v>5168</v>
      </c>
      <c r="H2430" s="463" t="s">
        <v>5449</v>
      </c>
      <c r="I2430" s="508">
        <v>423999.52999999997</v>
      </c>
      <c r="J2430" s="508">
        <v>36391.310000000005</v>
      </c>
      <c r="K2430" s="379">
        <f>+J2430*(0.5556)</f>
        <v>20219.011836000001</v>
      </c>
      <c r="L2430" s="380">
        <f t="shared" si="189"/>
        <v>4043.8023672000004</v>
      </c>
      <c r="M2430" s="380" t="s">
        <v>6169</v>
      </c>
      <c r="N2430" s="463" t="s">
        <v>3785</v>
      </c>
      <c r="O2430" s="463" t="s">
        <v>5818</v>
      </c>
      <c r="P2430" s="464" t="s">
        <v>3659</v>
      </c>
      <c r="Q2430" s="431">
        <v>0.2</v>
      </c>
      <c r="R2430" s="509">
        <v>1900000169</v>
      </c>
      <c r="S2430" s="466" t="s">
        <v>2582</v>
      </c>
      <c r="T2430" s="2" t="s">
        <v>5915</v>
      </c>
    </row>
    <row r="2431" spans="1:20" hidden="1" x14ac:dyDescent="0.35">
      <c r="A2431" s="494" t="s">
        <v>4215</v>
      </c>
      <c r="B2431" s="463" t="s">
        <v>2559</v>
      </c>
      <c r="C2431" s="467">
        <v>45237</v>
      </c>
      <c r="D2431" s="467">
        <v>45237</v>
      </c>
      <c r="E2431" s="467" t="s">
        <v>2567</v>
      </c>
      <c r="F2431" s="473" t="s">
        <v>5817</v>
      </c>
      <c r="G2431" s="473" t="s">
        <v>5168</v>
      </c>
      <c r="H2431" s="463" t="s">
        <v>5449</v>
      </c>
      <c r="I2431" s="508">
        <v>423999.52999999997</v>
      </c>
      <c r="J2431" s="508">
        <v>36391.310000000005</v>
      </c>
      <c r="K2431" s="379">
        <f>+J2431*(0.5556)</f>
        <v>20219.011836000001</v>
      </c>
      <c r="L2431" s="380">
        <f t="shared" si="189"/>
        <v>4043.8023672000004</v>
      </c>
      <c r="M2431" s="380" t="s">
        <v>6169</v>
      </c>
      <c r="N2431" s="463" t="s">
        <v>5827</v>
      </c>
      <c r="O2431" s="463" t="s">
        <v>5818</v>
      </c>
      <c r="P2431" s="464" t="s">
        <v>3659</v>
      </c>
      <c r="Q2431" s="431">
        <v>0.2</v>
      </c>
      <c r="R2431" s="509">
        <v>1900000169</v>
      </c>
      <c r="S2431" s="466" t="s">
        <v>2583</v>
      </c>
      <c r="T2431" s="2" t="s">
        <v>5915</v>
      </c>
    </row>
    <row r="2432" spans="1:20" hidden="1" x14ac:dyDescent="0.35">
      <c r="A2432" s="494" t="s">
        <v>4216</v>
      </c>
      <c r="B2432" s="463" t="s">
        <v>2559</v>
      </c>
      <c r="C2432" s="467">
        <v>45237</v>
      </c>
      <c r="D2432" s="467">
        <v>45237</v>
      </c>
      <c r="E2432" s="467" t="s">
        <v>2568</v>
      </c>
      <c r="F2432" s="466" t="s">
        <v>5817</v>
      </c>
      <c r="G2432" s="466" t="s">
        <v>5168</v>
      </c>
      <c r="H2432" s="463" t="s">
        <v>5449</v>
      </c>
      <c r="I2432" s="508">
        <v>423999.52999999997</v>
      </c>
      <c r="J2432" s="508">
        <v>36391.310000000005</v>
      </c>
      <c r="K2432" s="379">
        <f>+J2432*(0.5556)</f>
        <v>20219.011836000001</v>
      </c>
      <c r="L2432" s="380">
        <f t="shared" si="189"/>
        <v>4043.8023672000004</v>
      </c>
      <c r="M2432" s="380" t="s">
        <v>6169</v>
      </c>
      <c r="N2432" s="463" t="s">
        <v>5828</v>
      </c>
      <c r="O2432" s="463" t="s">
        <v>5818</v>
      </c>
      <c r="P2432" s="464" t="s">
        <v>3659</v>
      </c>
      <c r="Q2432" s="431">
        <v>0.2</v>
      </c>
      <c r="R2432" s="509">
        <v>1900000169</v>
      </c>
      <c r="S2432" s="466" t="s">
        <v>2584</v>
      </c>
      <c r="T2432" s="2" t="s">
        <v>5915</v>
      </c>
    </row>
    <row r="2433" spans="1:21" hidden="1" x14ac:dyDescent="0.35">
      <c r="A2433" s="494" t="s">
        <v>4217</v>
      </c>
      <c r="B2433" s="463" t="s">
        <v>2559</v>
      </c>
      <c r="C2433" s="467">
        <v>45237</v>
      </c>
      <c r="D2433" s="467">
        <v>45237</v>
      </c>
      <c r="E2433" s="467" t="s">
        <v>2569</v>
      </c>
      <c r="F2433" s="466" t="s">
        <v>5817</v>
      </c>
      <c r="G2433" s="466" t="s">
        <v>5168</v>
      </c>
      <c r="H2433" s="463" t="s">
        <v>5449</v>
      </c>
      <c r="I2433" s="508">
        <v>423999.52999999997</v>
      </c>
      <c r="J2433" s="508">
        <v>36391.310000000005</v>
      </c>
      <c r="K2433" s="379">
        <f>+J2433*(0.5556)</f>
        <v>20219.011836000001</v>
      </c>
      <c r="L2433" s="380">
        <f t="shared" si="189"/>
        <v>4043.8023672000004</v>
      </c>
      <c r="M2433" s="380" t="s">
        <v>6169</v>
      </c>
      <c r="N2433" s="463" t="s">
        <v>5829</v>
      </c>
      <c r="O2433" s="463" t="s">
        <v>5818</v>
      </c>
      <c r="P2433" s="464" t="s">
        <v>3659</v>
      </c>
      <c r="Q2433" s="431">
        <v>0.2</v>
      </c>
      <c r="R2433" s="509">
        <v>1900000169</v>
      </c>
      <c r="S2433" s="466" t="s">
        <v>2585</v>
      </c>
      <c r="T2433" s="2" t="s">
        <v>5915</v>
      </c>
    </row>
    <row r="2434" spans="1:21" hidden="1" x14ac:dyDescent="0.35">
      <c r="A2434" s="432" t="s">
        <v>4775</v>
      </c>
      <c r="B2434" s="427" t="s">
        <v>5830</v>
      </c>
      <c r="C2434" s="512">
        <v>41492</v>
      </c>
      <c r="D2434" s="512">
        <v>41492</v>
      </c>
      <c r="E2434" s="512"/>
      <c r="F2434" s="513" t="s">
        <v>5831</v>
      </c>
      <c r="G2434" s="513" t="s">
        <v>5832</v>
      </c>
      <c r="H2434" s="427" t="s">
        <v>5163</v>
      </c>
      <c r="I2434" s="514">
        <v>75988</v>
      </c>
      <c r="J2434" s="514">
        <v>38158.080000000002</v>
      </c>
      <c r="K2434" s="381">
        <f>+J2434</f>
        <v>38158.080000000002</v>
      </c>
      <c r="L2434" s="381">
        <f t="shared" si="189"/>
        <v>7631.6160000000009</v>
      </c>
      <c r="M2434" s="381" t="s">
        <v>6171</v>
      </c>
      <c r="N2434" s="513" t="s">
        <v>3716</v>
      </c>
      <c r="O2434" s="427" t="s">
        <v>5833</v>
      </c>
      <c r="P2434" s="438" t="s">
        <v>5834</v>
      </c>
      <c r="Q2434" s="516">
        <v>0.2</v>
      </c>
      <c r="R2434" s="513">
        <v>1900000403</v>
      </c>
      <c r="S2434" s="386"/>
      <c r="T2434" s="2" t="s">
        <v>5915</v>
      </c>
    </row>
    <row r="2435" spans="1:21" hidden="1" x14ac:dyDescent="0.35">
      <c r="A2435" s="432" t="s">
        <v>4776</v>
      </c>
      <c r="B2435" s="543" t="s">
        <v>5835</v>
      </c>
      <c r="C2435" s="517" t="s">
        <v>5836</v>
      </c>
      <c r="D2435" s="427"/>
      <c r="E2435" s="427"/>
      <c r="F2435" s="427" t="s">
        <v>5837</v>
      </c>
      <c r="G2435" s="427" t="s">
        <v>5838</v>
      </c>
      <c r="H2435" s="427" t="s">
        <v>5163</v>
      </c>
      <c r="I2435" s="518">
        <v>129941.77</v>
      </c>
      <c r="J2435" s="381">
        <v>34489.269999999997</v>
      </c>
      <c r="K2435" s="519">
        <f>+J2435</f>
        <v>34489.269999999997</v>
      </c>
      <c r="L2435" s="381">
        <f t="shared" si="189"/>
        <v>6897.8539999999994</v>
      </c>
      <c r="M2435" s="381" t="s">
        <v>6171</v>
      </c>
      <c r="N2435" s="513" t="s">
        <v>5839</v>
      </c>
      <c r="O2435" s="518"/>
      <c r="P2435" s="438" t="s">
        <v>5834</v>
      </c>
      <c r="Q2435" s="516">
        <v>0.2</v>
      </c>
      <c r="R2435" s="427">
        <v>1900002725</v>
      </c>
      <c r="S2435" s="513" t="s">
        <v>3475</v>
      </c>
      <c r="T2435" s="2" t="s">
        <v>5914</v>
      </c>
      <c r="U2435" s="513" t="s">
        <v>3475</v>
      </c>
    </row>
    <row r="2436" spans="1:21" hidden="1" x14ac:dyDescent="0.35">
      <c r="A2436" s="432" t="s">
        <v>4777</v>
      </c>
      <c r="B2436" s="543" t="s">
        <v>5835</v>
      </c>
      <c r="C2436" s="517" t="s">
        <v>5836</v>
      </c>
      <c r="D2436" s="427"/>
      <c r="E2436" s="427"/>
      <c r="F2436" s="427" t="s">
        <v>5837</v>
      </c>
      <c r="G2436" s="427" t="s">
        <v>5838</v>
      </c>
      <c r="H2436" s="427" t="s">
        <v>5163</v>
      </c>
      <c r="I2436" s="518">
        <v>116752.95</v>
      </c>
      <c r="J2436" s="381">
        <v>30988.68</v>
      </c>
      <c r="K2436" s="519">
        <f>+J2436</f>
        <v>30988.68</v>
      </c>
      <c r="L2436" s="381">
        <f t="shared" si="189"/>
        <v>6197.7360000000008</v>
      </c>
      <c r="M2436" s="381" t="s">
        <v>6171</v>
      </c>
      <c r="N2436" s="513" t="s">
        <v>5839</v>
      </c>
      <c r="O2436" s="518"/>
      <c r="P2436" s="438" t="s">
        <v>5834</v>
      </c>
      <c r="Q2436" s="516">
        <v>0.2</v>
      </c>
      <c r="R2436" s="427">
        <v>1900002725</v>
      </c>
      <c r="S2436" s="513" t="s">
        <v>3475</v>
      </c>
      <c r="T2436" s="2" t="s">
        <v>5914</v>
      </c>
      <c r="U2436" s="513" t="s">
        <v>3475</v>
      </c>
    </row>
    <row r="2437" spans="1:21" x14ac:dyDescent="0.35">
      <c r="A2437" s="432" t="s">
        <v>4778</v>
      </c>
      <c r="B2437" s="543" t="s">
        <v>5840</v>
      </c>
      <c r="C2437" s="517" t="s">
        <v>5841</v>
      </c>
      <c r="D2437" s="513" t="s">
        <v>5841</v>
      </c>
      <c r="E2437" s="427"/>
      <c r="F2437" s="427" t="s">
        <v>5842</v>
      </c>
      <c r="G2437" s="427" t="s">
        <v>5840</v>
      </c>
      <c r="H2437" s="427" t="s">
        <v>5163</v>
      </c>
      <c r="I2437" s="518">
        <v>215749.13</v>
      </c>
      <c r="J2437" s="381">
        <v>54249.67</v>
      </c>
      <c r="K2437" s="519">
        <f>+J2437</f>
        <v>54249.67</v>
      </c>
      <c r="L2437" s="381">
        <f t="shared" ref="L2437:L2500" si="190">+K2437*Q2437</f>
        <v>10849.934000000001</v>
      </c>
      <c r="M2437" s="381" t="s">
        <v>6171</v>
      </c>
      <c r="N2437" s="513" t="s">
        <v>5843</v>
      </c>
      <c r="O2437" s="515"/>
      <c r="P2437" s="438" t="s">
        <v>5834</v>
      </c>
      <c r="Q2437" s="516">
        <v>0.2</v>
      </c>
      <c r="R2437" s="427">
        <v>1900001377</v>
      </c>
      <c r="S2437" s="513" t="s">
        <v>3475</v>
      </c>
      <c r="T2437" s="2" t="s">
        <v>5914</v>
      </c>
      <c r="U2437" s="9" t="s">
        <v>4001</v>
      </c>
    </row>
    <row r="2438" spans="1:21" hidden="1" x14ac:dyDescent="0.35">
      <c r="A2438" s="435" t="s">
        <v>5160</v>
      </c>
      <c r="B2438" s="427" t="s">
        <v>5844</v>
      </c>
      <c r="C2438" s="520" t="s">
        <v>5845</v>
      </c>
      <c r="D2438" s="517" t="s">
        <v>5845</v>
      </c>
      <c r="E2438" s="517" t="s">
        <v>2720</v>
      </c>
      <c r="F2438" s="438" t="s">
        <v>5846</v>
      </c>
      <c r="G2438" s="435" t="s">
        <v>5274</v>
      </c>
      <c r="H2438" s="427" t="s">
        <v>5163</v>
      </c>
      <c r="I2438" s="518">
        <v>74532</v>
      </c>
      <c r="J2438" s="381">
        <v>19364.5</v>
      </c>
      <c r="K2438" s="519">
        <v>19364.5</v>
      </c>
      <c r="L2438" s="369">
        <f t="shared" si="190"/>
        <v>3872.9</v>
      </c>
      <c r="M2438" s="369" t="s">
        <v>6171</v>
      </c>
      <c r="N2438" s="432" t="s">
        <v>3785</v>
      </c>
      <c r="O2438" s="521" t="s">
        <v>5847</v>
      </c>
      <c r="P2438" s="438" t="s">
        <v>5530</v>
      </c>
      <c r="Q2438" s="481">
        <v>0.2</v>
      </c>
      <c r="R2438" s="427">
        <v>1900001375</v>
      </c>
      <c r="S2438" s="513" t="s">
        <v>2504</v>
      </c>
      <c r="T2438" s="2" t="s">
        <v>5915</v>
      </c>
    </row>
    <row r="2439" spans="1:21" hidden="1" x14ac:dyDescent="0.35">
      <c r="A2439" s="435" t="s">
        <v>5160</v>
      </c>
      <c r="B2439" s="427" t="s">
        <v>5844</v>
      </c>
      <c r="C2439" s="520" t="s">
        <v>5845</v>
      </c>
      <c r="D2439" s="517" t="s">
        <v>5845</v>
      </c>
      <c r="E2439" s="517" t="s">
        <v>2836</v>
      </c>
      <c r="F2439" s="438" t="s">
        <v>5846</v>
      </c>
      <c r="G2439" s="435" t="s">
        <v>5274</v>
      </c>
      <c r="H2439" s="427" t="s">
        <v>5163</v>
      </c>
      <c r="I2439" s="518">
        <v>74532</v>
      </c>
      <c r="J2439" s="381">
        <v>19364.5</v>
      </c>
      <c r="K2439" s="519">
        <v>19364.5</v>
      </c>
      <c r="L2439" s="369">
        <f t="shared" si="190"/>
        <v>3872.9</v>
      </c>
      <c r="M2439" s="369" t="s">
        <v>6171</v>
      </c>
      <c r="N2439" s="432" t="s">
        <v>3785</v>
      </c>
      <c r="O2439" s="521" t="s">
        <v>5847</v>
      </c>
      <c r="P2439" s="438" t="s">
        <v>5530</v>
      </c>
      <c r="Q2439" s="481">
        <v>0.2</v>
      </c>
      <c r="R2439" s="427">
        <v>1900001375</v>
      </c>
      <c r="S2439" s="513" t="s">
        <v>2504</v>
      </c>
      <c r="T2439" s="2" t="s">
        <v>5915</v>
      </c>
    </row>
    <row r="2440" spans="1:21" x14ac:dyDescent="0.35">
      <c r="A2440" s="435" t="s">
        <v>5160</v>
      </c>
      <c r="B2440" s="427" t="s">
        <v>5848</v>
      </c>
      <c r="C2440" s="520" t="s">
        <v>5845</v>
      </c>
      <c r="D2440" s="517" t="s">
        <v>5845</v>
      </c>
      <c r="E2440" s="517" t="s">
        <v>2790</v>
      </c>
      <c r="F2440" s="438" t="s">
        <v>5846</v>
      </c>
      <c r="G2440" s="435" t="s">
        <v>5840</v>
      </c>
      <c r="H2440" s="427" t="s">
        <v>5163</v>
      </c>
      <c r="I2440" s="518">
        <v>41869.5</v>
      </c>
      <c r="J2440" s="381">
        <v>10878.5</v>
      </c>
      <c r="K2440" s="381">
        <v>10878.5</v>
      </c>
      <c r="L2440" s="369">
        <v>2175.7000000000003</v>
      </c>
      <c r="M2440" s="369" t="s">
        <v>6171</v>
      </c>
      <c r="N2440" s="432" t="s">
        <v>3785</v>
      </c>
      <c r="O2440" s="521" t="s">
        <v>5847</v>
      </c>
      <c r="P2440" s="438" t="s">
        <v>5530</v>
      </c>
      <c r="Q2440" s="481">
        <v>0.2</v>
      </c>
      <c r="R2440" s="427">
        <v>1900001375</v>
      </c>
      <c r="S2440" s="513" t="s">
        <v>2504</v>
      </c>
      <c r="T2440" s="2" t="s">
        <v>5915</v>
      </c>
    </row>
    <row r="2441" spans="1:21" x14ac:dyDescent="0.35">
      <c r="A2441" s="435" t="s">
        <v>5160</v>
      </c>
      <c r="B2441" s="427" t="s">
        <v>5848</v>
      </c>
      <c r="C2441" s="520" t="s">
        <v>5845</v>
      </c>
      <c r="D2441" s="517" t="s">
        <v>5845</v>
      </c>
      <c r="E2441" s="517" t="s">
        <v>2920</v>
      </c>
      <c r="F2441" s="438" t="s">
        <v>5846</v>
      </c>
      <c r="G2441" s="438" t="s">
        <v>5840</v>
      </c>
      <c r="H2441" s="427" t="s">
        <v>5163</v>
      </c>
      <c r="I2441" s="518">
        <v>41869.5</v>
      </c>
      <c r="J2441" s="381">
        <v>10878.5</v>
      </c>
      <c r="K2441" s="519">
        <v>10878.5</v>
      </c>
      <c r="L2441" s="369">
        <v>2175.7000000000003</v>
      </c>
      <c r="M2441" s="369" t="s">
        <v>6171</v>
      </c>
      <c r="N2441" s="432" t="s">
        <v>3785</v>
      </c>
      <c r="O2441" s="521" t="s">
        <v>5847</v>
      </c>
      <c r="P2441" s="438" t="s">
        <v>5530</v>
      </c>
      <c r="Q2441" s="481">
        <v>0.2</v>
      </c>
      <c r="R2441" s="427">
        <v>1900001375</v>
      </c>
      <c r="S2441" s="513" t="s">
        <v>2504</v>
      </c>
      <c r="T2441" s="2" t="s">
        <v>5915</v>
      </c>
    </row>
    <row r="2442" spans="1:21" hidden="1" x14ac:dyDescent="0.35">
      <c r="A2442" s="435" t="s">
        <v>5160</v>
      </c>
      <c r="B2442" s="427" t="s">
        <v>5849</v>
      </c>
      <c r="C2442" s="520" t="s">
        <v>5845</v>
      </c>
      <c r="D2442" s="517" t="s">
        <v>5845</v>
      </c>
      <c r="E2442" s="517" t="s">
        <v>2848</v>
      </c>
      <c r="F2442" s="438" t="s">
        <v>5846</v>
      </c>
      <c r="G2442" s="435" t="s">
        <v>5274</v>
      </c>
      <c r="H2442" s="427" t="s">
        <v>5163</v>
      </c>
      <c r="I2442" s="518">
        <v>4384.25</v>
      </c>
      <c r="J2442" s="381">
        <v>1139</v>
      </c>
      <c r="K2442" s="519">
        <v>1139</v>
      </c>
      <c r="L2442" s="369">
        <f t="shared" si="190"/>
        <v>227.8</v>
      </c>
      <c r="M2442" s="369" t="s">
        <v>6171</v>
      </c>
      <c r="N2442" s="432" t="s">
        <v>3785</v>
      </c>
      <c r="O2442" s="521" t="s">
        <v>5847</v>
      </c>
      <c r="P2442" s="438" t="s">
        <v>5530</v>
      </c>
      <c r="Q2442" s="481">
        <v>0.2</v>
      </c>
      <c r="R2442" s="427">
        <v>1900001375</v>
      </c>
      <c r="S2442" s="513" t="s">
        <v>2504</v>
      </c>
      <c r="T2442" s="2" t="s">
        <v>5915</v>
      </c>
    </row>
    <row r="2443" spans="1:21" hidden="1" x14ac:dyDescent="0.35">
      <c r="A2443" s="435" t="s">
        <v>5160</v>
      </c>
      <c r="B2443" s="427" t="s">
        <v>5849</v>
      </c>
      <c r="C2443" s="520" t="s">
        <v>5845</v>
      </c>
      <c r="D2443" s="517" t="s">
        <v>5845</v>
      </c>
      <c r="E2443" s="517" t="s">
        <v>2850</v>
      </c>
      <c r="F2443" s="438" t="s">
        <v>5846</v>
      </c>
      <c r="G2443" s="435" t="s">
        <v>5274</v>
      </c>
      <c r="H2443" s="427" t="s">
        <v>5163</v>
      </c>
      <c r="I2443" s="518">
        <v>4384.25</v>
      </c>
      <c r="J2443" s="381">
        <v>1139</v>
      </c>
      <c r="K2443" s="519">
        <v>1139</v>
      </c>
      <c r="L2443" s="369">
        <f t="shared" si="190"/>
        <v>227.8</v>
      </c>
      <c r="M2443" s="369" t="s">
        <v>6171</v>
      </c>
      <c r="N2443" s="432" t="s">
        <v>3785</v>
      </c>
      <c r="O2443" s="521" t="s">
        <v>5847</v>
      </c>
      <c r="P2443" s="438" t="s">
        <v>5530</v>
      </c>
      <c r="Q2443" s="481">
        <v>0.2</v>
      </c>
      <c r="R2443" s="427">
        <v>1900001375</v>
      </c>
      <c r="S2443" s="513" t="s">
        <v>2504</v>
      </c>
      <c r="T2443" s="2" t="s">
        <v>5915</v>
      </c>
    </row>
    <row r="2444" spans="1:21" hidden="1" x14ac:dyDescent="0.35">
      <c r="A2444" s="435" t="s">
        <v>5160</v>
      </c>
      <c r="B2444" s="427" t="s">
        <v>5849</v>
      </c>
      <c r="C2444" s="520" t="s">
        <v>5845</v>
      </c>
      <c r="D2444" s="517" t="s">
        <v>5845</v>
      </c>
      <c r="E2444" s="517" t="s">
        <v>2852</v>
      </c>
      <c r="F2444" s="438" t="s">
        <v>5846</v>
      </c>
      <c r="G2444" s="435" t="s">
        <v>5274</v>
      </c>
      <c r="H2444" s="427" t="s">
        <v>5163</v>
      </c>
      <c r="I2444" s="518">
        <v>4384.25</v>
      </c>
      <c r="J2444" s="381">
        <v>1139</v>
      </c>
      <c r="K2444" s="519">
        <v>1139</v>
      </c>
      <c r="L2444" s="369">
        <f t="shared" si="190"/>
        <v>227.8</v>
      </c>
      <c r="M2444" s="369" t="s">
        <v>6171</v>
      </c>
      <c r="N2444" s="432" t="s">
        <v>3785</v>
      </c>
      <c r="O2444" s="521" t="s">
        <v>5847</v>
      </c>
      <c r="P2444" s="438" t="s">
        <v>5530</v>
      </c>
      <c r="Q2444" s="481">
        <v>0.2</v>
      </c>
      <c r="R2444" s="427">
        <v>1900001375</v>
      </c>
      <c r="S2444" s="513" t="s">
        <v>2504</v>
      </c>
      <c r="T2444" s="2" t="s">
        <v>5915</v>
      </c>
    </row>
    <row r="2445" spans="1:21" hidden="1" x14ac:dyDescent="0.35">
      <c r="A2445" s="435" t="s">
        <v>5160</v>
      </c>
      <c r="B2445" s="427" t="s">
        <v>5849</v>
      </c>
      <c r="C2445" s="520" t="s">
        <v>5845</v>
      </c>
      <c r="D2445" s="517" t="s">
        <v>5845</v>
      </c>
      <c r="E2445" s="517" t="s">
        <v>2854</v>
      </c>
      <c r="F2445" s="438" t="s">
        <v>5846</v>
      </c>
      <c r="G2445" s="435" t="s">
        <v>5274</v>
      </c>
      <c r="H2445" s="427" t="s">
        <v>5163</v>
      </c>
      <c r="I2445" s="518">
        <v>4384.25</v>
      </c>
      <c r="J2445" s="381">
        <v>1139</v>
      </c>
      <c r="K2445" s="519">
        <v>1139</v>
      </c>
      <c r="L2445" s="369">
        <f t="shared" si="190"/>
        <v>227.8</v>
      </c>
      <c r="M2445" s="369" t="s">
        <v>6171</v>
      </c>
      <c r="N2445" s="432" t="s">
        <v>3785</v>
      </c>
      <c r="O2445" s="521" t="s">
        <v>5847</v>
      </c>
      <c r="P2445" s="438" t="s">
        <v>5530</v>
      </c>
      <c r="Q2445" s="481">
        <v>0.2</v>
      </c>
      <c r="R2445" s="427">
        <v>1900001375</v>
      </c>
      <c r="S2445" s="513" t="s">
        <v>2504</v>
      </c>
      <c r="T2445" s="2" t="s">
        <v>5915</v>
      </c>
    </row>
    <row r="2446" spans="1:21" hidden="1" x14ac:dyDescent="0.35">
      <c r="A2446" s="435" t="s">
        <v>5160</v>
      </c>
      <c r="B2446" s="427" t="s">
        <v>5850</v>
      </c>
      <c r="C2446" s="520" t="s">
        <v>5845</v>
      </c>
      <c r="D2446" s="517" t="s">
        <v>5845</v>
      </c>
      <c r="E2446" s="517" t="s">
        <v>2822</v>
      </c>
      <c r="F2446" s="438" t="s">
        <v>5846</v>
      </c>
      <c r="G2446" s="435" t="s">
        <v>5274</v>
      </c>
      <c r="H2446" s="427" t="s">
        <v>5163</v>
      </c>
      <c r="I2446" s="518">
        <v>23017.3125</v>
      </c>
      <c r="J2446" s="381">
        <v>5980.25</v>
      </c>
      <c r="K2446" s="519">
        <v>5980.25</v>
      </c>
      <c r="L2446" s="369">
        <f t="shared" si="190"/>
        <v>1196.05</v>
      </c>
      <c r="M2446" s="369" t="s">
        <v>6171</v>
      </c>
      <c r="N2446" s="432" t="s">
        <v>3785</v>
      </c>
      <c r="O2446" s="521" t="s">
        <v>5847</v>
      </c>
      <c r="P2446" s="438" t="s">
        <v>5530</v>
      </c>
      <c r="Q2446" s="481">
        <v>0.2</v>
      </c>
      <c r="R2446" s="427">
        <v>1900001375</v>
      </c>
      <c r="S2446" s="513" t="s">
        <v>2504</v>
      </c>
      <c r="T2446" s="2" t="s">
        <v>5915</v>
      </c>
    </row>
    <row r="2447" spans="1:21" hidden="1" x14ac:dyDescent="0.35">
      <c r="A2447" s="435" t="s">
        <v>5160</v>
      </c>
      <c r="B2447" s="427" t="s">
        <v>5850</v>
      </c>
      <c r="C2447" s="520" t="s">
        <v>5845</v>
      </c>
      <c r="D2447" s="517" t="s">
        <v>5845</v>
      </c>
      <c r="E2447" s="517" t="s">
        <v>2824</v>
      </c>
      <c r="F2447" s="438" t="s">
        <v>5846</v>
      </c>
      <c r="G2447" s="435" t="s">
        <v>5274</v>
      </c>
      <c r="H2447" s="427" t="s">
        <v>5163</v>
      </c>
      <c r="I2447" s="518">
        <v>23017.3125</v>
      </c>
      <c r="J2447" s="381">
        <v>5980.25</v>
      </c>
      <c r="K2447" s="519">
        <v>5980.25</v>
      </c>
      <c r="L2447" s="369">
        <f t="shared" si="190"/>
        <v>1196.05</v>
      </c>
      <c r="M2447" s="369" t="s">
        <v>6171</v>
      </c>
      <c r="N2447" s="432" t="s">
        <v>3785</v>
      </c>
      <c r="O2447" s="521" t="s">
        <v>5847</v>
      </c>
      <c r="P2447" s="438" t="s">
        <v>5530</v>
      </c>
      <c r="Q2447" s="481">
        <v>0.2</v>
      </c>
      <c r="R2447" s="427">
        <v>1900001375</v>
      </c>
      <c r="S2447" s="513" t="s">
        <v>2504</v>
      </c>
      <c r="T2447" s="2" t="s">
        <v>5915</v>
      </c>
    </row>
    <row r="2448" spans="1:21" hidden="1" x14ac:dyDescent="0.35">
      <c r="A2448" s="435" t="s">
        <v>5160</v>
      </c>
      <c r="B2448" s="427" t="s">
        <v>5850</v>
      </c>
      <c r="C2448" s="520" t="s">
        <v>5845</v>
      </c>
      <c r="D2448" s="517" t="s">
        <v>5845</v>
      </c>
      <c r="E2448" s="517" t="s">
        <v>2845</v>
      </c>
      <c r="F2448" s="438" t="s">
        <v>5846</v>
      </c>
      <c r="G2448" s="435" t="s">
        <v>5274</v>
      </c>
      <c r="H2448" s="427" t="s">
        <v>5163</v>
      </c>
      <c r="I2448" s="518">
        <v>23017.3125</v>
      </c>
      <c r="J2448" s="381">
        <v>5980.25</v>
      </c>
      <c r="K2448" s="519">
        <v>5980.25</v>
      </c>
      <c r="L2448" s="369">
        <f t="shared" si="190"/>
        <v>1196.05</v>
      </c>
      <c r="M2448" s="369" t="s">
        <v>6171</v>
      </c>
      <c r="N2448" s="432" t="s">
        <v>3785</v>
      </c>
      <c r="O2448" s="521" t="s">
        <v>5847</v>
      </c>
      <c r="P2448" s="438" t="s">
        <v>5530</v>
      </c>
      <c r="Q2448" s="481">
        <v>0.2</v>
      </c>
      <c r="R2448" s="427">
        <v>1900001375</v>
      </c>
      <c r="S2448" s="513" t="s">
        <v>2504</v>
      </c>
      <c r="T2448" s="2" t="s">
        <v>5915</v>
      </c>
    </row>
    <row r="2449" spans="1:21" hidden="1" x14ac:dyDescent="0.35">
      <c r="A2449" s="435" t="s">
        <v>5160</v>
      </c>
      <c r="B2449" s="427" t="s">
        <v>5850</v>
      </c>
      <c r="C2449" s="520" t="s">
        <v>5845</v>
      </c>
      <c r="D2449" s="517" t="s">
        <v>5845</v>
      </c>
      <c r="E2449" s="517" t="s">
        <v>2793</v>
      </c>
      <c r="F2449" s="438" t="s">
        <v>5846</v>
      </c>
      <c r="G2449" s="435" t="s">
        <v>5274</v>
      </c>
      <c r="H2449" s="427" t="s">
        <v>5163</v>
      </c>
      <c r="I2449" s="518">
        <v>23017.3125</v>
      </c>
      <c r="J2449" s="381">
        <v>5980.25</v>
      </c>
      <c r="K2449" s="519">
        <v>5980.25</v>
      </c>
      <c r="L2449" s="369">
        <f t="shared" si="190"/>
        <v>1196.05</v>
      </c>
      <c r="M2449" s="369" t="s">
        <v>6171</v>
      </c>
      <c r="N2449" s="432" t="s">
        <v>3785</v>
      </c>
      <c r="O2449" s="521" t="s">
        <v>5847</v>
      </c>
      <c r="P2449" s="438" t="s">
        <v>5530</v>
      </c>
      <c r="Q2449" s="481">
        <v>0.2</v>
      </c>
      <c r="R2449" s="427">
        <v>1900001375</v>
      </c>
      <c r="S2449" s="513" t="s">
        <v>2504</v>
      </c>
      <c r="T2449" s="2" t="s">
        <v>5915</v>
      </c>
    </row>
    <row r="2450" spans="1:21" hidden="1" x14ac:dyDescent="0.35">
      <c r="A2450" s="435" t="s">
        <v>5160</v>
      </c>
      <c r="B2450" s="427" t="s">
        <v>5850</v>
      </c>
      <c r="C2450" s="520" t="s">
        <v>5845</v>
      </c>
      <c r="D2450" s="517" t="s">
        <v>5845</v>
      </c>
      <c r="E2450" s="517" t="s">
        <v>2795</v>
      </c>
      <c r="F2450" s="438" t="s">
        <v>5846</v>
      </c>
      <c r="G2450" s="435" t="s">
        <v>5274</v>
      </c>
      <c r="H2450" s="427" t="s">
        <v>5163</v>
      </c>
      <c r="I2450" s="518">
        <v>23017.3125</v>
      </c>
      <c r="J2450" s="381">
        <v>5980.25</v>
      </c>
      <c r="K2450" s="519">
        <v>5980.25</v>
      </c>
      <c r="L2450" s="369">
        <f t="shared" si="190"/>
        <v>1196.05</v>
      </c>
      <c r="M2450" s="369" t="s">
        <v>6171</v>
      </c>
      <c r="N2450" s="432" t="s">
        <v>3785</v>
      </c>
      <c r="O2450" s="521" t="s">
        <v>5847</v>
      </c>
      <c r="P2450" s="438" t="s">
        <v>5530</v>
      </c>
      <c r="Q2450" s="481">
        <v>0.2</v>
      </c>
      <c r="R2450" s="427">
        <v>1900001375</v>
      </c>
      <c r="S2450" s="513" t="s">
        <v>2504</v>
      </c>
      <c r="T2450" s="2" t="s">
        <v>5915</v>
      </c>
    </row>
    <row r="2451" spans="1:21" hidden="1" x14ac:dyDescent="0.35">
      <c r="A2451" s="435" t="s">
        <v>5160</v>
      </c>
      <c r="B2451" s="427" t="s">
        <v>5850</v>
      </c>
      <c r="C2451" s="520" t="s">
        <v>5845</v>
      </c>
      <c r="D2451" s="517" t="s">
        <v>5845</v>
      </c>
      <c r="E2451" s="517" t="s">
        <v>2918</v>
      </c>
      <c r="F2451" s="438" t="s">
        <v>5846</v>
      </c>
      <c r="G2451" s="435" t="s">
        <v>5274</v>
      </c>
      <c r="H2451" s="427" t="s">
        <v>5163</v>
      </c>
      <c r="I2451" s="518">
        <v>23017.3125</v>
      </c>
      <c r="J2451" s="381">
        <v>5980.25</v>
      </c>
      <c r="K2451" s="519">
        <v>5980.25</v>
      </c>
      <c r="L2451" s="369">
        <f t="shared" si="190"/>
        <v>1196.05</v>
      </c>
      <c r="M2451" s="369" t="s">
        <v>6171</v>
      </c>
      <c r="N2451" s="432" t="s">
        <v>3785</v>
      </c>
      <c r="O2451" s="521" t="s">
        <v>5847</v>
      </c>
      <c r="P2451" s="438" t="s">
        <v>5530</v>
      </c>
      <c r="Q2451" s="481">
        <v>0.2</v>
      </c>
      <c r="R2451" s="427">
        <v>1900001375</v>
      </c>
      <c r="S2451" s="513" t="s">
        <v>2504</v>
      </c>
      <c r="T2451" s="2" t="s">
        <v>5915</v>
      </c>
    </row>
    <row r="2452" spans="1:21" hidden="1" x14ac:dyDescent="0.35">
      <c r="A2452" s="435" t="s">
        <v>5160</v>
      </c>
      <c r="B2452" s="427" t="s">
        <v>5850</v>
      </c>
      <c r="C2452" s="517" t="s">
        <v>5845</v>
      </c>
      <c r="D2452" s="517" t="s">
        <v>5845</v>
      </c>
      <c r="E2452" s="517"/>
      <c r="F2452" s="438" t="s">
        <v>5846</v>
      </c>
      <c r="G2452" s="435" t="s">
        <v>5274</v>
      </c>
      <c r="H2452" s="427" t="s">
        <v>5163</v>
      </c>
      <c r="I2452" s="518">
        <v>23017.3125</v>
      </c>
      <c r="J2452" s="381">
        <v>5980.25</v>
      </c>
      <c r="K2452" s="519">
        <v>5980.25</v>
      </c>
      <c r="L2452" s="369">
        <f t="shared" si="190"/>
        <v>1196.05</v>
      </c>
      <c r="M2452" s="369" t="s">
        <v>6171</v>
      </c>
      <c r="N2452" s="432" t="s">
        <v>3785</v>
      </c>
      <c r="O2452" s="521" t="s">
        <v>5847</v>
      </c>
      <c r="P2452" s="438" t="s">
        <v>5530</v>
      </c>
      <c r="Q2452" s="481">
        <v>0.2</v>
      </c>
      <c r="R2452" s="427">
        <v>1900001375</v>
      </c>
      <c r="S2452" s="513" t="s">
        <v>3475</v>
      </c>
      <c r="T2452" s="2" t="s">
        <v>5914</v>
      </c>
      <c r="U2452" s="9" t="s">
        <v>3475</v>
      </c>
    </row>
    <row r="2453" spans="1:21" hidden="1" x14ac:dyDescent="0.35">
      <c r="A2453" s="435" t="s">
        <v>5160</v>
      </c>
      <c r="B2453" s="427" t="s">
        <v>5850</v>
      </c>
      <c r="C2453" s="517" t="s">
        <v>5845</v>
      </c>
      <c r="D2453" s="517" t="s">
        <v>5845</v>
      </c>
      <c r="E2453" s="517"/>
      <c r="F2453" s="438" t="s">
        <v>5846</v>
      </c>
      <c r="G2453" s="435" t="s">
        <v>5274</v>
      </c>
      <c r="H2453" s="427" t="s">
        <v>5163</v>
      </c>
      <c r="I2453" s="518">
        <v>23017.3125</v>
      </c>
      <c r="J2453" s="381">
        <v>5980.25</v>
      </c>
      <c r="K2453" s="519">
        <v>5980.25</v>
      </c>
      <c r="L2453" s="369">
        <f t="shared" si="190"/>
        <v>1196.05</v>
      </c>
      <c r="M2453" s="369" t="s">
        <v>6171</v>
      </c>
      <c r="N2453" s="432" t="s">
        <v>3785</v>
      </c>
      <c r="O2453" s="521" t="s">
        <v>5847</v>
      </c>
      <c r="P2453" s="438" t="s">
        <v>5530</v>
      </c>
      <c r="Q2453" s="481">
        <v>0.2</v>
      </c>
      <c r="R2453" s="427">
        <v>1900001375</v>
      </c>
      <c r="S2453" s="513" t="s">
        <v>3475</v>
      </c>
      <c r="T2453" s="2" t="s">
        <v>5914</v>
      </c>
      <c r="U2453" s="9" t="s">
        <v>3475</v>
      </c>
    </row>
    <row r="2454" spans="1:21" hidden="1" x14ac:dyDescent="0.35">
      <c r="A2454" s="435" t="s">
        <v>5160</v>
      </c>
      <c r="B2454" s="427" t="s">
        <v>5850</v>
      </c>
      <c r="C2454" s="517" t="s">
        <v>5845</v>
      </c>
      <c r="D2454" s="517" t="s">
        <v>5845</v>
      </c>
      <c r="E2454" s="517"/>
      <c r="F2454" s="438" t="s">
        <v>5846</v>
      </c>
      <c r="G2454" s="435" t="s">
        <v>5274</v>
      </c>
      <c r="H2454" s="427" t="s">
        <v>5163</v>
      </c>
      <c r="I2454" s="518">
        <v>23017.3125</v>
      </c>
      <c r="J2454" s="381">
        <v>5980.25</v>
      </c>
      <c r="K2454" s="519">
        <v>5980.25</v>
      </c>
      <c r="L2454" s="369">
        <f t="shared" si="190"/>
        <v>1196.05</v>
      </c>
      <c r="M2454" s="369" t="s">
        <v>6171</v>
      </c>
      <c r="N2454" s="432" t="s">
        <v>3785</v>
      </c>
      <c r="O2454" s="521" t="s">
        <v>5847</v>
      </c>
      <c r="P2454" s="438" t="s">
        <v>5530</v>
      </c>
      <c r="Q2454" s="481">
        <v>0.2</v>
      </c>
      <c r="R2454" s="427">
        <v>1900001375</v>
      </c>
      <c r="S2454" s="513" t="s">
        <v>3475</v>
      </c>
      <c r="T2454" s="2" t="s">
        <v>5914</v>
      </c>
      <c r="U2454" s="9" t="s">
        <v>3475</v>
      </c>
    </row>
    <row r="2455" spans="1:21" hidden="1" x14ac:dyDescent="0.35">
      <c r="A2455" s="435" t="s">
        <v>5160</v>
      </c>
      <c r="B2455" s="427" t="s">
        <v>5850</v>
      </c>
      <c r="C2455" s="517" t="s">
        <v>5845</v>
      </c>
      <c r="D2455" s="517" t="s">
        <v>5845</v>
      </c>
      <c r="E2455" s="517"/>
      <c r="F2455" s="438" t="s">
        <v>5846</v>
      </c>
      <c r="G2455" s="435" t="s">
        <v>5274</v>
      </c>
      <c r="H2455" s="427" t="s">
        <v>5163</v>
      </c>
      <c r="I2455" s="518">
        <v>23017.3125</v>
      </c>
      <c r="J2455" s="381">
        <v>5980.25</v>
      </c>
      <c r="K2455" s="519">
        <v>5980.25</v>
      </c>
      <c r="L2455" s="369">
        <f t="shared" si="190"/>
        <v>1196.05</v>
      </c>
      <c r="M2455" s="369" t="s">
        <v>6171</v>
      </c>
      <c r="N2455" s="432" t="s">
        <v>3785</v>
      </c>
      <c r="O2455" s="521" t="s">
        <v>5847</v>
      </c>
      <c r="P2455" s="438" t="s">
        <v>5530</v>
      </c>
      <c r="Q2455" s="481">
        <v>0.2</v>
      </c>
      <c r="R2455" s="427">
        <v>1900001375</v>
      </c>
      <c r="S2455" s="513" t="s">
        <v>3475</v>
      </c>
      <c r="T2455" s="2" t="s">
        <v>5914</v>
      </c>
      <c r="U2455" s="9" t="s">
        <v>3475</v>
      </c>
    </row>
    <row r="2456" spans="1:21" hidden="1" x14ac:dyDescent="0.35">
      <c r="A2456" s="435" t="s">
        <v>5160</v>
      </c>
      <c r="B2456" s="427" t="s">
        <v>5850</v>
      </c>
      <c r="C2456" s="517" t="s">
        <v>5845</v>
      </c>
      <c r="D2456" s="517" t="s">
        <v>5845</v>
      </c>
      <c r="E2456" s="517"/>
      <c r="F2456" s="438" t="s">
        <v>5846</v>
      </c>
      <c r="G2456" s="435" t="s">
        <v>5274</v>
      </c>
      <c r="H2456" s="427" t="s">
        <v>5163</v>
      </c>
      <c r="I2456" s="518">
        <v>23017.3125</v>
      </c>
      <c r="J2456" s="381">
        <v>5980.25</v>
      </c>
      <c r="K2456" s="519">
        <v>5980.25</v>
      </c>
      <c r="L2456" s="369">
        <f t="shared" si="190"/>
        <v>1196.05</v>
      </c>
      <c r="M2456" s="369" t="s">
        <v>6171</v>
      </c>
      <c r="N2456" s="432" t="s">
        <v>3785</v>
      </c>
      <c r="O2456" s="521" t="s">
        <v>5847</v>
      </c>
      <c r="P2456" s="438" t="s">
        <v>5530</v>
      </c>
      <c r="Q2456" s="481">
        <v>0.2</v>
      </c>
      <c r="R2456" s="427">
        <v>1900001375</v>
      </c>
      <c r="S2456" s="513" t="s">
        <v>3475</v>
      </c>
      <c r="T2456" s="2" t="s">
        <v>5914</v>
      </c>
      <c r="U2456" s="9" t="s">
        <v>3475</v>
      </c>
    </row>
    <row r="2457" spans="1:21" hidden="1" x14ac:dyDescent="0.35">
      <c r="A2457" s="435" t="s">
        <v>5160</v>
      </c>
      <c r="B2457" s="427" t="s">
        <v>5850</v>
      </c>
      <c r="C2457" s="517" t="s">
        <v>5845</v>
      </c>
      <c r="D2457" s="517" t="s">
        <v>5845</v>
      </c>
      <c r="E2457" s="517"/>
      <c r="F2457" s="438" t="s">
        <v>5846</v>
      </c>
      <c r="G2457" s="435" t="s">
        <v>5274</v>
      </c>
      <c r="H2457" s="427" t="s">
        <v>5163</v>
      </c>
      <c r="I2457" s="518">
        <v>23017.3125</v>
      </c>
      <c r="J2457" s="381">
        <v>5980.25</v>
      </c>
      <c r="K2457" s="519">
        <v>5980.25</v>
      </c>
      <c r="L2457" s="369">
        <f t="shared" si="190"/>
        <v>1196.05</v>
      </c>
      <c r="M2457" s="369" t="s">
        <v>6171</v>
      </c>
      <c r="N2457" s="432" t="s">
        <v>3785</v>
      </c>
      <c r="O2457" s="521" t="s">
        <v>5847</v>
      </c>
      <c r="P2457" s="438" t="s">
        <v>5530</v>
      </c>
      <c r="Q2457" s="481">
        <v>0.2</v>
      </c>
      <c r="R2457" s="427">
        <v>1900001375</v>
      </c>
      <c r="S2457" s="513" t="s">
        <v>3475</v>
      </c>
      <c r="T2457" s="2" t="s">
        <v>5914</v>
      </c>
      <c r="U2457" s="9" t="s">
        <v>3475</v>
      </c>
    </row>
    <row r="2458" spans="1:21" hidden="1" x14ac:dyDescent="0.35">
      <c r="A2458" s="435" t="s">
        <v>5160</v>
      </c>
      <c r="B2458" s="427" t="s">
        <v>5850</v>
      </c>
      <c r="C2458" s="517" t="s">
        <v>5845</v>
      </c>
      <c r="D2458" s="517" t="s">
        <v>5845</v>
      </c>
      <c r="E2458" s="517"/>
      <c r="F2458" s="438" t="s">
        <v>5846</v>
      </c>
      <c r="G2458" s="435" t="s">
        <v>5274</v>
      </c>
      <c r="H2458" s="427" t="s">
        <v>5163</v>
      </c>
      <c r="I2458" s="518">
        <v>23017.3125</v>
      </c>
      <c r="J2458" s="381">
        <v>5980.25</v>
      </c>
      <c r="K2458" s="519">
        <v>5980.25</v>
      </c>
      <c r="L2458" s="369">
        <f t="shared" si="190"/>
        <v>1196.05</v>
      </c>
      <c r="M2458" s="369" t="s">
        <v>6171</v>
      </c>
      <c r="N2458" s="432" t="s">
        <v>3785</v>
      </c>
      <c r="O2458" s="521" t="s">
        <v>5847</v>
      </c>
      <c r="P2458" s="438" t="s">
        <v>5530</v>
      </c>
      <c r="Q2458" s="481">
        <v>0.2</v>
      </c>
      <c r="R2458" s="427">
        <v>1900001375</v>
      </c>
      <c r="S2458" s="513" t="s">
        <v>3475</v>
      </c>
      <c r="T2458" s="2" t="s">
        <v>5914</v>
      </c>
      <c r="U2458" s="9" t="s">
        <v>3475</v>
      </c>
    </row>
    <row r="2459" spans="1:21" hidden="1" x14ac:dyDescent="0.35">
      <c r="A2459" s="435" t="s">
        <v>5160</v>
      </c>
      <c r="B2459" s="427" t="s">
        <v>5850</v>
      </c>
      <c r="C2459" s="517" t="s">
        <v>5845</v>
      </c>
      <c r="D2459" s="517" t="s">
        <v>5845</v>
      </c>
      <c r="E2459" s="517"/>
      <c r="F2459" s="438" t="s">
        <v>5846</v>
      </c>
      <c r="G2459" s="435" t="s">
        <v>5274</v>
      </c>
      <c r="H2459" s="427" t="s">
        <v>5163</v>
      </c>
      <c r="I2459" s="518">
        <v>23017.3125</v>
      </c>
      <c r="J2459" s="381">
        <v>5980.25</v>
      </c>
      <c r="K2459" s="519">
        <v>5980.25</v>
      </c>
      <c r="L2459" s="369">
        <f t="shared" si="190"/>
        <v>1196.05</v>
      </c>
      <c r="M2459" s="369" t="s">
        <v>6171</v>
      </c>
      <c r="N2459" s="432" t="s">
        <v>3785</v>
      </c>
      <c r="O2459" s="521" t="s">
        <v>5847</v>
      </c>
      <c r="P2459" s="438" t="s">
        <v>5530</v>
      </c>
      <c r="Q2459" s="481">
        <v>0.2</v>
      </c>
      <c r="R2459" s="427">
        <v>1900001375</v>
      </c>
      <c r="S2459" s="513" t="s">
        <v>3475</v>
      </c>
      <c r="T2459" s="2" t="s">
        <v>5914</v>
      </c>
      <c r="U2459" s="9" t="s">
        <v>3475</v>
      </c>
    </row>
    <row r="2460" spans="1:21" hidden="1" x14ac:dyDescent="0.35">
      <c r="A2460" s="435" t="s">
        <v>5160</v>
      </c>
      <c r="B2460" s="427" t="s">
        <v>5850</v>
      </c>
      <c r="C2460" s="517" t="s">
        <v>5845</v>
      </c>
      <c r="D2460" s="517" t="s">
        <v>5845</v>
      </c>
      <c r="E2460" s="517"/>
      <c r="F2460" s="438" t="s">
        <v>5846</v>
      </c>
      <c r="G2460" s="435" t="s">
        <v>5274</v>
      </c>
      <c r="H2460" s="427" t="s">
        <v>5163</v>
      </c>
      <c r="I2460" s="518">
        <v>23017.3125</v>
      </c>
      <c r="J2460" s="381">
        <v>5980.25</v>
      </c>
      <c r="K2460" s="519">
        <v>5980.25</v>
      </c>
      <c r="L2460" s="369">
        <f t="shared" si="190"/>
        <v>1196.05</v>
      </c>
      <c r="M2460" s="369" t="s">
        <v>6171</v>
      </c>
      <c r="N2460" s="432" t="s">
        <v>3785</v>
      </c>
      <c r="O2460" s="521" t="s">
        <v>5847</v>
      </c>
      <c r="P2460" s="438" t="s">
        <v>5530</v>
      </c>
      <c r="Q2460" s="481">
        <v>0.2</v>
      </c>
      <c r="R2460" s="427">
        <v>1900001375</v>
      </c>
      <c r="S2460" s="513" t="s">
        <v>3475</v>
      </c>
      <c r="T2460" s="2" t="s">
        <v>5914</v>
      </c>
      <c r="U2460" s="9" t="s">
        <v>3475</v>
      </c>
    </row>
    <row r="2461" spans="1:21" hidden="1" x14ac:dyDescent="0.35">
      <c r="A2461" s="435" t="s">
        <v>5160</v>
      </c>
      <c r="B2461" s="427" t="s">
        <v>5850</v>
      </c>
      <c r="C2461" s="517" t="s">
        <v>5845</v>
      </c>
      <c r="D2461" s="517" t="s">
        <v>5845</v>
      </c>
      <c r="E2461" s="517"/>
      <c r="F2461" s="438" t="s">
        <v>5846</v>
      </c>
      <c r="G2461" s="435" t="s">
        <v>5274</v>
      </c>
      <c r="H2461" s="427" t="s">
        <v>5163</v>
      </c>
      <c r="I2461" s="518">
        <v>23017.3125</v>
      </c>
      <c r="J2461" s="381">
        <v>5980.25</v>
      </c>
      <c r="K2461" s="519">
        <v>5980.25</v>
      </c>
      <c r="L2461" s="369">
        <f t="shared" si="190"/>
        <v>1196.05</v>
      </c>
      <c r="M2461" s="369" t="s">
        <v>6171</v>
      </c>
      <c r="N2461" s="432" t="s">
        <v>3785</v>
      </c>
      <c r="O2461" s="521" t="s">
        <v>5847</v>
      </c>
      <c r="P2461" s="438" t="s">
        <v>5530</v>
      </c>
      <c r="Q2461" s="481">
        <v>0.2</v>
      </c>
      <c r="R2461" s="427">
        <v>1900001375</v>
      </c>
      <c r="S2461" s="513" t="s">
        <v>3475</v>
      </c>
      <c r="T2461" s="2" t="s">
        <v>5914</v>
      </c>
      <c r="U2461" s="9" t="s">
        <v>3475</v>
      </c>
    </row>
    <row r="2462" spans="1:21" x14ac:dyDescent="0.35">
      <c r="A2462" s="435" t="s">
        <v>5160</v>
      </c>
      <c r="B2462" s="427" t="s">
        <v>5851</v>
      </c>
      <c r="C2462" s="517" t="s">
        <v>5845</v>
      </c>
      <c r="D2462" s="517" t="s">
        <v>5845</v>
      </c>
      <c r="E2462" s="517"/>
      <c r="F2462" s="438" t="s">
        <v>5846</v>
      </c>
      <c r="G2462" s="438" t="s">
        <v>5840</v>
      </c>
      <c r="H2462" s="427" t="s">
        <v>5163</v>
      </c>
      <c r="I2462" s="518">
        <v>3178.625</v>
      </c>
      <c r="J2462" s="381">
        <v>825.875</v>
      </c>
      <c r="K2462" s="519">
        <v>825.875</v>
      </c>
      <c r="L2462" s="369">
        <f t="shared" si="190"/>
        <v>165.17500000000001</v>
      </c>
      <c r="M2462" s="369" t="s">
        <v>6171</v>
      </c>
      <c r="N2462" s="432" t="s">
        <v>3785</v>
      </c>
      <c r="O2462" s="521" t="s">
        <v>5847</v>
      </c>
      <c r="P2462" s="438" t="s">
        <v>5530</v>
      </c>
      <c r="Q2462" s="481">
        <v>0.2</v>
      </c>
      <c r="R2462" s="427">
        <v>1900001375</v>
      </c>
      <c r="S2462" s="513" t="s">
        <v>3475</v>
      </c>
      <c r="T2462" s="2" t="s">
        <v>5914</v>
      </c>
      <c r="U2462" s="9" t="s">
        <v>3475</v>
      </c>
    </row>
    <row r="2463" spans="1:21" x14ac:dyDescent="0.35">
      <c r="A2463" s="435" t="s">
        <v>5160</v>
      </c>
      <c r="B2463" s="427" t="s">
        <v>5851</v>
      </c>
      <c r="C2463" s="517" t="s">
        <v>5845</v>
      </c>
      <c r="D2463" s="517" t="s">
        <v>5845</v>
      </c>
      <c r="E2463" s="517"/>
      <c r="F2463" s="438" t="s">
        <v>5846</v>
      </c>
      <c r="G2463" s="438" t="s">
        <v>5840</v>
      </c>
      <c r="H2463" s="427" t="s">
        <v>5163</v>
      </c>
      <c r="I2463" s="518">
        <v>3178.625</v>
      </c>
      <c r="J2463" s="381">
        <v>825.875</v>
      </c>
      <c r="K2463" s="519">
        <v>825.875</v>
      </c>
      <c r="L2463" s="369">
        <f t="shared" si="190"/>
        <v>165.17500000000001</v>
      </c>
      <c r="M2463" s="369" t="s">
        <v>6171</v>
      </c>
      <c r="N2463" s="432" t="s">
        <v>3785</v>
      </c>
      <c r="O2463" s="521" t="s">
        <v>5847</v>
      </c>
      <c r="P2463" s="438" t="s">
        <v>5530</v>
      </c>
      <c r="Q2463" s="481">
        <v>0.2</v>
      </c>
      <c r="R2463" s="427">
        <v>1900001375</v>
      </c>
      <c r="S2463" s="513" t="s">
        <v>3475</v>
      </c>
      <c r="T2463" s="2" t="s">
        <v>5914</v>
      </c>
      <c r="U2463" s="9" t="s">
        <v>3475</v>
      </c>
    </row>
    <row r="2464" spans="1:21" x14ac:dyDescent="0.35">
      <c r="A2464" s="435" t="s">
        <v>5160</v>
      </c>
      <c r="B2464" s="427" t="s">
        <v>5851</v>
      </c>
      <c r="C2464" s="517" t="s">
        <v>5845</v>
      </c>
      <c r="D2464" s="517" t="s">
        <v>5845</v>
      </c>
      <c r="E2464" s="517"/>
      <c r="F2464" s="438" t="s">
        <v>5846</v>
      </c>
      <c r="G2464" s="438" t="s">
        <v>5840</v>
      </c>
      <c r="H2464" s="427" t="s">
        <v>5163</v>
      </c>
      <c r="I2464" s="518">
        <v>3178.625</v>
      </c>
      <c r="J2464" s="381">
        <v>825.875</v>
      </c>
      <c r="K2464" s="519">
        <v>825.875</v>
      </c>
      <c r="L2464" s="369">
        <f t="shared" si="190"/>
        <v>165.17500000000001</v>
      </c>
      <c r="M2464" s="369" t="s">
        <v>6171</v>
      </c>
      <c r="N2464" s="432" t="s">
        <v>3785</v>
      </c>
      <c r="O2464" s="521" t="s">
        <v>5847</v>
      </c>
      <c r="P2464" s="438" t="s">
        <v>5530</v>
      </c>
      <c r="Q2464" s="481">
        <v>0.2</v>
      </c>
      <c r="R2464" s="427">
        <v>1900001375</v>
      </c>
      <c r="S2464" s="513" t="s">
        <v>3475</v>
      </c>
      <c r="T2464" s="2" t="s">
        <v>5914</v>
      </c>
      <c r="U2464" s="9" t="s">
        <v>3475</v>
      </c>
    </row>
    <row r="2465" spans="1:21" x14ac:dyDescent="0.35">
      <c r="A2465" s="435" t="s">
        <v>5160</v>
      </c>
      <c r="B2465" s="427" t="s">
        <v>5851</v>
      </c>
      <c r="C2465" s="517" t="s">
        <v>5845</v>
      </c>
      <c r="D2465" s="517" t="s">
        <v>5845</v>
      </c>
      <c r="E2465" s="517"/>
      <c r="F2465" s="438" t="s">
        <v>5846</v>
      </c>
      <c r="G2465" s="438" t="s">
        <v>5840</v>
      </c>
      <c r="H2465" s="427" t="s">
        <v>5163</v>
      </c>
      <c r="I2465" s="518">
        <v>3178.625</v>
      </c>
      <c r="J2465" s="381">
        <v>825.875</v>
      </c>
      <c r="K2465" s="519">
        <v>825.875</v>
      </c>
      <c r="L2465" s="369">
        <f t="shared" si="190"/>
        <v>165.17500000000001</v>
      </c>
      <c r="M2465" s="369" t="s">
        <v>6171</v>
      </c>
      <c r="N2465" s="432" t="s">
        <v>3785</v>
      </c>
      <c r="O2465" s="521" t="s">
        <v>5847</v>
      </c>
      <c r="P2465" s="438" t="s">
        <v>5530</v>
      </c>
      <c r="Q2465" s="481">
        <v>0.2</v>
      </c>
      <c r="R2465" s="427">
        <v>1900001375</v>
      </c>
      <c r="S2465" s="513" t="s">
        <v>3475</v>
      </c>
      <c r="T2465" s="2" t="s">
        <v>5914</v>
      </c>
      <c r="U2465" s="9" t="s">
        <v>3475</v>
      </c>
    </row>
    <row r="2466" spans="1:21" x14ac:dyDescent="0.35">
      <c r="A2466" s="435" t="s">
        <v>5160</v>
      </c>
      <c r="B2466" s="427" t="s">
        <v>5851</v>
      </c>
      <c r="C2466" s="517" t="s">
        <v>5845</v>
      </c>
      <c r="D2466" s="517" t="s">
        <v>5845</v>
      </c>
      <c r="E2466" s="517"/>
      <c r="F2466" s="438" t="s">
        <v>5846</v>
      </c>
      <c r="G2466" s="438" t="s">
        <v>5840</v>
      </c>
      <c r="H2466" s="427" t="s">
        <v>5163</v>
      </c>
      <c r="I2466" s="518">
        <v>3178.625</v>
      </c>
      <c r="J2466" s="381">
        <v>825.875</v>
      </c>
      <c r="K2466" s="519">
        <v>825.875</v>
      </c>
      <c r="L2466" s="369">
        <f t="shared" si="190"/>
        <v>165.17500000000001</v>
      </c>
      <c r="M2466" s="369" t="s">
        <v>6171</v>
      </c>
      <c r="N2466" s="432" t="s">
        <v>3785</v>
      </c>
      <c r="O2466" s="521" t="s">
        <v>5847</v>
      </c>
      <c r="P2466" s="438" t="s">
        <v>5530</v>
      </c>
      <c r="Q2466" s="481">
        <v>0.2</v>
      </c>
      <c r="R2466" s="427">
        <v>1900001375</v>
      </c>
      <c r="S2466" s="513" t="s">
        <v>3475</v>
      </c>
      <c r="T2466" s="2" t="s">
        <v>5914</v>
      </c>
      <c r="U2466" s="9" t="s">
        <v>3475</v>
      </c>
    </row>
    <row r="2467" spans="1:21" x14ac:dyDescent="0.35">
      <c r="A2467" s="435" t="s">
        <v>5160</v>
      </c>
      <c r="B2467" s="427" t="s">
        <v>5851</v>
      </c>
      <c r="C2467" s="517" t="s">
        <v>5845</v>
      </c>
      <c r="D2467" s="517" t="s">
        <v>5845</v>
      </c>
      <c r="E2467" s="517"/>
      <c r="F2467" s="438" t="s">
        <v>5846</v>
      </c>
      <c r="G2467" s="438" t="s">
        <v>5840</v>
      </c>
      <c r="H2467" s="427" t="s">
        <v>5163</v>
      </c>
      <c r="I2467" s="518">
        <v>3178.625</v>
      </c>
      <c r="J2467" s="381">
        <v>825.875</v>
      </c>
      <c r="K2467" s="519">
        <v>825.875</v>
      </c>
      <c r="L2467" s="369">
        <f t="shared" si="190"/>
        <v>165.17500000000001</v>
      </c>
      <c r="M2467" s="369" t="s">
        <v>6171</v>
      </c>
      <c r="N2467" s="432" t="s">
        <v>3785</v>
      </c>
      <c r="O2467" s="521" t="s">
        <v>5847</v>
      </c>
      <c r="P2467" s="438" t="s">
        <v>5530</v>
      </c>
      <c r="Q2467" s="481">
        <v>0.2</v>
      </c>
      <c r="R2467" s="427">
        <v>1900001375</v>
      </c>
      <c r="S2467" s="513" t="s">
        <v>3475</v>
      </c>
      <c r="T2467" s="2" t="s">
        <v>5914</v>
      </c>
      <c r="U2467" s="9" t="s">
        <v>3475</v>
      </c>
    </row>
    <row r="2468" spans="1:21" x14ac:dyDescent="0.35">
      <c r="A2468" s="435" t="s">
        <v>5160</v>
      </c>
      <c r="B2468" s="427" t="s">
        <v>5851</v>
      </c>
      <c r="C2468" s="517" t="s">
        <v>5845</v>
      </c>
      <c r="D2468" s="517" t="s">
        <v>5845</v>
      </c>
      <c r="E2468" s="517"/>
      <c r="F2468" s="438" t="s">
        <v>5846</v>
      </c>
      <c r="G2468" s="438" t="s">
        <v>5840</v>
      </c>
      <c r="H2468" s="427" t="s">
        <v>5163</v>
      </c>
      <c r="I2468" s="518">
        <v>3178.625</v>
      </c>
      <c r="J2468" s="381">
        <v>825.875</v>
      </c>
      <c r="K2468" s="519">
        <v>825.875</v>
      </c>
      <c r="L2468" s="369">
        <f t="shared" si="190"/>
        <v>165.17500000000001</v>
      </c>
      <c r="M2468" s="369" t="s">
        <v>6171</v>
      </c>
      <c r="N2468" s="432" t="s">
        <v>3785</v>
      </c>
      <c r="O2468" s="521" t="s">
        <v>5847</v>
      </c>
      <c r="P2468" s="438" t="s">
        <v>5530</v>
      </c>
      <c r="Q2468" s="481">
        <v>0.2</v>
      </c>
      <c r="R2468" s="427">
        <v>1900001375</v>
      </c>
      <c r="S2468" s="513" t="s">
        <v>3475</v>
      </c>
      <c r="T2468" s="2" t="s">
        <v>5914</v>
      </c>
      <c r="U2468" s="9" t="s">
        <v>3475</v>
      </c>
    </row>
    <row r="2469" spans="1:21" x14ac:dyDescent="0.35">
      <c r="A2469" s="435" t="s">
        <v>5160</v>
      </c>
      <c r="B2469" s="427" t="s">
        <v>5851</v>
      </c>
      <c r="C2469" s="517" t="s">
        <v>5845</v>
      </c>
      <c r="D2469" s="517" t="s">
        <v>5845</v>
      </c>
      <c r="E2469" s="517"/>
      <c r="F2469" s="438" t="s">
        <v>5846</v>
      </c>
      <c r="G2469" s="438" t="s">
        <v>5840</v>
      </c>
      <c r="H2469" s="427" t="s">
        <v>5163</v>
      </c>
      <c r="I2469" s="518">
        <v>3178.625</v>
      </c>
      <c r="J2469" s="381">
        <v>825.875</v>
      </c>
      <c r="K2469" s="519">
        <v>825.875</v>
      </c>
      <c r="L2469" s="369">
        <f t="shared" si="190"/>
        <v>165.17500000000001</v>
      </c>
      <c r="M2469" s="369" t="s">
        <v>6171</v>
      </c>
      <c r="N2469" s="432" t="s">
        <v>3785</v>
      </c>
      <c r="O2469" s="521" t="s">
        <v>5847</v>
      </c>
      <c r="P2469" s="438" t="s">
        <v>5530</v>
      </c>
      <c r="Q2469" s="481">
        <v>0.2</v>
      </c>
      <c r="R2469" s="427">
        <v>1900001375</v>
      </c>
      <c r="S2469" s="513" t="s">
        <v>3475</v>
      </c>
      <c r="T2469" s="2" t="s">
        <v>5914</v>
      </c>
      <c r="U2469" s="9" t="s">
        <v>3475</v>
      </c>
    </row>
    <row r="2470" spans="1:21" x14ac:dyDescent="0.35">
      <c r="A2470" s="435" t="s">
        <v>5160</v>
      </c>
      <c r="B2470" s="427" t="s">
        <v>5851</v>
      </c>
      <c r="C2470" s="517" t="s">
        <v>5845</v>
      </c>
      <c r="D2470" s="517" t="s">
        <v>5845</v>
      </c>
      <c r="E2470" s="517"/>
      <c r="F2470" s="438" t="s">
        <v>5846</v>
      </c>
      <c r="G2470" s="438" t="s">
        <v>5840</v>
      </c>
      <c r="H2470" s="427" t="s">
        <v>5163</v>
      </c>
      <c r="I2470" s="518">
        <v>3178.625</v>
      </c>
      <c r="J2470" s="381">
        <v>825.875</v>
      </c>
      <c r="K2470" s="519">
        <v>825.875</v>
      </c>
      <c r="L2470" s="369">
        <f t="shared" si="190"/>
        <v>165.17500000000001</v>
      </c>
      <c r="M2470" s="369" t="s">
        <v>6171</v>
      </c>
      <c r="N2470" s="432" t="s">
        <v>3785</v>
      </c>
      <c r="O2470" s="521" t="s">
        <v>5847</v>
      </c>
      <c r="P2470" s="438" t="s">
        <v>5530</v>
      </c>
      <c r="Q2470" s="481">
        <v>0.2</v>
      </c>
      <c r="R2470" s="427">
        <v>1900001375</v>
      </c>
      <c r="S2470" s="513" t="s">
        <v>3475</v>
      </c>
      <c r="T2470" s="2" t="s">
        <v>5914</v>
      </c>
      <c r="U2470" s="9" t="s">
        <v>3475</v>
      </c>
    </row>
    <row r="2471" spans="1:21" x14ac:dyDescent="0.35">
      <c r="A2471" s="435" t="s">
        <v>5160</v>
      </c>
      <c r="B2471" s="427" t="s">
        <v>5851</v>
      </c>
      <c r="C2471" s="517" t="s">
        <v>5845</v>
      </c>
      <c r="D2471" s="517" t="s">
        <v>5845</v>
      </c>
      <c r="E2471" s="517"/>
      <c r="F2471" s="438" t="s">
        <v>5846</v>
      </c>
      <c r="G2471" s="438" t="s">
        <v>5840</v>
      </c>
      <c r="H2471" s="427" t="s">
        <v>5163</v>
      </c>
      <c r="I2471" s="518">
        <v>3178.625</v>
      </c>
      <c r="J2471" s="381">
        <v>825.875</v>
      </c>
      <c r="K2471" s="519">
        <v>825.875</v>
      </c>
      <c r="L2471" s="369">
        <f t="shared" si="190"/>
        <v>165.17500000000001</v>
      </c>
      <c r="M2471" s="369" t="s">
        <v>6171</v>
      </c>
      <c r="N2471" s="432" t="s">
        <v>3785</v>
      </c>
      <c r="O2471" s="521" t="s">
        <v>5847</v>
      </c>
      <c r="P2471" s="438" t="s">
        <v>5530</v>
      </c>
      <c r="Q2471" s="481">
        <v>0.2</v>
      </c>
      <c r="R2471" s="427">
        <v>1900001375</v>
      </c>
      <c r="S2471" s="513" t="s">
        <v>3475</v>
      </c>
      <c r="T2471" s="2" t="s">
        <v>5914</v>
      </c>
      <c r="U2471" s="9" t="s">
        <v>3475</v>
      </c>
    </row>
    <row r="2472" spans="1:21" x14ac:dyDescent="0.35">
      <c r="A2472" s="435" t="s">
        <v>5160</v>
      </c>
      <c r="B2472" s="427" t="s">
        <v>5851</v>
      </c>
      <c r="C2472" s="517" t="s">
        <v>5845</v>
      </c>
      <c r="D2472" s="517" t="s">
        <v>5845</v>
      </c>
      <c r="E2472" s="517"/>
      <c r="F2472" s="438" t="s">
        <v>5846</v>
      </c>
      <c r="G2472" s="438" t="s">
        <v>5840</v>
      </c>
      <c r="H2472" s="427" t="s">
        <v>5163</v>
      </c>
      <c r="I2472" s="518">
        <v>3178.625</v>
      </c>
      <c r="J2472" s="381">
        <v>825.875</v>
      </c>
      <c r="K2472" s="519">
        <v>825.875</v>
      </c>
      <c r="L2472" s="369">
        <f t="shared" si="190"/>
        <v>165.17500000000001</v>
      </c>
      <c r="M2472" s="369" t="s">
        <v>6171</v>
      </c>
      <c r="N2472" s="432" t="s">
        <v>3785</v>
      </c>
      <c r="O2472" s="521" t="s">
        <v>5847</v>
      </c>
      <c r="P2472" s="438" t="s">
        <v>5530</v>
      </c>
      <c r="Q2472" s="481">
        <v>0.2</v>
      </c>
      <c r="R2472" s="427">
        <v>1900001375</v>
      </c>
      <c r="S2472" s="513" t="s">
        <v>3475</v>
      </c>
      <c r="T2472" s="2" t="s">
        <v>5914</v>
      </c>
      <c r="U2472" s="9" t="s">
        <v>3475</v>
      </c>
    </row>
    <row r="2473" spans="1:21" x14ac:dyDescent="0.35">
      <c r="A2473" s="435" t="s">
        <v>5160</v>
      </c>
      <c r="B2473" s="427" t="s">
        <v>5851</v>
      </c>
      <c r="C2473" s="517" t="s">
        <v>5845</v>
      </c>
      <c r="D2473" s="517" t="s">
        <v>5845</v>
      </c>
      <c r="E2473" s="517"/>
      <c r="F2473" s="438" t="s">
        <v>5846</v>
      </c>
      <c r="G2473" s="438" t="s">
        <v>5840</v>
      </c>
      <c r="H2473" s="427" t="s">
        <v>5163</v>
      </c>
      <c r="I2473" s="518">
        <v>3178.625</v>
      </c>
      <c r="J2473" s="381">
        <v>825.875</v>
      </c>
      <c r="K2473" s="519">
        <v>825.875</v>
      </c>
      <c r="L2473" s="369">
        <f t="shared" si="190"/>
        <v>165.17500000000001</v>
      </c>
      <c r="M2473" s="369" t="s">
        <v>6171</v>
      </c>
      <c r="N2473" s="432" t="s">
        <v>3785</v>
      </c>
      <c r="O2473" s="521" t="s">
        <v>5847</v>
      </c>
      <c r="P2473" s="438" t="s">
        <v>5530</v>
      </c>
      <c r="Q2473" s="481">
        <v>0.2</v>
      </c>
      <c r="R2473" s="427">
        <v>1900001375</v>
      </c>
      <c r="S2473" s="513" t="s">
        <v>3475</v>
      </c>
      <c r="T2473" s="2" t="s">
        <v>5914</v>
      </c>
      <c r="U2473" s="9" t="s">
        <v>3475</v>
      </c>
    </row>
    <row r="2474" spans="1:21" x14ac:dyDescent="0.35">
      <c r="A2474" s="435" t="s">
        <v>5160</v>
      </c>
      <c r="B2474" s="427" t="s">
        <v>5851</v>
      </c>
      <c r="C2474" s="517" t="s">
        <v>5845</v>
      </c>
      <c r="D2474" s="517" t="s">
        <v>5845</v>
      </c>
      <c r="E2474" s="517"/>
      <c r="F2474" s="438" t="s">
        <v>5846</v>
      </c>
      <c r="G2474" s="438" t="s">
        <v>5840</v>
      </c>
      <c r="H2474" s="427" t="s">
        <v>5163</v>
      </c>
      <c r="I2474" s="518">
        <v>3178.625</v>
      </c>
      <c r="J2474" s="381">
        <v>825.875</v>
      </c>
      <c r="K2474" s="519">
        <v>825.875</v>
      </c>
      <c r="L2474" s="369">
        <f t="shared" si="190"/>
        <v>165.17500000000001</v>
      </c>
      <c r="M2474" s="369" t="s">
        <v>6171</v>
      </c>
      <c r="N2474" s="432" t="s">
        <v>3785</v>
      </c>
      <c r="O2474" s="521" t="s">
        <v>5847</v>
      </c>
      <c r="P2474" s="438" t="s">
        <v>5530</v>
      </c>
      <c r="Q2474" s="481">
        <v>0.2</v>
      </c>
      <c r="R2474" s="427">
        <v>1900001375</v>
      </c>
      <c r="S2474" s="513" t="s">
        <v>3475</v>
      </c>
      <c r="T2474" s="2" t="s">
        <v>5914</v>
      </c>
      <c r="U2474" s="9" t="s">
        <v>3475</v>
      </c>
    </row>
    <row r="2475" spans="1:21" x14ac:dyDescent="0.35">
      <c r="A2475" s="435" t="s">
        <v>5160</v>
      </c>
      <c r="B2475" s="427" t="s">
        <v>5851</v>
      </c>
      <c r="C2475" s="517" t="s">
        <v>5845</v>
      </c>
      <c r="D2475" s="517" t="s">
        <v>5845</v>
      </c>
      <c r="E2475" s="517"/>
      <c r="F2475" s="438" t="s">
        <v>5846</v>
      </c>
      <c r="G2475" s="438" t="s">
        <v>5840</v>
      </c>
      <c r="H2475" s="427" t="s">
        <v>5163</v>
      </c>
      <c r="I2475" s="518">
        <v>3178.625</v>
      </c>
      <c r="J2475" s="381">
        <v>825.875</v>
      </c>
      <c r="K2475" s="519">
        <v>825.875</v>
      </c>
      <c r="L2475" s="369">
        <f t="shared" si="190"/>
        <v>165.17500000000001</v>
      </c>
      <c r="M2475" s="369" t="s">
        <v>6171</v>
      </c>
      <c r="N2475" s="432" t="s">
        <v>3785</v>
      </c>
      <c r="O2475" s="521" t="s">
        <v>5847</v>
      </c>
      <c r="P2475" s="438" t="s">
        <v>5530</v>
      </c>
      <c r="Q2475" s="481">
        <v>0.2</v>
      </c>
      <c r="R2475" s="427">
        <v>1900001375</v>
      </c>
      <c r="S2475" s="513" t="s">
        <v>3475</v>
      </c>
      <c r="T2475" s="2" t="s">
        <v>5914</v>
      </c>
      <c r="U2475" s="9" t="s">
        <v>3475</v>
      </c>
    </row>
    <row r="2476" spans="1:21" x14ac:dyDescent="0.35">
      <c r="A2476" s="435" t="s">
        <v>5160</v>
      </c>
      <c r="B2476" s="427" t="s">
        <v>5851</v>
      </c>
      <c r="C2476" s="517" t="s">
        <v>5845</v>
      </c>
      <c r="D2476" s="517" t="s">
        <v>5845</v>
      </c>
      <c r="E2476" s="517"/>
      <c r="F2476" s="438" t="s">
        <v>5846</v>
      </c>
      <c r="G2476" s="438" t="s">
        <v>5840</v>
      </c>
      <c r="H2476" s="427" t="s">
        <v>5163</v>
      </c>
      <c r="I2476" s="518">
        <v>3178.625</v>
      </c>
      <c r="J2476" s="381">
        <v>825.875</v>
      </c>
      <c r="K2476" s="519">
        <v>825.875</v>
      </c>
      <c r="L2476" s="369">
        <f t="shared" si="190"/>
        <v>165.17500000000001</v>
      </c>
      <c r="M2476" s="369" t="s">
        <v>6171</v>
      </c>
      <c r="N2476" s="432" t="s">
        <v>3785</v>
      </c>
      <c r="O2476" s="521" t="s">
        <v>5847</v>
      </c>
      <c r="P2476" s="438" t="s">
        <v>5530</v>
      </c>
      <c r="Q2476" s="481">
        <v>0.2</v>
      </c>
      <c r="R2476" s="427">
        <v>1900001375</v>
      </c>
      <c r="S2476" s="513" t="s">
        <v>3475</v>
      </c>
      <c r="T2476" s="2" t="s">
        <v>5914</v>
      </c>
      <c r="U2476" s="9" t="s">
        <v>3475</v>
      </c>
    </row>
    <row r="2477" spans="1:21" x14ac:dyDescent="0.35">
      <c r="A2477" s="435" t="s">
        <v>5160</v>
      </c>
      <c r="B2477" s="427" t="s">
        <v>5851</v>
      </c>
      <c r="C2477" s="517" t="s">
        <v>5845</v>
      </c>
      <c r="D2477" s="517" t="s">
        <v>5845</v>
      </c>
      <c r="E2477" s="517"/>
      <c r="F2477" s="438" t="s">
        <v>5846</v>
      </c>
      <c r="G2477" s="438" t="s">
        <v>5840</v>
      </c>
      <c r="H2477" s="427" t="s">
        <v>5163</v>
      </c>
      <c r="I2477" s="518">
        <v>3178.625</v>
      </c>
      <c r="J2477" s="381">
        <v>825.875</v>
      </c>
      <c r="K2477" s="519">
        <v>825.875</v>
      </c>
      <c r="L2477" s="369">
        <f t="shared" si="190"/>
        <v>165.17500000000001</v>
      </c>
      <c r="M2477" s="369" t="s">
        <v>6171</v>
      </c>
      <c r="N2477" s="432" t="s">
        <v>3785</v>
      </c>
      <c r="O2477" s="521" t="s">
        <v>5847</v>
      </c>
      <c r="P2477" s="438" t="s">
        <v>5530</v>
      </c>
      <c r="Q2477" s="481">
        <v>0.2</v>
      </c>
      <c r="R2477" s="427">
        <v>1900001375</v>
      </c>
      <c r="S2477" s="513" t="s">
        <v>3475</v>
      </c>
      <c r="T2477" s="2" t="s">
        <v>5914</v>
      </c>
      <c r="U2477" s="513" t="s">
        <v>3475</v>
      </c>
    </row>
    <row r="2478" spans="1:21" x14ac:dyDescent="0.35">
      <c r="A2478" s="435" t="s">
        <v>5160</v>
      </c>
      <c r="B2478" s="427" t="s">
        <v>5852</v>
      </c>
      <c r="C2478" s="517" t="s">
        <v>5845</v>
      </c>
      <c r="D2478" s="517" t="s">
        <v>5845</v>
      </c>
      <c r="E2478" s="517"/>
      <c r="F2478" s="438" t="s">
        <v>5846</v>
      </c>
      <c r="G2478" s="438" t="s">
        <v>5840</v>
      </c>
      <c r="H2478" s="427" t="s">
        <v>5163</v>
      </c>
      <c r="I2478" s="518">
        <v>258</v>
      </c>
      <c r="J2478" s="381">
        <v>67</v>
      </c>
      <c r="K2478" s="519">
        <v>67</v>
      </c>
      <c r="L2478" s="369">
        <f t="shared" si="190"/>
        <v>13.4</v>
      </c>
      <c r="M2478" s="369" t="s">
        <v>6171</v>
      </c>
      <c r="N2478" s="432" t="s">
        <v>3785</v>
      </c>
      <c r="O2478" s="521" t="s">
        <v>5847</v>
      </c>
      <c r="P2478" s="438" t="s">
        <v>5530</v>
      </c>
      <c r="Q2478" s="481">
        <v>0.2</v>
      </c>
      <c r="R2478" s="427">
        <v>1900001375</v>
      </c>
      <c r="S2478" s="513" t="s">
        <v>3475</v>
      </c>
      <c r="T2478" s="2" t="s">
        <v>5914</v>
      </c>
      <c r="U2478" s="9" t="s">
        <v>3475</v>
      </c>
    </row>
    <row r="2479" spans="1:21" x14ac:dyDescent="0.35">
      <c r="A2479" s="435" t="s">
        <v>5160</v>
      </c>
      <c r="B2479" s="427" t="s">
        <v>5852</v>
      </c>
      <c r="C2479" s="517" t="s">
        <v>5845</v>
      </c>
      <c r="D2479" s="517" t="s">
        <v>5845</v>
      </c>
      <c r="E2479" s="517"/>
      <c r="F2479" s="438" t="s">
        <v>5846</v>
      </c>
      <c r="G2479" s="438" t="s">
        <v>5840</v>
      </c>
      <c r="H2479" s="427" t="s">
        <v>5163</v>
      </c>
      <c r="I2479" s="518">
        <v>258</v>
      </c>
      <c r="J2479" s="381">
        <v>67</v>
      </c>
      <c r="K2479" s="519">
        <v>67</v>
      </c>
      <c r="L2479" s="369">
        <f t="shared" si="190"/>
        <v>13.4</v>
      </c>
      <c r="M2479" s="369" t="s">
        <v>6171</v>
      </c>
      <c r="N2479" s="432" t="s">
        <v>3785</v>
      </c>
      <c r="O2479" s="521" t="s">
        <v>5847</v>
      </c>
      <c r="P2479" s="438" t="s">
        <v>5530</v>
      </c>
      <c r="Q2479" s="481">
        <v>0.2</v>
      </c>
      <c r="R2479" s="427">
        <v>1900001375</v>
      </c>
      <c r="S2479" s="513" t="s">
        <v>3475</v>
      </c>
      <c r="T2479" s="2" t="s">
        <v>5914</v>
      </c>
      <c r="U2479" s="9" t="s">
        <v>3475</v>
      </c>
    </row>
    <row r="2480" spans="1:21" x14ac:dyDescent="0.35">
      <c r="A2480" s="435" t="s">
        <v>5160</v>
      </c>
      <c r="B2480" s="427" t="s">
        <v>5853</v>
      </c>
      <c r="C2480" s="517" t="s">
        <v>5845</v>
      </c>
      <c r="D2480" s="517" t="s">
        <v>5845</v>
      </c>
      <c r="E2480" s="517"/>
      <c r="F2480" s="438" t="s">
        <v>5846</v>
      </c>
      <c r="G2480" s="438" t="s">
        <v>5840</v>
      </c>
      <c r="H2480" s="427" t="s">
        <v>5163</v>
      </c>
      <c r="I2480" s="518">
        <v>3081.88</v>
      </c>
      <c r="J2480" s="381">
        <v>800.72</v>
      </c>
      <c r="K2480" s="519">
        <v>800.72</v>
      </c>
      <c r="L2480" s="369">
        <f t="shared" si="190"/>
        <v>160.14400000000001</v>
      </c>
      <c r="M2480" s="369" t="s">
        <v>6171</v>
      </c>
      <c r="N2480" s="432" t="s">
        <v>3785</v>
      </c>
      <c r="O2480" s="521" t="s">
        <v>5847</v>
      </c>
      <c r="P2480" s="438" t="s">
        <v>5530</v>
      </c>
      <c r="Q2480" s="481">
        <v>0.2</v>
      </c>
      <c r="R2480" s="427">
        <v>1900001375</v>
      </c>
      <c r="S2480" s="513" t="s">
        <v>3475</v>
      </c>
      <c r="T2480" s="2" t="s">
        <v>5914</v>
      </c>
      <c r="U2480" s="9" t="s">
        <v>3475</v>
      </c>
    </row>
    <row r="2481" spans="1:21" x14ac:dyDescent="0.35">
      <c r="A2481" s="435" t="s">
        <v>5160</v>
      </c>
      <c r="B2481" s="427" t="s">
        <v>5853</v>
      </c>
      <c r="C2481" s="517" t="s">
        <v>5845</v>
      </c>
      <c r="D2481" s="517" t="s">
        <v>5845</v>
      </c>
      <c r="E2481" s="517"/>
      <c r="F2481" s="438" t="s">
        <v>5846</v>
      </c>
      <c r="G2481" s="438" t="s">
        <v>5840</v>
      </c>
      <c r="H2481" s="427" t="s">
        <v>5163</v>
      </c>
      <c r="I2481" s="518">
        <v>3081.88</v>
      </c>
      <c r="J2481" s="381">
        <v>800.72</v>
      </c>
      <c r="K2481" s="519">
        <v>800.72</v>
      </c>
      <c r="L2481" s="369">
        <f t="shared" si="190"/>
        <v>160.14400000000001</v>
      </c>
      <c r="M2481" s="369" t="s">
        <v>6171</v>
      </c>
      <c r="N2481" s="432" t="s">
        <v>3785</v>
      </c>
      <c r="O2481" s="521" t="s">
        <v>5847</v>
      </c>
      <c r="P2481" s="438" t="s">
        <v>5530</v>
      </c>
      <c r="Q2481" s="481">
        <v>0.2</v>
      </c>
      <c r="R2481" s="427">
        <v>1900001375</v>
      </c>
      <c r="S2481" s="513" t="s">
        <v>3475</v>
      </c>
      <c r="T2481" s="2" t="s">
        <v>5914</v>
      </c>
      <c r="U2481" s="9" t="s">
        <v>3475</v>
      </c>
    </row>
    <row r="2482" spans="1:21" x14ac:dyDescent="0.35">
      <c r="A2482" s="435" t="s">
        <v>5160</v>
      </c>
      <c r="B2482" s="427" t="s">
        <v>5853</v>
      </c>
      <c r="C2482" s="517" t="s">
        <v>5845</v>
      </c>
      <c r="D2482" s="517" t="s">
        <v>5845</v>
      </c>
      <c r="E2482" s="517"/>
      <c r="F2482" s="438" t="s">
        <v>5846</v>
      </c>
      <c r="G2482" s="438" t="s">
        <v>5840</v>
      </c>
      <c r="H2482" s="427" t="s">
        <v>5163</v>
      </c>
      <c r="I2482" s="518">
        <v>3081.88</v>
      </c>
      <c r="J2482" s="381">
        <v>800.72</v>
      </c>
      <c r="K2482" s="519">
        <v>800.72</v>
      </c>
      <c r="L2482" s="369">
        <f t="shared" si="190"/>
        <v>160.14400000000001</v>
      </c>
      <c r="M2482" s="369" t="s">
        <v>6171</v>
      </c>
      <c r="N2482" s="432" t="s">
        <v>3785</v>
      </c>
      <c r="O2482" s="521" t="s">
        <v>5847</v>
      </c>
      <c r="P2482" s="438" t="s">
        <v>5530</v>
      </c>
      <c r="Q2482" s="481">
        <v>0.2</v>
      </c>
      <c r="R2482" s="427">
        <v>1900001375</v>
      </c>
      <c r="S2482" s="513" t="s">
        <v>3475</v>
      </c>
      <c r="T2482" s="2" t="s">
        <v>5914</v>
      </c>
      <c r="U2482" s="9" t="s">
        <v>3475</v>
      </c>
    </row>
    <row r="2483" spans="1:21" x14ac:dyDescent="0.35">
      <c r="A2483" s="435" t="s">
        <v>5160</v>
      </c>
      <c r="B2483" s="427" t="s">
        <v>5853</v>
      </c>
      <c r="C2483" s="517" t="s">
        <v>5845</v>
      </c>
      <c r="D2483" s="517" t="s">
        <v>5845</v>
      </c>
      <c r="E2483" s="517"/>
      <c r="F2483" s="438" t="s">
        <v>5846</v>
      </c>
      <c r="G2483" s="438" t="s">
        <v>5840</v>
      </c>
      <c r="H2483" s="427" t="s">
        <v>5163</v>
      </c>
      <c r="I2483" s="518">
        <v>3081.88</v>
      </c>
      <c r="J2483" s="381">
        <v>800.72</v>
      </c>
      <c r="K2483" s="519">
        <v>800.72</v>
      </c>
      <c r="L2483" s="369">
        <f t="shared" si="190"/>
        <v>160.14400000000001</v>
      </c>
      <c r="M2483" s="369" t="s">
        <v>6171</v>
      </c>
      <c r="N2483" s="432" t="s">
        <v>3785</v>
      </c>
      <c r="O2483" s="521" t="s">
        <v>5847</v>
      </c>
      <c r="P2483" s="438" t="s">
        <v>5530</v>
      </c>
      <c r="Q2483" s="481">
        <v>0.2</v>
      </c>
      <c r="R2483" s="427">
        <v>1900001375</v>
      </c>
      <c r="S2483" s="513" t="s">
        <v>3475</v>
      </c>
      <c r="T2483" s="2" t="s">
        <v>5914</v>
      </c>
      <c r="U2483" s="9" t="s">
        <v>3475</v>
      </c>
    </row>
    <row r="2484" spans="1:21" x14ac:dyDescent="0.35">
      <c r="A2484" s="435" t="s">
        <v>5160</v>
      </c>
      <c r="B2484" s="427" t="s">
        <v>5853</v>
      </c>
      <c r="C2484" s="517" t="s">
        <v>5845</v>
      </c>
      <c r="D2484" s="517" t="s">
        <v>5845</v>
      </c>
      <c r="E2484" s="517"/>
      <c r="F2484" s="438" t="s">
        <v>5846</v>
      </c>
      <c r="G2484" s="438" t="s">
        <v>5840</v>
      </c>
      <c r="H2484" s="427" t="s">
        <v>5163</v>
      </c>
      <c r="I2484" s="518">
        <v>3081.88</v>
      </c>
      <c r="J2484" s="381">
        <v>800.72</v>
      </c>
      <c r="K2484" s="519">
        <v>800.72</v>
      </c>
      <c r="L2484" s="369">
        <f t="shared" si="190"/>
        <v>160.14400000000001</v>
      </c>
      <c r="M2484" s="369" t="s">
        <v>6171</v>
      </c>
      <c r="N2484" s="432" t="s">
        <v>3785</v>
      </c>
      <c r="O2484" s="521" t="s">
        <v>5847</v>
      </c>
      <c r="P2484" s="438" t="s">
        <v>5530</v>
      </c>
      <c r="Q2484" s="481">
        <v>0.2</v>
      </c>
      <c r="R2484" s="427">
        <v>1900001375</v>
      </c>
      <c r="S2484" s="513" t="s">
        <v>3475</v>
      </c>
      <c r="T2484" s="2" t="s">
        <v>5914</v>
      </c>
      <c r="U2484" s="9" t="s">
        <v>3475</v>
      </c>
    </row>
    <row r="2485" spans="1:21" x14ac:dyDescent="0.35">
      <c r="A2485" s="435" t="s">
        <v>5160</v>
      </c>
      <c r="B2485" s="427" t="s">
        <v>5853</v>
      </c>
      <c r="C2485" s="517" t="s">
        <v>5845</v>
      </c>
      <c r="D2485" s="517" t="s">
        <v>5845</v>
      </c>
      <c r="E2485" s="517"/>
      <c r="F2485" s="438" t="s">
        <v>5846</v>
      </c>
      <c r="G2485" s="438" t="s">
        <v>5840</v>
      </c>
      <c r="H2485" s="427" t="s">
        <v>5163</v>
      </c>
      <c r="I2485" s="518">
        <v>3081.88</v>
      </c>
      <c r="J2485" s="381">
        <v>800.72</v>
      </c>
      <c r="K2485" s="519">
        <v>800.72</v>
      </c>
      <c r="L2485" s="369">
        <f t="shared" si="190"/>
        <v>160.14400000000001</v>
      </c>
      <c r="M2485" s="369" t="s">
        <v>6171</v>
      </c>
      <c r="N2485" s="432" t="s">
        <v>3785</v>
      </c>
      <c r="O2485" s="521" t="s">
        <v>5847</v>
      </c>
      <c r="P2485" s="438" t="s">
        <v>5530</v>
      </c>
      <c r="Q2485" s="481">
        <v>0.2</v>
      </c>
      <c r="R2485" s="427">
        <v>1900001375</v>
      </c>
      <c r="S2485" s="513" t="s">
        <v>3475</v>
      </c>
      <c r="T2485" s="2" t="s">
        <v>5914</v>
      </c>
      <c r="U2485" s="9" t="s">
        <v>3475</v>
      </c>
    </row>
    <row r="2486" spans="1:21" x14ac:dyDescent="0.35">
      <c r="A2486" s="435" t="s">
        <v>5160</v>
      </c>
      <c r="B2486" s="427" t="s">
        <v>5853</v>
      </c>
      <c r="C2486" s="517" t="s">
        <v>5845</v>
      </c>
      <c r="D2486" s="517" t="s">
        <v>5845</v>
      </c>
      <c r="E2486" s="517"/>
      <c r="F2486" s="438" t="s">
        <v>5846</v>
      </c>
      <c r="G2486" s="438" t="s">
        <v>5840</v>
      </c>
      <c r="H2486" s="427" t="s">
        <v>5163</v>
      </c>
      <c r="I2486" s="518">
        <v>3081.88</v>
      </c>
      <c r="J2486" s="381">
        <v>800.72</v>
      </c>
      <c r="K2486" s="519">
        <v>800.72</v>
      </c>
      <c r="L2486" s="369">
        <f t="shared" si="190"/>
        <v>160.14400000000001</v>
      </c>
      <c r="M2486" s="369" t="s">
        <v>6171</v>
      </c>
      <c r="N2486" s="432" t="s">
        <v>3785</v>
      </c>
      <c r="O2486" s="521" t="s">
        <v>5847</v>
      </c>
      <c r="P2486" s="438" t="s">
        <v>5530</v>
      </c>
      <c r="Q2486" s="481">
        <v>0.2</v>
      </c>
      <c r="R2486" s="427">
        <v>1900001375</v>
      </c>
      <c r="S2486" s="513" t="s">
        <v>3475</v>
      </c>
      <c r="T2486" s="2" t="s">
        <v>5914</v>
      </c>
      <c r="U2486" s="9" t="s">
        <v>3475</v>
      </c>
    </row>
    <row r="2487" spans="1:21" x14ac:dyDescent="0.35">
      <c r="A2487" s="435" t="s">
        <v>5160</v>
      </c>
      <c r="B2487" s="427" t="s">
        <v>5853</v>
      </c>
      <c r="C2487" s="517" t="s">
        <v>5845</v>
      </c>
      <c r="D2487" s="517" t="s">
        <v>5845</v>
      </c>
      <c r="E2487" s="517"/>
      <c r="F2487" s="438" t="s">
        <v>5846</v>
      </c>
      <c r="G2487" s="438" t="s">
        <v>5840</v>
      </c>
      <c r="H2487" s="427" t="s">
        <v>5163</v>
      </c>
      <c r="I2487" s="518">
        <v>3081.88</v>
      </c>
      <c r="J2487" s="381">
        <v>800.72</v>
      </c>
      <c r="K2487" s="519">
        <v>800.72</v>
      </c>
      <c r="L2487" s="369">
        <f t="shared" si="190"/>
        <v>160.14400000000001</v>
      </c>
      <c r="M2487" s="369" t="s">
        <v>6171</v>
      </c>
      <c r="N2487" s="432" t="s">
        <v>3785</v>
      </c>
      <c r="O2487" s="521" t="s">
        <v>5847</v>
      </c>
      <c r="P2487" s="438" t="s">
        <v>5530</v>
      </c>
      <c r="Q2487" s="481">
        <v>0.2</v>
      </c>
      <c r="R2487" s="427">
        <v>1900001375</v>
      </c>
      <c r="S2487" s="513" t="s">
        <v>3475</v>
      </c>
      <c r="T2487" s="2" t="s">
        <v>5914</v>
      </c>
      <c r="U2487" s="9" t="s">
        <v>3475</v>
      </c>
    </row>
    <row r="2488" spans="1:21" x14ac:dyDescent="0.35">
      <c r="A2488" s="435" t="s">
        <v>5160</v>
      </c>
      <c r="B2488" s="427" t="s">
        <v>5853</v>
      </c>
      <c r="C2488" s="517" t="s">
        <v>5845</v>
      </c>
      <c r="D2488" s="517" t="s">
        <v>5845</v>
      </c>
      <c r="E2488" s="517"/>
      <c r="F2488" s="438" t="s">
        <v>5846</v>
      </c>
      <c r="G2488" s="438" t="s">
        <v>5840</v>
      </c>
      <c r="H2488" s="427" t="s">
        <v>5163</v>
      </c>
      <c r="I2488" s="518">
        <v>3081.88</v>
      </c>
      <c r="J2488" s="381">
        <v>800.72</v>
      </c>
      <c r="K2488" s="519">
        <v>800.72</v>
      </c>
      <c r="L2488" s="369">
        <f t="shared" si="190"/>
        <v>160.14400000000001</v>
      </c>
      <c r="M2488" s="369" t="s">
        <v>6171</v>
      </c>
      <c r="N2488" s="432" t="s">
        <v>3785</v>
      </c>
      <c r="O2488" s="521" t="s">
        <v>5847</v>
      </c>
      <c r="P2488" s="438" t="s">
        <v>5530</v>
      </c>
      <c r="Q2488" s="481">
        <v>0.2</v>
      </c>
      <c r="R2488" s="427">
        <v>1900001375</v>
      </c>
      <c r="S2488" s="513" t="s">
        <v>3475</v>
      </c>
      <c r="T2488" s="2" t="s">
        <v>5914</v>
      </c>
      <c r="U2488" s="9" t="s">
        <v>3475</v>
      </c>
    </row>
    <row r="2489" spans="1:21" x14ac:dyDescent="0.35">
      <c r="A2489" s="435" t="s">
        <v>5160</v>
      </c>
      <c r="B2489" s="427" t="s">
        <v>5853</v>
      </c>
      <c r="C2489" s="517" t="s">
        <v>5845</v>
      </c>
      <c r="D2489" s="517" t="s">
        <v>5845</v>
      </c>
      <c r="E2489" s="517"/>
      <c r="F2489" s="438" t="s">
        <v>5846</v>
      </c>
      <c r="G2489" s="438" t="s">
        <v>5840</v>
      </c>
      <c r="H2489" s="427" t="s">
        <v>5163</v>
      </c>
      <c r="I2489" s="518">
        <v>3081.88</v>
      </c>
      <c r="J2489" s="381">
        <v>800.72</v>
      </c>
      <c r="K2489" s="519">
        <v>800.72</v>
      </c>
      <c r="L2489" s="369">
        <f t="shared" si="190"/>
        <v>160.14400000000001</v>
      </c>
      <c r="M2489" s="369" t="s">
        <v>6171</v>
      </c>
      <c r="N2489" s="432" t="s">
        <v>3785</v>
      </c>
      <c r="O2489" s="521" t="s">
        <v>5847</v>
      </c>
      <c r="P2489" s="438" t="s">
        <v>5530</v>
      </c>
      <c r="Q2489" s="481">
        <v>0.2</v>
      </c>
      <c r="R2489" s="427">
        <v>1900001375</v>
      </c>
      <c r="S2489" s="513" t="s">
        <v>3475</v>
      </c>
      <c r="T2489" s="2" t="s">
        <v>5914</v>
      </c>
      <c r="U2489" s="9" t="s">
        <v>3475</v>
      </c>
    </row>
    <row r="2490" spans="1:21" x14ac:dyDescent="0.35">
      <c r="A2490" s="435" t="s">
        <v>5160</v>
      </c>
      <c r="B2490" s="427" t="s">
        <v>5853</v>
      </c>
      <c r="C2490" s="517" t="s">
        <v>5845</v>
      </c>
      <c r="D2490" s="517" t="s">
        <v>5845</v>
      </c>
      <c r="E2490" s="517"/>
      <c r="F2490" s="438" t="s">
        <v>5846</v>
      </c>
      <c r="G2490" s="438" t="s">
        <v>5840</v>
      </c>
      <c r="H2490" s="427" t="s">
        <v>5163</v>
      </c>
      <c r="I2490" s="518">
        <v>3081.88</v>
      </c>
      <c r="J2490" s="381">
        <v>800.72</v>
      </c>
      <c r="K2490" s="519">
        <v>800.72</v>
      </c>
      <c r="L2490" s="369">
        <f t="shared" si="190"/>
        <v>160.14400000000001</v>
      </c>
      <c r="M2490" s="369" t="s">
        <v>6171</v>
      </c>
      <c r="N2490" s="432" t="s">
        <v>3785</v>
      </c>
      <c r="O2490" s="521" t="s">
        <v>5847</v>
      </c>
      <c r="P2490" s="438" t="s">
        <v>5530</v>
      </c>
      <c r="Q2490" s="481">
        <v>0.2</v>
      </c>
      <c r="R2490" s="427">
        <v>1900001375</v>
      </c>
      <c r="S2490" s="513" t="s">
        <v>3475</v>
      </c>
      <c r="T2490" s="2" t="s">
        <v>5914</v>
      </c>
      <c r="U2490" s="9" t="s">
        <v>3475</v>
      </c>
    </row>
    <row r="2491" spans="1:21" x14ac:dyDescent="0.35">
      <c r="A2491" s="435" t="s">
        <v>5160</v>
      </c>
      <c r="B2491" s="427" t="s">
        <v>5853</v>
      </c>
      <c r="C2491" s="517" t="s">
        <v>5845</v>
      </c>
      <c r="D2491" s="517" t="s">
        <v>5845</v>
      </c>
      <c r="E2491" s="517"/>
      <c r="F2491" s="438" t="s">
        <v>5846</v>
      </c>
      <c r="G2491" s="438" t="s">
        <v>5840</v>
      </c>
      <c r="H2491" s="427" t="s">
        <v>5163</v>
      </c>
      <c r="I2491" s="518">
        <v>3081.88</v>
      </c>
      <c r="J2491" s="381">
        <v>800.72</v>
      </c>
      <c r="K2491" s="519">
        <v>800.72</v>
      </c>
      <c r="L2491" s="369">
        <f t="shared" si="190"/>
        <v>160.14400000000001</v>
      </c>
      <c r="M2491" s="369" t="s">
        <v>6171</v>
      </c>
      <c r="N2491" s="432" t="s">
        <v>3785</v>
      </c>
      <c r="O2491" s="521" t="s">
        <v>5847</v>
      </c>
      <c r="P2491" s="438" t="s">
        <v>5530</v>
      </c>
      <c r="Q2491" s="481">
        <v>0.2</v>
      </c>
      <c r="R2491" s="427">
        <v>1900001375</v>
      </c>
      <c r="S2491" s="513" t="s">
        <v>3475</v>
      </c>
      <c r="T2491" s="2" t="s">
        <v>5914</v>
      </c>
      <c r="U2491" s="9" t="s">
        <v>3475</v>
      </c>
    </row>
    <row r="2492" spans="1:21" x14ac:dyDescent="0.35">
      <c r="A2492" s="435" t="s">
        <v>5160</v>
      </c>
      <c r="B2492" s="427" t="s">
        <v>5853</v>
      </c>
      <c r="C2492" s="517" t="s">
        <v>5845</v>
      </c>
      <c r="D2492" s="517" t="s">
        <v>5845</v>
      </c>
      <c r="E2492" s="517"/>
      <c r="F2492" s="438" t="s">
        <v>5846</v>
      </c>
      <c r="G2492" s="438" t="s">
        <v>5840</v>
      </c>
      <c r="H2492" s="427" t="s">
        <v>5163</v>
      </c>
      <c r="I2492" s="518">
        <v>3081.88</v>
      </c>
      <c r="J2492" s="381">
        <v>800.72</v>
      </c>
      <c r="K2492" s="519">
        <v>800.72</v>
      </c>
      <c r="L2492" s="369">
        <f t="shared" si="190"/>
        <v>160.14400000000001</v>
      </c>
      <c r="M2492" s="369" t="s">
        <v>6171</v>
      </c>
      <c r="N2492" s="432" t="s">
        <v>3785</v>
      </c>
      <c r="O2492" s="521" t="s">
        <v>5847</v>
      </c>
      <c r="P2492" s="438" t="s">
        <v>5530</v>
      </c>
      <c r="Q2492" s="481">
        <v>0.2</v>
      </c>
      <c r="R2492" s="427">
        <v>1900001375</v>
      </c>
      <c r="S2492" s="513" t="s">
        <v>3475</v>
      </c>
      <c r="T2492" s="2" t="s">
        <v>5914</v>
      </c>
      <c r="U2492" s="9" t="s">
        <v>3475</v>
      </c>
    </row>
    <row r="2493" spans="1:21" x14ac:dyDescent="0.35">
      <c r="A2493" s="435" t="s">
        <v>5160</v>
      </c>
      <c r="B2493" s="427" t="s">
        <v>5853</v>
      </c>
      <c r="C2493" s="517" t="s">
        <v>5845</v>
      </c>
      <c r="D2493" s="517" t="s">
        <v>5845</v>
      </c>
      <c r="E2493" s="517"/>
      <c r="F2493" s="438" t="s">
        <v>5846</v>
      </c>
      <c r="G2493" s="438" t="s">
        <v>5840</v>
      </c>
      <c r="H2493" s="427" t="s">
        <v>5163</v>
      </c>
      <c r="I2493" s="518">
        <v>3081.88</v>
      </c>
      <c r="J2493" s="381">
        <v>800.72</v>
      </c>
      <c r="K2493" s="519">
        <v>800.72</v>
      </c>
      <c r="L2493" s="369">
        <f t="shared" si="190"/>
        <v>160.14400000000001</v>
      </c>
      <c r="M2493" s="369" t="s">
        <v>6171</v>
      </c>
      <c r="N2493" s="432" t="s">
        <v>3785</v>
      </c>
      <c r="O2493" s="521" t="s">
        <v>5847</v>
      </c>
      <c r="P2493" s="438" t="s">
        <v>5530</v>
      </c>
      <c r="Q2493" s="481">
        <v>0.2</v>
      </c>
      <c r="R2493" s="427">
        <v>1900001375</v>
      </c>
      <c r="S2493" s="513" t="s">
        <v>3475</v>
      </c>
      <c r="T2493" s="2" t="s">
        <v>5914</v>
      </c>
      <c r="U2493" s="9" t="s">
        <v>3475</v>
      </c>
    </row>
    <row r="2494" spans="1:21" x14ac:dyDescent="0.35">
      <c r="A2494" s="435" t="s">
        <v>5160</v>
      </c>
      <c r="B2494" s="427" t="s">
        <v>5853</v>
      </c>
      <c r="C2494" s="517" t="s">
        <v>5845</v>
      </c>
      <c r="D2494" s="517" t="s">
        <v>5845</v>
      </c>
      <c r="E2494" s="517"/>
      <c r="F2494" s="438" t="s">
        <v>5846</v>
      </c>
      <c r="G2494" s="438" t="s">
        <v>5840</v>
      </c>
      <c r="H2494" s="427" t="s">
        <v>5163</v>
      </c>
      <c r="I2494" s="518">
        <v>3081.88</v>
      </c>
      <c r="J2494" s="381">
        <v>800.72</v>
      </c>
      <c r="K2494" s="519">
        <v>800.72</v>
      </c>
      <c r="L2494" s="369">
        <f t="shared" si="190"/>
        <v>160.14400000000001</v>
      </c>
      <c r="M2494" s="369" t="s">
        <v>6171</v>
      </c>
      <c r="N2494" s="432" t="s">
        <v>3785</v>
      </c>
      <c r="O2494" s="521" t="s">
        <v>5847</v>
      </c>
      <c r="P2494" s="438" t="s">
        <v>5530</v>
      </c>
      <c r="Q2494" s="481">
        <v>0.2</v>
      </c>
      <c r="R2494" s="427">
        <v>1900001375</v>
      </c>
      <c r="S2494" s="513" t="s">
        <v>3475</v>
      </c>
      <c r="T2494" s="2" t="s">
        <v>5914</v>
      </c>
      <c r="U2494" s="9" t="s">
        <v>3475</v>
      </c>
    </row>
    <row r="2495" spans="1:21" x14ac:dyDescent="0.35">
      <c r="A2495" s="435" t="s">
        <v>5160</v>
      </c>
      <c r="B2495" s="427" t="s">
        <v>5853</v>
      </c>
      <c r="C2495" s="517" t="s">
        <v>5845</v>
      </c>
      <c r="D2495" s="517" t="s">
        <v>5845</v>
      </c>
      <c r="E2495" s="517"/>
      <c r="F2495" s="438" t="s">
        <v>5846</v>
      </c>
      <c r="G2495" s="438" t="s">
        <v>5840</v>
      </c>
      <c r="H2495" s="427" t="s">
        <v>5163</v>
      </c>
      <c r="I2495" s="518">
        <v>3081.88</v>
      </c>
      <c r="J2495" s="381">
        <v>800.72</v>
      </c>
      <c r="K2495" s="519">
        <v>800.72</v>
      </c>
      <c r="L2495" s="369">
        <f t="shared" si="190"/>
        <v>160.14400000000001</v>
      </c>
      <c r="M2495" s="369" t="s">
        <v>6171</v>
      </c>
      <c r="N2495" s="432" t="s">
        <v>3785</v>
      </c>
      <c r="O2495" s="521" t="s">
        <v>5847</v>
      </c>
      <c r="P2495" s="438" t="s">
        <v>5530</v>
      </c>
      <c r="Q2495" s="481">
        <v>0.2</v>
      </c>
      <c r="R2495" s="427">
        <v>1900001375</v>
      </c>
      <c r="S2495" s="513" t="s">
        <v>3475</v>
      </c>
      <c r="T2495" s="2" t="s">
        <v>5914</v>
      </c>
      <c r="U2495" s="9" t="s">
        <v>3475</v>
      </c>
    </row>
    <row r="2496" spans="1:21" x14ac:dyDescent="0.35">
      <c r="A2496" s="435" t="s">
        <v>5160</v>
      </c>
      <c r="B2496" s="427" t="s">
        <v>5853</v>
      </c>
      <c r="C2496" s="517" t="s">
        <v>5845</v>
      </c>
      <c r="D2496" s="517" t="s">
        <v>5845</v>
      </c>
      <c r="E2496" s="517"/>
      <c r="F2496" s="438" t="s">
        <v>5846</v>
      </c>
      <c r="G2496" s="438" t="s">
        <v>5840</v>
      </c>
      <c r="H2496" s="427" t="s">
        <v>5163</v>
      </c>
      <c r="I2496" s="518">
        <v>3081.88</v>
      </c>
      <c r="J2496" s="381">
        <v>800.72</v>
      </c>
      <c r="K2496" s="519">
        <v>800.72</v>
      </c>
      <c r="L2496" s="369">
        <f t="shared" si="190"/>
        <v>160.14400000000001</v>
      </c>
      <c r="M2496" s="369" t="s">
        <v>6171</v>
      </c>
      <c r="N2496" s="432" t="s">
        <v>3785</v>
      </c>
      <c r="O2496" s="521" t="s">
        <v>5847</v>
      </c>
      <c r="P2496" s="438" t="s">
        <v>5530</v>
      </c>
      <c r="Q2496" s="481">
        <v>0.2</v>
      </c>
      <c r="R2496" s="427">
        <v>1900001375</v>
      </c>
      <c r="S2496" s="513" t="s">
        <v>3475</v>
      </c>
      <c r="T2496" s="2" t="s">
        <v>5914</v>
      </c>
      <c r="U2496" s="9" t="s">
        <v>3475</v>
      </c>
    </row>
    <row r="2497" spans="1:21" x14ac:dyDescent="0.35">
      <c r="A2497" s="435" t="s">
        <v>5160</v>
      </c>
      <c r="B2497" s="427" t="s">
        <v>5853</v>
      </c>
      <c r="C2497" s="517" t="s">
        <v>5845</v>
      </c>
      <c r="D2497" s="517" t="s">
        <v>5845</v>
      </c>
      <c r="E2497" s="517"/>
      <c r="F2497" s="438" t="s">
        <v>5846</v>
      </c>
      <c r="G2497" s="438" t="s">
        <v>5840</v>
      </c>
      <c r="H2497" s="427" t="s">
        <v>5163</v>
      </c>
      <c r="I2497" s="518">
        <v>3081.88</v>
      </c>
      <c r="J2497" s="381">
        <v>800.72</v>
      </c>
      <c r="K2497" s="519">
        <v>800.72</v>
      </c>
      <c r="L2497" s="369">
        <f t="shared" si="190"/>
        <v>160.14400000000001</v>
      </c>
      <c r="M2497" s="369" t="s">
        <v>6171</v>
      </c>
      <c r="N2497" s="432" t="s">
        <v>3785</v>
      </c>
      <c r="O2497" s="521" t="s">
        <v>5847</v>
      </c>
      <c r="P2497" s="438" t="s">
        <v>5530</v>
      </c>
      <c r="Q2497" s="481">
        <v>0.2</v>
      </c>
      <c r="R2497" s="427">
        <v>1900001375</v>
      </c>
      <c r="S2497" s="513" t="s">
        <v>3475</v>
      </c>
      <c r="T2497" s="2" t="s">
        <v>5914</v>
      </c>
      <c r="U2497" s="9" t="s">
        <v>3475</v>
      </c>
    </row>
    <row r="2498" spans="1:21" x14ac:dyDescent="0.35">
      <c r="A2498" s="435" t="s">
        <v>5160</v>
      </c>
      <c r="B2498" s="427" t="s">
        <v>5853</v>
      </c>
      <c r="C2498" s="517" t="s">
        <v>5845</v>
      </c>
      <c r="D2498" s="517" t="s">
        <v>5845</v>
      </c>
      <c r="E2498" s="517"/>
      <c r="F2498" s="438" t="s">
        <v>5846</v>
      </c>
      <c r="G2498" s="438" t="s">
        <v>5840</v>
      </c>
      <c r="H2498" s="427" t="s">
        <v>5163</v>
      </c>
      <c r="I2498" s="518">
        <v>3081.88</v>
      </c>
      <c r="J2498" s="381">
        <v>800.72</v>
      </c>
      <c r="K2498" s="519">
        <v>800.72</v>
      </c>
      <c r="L2498" s="369">
        <f t="shared" si="190"/>
        <v>160.14400000000001</v>
      </c>
      <c r="M2498" s="369" t="s">
        <v>6171</v>
      </c>
      <c r="N2498" s="432" t="s">
        <v>3785</v>
      </c>
      <c r="O2498" s="521" t="s">
        <v>5847</v>
      </c>
      <c r="P2498" s="438" t="s">
        <v>5530</v>
      </c>
      <c r="Q2498" s="481">
        <v>0.2</v>
      </c>
      <c r="R2498" s="427">
        <v>1900001375</v>
      </c>
      <c r="S2498" s="513" t="s">
        <v>3475</v>
      </c>
      <c r="T2498" s="2" t="s">
        <v>5914</v>
      </c>
      <c r="U2498" s="9" t="s">
        <v>3475</v>
      </c>
    </row>
    <row r="2499" spans="1:21" x14ac:dyDescent="0.35">
      <c r="A2499" s="435" t="s">
        <v>5160</v>
      </c>
      <c r="B2499" s="427" t="s">
        <v>5853</v>
      </c>
      <c r="C2499" s="517" t="s">
        <v>5845</v>
      </c>
      <c r="D2499" s="517" t="s">
        <v>5845</v>
      </c>
      <c r="E2499" s="517"/>
      <c r="F2499" s="438" t="s">
        <v>5846</v>
      </c>
      <c r="G2499" s="438" t="s">
        <v>5840</v>
      </c>
      <c r="H2499" s="427" t="s">
        <v>5163</v>
      </c>
      <c r="I2499" s="518">
        <v>3081.88</v>
      </c>
      <c r="J2499" s="381">
        <v>800.72</v>
      </c>
      <c r="K2499" s="519">
        <v>800.72</v>
      </c>
      <c r="L2499" s="369">
        <f t="shared" si="190"/>
        <v>160.14400000000001</v>
      </c>
      <c r="M2499" s="369" t="s">
        <v>6171</v>
      </c>
      <c r="N2499" s="432" t="s">
        <v>3785</v>
      </c>
      <c r="O2499" s="521" t="s">
        <v>5847</v>
      </c>
      <c r="P2499" s="438" t="s">
        <v>5530</v>
      </c>
      <c r="Q2499" s="481">
        <v>0.2</v>
      </c>
      <c r="R2499" s="427">
        <v>1900001375</v>
      </c>
      <c r="S2499" s="513" t="s">
        <v>3475</v>
      </c>
      <c r="T2499" s="2" t="s">
        <v>5914</v>
      </c>
      <c r="U2499" s="9" t="s">
        <v>3475</v>
      </c>
    </row>
    <row r="2500" spans="1:21" x14ac:dyDescent="0.35">
      <c r="A2500" s="435" t="s">
        <v>5160</v>
      </c>
      <c r="B2500" s="427" t="s">
        <v>5853</v>
      </c>
      <c r="C2500" s="517" t="s">
        <v>5845</v>
      </c>
      <c r="D2500" s="517" t="s">
        <v>5845</v>
      </c>
      <c r="E2500" s="517"/>
      <c r="F2500" s="438" t="s">
        <v>5846</v>
      </c>
      <c r="G2500" s="438" t="s">
        <v>5840</v>
      </c>
      <c r="H2500" s="427" t="s">
        <v>5163</v>
      </c>
      <c r="I2500" s="518">
        <v>3081.88</v>
      </c>
      <c r="J2500" s="381">
        <v>800.72</v>
      </c>
      <c r="K2500" s="519">
        <v>800.72</v>
      </c>
      <c r="L2500" s="369">
        <f t="shared" si="190"/>
        <v>160.14400000000001</v>
      </c>
      <c r="M2500" s="369" t="s">
        <v>6171</v>
      </c>
      <c r="N2500" s="432" t="s">
        <v>3785</v>
      </c>
      <c r="O2500" s="521" t="s">
        <v>5847</v>
      </c>
      <c r="P2500" s="438" t="s">
        <v>5530</v>
      </c>
      <c r="Q2500" s="481">
        <v>0.2</v>
      </c>
      <c r="R2500" s="427">
        <v>1900001375</v>
      </c>
      <c r="S2500" s="513" t="s">
        <v>3475</v>
      </c>
      <c r="T2500" s="2" t="s">
        <v>5914</v>
      </c>
      <c r="U2500" s="9" t="s">
        <v>3475</v>
      </c>
    </row>
    <row r="2501" spans="1:21" x14ac:dyDescent="0.35">
      <c r="A2501" s="435" t="s">
        <v>5160</v>
      </c>
      <c r="B2501" s="427" t="s">
        <v>5853</v>
      </c>
      <c r="C2501" s="517" t="s">
        <v>5845</v>
      </c>
      <c r="D2501" s="517" t="s">
        <v>5845</v>
      </c>
      <c r="E2501" s="517"/>
      <c r="F2501" s="438" t="s">
        <v>5846</v>
      </c>
      <c r="G2501" s="438" t="s">
        <v>5840</v>
      </c>
      <c r="H2501" s="427" t="s">
        <v>5163</v>
      </c>
      <c r="I2501" s="518">
        <v>3081.88</v>
      </c>
      <c r="J2501" s="381">
        <v>800.72</v>
      </c>
      <c r="K2501" s="519">
        <v>800.72</v>
      </c>
      <c r="L2501" s="369">
        <f t="shared" ref="L2501:L2564" si="191">+K2501*Q2501</f>
        <v>160.14400000000001</v>
      </c>
      <c r="M2501" s="369" t="s">
        <v>6171</v>
      </c>
      <c r="N2501" s="432" t="s">
        <v>3785</v>
      </c>
      <c r="O2501" s="521" t="s">
        <v>5847</v>
      </c>
      <c r="P2501" s="438" t="s">
        <v>5530</v>
      </c>
      <c r="Q2501" s="481">
        <v>0.2</v>
      </c>
      <c r="R2501" s="427">
        <v>1900001375</v>
      </c>
      <c r="S2501" s="513" t="s">
        <v>3475</v>
      </c>
      <c r="T2501" s="2" t="s">
        <v>5914</v>
      </c>
      <c r="U2501" s="9" t="s">
        <v>3475</v>
      </c>
    </row>
    <row r="2502" spans="1:21" x14ac:dyDescent="0.35">
      <c r="A2502" s="435" t="s">
        <v>5160</v>
      </c>
      <c r="B2502" s="427" t="s">
        <v>5853</v>
      </c>
      <c r="C2502" s="517" t="s">
        <v>5845</v>
      </c>
      <c r="D2502" s="517" t="s">
        <v>5845</v>
      </c>
      <c r="E2502" s="517"/>
      <c r="F2502" s="438" t="s">
        <v>5846</v>
      </c>
      <c r="G2502" s="438" t="s">
        <v>5840</v>
      </c>
      <c r="H2502" s="427" t="s">
        <v>5163</v>
      </c>
      <c r="I2502" s="518">
        <v>3081.88</v>
      </c>
      <c r="J2502" s="381">
        <v>800.72</v>
      </c>
      <c r="K2502" s="519">
        <v>800.72</v>
      </c>
      <c r="L2502" s="369">
        <f t="shared" si="191"/>
        <v>160.14400000000001</v>
      </c>
      <c r="M2502" s="369" t="s">
        <v>6171</v>
      </c>
      <c r="N2502" s="432" t="s">
        <v>3785</v>
      </c>
      <c r="O2502" s="521" t="s">
        <v>5847</v>
      </c>
      <c r="P2502" s="438" t="s">
        <v>5530</v>
      </c>
      <c r="Q2502" s="481">
        <v>0.2</v>
      </c>
      <c r="R2502" s="427">
        <v>1900001375</v>
      </c>
      <c r="S2502" s="513" t="s">
        <v>3475</v>
      </c>
      <c r="T2502" s="2" t="s">
        <v>5914</v>
      </c>
      <c r="U2502" s="9" t="s">
        <v>3475</v>
      </c>
    </row>
    <row r="2503" spans="1:21" x14ac:dyDescent="0.35">
      <c r="A2503" s="435" t="s">
        <v>5160</v>
      </c>
      <c r="B2503" s="427" t="s">
        <v>5853</v>
      </c>
      <c r="C2503" s="517" t="s">
        <v>5845</v>
      </c>
      <c r="D2503" s="517" t="s">
        <v>5845</v>
      </c>
      <c r="E2503" s="517"/>
      <c r="F2503" s="438" t="s">
        <v>5846</v>
      </c>
      <c r="G2503" s="438" t="s">
        <v>5840</v>
      </c>
      <c r="H2503" s="427" t="s">
        <v>5163</v>
      </c>
      <c r="I2503" s="518">
        <v>3081.88</v>
      </c>
      <c r="J2503" s="381">
        <v>800.72</v>
      </c>
      <c r="K2503" s="519">
        <v>800.72</v>
      </c>
      <c r="L2503" s="369">
        <f t="shared" si="191"/>
        <v>160.14400000000001</v>
      </c>
      <c r="M2503" s="369" t="s">
        <v>6171</v>
      </c>
      <c r="N2503" s="432" t="s">
        <v>3785</v>
      </c>
      <c r="O2503" s="521" t="s">
        <v>5847</v>
      </c>
      <c r="P2503" s="438" t="s">
        <v>5530</v>
      </c>
      <c r="Q2503" s="481">
        <v>0.2</v>
      </c>
      <c r="R2503" s="427">
        <v>1900001375</v>
      </c>
      <c r="S2503" s="513" t="s">
        <v>3475</v>
      </c>
      <c r="T2503" s="2" t="s">
        <v>5914</v>
      </c>
      <c r="U2503" s="9" t="s">
        <v>3475</v>
      </c>
    </row>
    <row r="2504" spans="1:21" x14ac:dyDescent="0.35">
      <c r="A2504" s="435" t="s">
        <v>5160</v>
      </c>
      <c r="B2504" s="427" t="s">
        <v>5853</v>
      </c>
      <c r="C2504" s="517" t="s">
        <v>5845</v>
      </c>
      <c r="D2504" s="517" t="s">
        <v>5845</v>
      </c>
      <c r="E2504" s="517"/>
      <c r="F2504" s="438" t="s">
        <v>5846</v>
      </c>
      <c r="G2504" s="438" t="s">
        <v>5840</v>
      </c>
      <c r="H2504" s="427" t="s">
        <v>5163</v>
      </c>
      <c r="I2504" s="518">
        <v>3081.88</v>
      </c>
      <c r="J2504" s="381">
        <v>800.72</v>
      </c>
      <c r="K2504" s="519">
        <v>800.72</v>
      </c>
      <c r="L2504" s="369">
        <f t="shared" si="191"/>
        <v>160.14400000000001</v>
      </c>
      <c r="M2504" s="369" t="s">
        <v>6171</v>
      </c>
      <c r="N2504" s="432" t="s">
        <v>3785</v>
      </c>
      <c r="O2504" s="521" t="s">
        <v>5847</v>
      </c>
      <c r="P2504" s="438" t="s">
        <v>5530</v>
      </c>
      <c r="Q2504" s="481">
        <v>0.2</v>
      </c>
      <c r="R2504" s="427">
        <v>1900001375</v>
      </c>
      <c r="S2504" s="513" t="s">
        <v>3475</v>
      </c>
      <c r="T2504" s="2" t="s">
        <v>5914</v>
      </c>
      <c r="U2504" s="9" t="s">
        <v>3475</v>
      </c>
    </row>
    <row r="2505" spans="1:21" x14ac:dyDescent="0.35">
      <c r="A2505" s="435" t="s">
        <v>5160</v>
      </c>
      <c r="B2505" s="427" t="s">
        <v>5853</v>
      </c>
      <c r="C2505" s="517" t="s">
        <v>5845</v>
      </c>
      <c r="D2505" s="517" t="s">
        <v>5845</v>
      </c>
      <c r="E2505" s="517"/>
      <c r="F2505" s="438" t="s">
        <v>5846</v>
      </c>
      <c r="G2505" s="438" t="s">
        <v>5840</v>
      </c>
      <c r="H2505" s="427" t="s">
        <v>5163</v>
      </c>
      <c r="I2505" s="518">
        <v>3081.88</v>
      </c>
      <c r="J2505" s="381">
        <v>800.72</v>
      </c>
      <c r="K2505" s="519">
        <v>800.72</v>
      </c>
      <c r="L2505" s="369">
        <f t="shared" si="191"/>
        <v>160.14400000000001</v>
      </c>
      <c r="M2505" s="369" t="s">
        <v>6171</v>
      </c>
      <c r="N2505" s="432" t="s">
        <v>3785</v>
      </c>
      <c r="O2505" s="521" t="s">
        <v>5847</v>
      </c>
      <c r="P2505" s="438" t="s">
        <v>5530</v>
      </c>
      <c r="Q2505" s="481">
        <v>0.2</v>
      </c>
      <c r="R2505" s="427">
        <v>1900001375</v>
      </c>
      <c r="S2505" s="513" t="s">
        <v>3475</v>
      </c>
      <c r="T2505" s="2" t="s">
        <v>5914</v>
      </c>
      <c r="U2505" s="9" t="s">
        <v>3475</v>
      </c>
    </row>
    <row r="2506" spans="1:21" x14ac:dyDescent="0.35">
      <c r="A2506" s="435" t="s">
        <v>5160</v>
      </c>
      <c r="B2506" s="427" t="s">
        <v>5853</v>
      </c>
      <c r="C2506" s="517" t="s">
        <v>5845</v>
      </c>
      <c r="D2506" s="517" t="s">
        <v>5845</v>
      </c>
      <c r="E2506" s="517"/>
      <c r="F2506" s="438" t="s">
        <v>5846</v>
      </c>
      <c r="G2506" s="438" t="s">
        <v>5840</v>
      </c>
      <c r="H2506" s="427" t="s">
        <v>5163</v>
      </c>
      <c r="I2506" s="518">
        <v>3081.88</v>
      </c>
      <c r="J2506" s="381">
        <v>800.72</v>
      </c>
      <c r="K2506" s="519">
        <v>800.72</v>
      </c>
      <c r="L2506" s="369">
        <f t="shared" si="191"/>
        <v>160.14400000000001</v>
      </c>
      <c r="M2506" s="369" t="s">
        <v>6171</v>
      </c>
      <c r="N2506" s="432" t="s">
        <v>3785</v>
      </c>
      <c r="O2506" s="521" t="s">
        <v>5847</v>
      </c>
      <c r="P2506" s="438" t="s">
        <v>5530</v>
      </c>
      <c r="Q2506" s="481">
        <v>0.2</v>
      </c>
      <c r="R2506" s="427">
        <v>1900001375</v>
      </c>
      <c r="S2506" s="513" t="s">
        <v>3475</v>
      </c>
      <c r="T2506" s="2" t="s">
        <v>5914</v>
      </c>
      <c r="U2506" s="9" t="s">
        <v>3475</v>
      </c>
    </row>
    <row r="2507" spans="1:21" x14ac:dyDescent="0.35">
      <c r="A2507" s="435" t="s">
        <v>5160</v>
      </c>
      <c r="B2507" s="427" t="s">
        <v>5853</v>
      </c>
      <c r="C2507" s="517" t="s">
        <v>5845</v>
      </c>
      <c r="D2507" s="517" t="s">
        <v>5845</v>
      </c>
      <c r="E2507" s="517"/>
      <c r="F2507" s="438" t="s">
        <v>5846</v>
      </c>
      <c r="G2507" s="438" t="s">
        <v>5840</v>
      </c>
      <c r="H2507" s="427" t="s">
        <v>5163</v>
      </c>
      <c r="I2507" s="518">
        <v>3081.88</v>
      </c>
      <c r="J2507" s="381">
        <v>800.72</v>
      </c>
      <c r="K2507" s="519">
        <v>800.72</v>
      </c>
      <c r="L2507" s="369">
        <f t="shared" si="191"/>
        <v>160.14400000000001</v>
      </c>
      <c r="M2507" s="369" t="s">
        <v>6171</v>
      </c>
      <c r="N2507" s="432" t="s">
        <v>3785</v>
      </c>
      <c r="O2507" s="521" t="s">
        <v>5847</v>
      </c>
      <c r="P2507" s="438" t="s">
        <v>5530</v>
      </c>
      <c r="Q2507" s="481">
        <v>0.2</v>
      </c>
      <c r="R2507" s="427">
        <v>1900001375</v>
      </c>
      <c r="S2507" s="513" t="s">
        <v>3475</v>
      </c>
      <c r="T2507" s="2" t="s">
        <v>5914</v>
      </c>
      <c r="U2507" s="9" t="s">
        <v>3475</v>
      </c>
    </row>
    <row r="2508" spans="1:21" x14ac:dyDescent="0.35">
      <c r="A2508" s="435" t="s">
        <v>5160</v>
      </c>
      <c r="B2508" s="427" t="s">
        <v>5853</v>
      </c>
      <c r="C2508" s="517" t="s">
        <v>5845</v>
      </c>
      <c r="D2508" s="517" t="s">
        <v>5845</v>
      </c>
      <c r="E2508" s="517"/>
      <c r="F2508" s="438" t="s">
        <v>5846</v>
      </c>
      <c r="G2508" s="438" t="s">
        <v>5840</v>
      </c>
      <c r="H2508" s="427" t="s">
        <v>5163</v>
      </c>
      <c r="I2508" s="518">
        <v>3081.88</v>
      </c>
      <c r="J2508" s="381">
        <v>800.72</v>
      </c>
      <c r="K2508" s="519">
        <v>800.72</v>
      </c>
      <c r="L2508" s="369">
        <f t="shared" si="191"/>
        <v>160.14400000000001</v>
      </c>
      <c r="M2508" s="369" t="s">
        <v>6171</v>
      </c>
      <c r="N2508" s="432" t="s">
        <v>3785</v>
      </c>
      <c r="O2508" s="521" t="s">
        <v>5847</v>
      </c>
      <c r="P2508" s="438" t="s">
        <v>5530</v>
      </c>
      <c r="Q2508" s="481">
        <v>0.2</v>
      </c>
      <c r="R2508" s="427">
        <v>1900001375</v>
      </c>
      <c r="S2508" s="513" t="s">
        <v>3475</v>
      </c>
      <c r="T2508" s="2" t="s">
        <v>5914</v>
      </c>
      <c r="U2508" s="9" t="s">
        <v>3475</v>
      </c>
    </row>
    <row r="2509" spans="1:21" x14ac:dyDescent="0.35">
      <c r="A2509" s="435" t="s">
        <v>5160</v>
      </c>
      <c r="B2509" s="427" t="s">
        <v>5853</v>
      </c>
      <c r="C2509" s="517" t="s">
        <v>5845</v>
      </c>
      <c r="D2509" s="517" t="s">
        <v>5845</v>
      </c>
      <c r="E2509" s="517"/>
      <c r="F2509" s="438" t="s">
        <v>5846</v>
      </c>
      <c r="G2509" s="438" t="s">
        <v>5840</v>
      </c>
      <c r="H2509" s="427" t="s">
        <v>5163</v>
      </c>
      <c r="I2509" s="518">
        <v>3081.88</v>
      </c>
      <c r="J2509" s="381">
        <v>800.72</v>
      </c>
      <c r="K2509" s="519">
        <v>800.72</v>
      </c>
      <c r="L2509" s="369">
        <f t="shared" si="191"/>
        <v>160.14400000000001</v>
      </c>
      <c r="M2509" s="369" t="s">
        <v>6171</v>
      </c>
      <c r="N2509" s="432" t="s">
        <v>3785</v>
      </c>
      <c r="O2509" s="521" t="s">
        <v>5847</v>
      </c>
      <c r="P2509" s="438" t="s">
        <v>5530</v>
      </c>
      <c r="Q2509" s="481">
        <v>0.2</v>
      </c>
      <c r="R2509" s="427">
        <v>1900001375</v>
      </c>
      <c r="S2509" s="513" t="s">
        <v>3475</v>
      </c>
      <c r="T2509" s="2" t="s">
        <v>5914</v>
      </c>
      <c r="U2509" s="9" t="s">
        <v>3475</v>
      </c>
    </row>
    <row r="2510" spans="1:21" x14ac:dyDescent="0.35">
      <c r="A2510" s="435" t="s">
        <v>5160</v>
      </c>
      <c r="B2510" s="427" t="s">
        <v>5853</v>
      </c>
      <c r="C2510" s="517" t="s">
        <v>5845</v>
      </c>
      <c r="D2510" s="517" t="s">
        <v>5845</v>
      </c>
      <c r="E2510" s="517"/>
      <c r="F2510" s="438" t="s">
        <v>5846</v>
      </c>
      <c r="G2510" s="438" t="s">
        <v>5840</v>
      </c>
      <c r="H2510" s="427" t="s">
        <v>5163</v>
      </c>
      <c r="I2510" s="518">
        <v>3081.88</v>
      </c>
      <c r="J2510" s="381">
        <v>800.72</v>
      </c>
      <c r="K2510" s="519">
        <v>800.72</v>
      </c>
      <c r="L2510" s="369">
        <f t="shared" si="191"/>
        <v>160.14400000000001</v>
      </c>
      <c r="M2510" s="369" t="s">
        <v>6171</v>
      </c>
      <c r="N2510" s="432" t="s">
        <v>3785</v>
      </c>
      <c r="O2510" s="521" t="s">
        <v>5847</v>
      </c>
      <c r="P2510" s="438" t="s">
        <v>5530</v>
      </c>
      <c r="Q2510" s="481">
        <v>0.2</v>
      </c>
      <c r="R2510" s="427">
        <v>1900001375</v>
      </c>
      <c r="S2510" s="513" t="s">
        <v>3475</v>
      </c>
      <c r="T2510" s="2" t="s">
        <v>5914</v>
      </c>
      <c r="U2510" s="9" t="s">
        <v>3475</v>
      </c>
    </row>
    <row r="2511" spans="1:21" x14ac:dyDescent="0.35">
      <c r="A2511" s="435" t="s">
        <v>5160</v>
      </c>
      <c r="B2511" s="427" t="s">
        <v>5853</v>
      </c>
      <c r="C2511" s="517" t="s">
        <v>5845</v>
      </c>
      <c r="D2511" s="517" t="s">
        <v>5845</v>
      </c>
      <c r="E2511" s="517"/>
      <c r="F2511" s="438" t="s">
        <v>5846</v>
      </c>
      <c r="G2511" s="438" t="s">
        <v>5840</v>
      </c>
      <c r="H2511" s="427" t="s">
        <v>5163</v>
      </c>
      <c r="I2511" s="518">
        <v>3081.88</v>
      </c>
      <c r="J2511" s="381">
        <v>800.72</v>
      </c>
      <c r="K2511" s="519">
        <v>800.72</v>
      </c>
      <c r="L2511" s="369">
        <f t="shared" si="191"/>
        <v>160.14400000000001</v>
      </c>
      <c r="M2511" s="369" t="s">
        <v>6171</v>
      </c>
      <c r="N2511" s="432" t="s">
        <v>3785</v>
      </c>
      <c r="O2511" s="521" t="s">
        <v>5847</v>
      </c>
      <c r="P2511" s="438" t="s">
        <v>5530</v>
      </c>
      <c r="Q2511" s="481">
        <v>0.2</v>
      </c>
      <c r="R2511" s="427">
        <v>1900001375</v>
      </c>
      <c r="S2511" s="513" t="s">
        <v>3475</v>
      </c>
      <c r="T2511" s="2" t="s">
        <v>5914</v>
      </c>
      <c r="U2511" s="9" t="s">
        <v>3475</v>
      </c>
    </row>
    <row r="2512" spans="1:21" x14ac:dyDescent="0.35">
      <c r="A2512" s="435" t="s">
        <v>5160</v>
      </c>
      <c r="B2512" s="427" t="s">
        <v>5853</v>
      </c>
      <c r="C2512" s="517" t="s">
        <v>5845</v>
      </c>
      <c r="D2512" s="517" t="s">
        <v>5845</v>
      </c>
      <c r="E2512" s="517"/>
      <c r="F2512" s="438" t="s">
        <v>5846</v>
      </c>
      <c r="G2512" s="438" t="s">
        <v>5840</v>
      </c>
      <c r="H2512" s="427" t="s">
        <v>5163</v>
      </c>
      <c r="I2512" s="518">
        <v>3081.88</v>
      </c>
      <c r="J2512" s="381">
        <v>800.72</v>
      </c>
      <c r="K2512" s="519">
        <v>800.72</v>
      </c>
      <c r="L2512" s="369">
        <f t="shared" si="191"/>
        <v>160.14400000000001</v>
      </c>
      <c r="M2512" s="369" t="s">
        <v>6171</v>
      </c>
      <c r="N2512" s="432" t="s">
        <v>3785</v>
      </c>
      <c r="O2512" s="521" t="s">
        <v>5847</v>
      </c>
      <c r="P2512" s="438" t="s">
        <v>5530</v>
      </c>
      <c r="Q2512" s="481">
        <v>0.2</v>
      </c>
      <c r="R2512" s="427">
        <v>1900001375</v>
      </c>
      <c r="S2512" s="513" t="s">
        <v>3475</v>
      </c>
      <c r="T2512" s="2" t="s">
        <v>5914</v>
      </c>
      <c r="U2512" s="9" t="s">
        <v>3475</v>
      </c>
    </row>
    <row r="2513" spans="1:21" x14ac:dyDescent="0.35">
      <c r="A2513" s="435" t="s">
        <v>5160</v>
      </c>
      <c r="B2513" s="427" t="s">
        <v>5853</v>
      </c>
      <c r="C2513" s="517" t="s">
        <v>5845</v>
      </c>
      <c r="D2513" s="517" t="s">
        <v>5845</v>
      </c>
      <c r="E2513" s="517"/>
      <c r="F2513" s="438" t="s">
        <v>5846</v>
      </c>
      <c r="G2513" s="438" t="s">
        <v>5840</v>
      </c>
      <c r="H2513" s="427" t="s">
        <v>5163</v>
      </c>
      <c r="I2513" s="518">
        <v>3081.88</v>
      </c>
      <c r="J2513" s="381">
        <v>800.72</v>
      </c>
      <c r="K2513" s="519">
        <v>800.72</v>
      </c>
      <c r="L2513" s="369">
        <f t="shared" si="191"/>
        <v>160.14400000000001</v>
      </c>
      <c r="M2513" s="369" t="s">
        <v>6171</v>
      </c>
      <c r="N2513" s="432" t="s">
        <v>3785</v>
      </c>
      <c r="O2513" s="521" t="s">
        <v>5847</v>
      </c>
      <c r="P2513" s="438" t="s">
        <v>5530</v>
      </c>
      <c r="Q2513" s="481">
        <v>0.2</v>
      </c>
      <c r="R2513" s="427">
        <v>1900001375</v>
      </c>
      <c r="S2513" s="513" t="s">
        <v>3475</v>
      </c>
      <c r="T2513" s="2" t="s">
        <v>5914</v>
      </c>
      <c r="U2513" s="9" t="s">
        <v>3475</v>
      </c>
    </row>
    <row r="2514" spans="1:21" x14ac:dyDescent="0.35">
      <c r="A2514" s="435" t="s">
        <v>5160</v>
      </c>
      <c r="B2514" s="427" t="s">
        <v>5853</v>
      </c>
      <c r="C2514" s="517" t="s">
        <v>5845</v>
      </c>
      <c r="D2514" s="517" t="s">
        <v>5845</v>
      </c>
      <c r="E2514" s="517"/>
      <c r="F2514" s="438" t="s">
        <v>5846</v>
      </c>
      <c r="G2514" s="438" t="s">
        <v>5840</v>
      </c>
      <c r="H2514" s="427" t="s">
        <v>5163</v>
      </c>
      <c r="I2514" s="518">
        <v>3081.88</v>
      </c>
      <c r="J2514" s="381">
        <v>800.72</v>
      </c>
      <c r="K2514" s="519">
        <v>800.72</v>
      </c>
      <c r="L2514" s="369">
        <f t="shared" si="191"/>
        <v>160.14400000000001</v>
      </c>
      <c r="M2514" s="369" t="s">
        <v>6171</v>
      </c>
      <c r="N2514" s="432" t="s">
        <v>3785</v>
      </c>
      <c r="O2514" s="521" t="s">
        <v>5847</v>
      </c>
      <c r="P2514" s="438" t="s">
        <v>5530</v>
      </c>
      <c r="Q2514" s="481">
        <v>0.2</v>
      </c>
      <c r="R2514" s="427">
        <v>1900001375</v>
      </c>
      <c r="S2514" s="513" t="s">
        <v>3475</v>
      </c>
      <c r="T2514" s="2" t="s">
        <v>5914</v>
      </c>
      <c r="U2514" s="9" t="s">
        <v>3475</v>
      </c>
    </row>
    <row r="2515" spans="1:21" x14ac:dyDescent="0.35">
      <c r="A2515" s="435" t="s">
        <v>5160</v>
      </c>
      <c r="B2515" s="427" t="s">
        <v>5853</v>
      </c>
      <c r="C2515" s="517" t="s">
        <v>5845</v>
      </c>
      <c r="D2515" s="517" t="s">
        <v>5845</v>
      </c>
      <c r="E2515" s="517"/>
      <c r="F2515" s="438" t="s">
        <v>5846</v>
      </c>
      <c r="G2515" s="438" t="s">
        <v>5840</v>
      </c>
      <c r="H2515" s="427" t="s">
        <v>5163</v>
      </c>
      <c r="I2515" s="518">
        <v>3081.88</v>
      </c>
      <c r="J2515" s="381">
        <v>800.72</v>
      </c>
      <c r="K2515" s="519">
        <v>800.72</v>
      </c>
      <c r="L2515" s="369">
        <f t="shared" si="191"/>
        <v>160.14400000000001</v>
      </c>
      <c r="M2515" s="369" t="s">
        <v>6171</v>
      </c>
      <c r="N2515" s="432" t="s">
        <v>3785</v>
      </c>
      <c r="O2515" s="521" t="s">
        <v>5847</v>
      </c>
      <c r="P2515" s="438" t="s">
        <v>5530</v>
      </c>
      <c r="Q2515" s="481">
        <v>0.2</v>
      </c>
      <c r="R2515" s="427">
        <v>1900001375</v>
      </c>
      <c r="S2515" s="513" t="s">
        <v>3475</v>
      </c>
      <c r="T2515" s="2" t="s">
        <v>5914</v>
      </c>
      <c r="U2515" s="9" t="s">
        <v>3475</v>
      </c>
    </row>
    <row r="2516" spans="1:21" x14ac:dyDescent="0.35">
      <c r="A2516" s="435" t="s">
        <v>5160</v>
      </c>
      <c r="B2516" s="427" t="s">
        <v>5853</v>
      </c>
      <c r="C2516" s="517" t="s">
        <v>5845</v>
      </c>
      <c r="D2516" s="517" t="s">
        <v>5845</v>
      </c>
      <c r="E2516" s="517"/>
      <c r="F2516" s="438" t="s">
        <v>5846</v>
      </c>
      <c r="G2516" s="438" t="s">
        <v>5840</v>
      </c>
      <c r="H2516" s="427" t="s">
        <v>5163</v>
      </c>
      <c r="I2516" s="518">
        <v>3081.88</v>
      </c>
      <c r="J2516" s="381">
        <v>800.72</v>
      </c>
      <c r="K2516" s="519">
        <v>800.72</v>
      </c>
      <c r="L2516" s="369">
        <f t="shared" si="191"/>
        <v>160.14400000000001</v>
      </c>
      <c r="M2516" s="369" t="s">
        <v>6171</v>
      </c>
      <c r="N2516" s="432" t="s">
        <v>3785</v>
      </c>
      <c r="O2516" s="521" t="s">
        <v>5847</v>
      </c>
      <c r="P2516" s="438" t="s">
        <v>5530</v>
      </c>
      <c r="Q2516" s="481">
        <v>0.2</v>
      </c>
      <c r="R2516" s="427">
        <v>1900001375</v>
      </c>
      <c r="S2516" s="513" t="s">
        <v>3475</v>
      </c>
      <c r="T2516" s="2" t="s">
        <v>5914</v>
      </c>
      <c r="U2516" s="9" t="s">
        <v>3475</v>
      </c>
    </row>
    <row r="2517" spans="1:21" x14ac:dyDescent="0.35">
      <c r="A2517" s="435" t="s">
        <v>5160</v>
      </c>
      <c r="B2517" s="427" t="s">
        <v>5853</v>
      </c>
      <c r="C2517" s="517" t="s">
        <v>5845</v>
      </c>
      <c r="D2517" s="517" t="s">
        <v>5845</v>
      </c>
      <c r="E2517" s="517"/>
      <c r="F2517" s="438" t="s">
        <v>5846</v>
      </c>
      <c r="G2517" s="438" t="s">
        <v>5840</v>
      </c>
      <c r="H2517" s="427" t="s">
        <v>5163</v>
      </c>
      <c r="I2517" s="518">
        <v>3081.88</v>
      </c>
      <c r="J2517" s="381">
        <v>800.72</v>
      </c>
      <c r="K2517" s="519">
        <v>800.72</v>
      </c>
      <c r="L2517" s="369">
        <f t="shared" si="191"/>
        <v>160.14400000000001</v>
      </c>
      <c r="M2517" s="369" t="s">
        <v>6171</v>
      </c>
      <c r="N2517" s="432" t="s">
        <v>3785</v>
      </c>
      <c r="O2517" s="521" t="s">
        <v>5847</v>
      </c>
      <c r="P2517" s="438" t="s">
        <v>5530</v>
      </c>
      <c r="Q2517" s="481">
        <v>0.2</v>
      </c>
      <c r="R2517" s="427">
        <v>1900001375</v>
      </c>
      <c r="S2517" s="513" t="s">
        <v>3475</v>
      </c>
      <c r="T2517" s="2" t="s">
        <v>5914</v>
      </c>
      <c r="U2517" s="9" t="s">
        <v>3475</v>
      </c>
    </row>
    <row r="2518" spans="1:21" x14ac:dyDescent="0.35">
      <c r="A2518" s="435" t="s">
        <v>5160</v>
      </c>
      <c r="B2518" s="427" t="s">
        <v>5853</v>
      </c>
      <c r="C2518" s="517" t="s">
        <v>5845</v>
      </c>
      <c r="D2518" s="517" t="s">
        <v>5845</v>
      </c>
      <c r="E2518" s="517"/>
      <c r="F2518" s="438" t="s">
        <v>5846</v>
      </c>
      <c r="G2518" s="438" t="s">
        <v>5840</v>
      </c>
      <c r="H2518" s="427" t="s">
        <v>5163</v>
      </c>
      <c r="I2518" s="518">
        <v>3081.88</v>
      </c>
      <c r="J2518" s="381">
        <v>800.72</v>
      </c>
      <c r="K2518" s="519">
        <v>800.72</v>
      </c>
      <c r="L2518" s="369">
        <f t="shared" si="191"/>
        <v>160.14400000000001</v>
      </c>
      <c r="M2518" s="369" t="s">
        <v>6171</v>
      </c>
      <c r="N2518" s="432" t="s">
        <v>3785</v>
      </c>
      <c r="O2518" s="521" t="s">
        <v>5847</v>
      </c>
      <c r="P2518" s="438" t="s">
        <v>5530</v>
      </c>
      <c r="Q2518" s="481">
        <v>0.2</v>
      </c>
      <c r="R2518" s="427">
        <v>1900001375</v>
      </c>
      <c r="S2518" s="513" t="s">
        <v>3475</v>
      </c>
      <c r="T2518" s="2" t="s">
        <v>5914</v>
      </c>
      <c r="U2518" s="9" t="s">
        <v>3475</v>
      </c>
    </row>
    <row r="2519" spans="1:21" x14ac:dyDescent="0.35">
      <c r="A2519" s="435" t="s">
        <v>5160</v>
      </c>
      <c r="B2519" s="427" t="s">
        <v>5853</v>
      </c>
      <c r="C2519" s="517" t="s">
        <v>5845</v>
      </c>
      <c r="D2519" s="517" t="s">
        <v>5845</v>
      </c>
      <c r="E2519" s="517"/>
      <c r="F2519" s="438" t="s">
        <v>5846</v>
      </c>
      <c r="G2519" s="438" t="s">
        <v>5840</v>
      </c>
      <c r="H2519" s="427" t="s">
        <v>5163</v>
      </c>
      <c r="I2519" s="518">
        <v>3081.88</v>
      </c>
      <c r="J2519" s="381">
        <v>800.72</v>
      </c>
      <c r="K2519" s="519">
        <v>800.72</v>
      </c>
      <c r="L2519" s="369">
        <f t="shared" si="191"/>
        <v>160.14400000000001</v>
      </c>
      <c r="M2519" s="369" t="s">
        <v>6171</v>
      </c>
      <c r="N2519" s="432" t="s">
        <v>3785</v>
      </c>
      <c r="O2519" s="521" t="s">
        <v>5847</v>
      </c>
      <c r="P2519" s="438" t="s">
        <v>5530</v>
      </c>
      <c r="Q2519" s="481">
        <v>0.2</v>
      </c>
      <c r="R2519" s="427">
        <v>1900001375</v>
      </c>
      <c r="S2519" s="513" t="s">
        <v>3475</v>
      </c>
      <c r="T2519" s="2" t="s">
        <v>5914</v>
      </c>
      <c r="U2519" s="9" t="s">
        <v>3475</v>
      </c>
    </row>
    <row r="2520" spans="1:21" x14ac:dyDescent="0.35">
      <c r="A2520" s="435" t="s">
        <v>5160</v>
      </c>
      <c r="B2520" s="427" t="s">
        <v>5853</v>
      </c>
      <c r="C2520" s="517" t="s">
        <v>5845</v>
      </c>
      <c r="D2520" s="517" t="s">
        <v>5845</v>
      </c>
      <c r="E2520" s="517"/>
      <c r="F2520" s="438" t="s">
        <v>5846</v>
      </c>
      <c r="G2520" s="438" t="s">
        <v>5840</v>
      </c>
      <c r="H2520" s="427" t="s">
        <v>5163</v>
      </c>
      <c r="I2520" s="518">
        <v>3081.88</v>
      </c>
      <c r="J2520" s="381">
        <v>800.72</v>
      </c>
      <c r="K2520" s="519">
        <v>800.72</v>
      </c>
      <c r="L2520" s="369">
        <f t="shared" si="191"/>
        <v>160.14400000000001</v>
      </c>
      <c r="M2520" s="369" t="s">
        <v>6171</v>
      </c>
      <c r="N2520" s="432" t="s">
        <v>3785</v>
      </c>
      <c r="O2520" s="521" t="s">
        <v>5847</v>
      </c>
      <c r="P2520" s="438" t="s">
        <v>5530</v>
      </c>
      <c r="Q2520" s="481">
        <v>0.2</v>
      </c>
      <c r="R2520" s="427">
        <v>1900001375</v>
      </c>
      <c r="S2520" s="513" t="s">
        <v>3475</v>
      </c>
      <c r="T2520" s="2" t="s">
        <v>5914</v>
      </c>
      <c r="U2520" s="9" t="s">
        <v>3475</v>
      </c>
    </row>
    <row r="2521" spans="1:21" x14ac:dyDescent="0.35">
      <c r="A2521" s="435" t="s">
        <v>5160</v>
      </c>
      <c r="B2521" s="427" t="s">
        <v>5853</v>
      </c>
      <c r="C2521" s="517" t="s">
        <v>5845</v>
      </c>
      <c r="D2521" s="517" t="s">
        <v>5845</v>
      </c>
      <c r="E2521" s="517"/>
      <c r="F2521" s="438" t="s">
        <v>5846</v>
      </c>
      <c r="G2521" s="438" t="s">
        <v>5840</v>
      </c>
      <c r="H2521" s="427" t="s">
        <v>5163</v>
      </c>
      <c r="I2521" s="518">
        <v>3081.88</v>
      </c>
      <c r="J2521" s="381">
        <v>800.72</v>
      </c>
      <c r="K2521" s="519">
        <v>800.72</v>
      </c>
      <c r="L2521" s="369">
        <f t="shared" si="191"/>
        <v>160.14400000000001</v>
      </c>
      <c r="M2521" s="369" t="s">
        <v>6171</v>
      </c>
      <c r="N2521" s="432" t="s">
        <v>3785</v>
      </c>
      <c r="O2521" s="521" t="s">
        <v>5847</v>
      </c>
      <c r="P2521" s="438" t="s">
        <v>5530</v>
      </c>
      <c r="Q2521" s="481">
        <v>0.2</v>
      </c>
      <c r="R2521" s="427">
        <v>1900001375</v>
      </c>
      <c r="S2521" s="513" t="s">
        <v>3475</v>
      </c>
      <c r="T2521" s="2" t="s">
        <v>5914</v>
      </c>
      <c r="U2521" s="9" t="s">
        <v>3475</v>
      </c>
    </row>
    <row r="2522" spans="1:21" x14ac:dyDescent="0.35">
      <c r="A2522" s="435" t="s">
        <v>5160</v>
      </c>
      <c r="B2522" s="427" t="s">
        <v>5853</v>
      </c>
      <c r="C2522" s="517" t="s">
        <v>5845</v>
      </c>
      <c r="D2522" s="517" t="s">
        <v>5845</v>
      </c>
      <c r="E2522" s="517"/>
      <c r="F2522" s="438" t="s">
        <v>5846</v>
      </c>
      <c r="G2522" s="438" t="s">
        <v>5840</v>
      </c>
      <c r="H2522" s="427" t="s">
        <v>5163</v>
      </c>
      <c r="I2522" s="518">
        <v>3081.88</v>
      </c>
      <c r="J2522" s="381">
        <v>800.72</v>
      </c>
      <c r="K2522" s="519">
        <v>800.72</v>
      </c>
      <c r="L2522" s="369">
        <f t="shared" si="191"/>
        <v>160.14400000000001</v>
      </c>
      <c r="M2522" s="369" t="s">
        <v>6171</v>
      </c>
      <c r="N2522" s="432" t="s">
        <v>3785</v>
      </c>
      <c r="O2522" s="521" t="s">
        <v>5847</v>
      </c>
      <c r="P2522" s="438" t="s">
        <v>5530</v>
      </c>
      <c r="Q2522" s="481">
        <v>0.2</v>
      </c>
      <c r="R2522" s="427">
        <v>1900001375</v>
      </c>
      <c r="S2522" s="513" t="s">
        <v>3475</v>
      </c>
      <c r="T2522" s="2" t="s">
        <v>5914</v>
      </c>
      <c r="U2522" s="9" t="s">
        <v>3475</v>
      </c>
    </row>
    <row r="2523" spans="1:21" x14ac:dyDescent="0.35">
      <c r="A2523" s="435" t="s">
        <v>5160</v>
      </c>
      <c r="B2523" s="427" t="s">
        <v>5853</v>
      </c>
      <c r="C2523" s="517" t="s">
        <v>5845</v>
      </c>
      <c r="D2523" s="517" t="s">
        <v>5845</v>
      </c>
      <c r="E2523" s="517"/>
      <c r="F2523" s="438" t="s">
        <v>5846</v>
      </c>
      <c r="G2523" s="438" t="s">
        <v>5840</v>
      </c>
      <c r="H2523" s="427" t="s">
        <v>5163</v>
      </c>
      <c r="I2523" s="518">
        <v>3081.88</v>
      </c>
      <c r="J2523" s="381">
        <v>800.72</v>
      </c>
      <c r="K2523" s="519">
        <v>800.72</v>
      </c>
      <c r="L2523" s="369">
        <f t="shared" si="191"/>
        <v>160.14400000000001</v>
      </c>
      <c r="M2523" s="369" t="s">
        <v>6171</v>
      </c>
      <c r="N2523" s="432" t="s">
        <v>3785</v>
      </c>
      <c r="O2523" s="521" t="s">
        <v>5847</v>
      </c>
      <c r="P2523" s="438" t="s">
        <v>5530</v>
      </c>
      <c r="Q2523" s="481">
        <v>0.2</v>
      </c>
      <c r="R2523" s="427">
        <v>1900001375</v>
      </c>
      <c r="S2523" s="513" t="s">
        <v>3475</v>
      </c>
      <c r="T2523" s="2" t="s">
        <v>5914</v>
      </c>
      <c r="U2523" s="9" t="s">
        <v>3475</v>
      </c>
    </row>
    <row r="2524" spans="1:21" x14ac:dyDescent="0.35">
      <c r="A2524" s="435" t="s">
        <v>5160</v>
      </c>
      <c r="B2524" s="427" t="s">
        <v>5853</v>
      </c>
      <c r="C2524" s="517" t="s">
        <v>5845</v>
      </c>
      <c r="D2524" s="517" t="s">
        <v>5845</v>
      </c>
      <c r="E2524" s="517"/>
      <c r="F2524" s="438" t="s">
        <v>5846</v>
      </c>
      <c r="G2524" s="438" t="s">
        <v>5840</v>
      </c>
      <c r="H2524" s="427" t="s">
        <v>5163</v>
      </c>
      <c r="I2524" s="518">
        <v>3081.88</v>
      </c>
      <c r="J2524" s="381">
        <v>800.72</v>
      </c>
      <c r="K2524" s="519">
        <v>800.72</v>
      </c>
      <c r="L2524" s="369">
        <f t="shared" si="191"/>
        <v>160.14400000000001</v>
      </c>
      <c r="M2524" s="369" t="s">
        <v>6171</v>
      </c>
      <c r="N2524" s="432" t="s">
        <v>3785</v>
      </c>
      <c r="O2524" s="521" t="s">
        <v>5847</v>
      </c>
      <c r="P2524" s="438" t="s">
        <v>5530</v>
      </c>
      <c r="Q2524" s="481">
        <v>0.2</v>
      </c>
      <c r="R2524" s="427">
        <v>1900001375</v>
      </c>
      <c r="S2524" s="513" t="s">
        <v>3475</v>
      </c>
      <c r="T2524" s="2" t="s">
        <v>5914</v>
      </c>
      <c r="U2524" s="9" t="s">
        <v>3475</v>
      </c>
    </row>
    <row r="2525" spans="1:21" x14ac:dyDescent="0.35">
      <c r="A2525" s="435" t="s">
        <v>5160</v>
      </c>
      <c r="B2525" s="427" t="s">
        <v>5853</v>
      </c>
      <c r="C2525" s="517" t="s">
        <v>5845</v>
      </c>
      <c r="D2525" s="517" t="s">
        <v>5845</v>
      </c>
      <c r="E2525" s="517"/>
      <c r="F2525" s="438" t="s">
        <v>5846</v>
      </c>
      <c r="G2525" s="438" t="s">
        <v>5840</v>
      </c>
      <c r="H2525" s="427" t="s">
        <v>5163</v>
      </c>
      <c r="I2525" s="518">
        <v>3081.88</v>
      </c>
      <c r="J2525" s="381">
        <v>800.72</v>
      </c>
      <c r="K2525" s="519">
        <v>800.72</v>
      </c>
      <c r="L2525" s="369">
        <f t="shared" si="191"/>
        <v>160.14400000000001</v>
      </c>
      <c r="M2525" s="369" t="s">
        <v>6171</v>
      </c>
      <c r="N2525" s="432" t="s">
        <v>3785</v>
      </c>
      <c r="O2525" s="521" t="s">
        <v>5847</v>
      </c>
      <c r="P2525" s="438" t="s">
        <v>5530</v>
      </c>
      <c r="Q2525" s="481">
        <v>0.2</v>
      </c>
      <c r="R2525" s="427">
        <v>1900001375</v>
      </c>
      <c r="S2525" s="513" t="s">
        <v>3475</v>
      </c>
      <c r="T2525" s="2" t="s">
        <v>5914</v>
      </c>
      <c r="U2525" s="9" t="s">
        <v>3475</v>
      </c>
    </row>
    <row r="2526" spans="1:21" x14ac:dyDescent="0.35">
      <c r="A2526" s="435" t="s">
        <v>5160</v>
      </c>
      <c r="B2526" s="427" t="s">
        <v>5853</v>
      </c>
      <c r="C2526" s="517" t="s">
        <v>5845</v>
      </c>
      <c r="D2526" s="517" t="s">
        <v>5845</v>
      </c>
      <c r="E2526" s="517"/>
      <c r="F2526" s="438" t="s">
        <v>5846</v>
      </c>
      <c r="G2526" s="438" t="s">
        <v>5840</v>
      </c>
      <c r="H2526" s="427" t="s">
        <v>5163</v>
      </c>
      <c r="I2526" s="518">
        <v>3081.88</v>
      </c>
      <c r="J2526" s="381">
        <v>800.72</v>
      </c>
      <c r="K2526" s="519">
        <v>800.72</v>
      </c>
      <c r="L2526" s="369">
        <f t="shared" si="191"/>
        <v>160.14400000000001</v>
      </c>
      <c r="M2526" s="369" t="s">
        <v>6171</v>
      </c>
      <c r="N2526" s="432" t="s">
        <v>3785</v>
      </c>
      <c r="O2526" s="521" t="s">
        <v>5847</v>
      </c>
      <c r="P2526" s="438" t="s">
        <v>5530</v>
      </c>
      <c r="Q2526" s="481">
        <v>0.2</v>
      </c>
      <c r="R2526" s="427">
        <v>1900001375</v>
      </c>
      <c r="S2526" s="513" t="s">
        <v>3475</v>
      </c>
      <c r="T2526" s="2" t="s">
        <v>5914</v>
      </c>
      <c r="U2526" s="9" t="s">
        <v>3475</v>
      </c>
    </row>
    <row r="2527" spans="1:21" x14ac:dyDescent="0.35">
      <c r="A2527" s="435" t="s">
        <v>5160</v>
      </c>
      <c r="B2527" s="427" t="s">
        <v>5853</v>
      </c>
      <c r="C2527" s="517" t="s">
        <v>5845</v>
      </c>
      <c r="D2527" s="517" t="s">
        <v>5845</v>
      </c>
      <c r="E2527" s="517"/>
      <c r="F2527" s="438" t="s">
        <v>5846</v>
      </c>
      <c r="G2527" s="438" t="s">
        <v>5840</v>
      </c>
      <c r="H2527" s="427" t="s">
        <v>5163</v>
      </c>
      <c r="I2527" s="518">
        <v>3081.88</v>
      </c>
      <c r="J2527" s="381">
        <v>800.72</v>
      </c>
      <c r="K2527" s="519">
        <v>800.72</v>
      </c>
      <c r="L2527" s="369">
        <f t="shared" si="191"/>
        <v>160.14400000000001</v>
      </c>
      <c r="M2527" s="369" t="s">
        <v>6171</v>
      </c>
      <c r="N2527" s="432" t="s">
        <v>3785</v>
      </c>
      <c r="O2527" s="521" t="s">
        <v>5847</v>
      </c>
      <c r="P2527" s="438" t="s">
        <v>5530</v>
      </c>
      <c r="Q2527" s="481">
        <v>0.2</v>
      </c>
      <c r="R2527" s="427">
        <v>1900001375</v>
      </c>
      <c r="S2527" s="513" t="s">
        <v>3475</v>
      </c>
      <c r="T2527" s="2" t="s">
        <v>5914</v>
      </c>
      <c r="U2527" s="9" t="s">
        <v>3475</v>
      </c>
    </row>
    <row r="2528" spans="1:21" x14ac:dyDescent="0.35">
      <c r="A2528" s="435" t="s">
        <v>5160</v>
      </c>
      <c r="B2528" s="427" t="s">
        <v>5853</v>
      </c>
      <c r="C2528" s="517" t="s">
        <v>5845</v>
      </c>
      <c r="D2528" s="517" t="s">
        <v>5845</v>
      </c>
      <c r="E2528" s="517"/>
      <c r="F2528" s="438" t="s">
        <v>5846</v>
      </c>
      <c r="G2528" s="438" t="s">
        <v>5840</v>
      </c>
      <c r="H2528" s="427" t="s">
        <v>5163</v>
      </c>
      <c r="I2528" s="518">
        <v>3081.88</v>
      </c>
      <c r="J2528" s="381">
        <v>800.72</v>
      </c>
      <c r="K2528" s="519">
        <v>800.72</v>
      </c>
      <c r="L2528" s="369">
        <f t="shared" si="191"/>
        <v>160.14400000000001</v>
      </c>
      <c r="M2528" s="369" t="s">
        <v>6171</v>
      </c>
      <c r="N2528" s="432" t="s">
        <v>3785</v>
      </c>
      <c r="O2528" s="521" t="s">
        <v>5847</v>
      </c>
      <c r="P2528" s="438" t="s">
        <v>5530</v>
      </c>
      <c r="Q2528" s="481">
        <v>0.2</v>
      </c>
      <c r="R2528" s="427">
        <v>1900001375</v>
      </c>
      <c r="S2528" s="513" t="s">
        <v>3475</v>
      </c>
      <c r="T2528" s="2" t="s">
        <v>5914</v>
      </c>
      <c r="U2528" s="9" t="s">
        <v>3475</v>
      </c>
    </row>
    <row r="2529" spans="1:21" x14ac:dyDescent="0.35">
      <c r="A2529" s="435" t="s">
        <v>5160</v>
      </c>
      <c r="B2529" s="427" t="s">
        <v>5853</v>
      </c>
      <c r="C2529" s="517" t="s">
        <v>5845</v>
      </c>
      <c r="D2529" s="517" t="s">
        <v>5845</v>
      </c>
      <c r="E2529" s="517"/>
      <c r="F2529" s="438" t="s">
        <v>5846</v>
      </c>
      <c r="G2529" s="438" t="s">
        <v>5840</v>
      </c>
      <c r="H2529" s="427" t="s">
        <v>5163</v>
      </c>
      <c r="I2529" s="518">
        <v>3081.88</v>
      </c>
      <c r="J2529" s="381">
        <v>800.72</v>
      </c>
      <c r="K2529" s="519">
        <v>800.72</v>
      </c>
      <c r="L2529" s="369">
        <f t="shared" si="191"/>
        <v>160.14400000000001</v>
      </c>
      <c r="M2529" s="369" t="s">
        <v>6171</v>
      </c>
      <c r="N2529" s="432" t="s">
        <v>3785</v>
      </c>
      <c r="O2529" s="521" t="s">
        <v>5847</v>
      </c>
      <c r="P2529" s="438" t="s">
        <v>5530</v>
      </c>
      <c r="Q2529" s="481">
        <v>0.2</v>
      </c>
      <c r="R2529" s="427">
        <v>1900001375</v>
      </c>
      <c r="S2529" s="513" t="s">
        <v>3475</v>
      </c>
      <c r="T2529" s="2" t="s">
        <v>5914</v>
      </c>
      <c r="U2529" s="9" t="s">
        <v>3475</v>
      </c>
    </row>
    <row r="2530" spans="1:21" x14ac:dyDescent="0.35">
      <c r="A2530" s="435" t="s">
        <v>5160</v>
      </c>
      <c r="B2530" s="427" t="s">
        <v>5854</v>
      </c>
      <c r="C2530" s="517" t="s">
        <v>5845</v>
      </c>
      <c r="D2530" s="517" t="s">
        <v>5845</v>
      </c>
      <c r="E2530" s="517"/>
      <c r="F2530" s="438" t="s">
        <v>5846</v>
      </c>
      <c r="G2530" s="438" t="s">
        <v>5840</v>
      </c>
      <c r="H2530" s="427" t="s">
        <v>5163</v>
      </c>
      <c r="I2530" s="518">
        <v>2181.1875</v>
      </c>
      <c r="J2530" s="381">
        <v>566.703125</v>
      </c>
      <c r="K2530" s="519">
        <v>566.703125</v>
      </c>
      <c r="L2530" s="369">
        <f t="shared" si="191"/>
        <v>113.340625</v>
      </c>
      <c r="M2530" s="369" t="s">
        <v>6171</v>
      </c>
      <c r="N2530" s="432" t="s">
        <v>3785</v>
      </c>
      <c r="O2530" s="521" t="s">
        <v>5847</v>
      </c>
      <c r="P2530" s="438" t="s">
        <v>5530</v>
      </c>
      <c r="Q2530" s="481">
        <v>0.2</v>
      </c>
      <c r="R2530" s="427">
        <v>1900001375</v>
      </c>
      <c r="S2530" s="513" t="s">
        <v>3475</v>
      </c>
      <c r="T2530" s="2" t="s">
        <v>5914</v>
      </c>
      <c r="U2530" s="9" t="s">
        <v>3475</v>
      </c>
    </row>
    <row r="2531" spans="1:21" x14ac:dyDescent="0.35">
      <c r="A2531" s="435" t="s">
        <v>5160</v>
      </c>
      <c r="B2531" s="427" t="s">
        <v>5854</v>
      </c>
      <c r="C2531" s="517" t="s">
        <v>5845</v>
      </c>
      <c r="D2531" s="517" t="s">
        <v>5845</v>
      </c>
      <c r="E2531" s="517"/>
      <c r="F2531" s="438" t="s">
        <v>5846</v>
      </c>
      <c r="G2531" s="438" t="s">
        <v>5840</v>
      </c>
      <c r="H2531" s="427" t="s">
        <v>5163</v>
      </c>
      <c r="I2531" s="518">
        <v>2181.1875</v>
      </c>
      <c r="J2531" s="381">
        <v>566.703125</v>
      </c>
      <c r="K2531" s="519">
        <v>566.703125</v>
      </c>
      <c r="L2531" s="369">
        <f t="shared" si="191"/>
        <v>113.340625</v>
      </c>
      <c r="M2531" s="369" t="s">
        <v>6171</v>
      </c>
      <c r="N2531" s="432" t="s">
        <v>3785</v>
      </c>
      <c r="O2531" s="521" t="s">
        <v>5847</v>
      </c>
      <c r="P2531" s="438" t="s">
        <v>5530</v>
      </c>
      <c r="Q2531" s="481">
        <v>0.2</v>
      </c>
      <c r="R2531" s="427">
        <v>1900001375</v>
      </c>
      <c r="S2531" s="513" t="s">
        <v>3475</v>
      </c>
      <c r="T2531" s="2" t="s">
        <v>5914</v>
      </c>
      <c r="U2531" s="9" t="s">
        <v>3475</v>
      </c>
    </row>
    <row r="2532" spans="1:21" x14ac:dyDescent="0.35">
      <c r="A2532" s="435" t="s">
        <v>5160</v>
      </c>
      <c r="B2532" s="427" t="s">
        <v>5854</v>
      </c>
      <c r="C2532" s="517" t="s">
        <v>5845</v>
      </c>
      <c r="D2532" s="517" t="s">
        <v>5845</v>
      </c>
      <c r="E2532" s="517"/>
      <c r="F2532" s="438" t="s">
        <v>5846</v>
      </c>
      <c r="G2532" s="438" t="s">
        <v>5840</v>
      </c>
      <c r="H2532" s="427" t="s">
        <v>5163</v>
      </c>
      <c r="I2532" s="518">
        <v>2181.1875</v>
      </c>
      <c r="J2532" s="381">
        <v>566.703125</v>
      </c>
      <c r="K2532" s="519">
        <v>566.703125</v>
      </c>
      <c r="L2532" s="369">
        <f t="shared" si="191"/>
        <v>113.340625</v>
      </c>
      <c r="M2532" s="369" t="s">
        <v>6171</v>
      </c>
      <c r="N2532" s="432" t="s">
        <v>3785</v>
      </c>
      <c r="O2532" s="521" t="s">
        <v>5847</v>
      </c>
      <c r="P2532" s="438" t="s">
        <v>5530</v>
      </c>
      <c r="Q2532" s="481">
        <v>0.2</v>
      </c>
      <c r="R2532" s="427">
        <v>1900001375</v>
      </c>
      <c r="S2532" s="513" t="s">
        <v>3475</v>
      </c>
      <c r="T2532" s="2" t="s">
        <v>5914</v>
      </c>
      <c r="U2532" s="9" t="s">
        <v>3475</v>
      </c>
    </row>
    <row r="2533" spans="1:21" x14ac:dyDescent="0.35">
      <c r="A2533" s="435" t="s">
        <v>5160</v>
      </c>
      <c r="B2533" s="427" t="s">
        <v>5854</v>
      </c>
      <c r="C2533" s="517" t="s">
        <v>5845</v>
      </c>
      <c r="D2533" s="517" t="s">
        <v>5845</v>
      </c>
      <c r="E2533" s="517"/>
      <c r="F2533" s="438" t="s">
        <v>5846</v>
      </c>
      <c r="G2533" s="438" t="s">
        <v>5840</v>
      </c>
      <c r="H2533" s="427" t="s">
        <v>5163</v>
      </c>
      <c r="I2533" s="518">
        <v>2181.1875</v>
      </c>
      <c r="J2533" s="381">
        <v>566.703125</v>
      </c>
      <c r="K2533" s="519">
        <v>566.703125</v>
      </c>
      <c r="L2533" s="369">
        <f t="shared" si="191"/>
        <v>113.340625</v>
      </c>
      <c r="M2533" s="369" t="s">
        <v>6171</v>
      </c>
      <c r="N2533" s="432" t="s">
        <v>3785</v>
      </c>
      <c r="O2533" s="521" t="s">
        <v>5847</v>
      </c>
      <c r="P2533" s="438" t="s">
        <v>5530</v>
      </c>
      <c r="Q2533" s="481">
        <v>0.2</v>
      </c>
      <c r="R2533" s="427">
        <v>1900001375</v>
      </c>
      <c r="S2533" s="513" t="s">
        <v>3475</v>
      </c>
      <c r="T2533" s="2" t="s">
        <v>5914</v>
      </c>
      <c r="U2533" s="9" t="s">
        <v>3475</v>
      </c>
    </row>
    <row r="2534" spans="1:21" x14ac:dyDescent="0.35">
      <c r="A2534" s="435" t="s">
        <v>5160</v>
      </c>
      <c r="B2534" s="427" t="s">
        <v>5854</v>
      </c>
      <c r="C2534" s="517" t="s">
        <v>5845</v>
      </c>
      <c r="D2534" s="517" t="s">
        <v>5845</v>
      </c>
      <c r="E2534" s="517"/>
      <c r="F2534" s="438" t="s">
        <v>5846</v>
      </c>
      <c r="G2534" s="438" t="s">
        <v>5840</v>
      </c>
      <c r="H2534" s="427" t="s">
        <v>5163</v>
      </c>
      <c r="I2534" s="518">
        <v>2181.1875</v>
      </c>
      <c r="J2534" s="381">
        <v>566.703125</v>
      </c>
      <c r="K2534" s="519">
        <v>566.703125</v>
      </c>
      <c r="L2534" s="369">
        <f t="shared" si="191"/>
        <v>113.340625</v>
      </c>
      <c r="M2534" s="369" t="s">
        <v>6171</v>
      </c>
      <c r="N2534" s="432" t="s">
        <v>3785</v>
      </c>
      <c r="O2534" s="521" t="s">
        <v>5847</v>
      </c>
      <c r="P2534" s="438" t="s">
        <v>5530</v>
      </c>
      <c r="Q2534" s="481">
        <v>0.2</v>
      </c>
      <c r="R2534" s="427">
        <v>1900001375</v>
      </c>
      <c r="S2534" s="513" t="s">
        <v>3475</v>
      </c>
      <c r="T2534" s="2" t="s">
        <v>5914</v>
      </c>
      <c r="U2534" s="9" t="s">
        <v>3475</v>
      </c>
    </row>
    <row r="2535" spans="1:21" x14ac:dyDescent="0.35">
      <c r="A2535" s="435" t="s">
        <v>5160</v>
      </c>
      <c r="B2535" s="427" t="s">
        <v>5854</v>
      </c>
      <c r="C2535" s="517" t="s">
        <v>5845</v>
      </c>
      <c r="D2535" s="517" t="s">
        <v>5845</v>
      </c>
      <c r="E2535" s="517"/>
      <c r="F2535" s="438" t="s">
        <v>5846</v>
      </c>
      <c r="G2535" s="438" t="s">
        <v>5840</v>
      </c>
      <c r="H2535" s="427" t="s">
        <v>5163</v>
      </c>
      <c r="I2535" s="518">
        <v>2181.1875</v>
      </c>
      <c r="J2535" s="381">
        <v>566.703125</v>
      </c>
      <c r="K2535" s="519">
        <v>566.703125</v>
      </c>
      <c r="L2535" s="369">
        <f t="shared" si="191"/>
        <v>113.340625</v>
      </c>
      <c r="M2535" s="369" t="s">
        <v>6171</v>
      </c>
      <c r="N2535" s="432" t="s">
        <v>3785</v>
      </c>
      <c r="O2535" s="521" t="s">
        <v>5847</v>
      </c>
      <c r="P2535" s="438" t="s">
        <v>5530</v>
      </c>
      <c r="Q2535" s="481">
        <v>0.2</v>
      </c>
      <c r="R2535" s="427">
        <v>1900001375</v>
      </c>
      <c r="S2535" s="513" t="s">
        <v>3475</v>
      </c>
      <c r="T2535" s="2" t="s">
        <v>5914</v>
      </c>
      <c r="U2535" s="9" t="s">
        <v>3475</v>
      </c>
    </row>
    <row r="2536" spans="1:21" x14ac:dyDescent="0.35">
      <c r="A2536" s="435" t="s">
        <v>5160</v>
      </c>
      <c r="B2536" s="427" t="s">
        <v>5854</v>
      </c>
      <c r="C2536" s="517" t="s">
        <v>5845</v>
      </c>
      <c r="D2536" s="517" t="s">
        <v>5845</v>
      </c>
      <c r="E2536" s="517"/>
      <c r="F2536" s="438" t="s">
        <v>5846</v>
      </c>
      <c r="G2536" s="438" t="s">
        <v>5840</v>
      </c>
      <c r="H2536" s="427" t="s">
        <v>5163</v>
      </c>
      <c r="I2536" s="518">
        <v>2181.1875</v>
      </c>
      <c r="J2536" s="381">
        <v>566.703125</v>
      </c>
      <c r="K2536" s="519">
        <v>566.703125</v>
      </c>
      <c r="L2536" s="369">
        <f t="shared" si="191"/>
        <v>113.340625</v>
      </c>
      <c r="M2536" s="369" t="s">
        <v>6171</v>
      </c>
      <c r="N2536" s="432" t="s">
        <v>3785</v>
      </c>
      <c r="O2536" s="521" t="s">
        <v>5847</v>
      </c>
      <c r="P2536" s="438" t="s">
        <v>5530</v>
      </c>
      <c r="Q2536" s="481">
        <v>0.2</v>
      </c>
      <c r="R2536" s="427">
        <v>1900001375</v>
      </c>
      <c r="S2536" s="513" t="s">
        <v>3475</v>
      </c>
      <c r="T2536" s="2" t="s">
        <v>5914</v>
      </c>
      <c r="U2536" s="9" t="s">
        <v>3475</v>
      </c>
    </row>
    <row r="2537" spans="1:21" x14ac:dyDescent="0.35">
      <c r="A2537" s="435" t="s">
        <v>5160</v>
      </c>
      <c r="B2537" s="427" t="s">
        <v>5854</v>
      </c>
      <c r="C2537" s="517" t="s">
        <v>5845</v>
      </c>
      <c r="D2537" s="517" t="s">
        <v>5845</v>
      </c>
      <c r="E2537" s="517"/>
      <c r="F2537" s="438" t="s">
        <v>5846</v>
      </c>
      <c r="G2537" s="438" t="s">
        <v>5840</v>
      </c>
      <c r="H2537" s="427" t="s">
        <v>5163</v>
      </c>
      <c r="I2537" s="518">
        <v>2181.1875</v>
      </c>
      <c r="J2537" s="381">
        <v>566.703125</v>
      </c>
      <c r="K2537" s="519">
        <v>566.703125</v>
      </c>
      <c r="L2537" s="369">
        <f t="shared" si="191"/>
        <v>113.340625</v>
      </c>
      <c r="M2537" s="369" t="s">
        <v>6171</v>
      </c>
      <c r="N2537" s="432" t="s">
        <v>3785</v>
      </c>
      <c r="O2537" s="521" t="s">
        <v>5847</v>
      </c>
      <c r="P2537" s="438" t="s">
        <v>5530</v>
      </c>
      <c r="Q2537" s="481">
        <v>0.2</v>
      </c>
      <c r="R2537" s="427">
        <v>1900001375</v>
      </c>
      <c r="S2537" s="513" t="s">
        <v>3475</v>
      </c>
      <c r="T2537" s="2" t="s">
        <v>5914</v>
      </c>
      <c r="U2537" s="9" t="s">
        <v>3475</v>
      </c>
    </row>
    <row r="2538" spans="1:21" x14ac:dyDescent="0.35">
      <c r="A2538" s="435" t="s">
        <v>5160</v>
      </c>
      <c r="B2538" s="427" t="s">
        <v>5854</v>
      </c>
      <c r="C2538" s="517" t="s">
        <v>5845</v>
      </c>
      <c r="D2538" s="517" t="s">
        <v>5845</v>
      </c>
      <c r="E2538" s="517"/>
      <c r="F2538" s="438" t="s">
        <v>5846</v>
      </c>
      <c r="G2538" s="438" t="s">
        <v>5840</v>
      </c>
      <c r="H2538" s="427" t="s">
        <v>5163</v>
      </c>
      <c r="I2538" s="518">
        <v>2181.1875</v>
      </c>
      <c r="J2538" s="381">
        <v>566.703125</v>
      </c>
      <c r="K2538" s="519">
        <v>566.703125</v>
      </c>
      <c r="L2538" s="369">
        <f t="shared" si="191"/>
        <v>113.340625</v>
      </c>
      <c r="M2538" s="369" t="s">
        <v>6171</v>
      </c>
      <c r="N2538" s="432" t="s">
        <v>3785</v>
      </c>
      <c r="O2538" s="521" t="s">
        <v>5847</v>
      </c>
      <c r="P2538" s="438" t="s">
        <v>5530</v>
      </c>
      <c r="Q2538" s="481">
        <v>0.2</v>
      </c>
      <c r="R2538" s="427">
        <v>1900001375</v>
      </c>
      <c r="S2538" s="513" t="s">
        <v>3475</v>
      </c>
      <c r="T2538" s="2" t="s">
        <v>5914</v>
      </c>
      <c r="U2538" s="9" t="s">
        <v>3475</v>
      </c>
    </row>
    <row r="2539" spans="1:21" x14ac:dyDescent="0.35">
      <c r="A2539" s="435" t="s">
        <v>5160</v>
      </c>
      <c r="B2539" s="427" t="s">
        <v>5854</v>
      </c>
      <c r="C2539" s="517" t="s">
        <v>5845</v>
      </c>
      <c r="D2539" s="517" t="s">
        <v>5845</v>
      </c>
      <c r="E2539" s="517"/>
      <c r="F2539" s="438" t="s">
        <v>5846</v>
      </c>
      <c r="G2539" s="438" t="s">
        <v>5840</v>
      </c>
      <c r="H2539" s="427" t="s">
        <v>5163</v>
      </c>
      <c r="I2539" s="518">
        <v>2181.1875</v>
      </c>
      <c r="J2539" s="381">
        <v>566.703125</v>
      </c>
      <c r="K2539" s="519">
        <v>566.703125</v>
      </c>
      <c r="L2539" s="369">
        <f t="shared" si="191"/>
        <v>113.340625</v>
      </c>
      <c r="M2539" s="369" t="s">
        <v>6171</v>
      </c>
      <c r="N2539" s="432" t="s">
        <v>3785</v>
      </c>
      <c r="O2539" s="521" t="s">
        <v>5847</v>
      </c>
      <c r="P2539" s="438" t="s">
        <v>5530</v>
      </c>
      <c r="Q2539" s="481">
        <v>0.2</v>
      </c>
      <c r="R2539" s="427">
        <v>1900001375</v>
      </c>
      <c r="S2539" s="513" t="s">
        <v>3475</v>
      </c>
      <c r="T2539" s="2" t="s">
        <v>5914</v>
      </c>
      <c r="U2539" s="9" t="s">
        <v>3475</v>
      </c>
    </row>
    <row r="2540" spans="1:21" x14ac:dyDescent="0.35">
      <c r="A2540" s="435" t="s">
        <v>5160</v>
      </c>
      <c r="B2540" s="427" t="s">
        <v>5854</v>
      </c>
      <c r="C2540" s="517" t="s">
        <v>5845</v>
      </c>
      <c r="D2540" s="517" t="s">
        <v>5845</v>
      </c>
      <c r="E2540" s="517"/>
      <c r="F2540" s="438" t="s">
        <v>5846</v>
      </c>
      <c r="G2540" s="438" t="s">
        <v>5840</v>
      </c>
      <c r="H2540" s="427" t="s">
        <v>5163</v>
      </c>
      <c r="I2540" s="518">
        <v>2181.1875</v>
      </c>
      <c r="J2540" s="381">
        <v>566.703125</v>
      </c>
      <c r="K2540" s="519">
        <v>566.703125</v>
      </c>
      <c r="L2540" s="369">
        <f t="shared" si="191"/>
        <v>113.340625</v>
      </c>
      <c r="M2540" s="369" t="s">
        <v>6171</v>
      </c>
      <c r="N2540" s="432" t="s">
        <v>3785</v>
      </c>
      <c r="O2540" s="521" t="s">
        <v>5847</v>
      </c>
      <c r="P2540" s="438" t="s">
        <v>5530</v>
      </c>
      <c r="Q2540" s="481">
        <v>0.2</v>
      </c>
      <c r="R2540" s="427">
        <v>1900001375</v>
      </c>
      <c r="S2540" s="513" t="s">
        <v>3475</v>
      </c>
      <c r="T2540" s="2" t="s">
        <v>5914</v>
      </c>
      <c r="U2540" s="9" t="s">
        <v>3475</v>
      </c>
    </row>
    <row r="2541" spans="1:21" x14ac:dyDescent="0.35">
      <c r="A2541" s="435" t="s">
        <v>5160</v>
      </c>
      <c r="B2541" s="427" t="s">
        <v>5854</v>
      </c>
      <c r="C2541" s="517" t="s">
        <v>5845</v>
      </c>
      <c r="D2541" s="517" t="s">
        <v>5845</v>
      </c>
      <c r="E2541" s="517"/>
      <c r="F2541" s="438" t="s">
        <v>5846</v>
      </c>
      <c r="G2541" s="438" t="s">
        <v>5840</v>
      </c>
      <c r="H2541" s="427" t="s">
        <v>5163</v>
      </c>
      <c r="I2541" s="518">
        <v>2181.1875</v>
      </c>
      <c r="J2541" s="381">
        <v>566.703125</v>
      </c>
      <c r="K2541" s="519">
        <v>566.703125</v>
      </c>
      <c r="L2541" s="369">
        <f t="shared" si="191"/>
        <v>113.340625</v>
      </c>
      <c r="M2541" s="369" t="s">
        <v>6171</v>
      </c>
      <c r="N2541" s="432" t="s">
        <v>3785</v>
      </c>
      <c r="O2541" s="521" t="s">
        <v>5847</v>
      </c>
      <c r="P2541" s="438" t="s">
        <v>5530</v>
      </c>
      <c r="Q2541" s="481">
        <v>0.2</v>
      </c>
      <c r="R2541" s="427">
        <v>1900001375</v>
      </c>
      <c r="S2541" s="513" t="s">
        <v>3475</v>
      </c>
      <c r="T2541" s="2" t="s">
        <v>5914</v>
      </c>
      <c r="U2541" s="9" t="s">
        <v>3475</v>
      </c>
    </row>
    <row r="2542" spans="1:21" x14ac:dyDescent="0.35">
      <c r="A2542" s="435" t="s">
        <v>5160</v>
      </c>
      <c r="B2542" s="427" t="s">
        <v>5854</v>
      </c>
      <c r="C2542" s="517" t="s">
        <v>5845</v>
      </c>
      <c r="D2542" s="517" t="s">
        <v>5845</v>
      </c>
      <c r="E2542" s="517"/>
      <c r="F2542" s="438" t="s">
        <v>5846</v>
      </c>
      <c r="G2542" s="438" t="s">
        <v>5840</v>
      </c>
      <c r="H2542" s="427" t="s">
        <v>5163</v>
      </c>
      <c r="I2542" s="518">
        <v>2181.1875</v>
      </c>
      <c r="J2542" s="381">
        <v>566.703125</v>
      </c>
      <c r="K2542" s="519">
        <v>566.703125</v>
      </c>
      <c r="L2542" s="369">
        <f t="shared" si="191"/>
        <v>113.340625</v>
      </c>
      <c r="M2542" s="369" t="s">
        <v>6171</v>
      </c>
      <c r="N2542" s="432" t="s">
        <v>3785</v>
      </c>
      <c r="O2542" s="521" t="s">
        <v>5847</v>
      </c>
      <c r="P2542" s="438" t="s">
        <v>5530</v>
      </c>
      <c r="Q2542" s="481">
        <v>0.2</v>
      </c>
      <c r="R2542" s="427">
        <v>1900001375</v>
      </c>
      <c r="S2542" s="513" t="s">
        <v>3475</v>
      </c>
      <c r="T2542" s="2" t="s">
        <v>5914</v>
      </c>
      <c r="U2542" s="9" t="s">
        <v>3475</v>
      </c>
    </row>
    <row r="2543" spans="1:21" x14ac:dyDescent="0.35">
      <c r="A2543" s="435" t="s">
        <v>5160</v>
      </c>
      <c r="B2543" s="427" t="s">
        <v>5854</v>
      </c>
      <c r="C2543" s="517" t="s">
        <v>5845</v>
      </c>
      <c r="D2543" s="517" t="s">
        <v>5845</v>
      </c>
      <c r="E2543" s="517"/>
      <c r="F2543" s="438" t="s">
        <v>5846</v>
      </c>
      <c r="G2543" s="438" t="s">
        <v>5840</v>
      </c>
      <c r="H2543" s="427" t="s">
        <v>5163</v>
      </c>
      <c r="I2543" s="518">
        <v>2181.1875</v>
      </c>
      <c r="J2543" s="381">
        <v>566.703125</v>
      </c>
      <c r="K2543" s="519">
        <v>566.703125</v>
      </c>
      <c r="L2543" s="369">
        <f t="shared" si="191"/>
        <v>113.340625</v>
      </c>
      <c r="M2543" s="369" t="s">
        <v>6171</v>
      </c>
      <c r="N2543" s="432" t="s">
        <v>3785</v>
      </c>
      <c r="O2543" s="521" t="s">
        <v>5847</v>
      </c>
      <c r="P2543" s="438" t="s">
        <v>5530</v>
      </c>
      <c r="Q2543" s="481">
        <v>0.2</v>
      </c>
      <c r="R2543" s="427">
        <v>1900001375</v>
      </c>
      <c r="S2543" s="513" t="s">
        <v>3475</v>
      </c>
      <c r="T2543" s="2" t="s">
        <v>5914</v>
      </c>
      <c r="U2543" s="9" t="s">
        <v>3475</v>
      </c>
    </row>
    <row r="2544" spans="1:21" x14ac:dyDescent="0.35">
      <c r="A2544" s="435" t="s">
        <v>5160</v>
      </c>
      <c r="B2544" s="427" t="s">
        <v>5854</v>
      </c>
      <c r="C2544" s="517" t="s">
        <v>5845</v>
      </c>
      <c r="D2544" s="517" t="s">
        <v>5845</v>
      </c>
      <c r="E2544" s="517"/>
      <c r="F2544" s="438" t="s">
        <v>5846</v>
      </c>
      <c r="G2544" s="438" t="s">
        <v>5840</v>
      </c>
      <c r="H2544" s="427" t="s">
        <v>5163</v>
      </c>
      <c r="I2544" s="518">
        <v>2181.1875</v>
      </c>
      <c r="J2544" s="381">
        <v>566.703125</v>
      </c>
      <c r="K2544" s="519">
        <v>566.703125</v>
      </c>
      <c r="L2544" s="369">
        <f t="shared" si="191"/>
        <v>113.340625</v>
      </c>
      <c r="M2544" s="369" t="s">
        <v>6171</v>
      </c>
      <c r="N2544" s="432" t="s">
        <v>3785</v>
      </c>
      <c r="O2544" s="521" t="s">
        <v>5847</v>
      </c>
      <c r="P2544" s="438" t="s">
        <v>5530</v>
      </c>
      <c r="Q2544" s="481">
        <v>0.2</v>
      </c>
      <c r="R2544" s="427">
        <v>1900001375</v>
      </c>
      <c r="S2544" s="513" t="s">
        <v>3475</v>
      </c>
      <c r="T2544" s="2" t="s">
        <v>5914</v>
      </c>
      <c r="U2544" s="9" t="s">
        <v>3475</v>
      </c>
    </row>
    <row r="2545" spans="1:21" x14ac:dyDescent="0.35">
      <c r="A2545" s="435" t="s">
        <v>5160</v>
      </c>
      <c r="B2545" s="427" t="s">
        <v>5854</v>
      </c>
      <c r="C2545" s="517" t="s">
        <v>5845</v>
      </c>
      <c r="D2545" s="517" t="s">
        <v>5845</v>
      </c>
      <c r="E2545" s="517"/>
      <c r="F2545" s="438" t="s">
        <v>5846</v>
      </c>
      <c r="G2545" s="438" t="s">
        <v>5840</v>
      </c>
      <c r="H2545" s="427" t="s">
        <v>5163</v>
      </c>
      <c r="I2545" s="518">
        <v>2181.1875</v>
      </c>
      <c r="J2545" s="381">
        <v>566.703125</v>
      </c>
      <c r="K2545" s="519">
        <v>566.703125</v>
      </c>
      <c r="L2545" s="369">
        <f t="shared" si="191"/>
        <v>113.340625</v>
      </c>
      <c r="M2545" s="369" t="s">
        <v>6171</v>
      </c>
      <c r="N2545" s="432" t="s">
        <v>3785</v>
      </c>
      <c r="O2545" s="521" t="s">
        <v>5847</v>
      </c>
      <c r="P2545" s="438" t="s">
        <v>5530</v>
      </c>
      <c r="Q2545" s="481">
        <v>0.2</v>
      </c>
      <c r="R2545" s="427">
        <v>1900001375</v>
      </c>
      <c r="S2545" s="513" t="s">
        <v>3475</v>
      </c>
      <c r="T2545" s="2" t="s">
        <v>5914</v>
      </c>
      <c r="U2545" s="9" t="s">
        <v>3475</v>
      </c>
    </row>
    <row r="2546" spans="1:21" x14ac:dyDescent="0.35">
      <c r="A2546" s="435" t="s">
        <v>5160</v>
      </c>
      <c r="B2546" s="427" t="s">
        <v>5854</v>
      </c>
      <c r="C2546" s="517" t="s">
        <v>5845</v>
      </c>
      <c r="D2546" s="517" t="s">
        <v>5845</v>
      </c>
      <c r="E2546" s="517"/>
      <c r="F2546" s="438" t="s">
        <v>5846</v>
      </c>
      <c r="G2546" s="438" t="s">
        <v>5840</v>
      </c>
      <c r="H2546" s="427" t="s">
        <v>5163</v>
      </c>
      <c r="I2546" s="518">
        <v>2181.1875</v>
      </c>
      <c r="J2546" s="381">
        <v>566.703125</v>
      </c>
      <c r="K2546" s="519">
        <v>566.703125</v>
      </c>
      <c r="L2546" s="369">
        <f t="shared" si="191"/>
        <v>113.340625</v>
      </c>
      <c r="M2546" s="369" t="s">
        <v>6171</v>
      </c>
      <c r="N2546" s="432" t="s">
        <v>3785</v>
      </c>
      <c r="O2546" s="521" t="s">
        <v>5847</v>
      </c>
      <c r="P2546" s="438" t="s">
        <v>5530</v>
      </c>
      <c r="Q2546" s="481">
        <v>0.2</v>
      </c>
      <c r="R2546" s="427">
        <v>1900001375</v>
      </c>
      <c r="S2546" s="513" t="s">
        <v>3475</v>
      </c>
      <c r="T2546" s="2" t="s">
        <v>5914</v>
      </c>
      <c r="U2546" s="9" t="s">
        <v>3475</v>
      </c>
    </row>
    <row r="2547" spans="1:21" x14ac:dyDescent="0.35">
      <c r="A2547" s="435" t="s">
        <v>5160</v>
      </c>
      <c r="B2547" s="427" t="s">
        <v>5854</v>
      </c>
      <c r="C2547" s="517" t="s">
        <v>5845</v>
      </c>
      <c r="D2547" s="517" t="s">
        <v>5845</v>
      </c>
      <c r="E2547" s="517"/>
      <c r="F2547" s="438" t="s">
        <v>5846</v>
      </c>
      <c r="G2547" s="438" t="s">
        <v>5840</v>
      </c>
      <c r="H2547" s="427" t="s">
        <v>5163</v>
      </c>
      <c r="I2547" s="518">
        <v>2181.1875</v>
      </c>
      <c r="J2547" s="381">
        <v>566.703125</v>
      </c>
      <c r="K2547" s="519">
        <v>566.703125</v>
      </c>
      <c r="L2547" s="369">
        <f t="shared" si="191"/>
        <v>113.340625</v>
      </c>
      <c r="M2547" s="369" t="s">
        <v>6171</v>
      </c>
      <c r="N2547" s="432" t="s">
        <v>3785</v>
      </c>
      <c r="O2547" s="521" t="s">
        <v>5847</v>
      </c>
      <c r="P2547" s="438" t="s">
        <v>5530</v>
      </c>
      <c r="Q2547" s="481">
        <v>0.2</v>
      </c>
      <c r="R2547" s="427">
        <v>1900001375</v>
      </c>
      <c r="S2547" s="513" t="s">
        <v>3475</v>
      </c>
      <c r="T2547" s="2" t="s">
        <v>5914</v>
      </c>
      <c r="U2547" s="9" t="s">
        <v>3475</v>
      </c>
    </row>
    <row r="2548" spans="1:21" x14ac:dyDescent="0.35">
      <c r="A2548" s="435" t="s">
        <v>5160</v>
      </c>
      <c r="B2548" s="427" t="s">
        <v>5854</v>
      </c>
      <c r="C2548" s="517" t="s">
        <v>5845</v>
      </c>
      <c r="D2548" s="517" t="s">
        <v>5845</v>
      </c>
      <c r="E2548" s="517"/>
      <c r="F2548" s="438" t="s">
        <v>5846</v>
      </c>
      <c r="G2548" s="438" t="s">
        <v>5840</v>
      </c>
      <c r="H2548" s="427" t="s">
        <v>5163</v>
      </c>
      <c r="I2548" s="518">
        <v>2181.1875</v>
      </c>
      <c r="J2548" s="381">
        <v>566.703125</v>
      </c>
      <c r="K2548" s="519">
        <v>566.703125</v>
      </c>
      <c r="L2548" s="369">
        <f t="shared" si="191"/>
        <v>113.340625</v>
      </c>
      <c r="M2548" s="369" t="s">
        <v>6171</v>
      </c>
      <c r="N2548" s="432" t="s">
        <v>3785</v>
      </c>
      <c r="O2548" s="521" t="s">
        <v>5847</v>
      </c>
      <c r="P2548" s="438" t="s">
        <v>5530</v>
      </c>
      <c r="Q2548" s="481">
        <v>0.2</v>
      </c>
      <c r="R2548" s="427">
        <v>1900001375</v>
      </c>
      <c r="S2548" s="513" t="s">
        <v>3475</v>
      </c>
      <c r="T2548" s="2" t="s">
        <v>5914</v>
      </c>
      <c r="U2548" s="9" t="s">
        <v>3475</v>
      </c>
    </row>
    <row r="2549" spans="1:21" x14ac:dyDescent="0.35">
      <c r="A2549" s="435" t="s">
        <v>5160</v>
      </c>
      <c r="B2549" s="427" t="s">
        <v>5854</v>
      </c>
      <c r="C2549" s="517" t="s">
        <v>5845</v>
      </c>
      <c r="D2549" s="517" t="s">
        <v>5845</v>
      </c>
      <c r="E2549" s="517"/>
      <c r="F2549" s="438" t="s">
        <v>5846</v>
      </c>
      <c r="G2549" s="438" t="s">
        <v>5840</v>
      </c>
      <c r="H2549" s="427" t="s">
        <v>5163</v>
      </c>
      <c r="I2549" s="518">
        <v>2181.1875</v>
      </c>
      <c r="J2549" s="381">
        <v>566.703125</v>
      </c>
      <c r="K2549" s="519">
        <v>566.703125</v>
      </c>
      <c r="L2549" s="369">
        <f t="shared" si="191"/>
        <v>113.340625</v>
      </c>
      <c r="M2549" s="369" t="s">
        <v>6171</v>
      </c>
      <c r="N2549" s="432" t="s">
        <v>3785</v>
      </c>
      <c r="O2549" s="521" t="s">
        <v>5847</v>
      </c>
      <c r="P2549" s="438" t="s">
        <v>5530</v>
      </c>
      <c r="Q2549" s="481">
        <v>0.2</v>
      </c>
      <c r="R2549" s="427">
        <v>1900001375</v>
      </c>
      <c r="S2549" s="513" t="s">
        <v>3475</v>
      </c>
      <c r="T2549" s="2" t="s">
        <v>5914</v>
      </c>
      <c r="U2549" s="9" t="s">
        <v>3475</v>
      </c>
    </row>
    <row r="2550" spans="1:21" x14ac:dyDescent="0.35">
      <c r="A2550" s="435" t="s">
        <v>5160</v>
      </c>
      <c r="B2550" s="427" t="s">
        <v>5854</v>
      </c>
      <c r="C2550" s="517" t="s">
        <v>5845</v>
      </c>
      <c r="D2550" s="517" t="s">
        <v>5845</v>
      </c>
      <c r="E2550" s="517"/>
      <c r="F2550" s="438" t="s">
        <v>5846</v>
      </c>
      <c r="G2550" s="438" t="s">
        <v>5840</v>
      </c>
      <c r="H2550" s="427" t="s">
        <v>5163</v>
      </c>
      <c r="I2550" s="518">
        <v>2181.1875</v>
      </c>
      <c r="J2550" s="381">
        <v>566.703125</v>
      </c>
      <c r="K2550" s="519">
        <v>566.703125</v>
      </c>
      <c r="L2550" s="369">
        <f t="shared" si="191"/>
        <v>113.340625</v>
      </c>
      <c r="M2550" s="369" t="s">
        <v>6171</v>
      </c>
      <c r="N2550" s="432" t="s">
        <v>3785</v>
      </c>
      <c r="O2550" s="521" t="s">
        <v>5847</v>
      </c>
      <c r="P2550" s="438" t="s">
        <v>5530</v>
      </c>
      <c r="Q2550" s="481">
        <v>0.2</v>
      </c>
      <c r="R2550" s="427">
        <v>1900001375</v>
      </c>
      <c r="S2550" s="513" t="s">
        <v>3475</v>
      </c>
      <c r="T2550" s="2" t="s">
        <v>5914</v>
      </c>
      <c r="U2550" s="9" t="s">
        <v>3475</v>
      </c>
    </row>
    <row r="2551" spans="1:21" x14ac:dyDescent="0.35">
      <c r="A2551" s="435" t="s">
        <v>5160</v>
      </c>
      <c r="B2551" s="427" t="s">
        <v>5854</v>
      </c>
      <c r="C2551" s="517" t="s">
        <v>5845</v>
      </c>
      <c r="D2551" s="517" t="s">
        <v>5845</v>
      </c>
      <c r="E2551" s="517"/>
      <c r="F2551" s="438" t="s">
        <v>5846</v>
      </c>
      <c r="G2551" s="438" t="s">
        <v>5840</v>
      </c>
      <c r="H2551" s="427" t="s">
        <v>5163</v>
      </c>
      <c r="I2551" s="518">
        <v>2181.1875</v>
      </c>
      <c r="J2551" s="381">
        <v>566.703125</v>
      </c>
      <c r="K2551" s="519">
        <v>566.703125</v>
      </c>
      <c r="L2551" s="369">
        <f t="shared" si="191"/>
        <v>113.340625</v>
      </c>
      <c r="M2551" s="369" t="s">
        <v>6171</v>
      </c>
      <c r="N2551" s="432" t="s">
        <v>3785</v>
      </c>
      <c r="O2551" s="521" t="s">
        <v>5847</v>
      </c>
      <c r="P2551" s="438" t="s">
        <v>5530</v>
      </c>
      <c r="Q2551" s="481">
        <v>0.2</v>
      </c>
      <c r="R2551" s="427">
        <v>1900001375</v>
      </c>
      <c r="S2551" s="513" t="s">
        <v>3475</v>
      </c>
      <c r="T2551" s="2" t="s">
        <v>5914</v>
      </c>
      <c r="U2551" s="9" t="s">
        <v>3475</v>
      </c>
    </row>
    <row r="2552" spans="1:21" x14ac:dyDescent="0.35">
      <c r="A2552" s="435" t="s">
        <v>5160</v>
      </c>
      <c r="B2552" s="427" t="s">
        <v>5854</v>
      </c>
      <c r="C2552" s="517" t="s">
        <v>5845</v>
      </c>
      <c r="D2552" s="517" t="s">
        <v>5845</v>
      </c>
      <c r="E2552" s="517"/>
      <c r="F2552" s="438" t="s">
        <v>5846</v>
      </c>
      <c r="G2552" s="438" t="s">
        <v>5840</v>
      </c>
      <c r="H2552" s="427" t="s">
        <v>5163</v>
      </c>
      <c r="I2552" s="518">
        <v>2181.1875</v>
      </c>
      <c r="J2552" s="381">
        <v>566.703125</v>
      </c>
      <c r="K2552" s="519">
        <v>566.703125</v>
      </c>
      <c r="L2552" s="369">
        <f t="shared" si="191"/>
        <v>113.340625</v>
      </c>
      <c r="M2552" s="369" t="s">
        <v>6171</v>
      </c>
      <c r="N2552" s="432" t="s">
        <v>3785</v>
      </c>
      <c r="O2552" s="521" t="s">
        <v>5847</v>
      </c>
      <c r="P2552" s="438" t="s">
        <v>5530</v>
      </c>
      <c r="Q2552" s="481">
        <v>0.2</v>
      </c>
      <c r="R2552" s="427">
        <v>1900001375</v>
      </c>
      <c r="S2552" s="513" t="s">
        <v>3475</v>
      </c>
      <c r="T2552" s="2" t="s">
        <v>5914</v>
      </c>
      <c r="U2552" s="9" t="s">
        <v>3475</v>
      </c>
    </row>
    <row r="2553" spans="1:21" x14ac:dyDescent="0.35">
      <c r="A2553" s="435" t="s">
        <v>5160</v>
      </c>
      <c r="B2553" s="427" t="s">
        <v>5854</v>
      </c>
      <c r="C2553" s="517" t="s">
        <v>5845</v>
      </c>
      <c r="D2553" s="517" t="s">
        <v>5845</v>
      </c>
      <c r="E2553" s="517"/>
      <c r="F2553" s="438" t="s">
        <v>5846</v>
      </c>
      <c r="G2553" s="438" t="s">
        <v>5840</v>
      </c>
      <c r="H2553" s="427" t="s">
        <v>5163</v>
      </c>
      <c r="I2553" s="518">
        <v>2181.1875</v>
      </c>
      <c r="J2553" s="381">
        <v>566.703125</v>
      </c>
      <c r="K2553" s="519">
        <v>566.703125</v>
      </c>
      <c r="L2553" s="369">
        <f t="shared" si="191"/>
        <v>113.340625</v>
      </c>
      <c r="M2553" s="369" t="s">
        <v>6171</v>
      </c>
      <c r="N2553" s="432" t="s">
        <v>3785</v>
      </c>
      <c r="O2553" s="521" t="s">
        <v>5847</v>
      </c>
      <c r="P2553" s="438" t="s">
        <v>5530</v>
      </c>
      <c r="Q2553" s="481">
        <v>0.2</v>
      </c>
      <c r="R2553" s="427">
        <v>1900001375</v>
      </c>
      <c r="S2553" s="513" t="s">
        <v>3475</v>
      </c>
      <c r="T2553" s="2" t="s">
        <v>5914</v>
      </c>
      <c r="U2553" s="9" t="s">
        <v>3475</v>
      </c>
    </row>
    <row r="2554" spans="1:21" x14ac:dyDescent="0.35">
      <c r="A2554" s="435" t="s">
        <v>5160</v>
      </c>
      <c r="B2554" s="427" t="s">
        <v>5854</v>
      </c>
      <c r="C2554" s="517" t="s">
        <v>5845</v>
      </c>
      <c r="D2554" s="517" t="s">
        <v>5845</v>
      </c>
      <c r="E2554" s="517"/>
      <c r="F2554" s="438" t="s">
        <v>5846</v>
      </c>
      <c r="G2554" s="438" t="s">
        <v>5840</v>
      </c>
      <c r="H2554" s="427" t="s">
        <v>5163</v>
      </c>
      <c r="I2554" s="518">
        <v>2181.1875</v>
      </c>
      <c r="J2554" s="381">
        <v>566.703125</v>
      </c>
      <c r="K2554" s="519">
        <v>566.703125</v>
      </c>
      <c r="L2554" s="369">
        <f t="shared" si="191"/>
        <v>113.340625</v>
      </c>
      <c r="M2554" s="369" t="s">
        <v>6171</v>
      </c>
      <c r="N2554" s="432" t="s">
        <v>3785</v>
      </c>
      <c r="O2554" s="521" t="s">
        <v>5847</v>
      </c>
      <c r="P2554" s="438" t="s">
        <v>5530</v>
      </c>
      <c r="Q2554" s="481">
        <v>0.2</v>
      </c>
      <c r="R2554" s="427">
        <v>1900001375</v>
      </c>
      <c r="S2554" s="513" t="s">
        <v>3475</v>
      </c>
      <c r="T2554" s="2" t="s">
        <v>5914</v>
      </c>
      <c r="U2554" s="9" t="s">
        <v>3475</v>
      </c>
    </row>
    <row r="2555" spans="1:21" x14ac:dyDescent="0.35">
      <c r="A2555" s="435" t="s">
        <v>5160</v>
      </c>
      <c r="B2555" s="427" t="s">
        <v>5854</v>
      </c>
      <c r="C2555" s="517" t="s">
        <v>5845</v>
      </c>
      <c r="D2555" s="517" t="s">
        <v>5845</v>
      </c>
      <c r="E2555" s="517"/>
      <c r="F2555" s="438" t="s">
        <v>5846</v>
      </c>
      <c r="G2555" s="438" t="s">
        <v>5840</v>
      </c>
      <c r="H2555" s="427" t="s">
        <v>5163</v>
      </c>
      <c r="I2555" s="518">
        <v>2181.1875</v>
      </c>
      <c r="J2555" s="381">
        <v>566.703125</v>
      </c>
      <c r="K2555" s="519">
        <v>566.703125</v>
      </c>
      <c r="L2555" s="369">
        <f t="shared" si="191"/>
        <v>113.340625</v>
      </c>
      <c r="M2555" s="369" t="s">
        <v>6171</v>
      </c>
      <c r="N2555" s="432" t="s">
        <v>3785</v>
      </c>
      <c r="O2555" s="521" t="s">
        <v>5847</v>
      </c>
      <c r="P2555" s="438" t="s">
        <v>5530</v>
      </c>
      <c r="Q2555" s="481">
        <v>0.2</v>
      </c>
      <c r="R2555" s="427">
        <v>1900001375</v>
      </c>
      <c r="S2555" s="513" t="s">
        <v>3475</v>
      </c>
      <c r="T2555" s="2" t="s">
        <v>5914</v>
      </c>
      <c r="U2555" s="9" t="s">
        <v>3475</v>
      </c>
    </row>
    <row r="2556" spans="1:21" x14ac:dyDescent="0.35">
      <c r="A2556" s="435" t="s">
        <v>5160</v>
      </c>
      <c r="B2556" s="427" t="s">
        <v>5854</v>
      </c>
      <c r="C2556" s="517" t="s">
        <v>5845</v>
      </c>
      <c r="D2556" s="517" t="s">
        <v>5845</v>
      </c>
      <c r="E2556" s="517"/>
      <c r="F2556" s="438" t="s">
        <v>5846</v>
      </c>
      <c r="G2556" s="438" t="s">
        <v>5840</v>
      </c>
      <c r="H2556" s="427" t="s">
        <v>5163</v>
      </c>
      <c r="I2556" s="518">
        <v>2181.1875</v>
      </c>
      <c r="J2556" s="381">
        <v>566.703125</v>
      </c>
      <c r="K2556" s="519">
        <v>566.703125</v>
      </c>
      <c r="L2556" s="369">
        <f t="shared" si="191"/>
        <v>113.340625</v>
      </c>
      <c r="M2556" s="369" t="s">
        <v>6171</v>
      </c>
      <c r="N2556" s="432" t="s">
        <v>3785</v>
      </c>
      <c r="O2556" s="521" t="s">
        <v>5847</v>
      </c>
      <c r="P2556" s="438" t="s">
        <v>5530</v>
      </c>
      <c r="Q2556" s="481">
        <v>0.2</v>
      </c>
      <c r="R2556" s="427">
        <v>1900001375</v>
      </c>
      <c r="S2556" s="513" t="s">
        <v>3475</v>
      </c>
      <c r="T2556" s="2" t="s">
        <v>5914</v>
      </c>
      <c r="U2556" s="9" t="s">
        <v>3475</v>
      </c>
    </row>
    <row r="2557" spans="1:21" x14ac:dyDescent="0.35">
      <c r="A2557" s="435" t="s">
        <v>5160</v>
      </c>
      <c r="B2557" s="427" t="s">
        <v>5854</v>
      </c>
      <c r="C2557" s="517" t="s">
        <v>5845</v>
      </c>
      <c r="D2557" s="517" t="s">
        <v>5845</v>
      </c>
      <c r="E2557" s="517"/>
      <c r="F2557" s="438" t="s">
        <v>5846</v>
      </c>
      <c r="G2557" s="438" t="s">
        <v>5840</v>
      </c>
      <c r="H2557" s="427" t="s">
        <v>5163</v>
      </c>
      <c r="I2557" s="518">
        <v>2181.1875</v>
      </c>
      <c r="J2557" s="381">
        <v>566.703125</v>
      </c>
      <c r="K2557" s="519">
        <v>566.703125</v>
      </c>
      <c r="L2557" s="369">
        <f t="shared" si="191"/>
        <v>113.340625</v>
      </c>
      <c r="M2557" s="369" t="s">
        <v>6171</v>
      </c>
      <c r="N2557" s="432" t="s">
        <v>3785</v>
      </c>
      <c r="O2557" s="521" t="s">
        <v>5847</v>
      </c>
      <c r="P2557" s="438" t="s">
        <v>5530</v>
      </c>
      <c r="Q2557" s="481">
        <v>0.2</v>
      </c>
      <c r="R2557" s="427">
        <v>1900001375</v>
      </c>
      <c r="S2557" s="513" t="s">
        <v>3475</v>
      </c>
      <c r="T2557" s="2" t="s">
        <v>5914</v>
      </c>
      <c r="U2557" s="9" t="s">
        <v>3475</v>
      </c>
    </row>
    <row r="2558" spans="1:21" x14ac:dyDescent="0.35">
      <c r="A2558" s="435" t="s">
        <v>5160</v>
      </c>
      <c r="B2558" s="427" t="s">
        <v>5854</v>
      </c>
      <c r="C2558" s="517" t="s">
        <v>5845</v>
      </c>
      <c r="D2558" s="517" t="s">
        <v>5845</v>
      </c>
      <c r="E2558" s="517"/>
      <c r="F2558" s="438" t="s">
        <v>5846</v>
      </c>
      <c r="G2558" s="438" t="s">
        <v>5840</v>
      </c>
      <c r="H2558" s="427" t="s">
        <v>5163</v>
      </c>
      <c r="I2558" s="518">
        <v>2181.1875</v>
      </c>
      <c r="J2558" s="381">
        <v>566.703125</v>
      </c>
      <c r="K2558" s="519">
        <v>566.703125</v>
      </c>
      <c r="L2558" s="369">
        <f t="shared" si="191"/>
        <v>113.340625</v>
      </c>
      <c r="M2558" s="369" t="s">
        <v>6171</v>
      </c>
      <c r="N2558" s="432" t="s">
        <v>3785</v>
      </c>
      <c r="O2558" s="521" t="s">
        <v>5847</v>
      </c>
      <c r="P2558" s="438" t="s">
        <v>5530</v>
      </c>
      <c r="Q2558" s="481">
        <v>0.2</v>
      </c>
      <c r="R2558" s="427">
        <v>1900001375</v>
      </c>
      <c r="S2558" s="513" t="s">
        <v>3475</v>
      </c>
      <c r="T2558" s="2" t="s">
        <v>5914</v>
      </c>
      <c r="U2558" s="9" t="s">
        <v>3475</v>
      </c>
    </row>
    <row r="2559" spans="1:21" x14ac:dyDescent="0.35">
      <c r="A2559" s="435" t="s">
        <v>5160</v>
      </c>
      <c r="B2559" s="427" t="s">
        <v>5854</v>
      </c>
      <c r="C2559" s="517" t="s">
        <v>5845</v>
      </c>
      <c r="D2559" s="517" t="s">
        <v>5845</v>
      </c>
      <c r="E2559" s="517"/>
      <c r="F2559" s="438" t="s">
        <v>5846</v>
      </c>
      <c r="G2559" s="438" t="s">
        <v>5840</v>
      </c>
      <c r="H2559" s="427" t="s">
        <v>5163</v>
      </c>
      <c r="I2559" s="518">
        <v>2181.1875</v>
      </c>
      <c r="J2559" s="381">
        <v>566.703125</v>
      </c>
      <c r="K2559" s="519">
        <v>566.703125</v>
      </c>
      <c r="L2559" s="369">
        <f t="shared" si="191"/>
        <v>113.340625</v>
      </c>
      <c r="M2559" s="369" t="s">
        <v>6171</v>
      </c>
      <c r="N2559" s="432" t="s">
        <v>3785</v>
      </c>
      <c r="O2559" s="521" t="s">
        <v>5847</v>
      </c>
      <c r="P2559" s="438" t="s">
        <v>5530</v>
      </c>
      <c r="Q2559" s="481">
        <v>0.2</v>
      </c>
      <c r="R2559" s="427">
        <v>1900001375</v>
      </c>
      <c r="S2559" s="513" t="s">
        <v>3475</v>
      </c>
      <c r="T2559" s="2" t="s">
        <v>5914</v>
      </c>
      <c r="U2559" s="9" t="s">
        <v>3475</v>
      </c>
    </row>
    <row r="2560" spans="1:21" x14ac:dyDescent="0.35">
      <c r="A2560" s="435" t="s">
        <v>5160</v>
      </c>
      <c r="B2560" s="427" t="s">
        <v>5854</v>
      </c>
      <c r="C2560" s="517" t="s">
        <v>5845</v>
      </c>
      <c r="D2560" s="517" t="s">
        <v>5845</v>
      </c>
      <c r="E2560" s="517"/>
      <c r="F2560" s="438" t="s">
        <v>5846</v>
      </c>
      <c r="G2560" s="438" t="s">
        <v>5840</v>
      </c>
      <c r="H2560" s="427" t="s">
        <v>5163</v>
      </c>
      <c r="I2560" s="518">
        <v>2181.1875</v>
      </c>
      <c r="J2560" s="381">
        <v>566.703125</v>
      </c>
      <c r="K2560" s="519">
        <v>566.703125</v>
      </c>
      <c r="L2560" s="369">
        <f t="shared" si="191"/>
        <v>113.340625</v>
      </c>
      <c r="M2560" s="369" t="s">
        <v>6171</v>
      </c>
      <c r="N2560" s="432" t="s">
        <v>3785</v>
      </c>
      <c r="O2560" s="521" t="s">
        <v>5847</v>
      </c>
      <c r="P2560" s="438" t="s">
        <v>5530</v>
      </c>
      <c r="Q2560" s="481">
        <v>0.2</v>
      </c>
      <c r="R2560" s="427">
        <v>1900001375</v>
      </c>
      <c r="S2560" s="513" t="s">
        <v>3475</v>
      </c>
      <c r="T2560" s="2" t="s">
        <v>5914</v>
      </c>
      <c r="U2560" s="9" t="s">
        <v>3475</v>
      </c>
    </row>
    <row r="2561" spans="1:21" x14ac:dyDescent="0.35">
      <c r="A2561" s="435" t="s">
        <v>5160</v>
      </c>
      <c r="B2561" s="427" t="s">
        <v>5854</v>
      </c>
      <c r="C2561" s="517" t="s">
        <v>5845</v>
      </c>
      <c r="D2561" s="517" t="s">
        <v>5845</v>
      </c>
      <c r="E2561" s="517"/>
      <c r="F2561" s="438" t="s">
        <v>5846</v>
      </c>
      <c r="G2561" s="438" t="s">
        <v>5840</v>
      </c>
      <c r="H2561" s="427" t="s">
        <v>5163</v>
      </c>
      <c r="I2561" s="518">
        <v>2181.1875</v>
      </c>
      <c r="J2561" s="381">
        <v>566.703125</v>
      </c>
      <c r="K2561" s="519">
        <v>566.703125</v>
      </c>
      <c r="L2561" s="369">
        <f t="shared" si="191"/>
        <v>113.340625</v>
      </c>
      <c r="M2561" s="369" t="s">
        <v>6171</v>
      </c>
      <c r="N2561" s="432" t="s">
        <v>3785</v>
      </c>
      <c r="O2561" s="521" t="s">
        <v>5847</v>
      </c>
      <c r="P2561" s="438" t="s">
        <v>5530</v>
      </c>
      <c r="Q2561" s="481">
        <v>0.2</v>
      </c>
      <c r="R2561" s="427">
        <v>1900001375</v>
      </c>
      <c r="S2561" s="513" t="s">
        <v>3475</v>
      </c>
      <c r="T2561" s="2" t="s">
        <v>5914</v>
      </c>
      <c r="U2561" s="9" t="s">
        <v>3475</v>
      </c>
    </row>
    <row r="2562" spans="1:21" x14ac:dyDescent="0.35">
      <c r="A2562" s="435" t="s">
        <v>5160</v>
      </c>
      <c r="B2562" s="427" t="s">
        <v>5854</v>
      </c>
      <c r="C2562" s="517" t="s">
        <v>5845</v>
      </c>
      <c r="D2562" s="517" t="s">
        <v>5845</v>
      </c>
      <c r="E2562" s="517"/>
      <c r="F2562" s="438" t="s">
        <v>5846</v>
      </c>
      <c r="G2562" s="438" t="s">
        <v>5840</v>
      </c>
      <c r="H2562" s="427" t="s">
        <v>5163</v>
      </c>
      <c r="I2562" s="518">
        <v>2181.1875</v>
      </c>
      <c r="J2562" s="381">
        <v>566.703125</v>
      </c>
      <c r="K2562" s="519">
        <v>566.703125</v>
      </c>
      <c r="L2562" s="369">
        <f t="shared" si="191"/>
        <v>113.340625</v>
      </c>
      <c r="M2562" s="369" t="s">
        <v>6171</v>
      </c>
      <c r="N2562" s="432" t="s">
        <v>3785</v>
      </c>
      <c r="O2562" s="521" t="s">
        <v>5847</v>
      </c>
      <c r="P2562" s="438" t="s">
        <v>5530</v>
      </c>
      <c r="Q2562" s="481">
        <v>0.2</v>
      </c>
      <c r="R2562" s="427">
        <v>1900001375</v>
      </c>
      <c r="S2562" s="513" t="s">
        <v>3475</v>
      </c>
      <c r="T2562" s="2" t="s">
        <v>5914</v>
      </c>
      <c r="U2562" s="9" t="s">
        <v>3475</v>
      </c>
    </row>
    <row r="2563" spans="1:21" x14ac:dyDescent="0.35">
      <c r="A2563" s="435" t="s">
        <v>5160</v>
      </c>
      <c r="B2563" s="427" t="s">
        <v>5854</v>
      </c>
      <c r="C2563" s="517" t="s">
        <v>5845</v>
      </c>
      <c r="D2563" s="517" t="s">
        <v>5845</v>
      </c>
      <c r="E2563" s="517"/>
      <c r="F2563" s="438" t="s">
        <v>5846</v>
      </c>
      <c r="G2563" s="438" t="s">
        <v>5840</v>
      </c>
      <c r="H2563" s="427" t="s">
        <v>5163</v>
      </c>
      <c r="I2563" s="518">
        <v>2181.1875</v>
      </c>
      <c r="J2563" s="381">
        <v>566.703125</v>
      </c>
      <c r="K2563" s="519">
        <v>566.703125</v>
      </c>
      <c r="L2563" s="369">
        <f t="shared" si="191"/>
        <v>113.340625</v>
      </c>
      <c r="M2563" s="369" t="s">
        <v>6171</v>
      </c>
      <c r="N2563" s="432" t="s">
        <v>3785</v>
      </c>
      <c r="O2563" s="521" t="s">
        <v>5847</v>
      </c>
      <c r="P2563" s="438" t="s">
        <v>5530</v>
      </c>
      <c r="Q2563" s="481">
        <v>0.2</v>
      </c>
      <c r="R2563" s="427">
        <v>1900001375</v>
      </c>
      <c r="S2563" s="513" t="s">
        <v>3475</v>
      </c>
      <c r="T2563" s="2" t="s">
        <v>5914</v>
      </c>
      <c r="U2563" s="9" t="s">
        <v>3475</v>
      </c>
    </row>
    <row r="2564" spans="1:21" x14ac:dyDescent="0.35">
      <c r="A2564" s="435" t="s">
        <v>5160</v>
      </c>
      <c r="B2564" s="427" t="s">
        <v>5854</v>
      </c>
      <c r="C2564" s="517" t="s">
        <v>5845</v>
      </c>
      <c r="D2564" s="517" t="s">
        <v>5845</v>
      </c>
      <c r="E2564" s="517"/>
      <c r="F2564" s="438" t="s">
        <v>5846</v>
      </c>
      <c r="G2564" s="438" t="s">
        <v>5840</v>
      </c>
      <c r="H2564" s="427" t="s">
        <v>5163</v>
      </c>
      <c r="I2564" s="518">
        <v>2181.1875</v>
      </c>
      <c r="J2564" s="381">
        <v>566.703125</v>
      </c>
      <c r="K2564" s="519">
        <v>566.703125</v>
      </c>
      <c r="L2564" s="369">
        <f t="shared" si="191"/>
        <v>113.340625</v>
      </c>
      <c r="M2564" s="369" t="s">
        <v>6171</v>
      </c>
      <c r="N2564" s="432" t="s">
        <v>3785</v>
      </c>
      <c r="O2564" s="521" t="s">
        <v>5847</v>
      </c>
      <c r="P2564" s="438" t="s">
        <v>5530</v>
      </c>
      <c r="Q2564" s="481">
        <v>0.2</v>
      </c>
      <c r="R2564" s="427">
        <v>1900001375</v>
      </c>
      <c r="S2564" s="513" t="s">
        <v>3475</v>
      </c>
      <c r="T2564" s="2" t="s">
        <v>5914</v>
      </c>
      <c r="U2564" s="9" t="s">
        <v>3475</v>
      </c>
    </row>
    <row r="2565" spans="1:21" x14ac:dyDescent="0.35">
      <c r="A2565" s="435" t="s">
        <v>5160</v>
      </c>
      <c r="B2565" s="427" t="s">
        <v>5854</v>
      </c>
      <c r="C2565" s="517" t="s">
        <v>5845</v>
      </c>
      <c r="D2565" s="517" t="s">
        <v>5845</v>
      </c>
      <c r="E2565" s="517"/>
      <c r="F2565" s="438" t="s">
        <v>5846</v>
      </c>
      <c r="G2565" s="438" t="s">
        <v>5840</v>
      </c>
      <c r="H2565" s="427" t="s">
        <v>5163</v>
      </c>
      <c r="I2565" s="518">
        <v>2181.1875</v>
      </c>
      <c r="J2565" s="381">
        <v>566.703125</v>
      </c>
      <c r="K2565" s="519">
        <v>566.703125</v>
      </c>
      <c r="L2565" s="369">
        <f t="shared" ref="L2565:L2628" si="192">+K2565*Q2565</f>
        <v>113.340625</v>
      </c>
      <c r="M2565" s="369" t="s">
        <v>6171</v>
      </c>
      <c r="N2565" s="432" t="s">
        <v>3785</v>
      </c>
      <c r="O2565" s="521" t="s">
        <v>5847</v>
      </c>
      <c r="P2565" s="438" t="s">
        <v>5530</v>
      </c>
      <c r="Q2565" s="481">
        <v>0.2</v>
      </c>
      <c r="R2565" s="427">
        <v>1900001375</v>
      </c>
      <c r="S2565" s="513" t="s">
        <v>3475</v>
      </c>
      <c r="T2565" s="2" t="s">
        <v>5914</v>
      </c>
      <c r="U2565" s="9" t="s">
        <v>3475</v>
      </c>
    </row>
    <row r="2566" spans="1:21" x14ac:dyDescent="0.35">
      <c r="A2566" s="435" t="s">
        <v>5160</v>
      </c>
      <c r="B2566" s="427" t="s">
        <v>5854</v>
      </c>
      <c r="C2566" s="517" t="s">
        <v>5845</v>
      </c>
      <c r="D2566" s="517" t="s">
        <v>5845</v>
      </c>
      <c r="E2566" s="517"/>
      <c r="F2566" s="438" t="s">
        <v>5846</v>
      </c>
      <c r="G2566" s="438" t="s">
        <v>5840</v>
      </c>
      <c r="H2566" s="427" t="s">
        <v>5163</v>
      </c>
      <c r="I2566" s="518">
        <v>2181.1875</v>
      </c>
      <c r="J2566" s="381">
        <v>566.703125</v>
      </c>
      <c r="K2566" s="519">
        <v>566.703125</v>
      </c>
      <c r="L2566" s="369">
        <f t="shared" si="192"/>
        <v>113.340625</v>
      </c>
      <c r="M2566" s="369" t="s">
        <v>6171</v>
      </c>
      <c r="N2566" s="432" t="s">
        <v>3785</v>
      </c>
      <c r="O2566" s="521" t="s">
        <v>5847</v>
      </c>
      <c r="P2566" s="438" t="s">
        <v>5530</v>
      </c>
      <c r="Q2566" s="481">
        <v>0.2</v>
      </c>
      <c r="R2566" s="427">
        <v>1900001375</v>
      </c>
      <c r="S2566" s="513" t="s">
        <v>3475</v>
      </c>
      <c r="T2566" s="2" t="s">
        <v>5914</v>
      </c>
      <c r="U2566" s="9" t="s">
        <v>3475</v>
      </c>
    </row>
    <row r="2567" spans="1:21" x14ac:dyDescent="0.35">
      <c r="A2567" s="435" t="s">
        <v>5160</v>
      </c>
      <c r="B2567" s="427" t="s">
        <v>5854</v>
      </c>
      <c r="C2567" s="517" t="s">
        <v>5845</v>
      </c>
      <c r="D2567" s="517" t="s">
        <v>5845</v>
      </c>
      <c r="E2567" s="517"/>
      <c r="F2567" s="438" t="s">
        <v>5846</v>
      </c>
      <c r="G2567" s="438" t="s">
        <v>5840</v>
      </c>
      <c r="H2567" s="427" t="s">
        <v>5163</v>
      </c>
      <c r="I2567" s="518">
        <v>2181.1875</v>
      </c>
      <c r="J2567" s="381">
        <v>566.703125</v>
      </c>
      <c r="K2567" s="519">
        <v>566.703125</v>
      </c>
      <c r="L2567" s="369">
        <f t="shared" si="192"/>
        <v>113.340625</v>
      </c>
      <c r="M2567" s="369" t="s">
        <v>6171</v>
      </c>
      <c r="N2567" s="432" t="s">
        <v>3785</v>
      </c>
      <c r="O2567" s="521" t="s">
        <v>5847</v>
      </c>
      <c r="P2567" s="438" t="s">
        <v>5530</v>
      </c>
      <c r="Q2567" s="481">
        <v>0.2</v>
      </c>
      <c r="R2567" s="427">
        <v>1900001375</v>
      </c>
      <c r="S2567" s="513" t="s">
        <v>3475</v>
      </c>
      <c r="T2567" s="2" t="s">
        <v>5914</v>
      </c>
      <c r="U2567" s="9" t="s">
        <v>3475</v>
      </c>
    </row>
    <row r="2568" spans="1:21" x14ac:dyDescent="0.35">
      <c r="A2568" s="435" t="s">
        <v>5160</v>
      </c>
      <c r="B2568" s="427" t="s">
        <v>5854</v>
      </c>
      <c r="C2568" s="517" t="s">
        <v>5845</v>
      </c>
      <c r="D2568" s="517" t="s">
        <v>5845</v>
      </c>
      <c r="E2568" s="517"/>
      <c r="F2568" s="438" t="s">
        <v>5846</v>
      </c>
      <c r="G2568" s="438" t="s">
        <v>5840</v>
      </c>
      <c r="H2568" s="427" t="s">
        <v>5163</v>
      </c>
      <c r="I2568" s="518">
        <v>2181.1875</v>
      </c>
      <c r="J2568" s="381">
        <v>566.703125</v>
      </c>
      <c r="K2568" s="519">
        <v>566.703125</v>
      </c>
      <c r="L2568" s="369">
        <f t="shared" si="192"/>
        <v>113.340625</v>
      </c>
      <c r="M2568" s="369" t="s">
        <v>6171</v>
      </c>
      <c r="N2568" s="432" t="s">
        <v>3785</v>
      </c>
      <c r="O2568" s="521" t="s">
        <v>5847</v>
      </c>
      <c r="P2568" s="438" t="s">
        <v>5530</v>
      </c>
      <c r="Q2568" s="481">
        <v>0.2</v>
      </c>
      <c r="R2568" s="427">
        <v>1900001375</v>
      </c>
      <c r="S2568" s="513" t="s">
        <v>3475</v>
      </c>
      <c r="T2568" s="2" t="s">
        <v>5914</v>
      </c>
      <c r="U2568" s="9" t="s">
        <v>3475</v>
      </c>
    </row>
    <row r="2569" spans="1:21" x14ac:dyDescent="0.35">
      <c r="A2569" s="435" t="s">
        <v>5160</v>
      </c>
      <c r="B2569" s="427" t="s">
        <v>5854</v>
      </c>
      <c r="C2569" s="517" t="s">
        <v>5845</v>
      </c>
      <c r="D2569" s="517" t="s">
        <v>5845</v>
      </c>
      <c r="E2569" s="517"/>
      <c r="F2569" s="438" t="s">
        <v>5846</v>
      </c>
      <c r="G2569" s="438" t="s">
        <v>5840</v>
      </c>
      <c r="H2569" s="427" t="s">
        <v>5163</v>
      </c>
      <c r="I2569" s="518">
        <v>2181.1875</v>
      </c>
      <c r="J2569" s="381">
        <v>566.703125</v>
      </c>
      <c r="K2569" s="519">
        <v>566.703125</v>
      </c>
      <c r="L2569" s="369">
        <f t="shared" si="192"/>
        <v>113.340625</v>
      </c>
      <c r="M2569" s="369" t="s">
        <v>6171</v>
      </c>
      <c r="N2569" s="432" t="s">
        <v>3785</v>
      </c>
      <c r="O2569" s="521" t="s">
        <v>5847</v>
      </c>
      <c r="P2569" s="438" t="s">
        <v>5530</v>
      </c>
      <c r="Q2569" s="481">
        <v>0.2</v>
      </c>
      <c r="R2569" s="427">
        <v>1900001375</v>
      </c>
      <c r="S2569" s="513" t="s">
        <v>3475</v>
      </c>
      <c r="T2569" s="2" t="s">
        <v>5914</v>
      </c>
      <c r="U2569" s="9" t="s">
        <v>3475</v>
      </c>
    </row>
    <row r="2570" spans="1:21" x14ac:dyDescent="0.35">
      <c r="A2570" s="435" t="s">
        <v>5160</v>
      </c>
      <c r="B2570" s="427" t="s">
        <v>5854</v>
      </c>
      <c r="C2570" s="517" t="s">
        <v>5845</v>
      </c>
      <c r="D2570" s="517" t="s">
        <v>5845</v>
      </c>
      <c r="E2570" s="517"/>
      <c r="F2570" s="438" t="s">
        <v>5846</v>
      </c>
      <c r="G2570" s="438" t="s">
        <v>5840</v>
      </c>
      <c r="H2570" s="427" t="s">
        <v>5163</v>
      </c>
      <c r="I2570" s="518">
        <v>2181.1875</v>
      </c>
      <c r="J2570" s="381">
        <v>566.703125</v>
      </c>
      <c r="K2570" s="519">
        <v>566.703125</v>
      </c>
      <c r="L2570" s="369">
        <f t="shared" si="192"/>
        <v>113.340625</v>
      </c>
      <c r="M2570" s="369" t="s">
        <v>6171</v>
      </c>
      <c r="N2570" s="432" t="s">
        <v>3785</v>
      </c>
      <c r="O2570" s="521" t="s">
        <v>5847</v>
      </c>
      <c r="P2570" s="438" t="s">
        <v>5530</v>
      </c>
      <c r="Q2570" s="481">
        <v>0.2</v>
      </c>
      <c r="R2570" s="427">
        <v>1900001375</v>
      </c>
      <c r="S2570" s="513" t="s">
        <v>3475</v>
      </c>
      <c r="T2570" s="2" t="s">
        <v>5914</v>
      </c>
      <c r="U2570" s="9" t="s">
        <v>3475</v>
      </c>
    </row>
    <row r="2571" spans="1:21" x14ac:dyDescent="0.35">
      <c r="A2571" s="435" t="s">
        <v>5160</v>
      </c>
      <c r="B2571" s="427" t="s">
        <v>5854</v>
      </c>
      <c r="C2571" s="517" t="s">
        <v>5845</v>
      </c>
      <c r="D2571" s="517" t="s">
        <v>5845</v>
      </c>
      <c r="E2571" s="517"/>
      <c r="F2571" s="438" t="s">
        <v>5846</v>
      </c>
      <c r="G2571" s="438" t="s">
        <v>5840</v>
      </c>
      <c r="H2571" s="427" t="s">
        <v>5163</v>
      </c>
      <c r="I2571" s="518">
        <v>2181.1875</v>
      </c>
      <c r="J2571" s="381">
        <v>566.703125</v>
      </c>
      <c r="K2571" s="519">
        <v>566.703125</v>
      </c>
      <c r="L2571" s="369">
        <f t="shared" si="192"/>
        <v>113.340625</v>
      </c>
      <c r="M2571" s="369" t="s">
        <v>6171</v>
      </c>
      <c r="N2571" s="432" t="s">
        <v>3785</v>
      </c>
      <c r="O2571" s="521" t="s">
        <v>5847</v>
      </c>
      <c r="P2571" s="438" t="s">
        <v>5530</v>
      </c>
      <c r="Q2571" s="481">
        <v>0.2</v>
      </c>
      <c r="R2571" s="427">
        <v>1900001375</v>
      </c>
      <c r="S2571" s="513" t="s">
        <v>3475</v>
      </c>
      <c r="T2571" s="2" t="s">
        <v>5914</v>
      </c>
      <c r="U2571" s="9" t="s">
        <v>3475</v>
      </c>
    </row>
    <row r="2572" spans="1:21" x14ac:dyDescent="0.35">
      <c r="A2572" s="435" t="s">
        <v>5160</v>
      </c>
      <c r="B2572" s="427" t="s">
        <v>5854</v>
      </c>
      <c r="C2572" s="517" t="s">
        <v>5845</v>
      </c>
      <c r="D2572" s="517" t="s">
        <v>5845</v>
      </c>
      <c r="E2572" s="517"/>
      <c r="F2572" s="438" t="s">
        <v>5846</v>
      </c>
      <c r="G2572" s="438" t="s">
        <v>5840</v>
      </c>
      <c r="H2572" s="427" t="s">
        <v>5163</v>
      </c>
      <c r="I2572" s="518">
        <v>2181.1875</v>
      </c>
      <c r="J2572" s="381">
        <v>566.703125</v>
      </c>
      <c r="K2572" s="519">
        <v>566.703125</v>
      </c>
      <c r="L2572" s="369">
        <f t="shared" si="192"/>
        <v>113.340625</v>
      </c>
      <c r="M2572" s="369" t="s">
        <v>6171</v>
      </c>
      <c r="N2572" s="432" t="s">
        <v>3785</v>
      </c>
      <c r="O2572" s="521" t="s">
        <v>5847</v>
      </c>
      <c r="P2572" s="438" t="s">
        <v>5530</v>
      </c>
      <c r="Q2572" s="481">
        <v>0.2</v>
      </c>
      <c r="R2572" s="427">
        <v>1900001375</v>
      </c>
      <c r="S2572" s="513" t="s">
        <v>3475</v>
      </c>
      <c r="T2572" s="2" t="s">
        <v>5914</v>
      </c>
      <c r="U2572" s="9" t="s">
        <v>3475</v>
      </c>
    </row>
    <row r="2573" spans="1:21" x14ac:dyDescent="0.35">
      <c r="A2573" s="435" t="s">
        <v>5160</v>
      </c>
      <c r="B2573" s="427" t="s">
        <v>5854</v>
      </c>
      <c r="C2573" s="517" t="s">
        <v>5845</v>
      </c>
      <c r="D2573" s="517" t="s">
        <v>5845</v>
      </c>
      <c r="E2573" s="517"/>
      <c r="F2573" s="438" t="s">
        <v>5846</v>
      </c>
      <c r="G2573" s="438" t="s">
        <v>5840</v>
      </c>
      <c r="H2573" s="427" t="s">
        <v>5163</v>
      </c>
      <c r="I2573" s="518">
        <v>2181.1875</v>
      </c>
      <c r="J2573" s="381">
        <v>566.703125</v>
      </c>
      <c r="K2573" s="519">
        <v>566.703125</v>
      </c>
      <c r="L2573" s="369">
        <f t="shared" si="192"/>
        <v>113.340625</v>
      </c>
      <c r="M2573" s="369" t="s">
        <v>6171</v>
      </c>
      <c r="N2573" s="432" t="s">
        <v>3785</v>
      </c>
      <c r="O2573" s="521" t="s">
        <v>5847</v>
      </c>
      <c r="P2573" s="438" t="s">
        <v>5530</v>
      </c>
      <c r="Q2573" s="481">
        <v>0.2</v>
      </c>
      <c r="R2573" s="427">
        <v>1900001375</v>
      </c>
      <c r="S2573" s="513" t="s">
        <v>3475</v>
      </c>
      <c r="T2573" s="2" t="s">
        <v>5914</v>
      </c>
      <c r="U2573" s="9" t="s">
        <v>3475</v>
      </c>
    </row>
    <row r="2574" spans="1:21" x14ac:dyDescent="0.35">
      <c r="A2574" s="435" t="s">
        <v>5160</v>
      </c>
      <c r="B2574" s="427" t="s">
        <v>5854</v>
      </c>
      <c r="C2574" s="517" t="s">
        <v>5845</v>
      </c>
      <c r="D2574" s="517" t="s">
        <v>5845</v>
      </c>
      <c r="E2574" s="517"/>
      <c r="F2574" s="438" t="s">
        <v>5846</v>
      </c>
      <c r="G2574" s="438" t="s">
        <v>5840</v>
      </c>
      <c r="H2574" s="427" t="s">
        <v>5163</v>
      </c>
      <c r="I2574" s="518">
        <v>2181.1875</v>
      </c>
      <c r="J2574" s="381">
        <v>566.703125</v>
      </c>
      <c r="K2574" s="519">
        <v>566.703125</v>
      </c>
      <c r="L2574" s="369">
        <f t="shared" si="192"/>
        <v>113.340625</v>
      </c>
      <c r="M2574" s="369" t="s">
        <v>6171</v>
      </c>
      <c r="N2574" s="432" t="s">
        <v>3785</v>
      </c>
      <c r="O2574" s="521" t="s">
        <v>5847</v>
      </c>
      <c r="P2574" s="438" t="s">
        <v>5530</v>
      </c>
      <c r="Q2574" s="481">
        <v>0.2</v>
      </c>
      <c r="R2574" s="427">
        <v>1900001375</v>
      </c>
      <c r="S2574" s="513" t="s">
        <v>3475</v>
      </c>
      <c r="T2574" s="2" t="s">
        <v>5914</v>
      </c>
      <c r="U2574" s="9" t="s">
        <v>3475</v>
      </c>
    </row>
    <row r="2575" spans="1:21" x14ac:dyDescent="0.35">
      <c r="A2575" s="435" t="s">
        <v>5160</v>
      </c>
      <c r="B2575" s="427" t="s">
        <v>5854</v>
      </c>
      <c r="C2575" s="517" t="s">
        <v>5845</v>
      </c>
      <c r="D2575" s="517" t="s">
        <v>5845</v>
      </c>
      <c r="E2575" s="517"/>
      <c r="F2575" s="438" t="s">
        <v>5846</v>
      </c>
      <c r="G2575" s="438" t="s">
        <v>5840</v>
      </c>
      <c r="H2575" s="427" t="s">
        <v>5163</v>
      </c>
      <c r="I2575" s="518">
        <v>2181.1875</v>
      </c>
      <c r="J2575" s="381">
        <v>566.703125</v>
      </c>
      <c r="K2575" s="519">
        <v>566.703125</v>
      </c>
      <c r="L2575" s="369">
        <f t="shared" si="192"/>
        <v>113.340625</v>
      </c>
      <c r="M2575" s="369" t="s">
        <v>6171</v>
      </c>
      <c r="N2575" s="432" t="s">
        <v>3785</v>
      </c>
      <c r="O2575" s="521" t="s">
        <v>5847</v>
      </c>
      <c r="P2575" s="438" t="s">
        <v>5530</v>
      </c>
      <c r="Q2575" s="481">
        <v>0.2</v>
      </c>
      <c r="R2575" s="427">
        <v>1900001375</v>
      </c>
      <c r="S2575" s="513" t="s">
        <v>3475</v>
      </c>
      <c r="T2575" s="2" t="s">
        <v>5914</v>
      </c>
      <c r="U2575" s="9" t="s">
        <v>3475</v>
      </c>
    </row>
    <row r="2576" spans="1:21" x14ac:dyDescent="0.35">
      <c r="A2576" s="435" t="s">
        <v>5160</v>
      </c>
      <c r="B2576" s="427" t="s">
        <v>5854</v>
      </c>
      <c r="C2576" s="517" t="s">
        <v>5845</v>
      </c>
      <c r="D2576" s="517" t="s">
        <v>5845</v>
      </c>
      <c r="E2576" s="517"/>
      <c r="F2576" s="438" t="s">
        <v>5846</v>
      </c>
      <c r="G2576" s="438" t="s">
        <v>5840</v>
      </c>
      <c r="H2576" s="427" t="s">
        <v>5163</v>
      </c>
      <c r="I2576" s="518">
        <v>2181.1875</v>
      </c>
      <c r="J2576" s="381">
        <v>566.703125</v>
      </c>
      <c r="K2576" s="519">
        <v>566.703125</v>
      </c>
      <c r="L2576" s="369">
        <f t="shared" si="192"/>
        <v>113.340625</v>
      </c>
      <c r="M2576" s="369" t="s">
        <v>6171</v>
      </c>
      <c r="N2576" s="432" t="s">
        <v>3785</v>
      </c>
      <c r="O2576" s="521" t="s">
        <v>5847</v>
      </c>
      <c r="P2576" s="438" t="s">
        <v>5530</v>
      </c>
      <c r="Q2576" s="481">
        <v>0.2</v>
      </c>
      <c r="R2576" s="427">
        <v>1900001375</v>
      </c>
      <c r="S2576" s="513" t="s">
        <v>3475</v>
      </c>
      <c r="T2576" s="2" t="s">
        <v>5914</v>
      </c>
      <c r="U2576" s="9" t="s">
        <v>3475</v>
      </c>
    </row>
    <row r="2577" spans="1:21" x14ac:dyDescent="0.35">
      <c r="A2577" s="435" t="s">
        <v>5160</v>
      </c>
      <c r="B2577" s="427" t="s">
        <v>5854</v>
      </c>
      <c r="C2577" s="517" t="s">
        <v>5845</v>
      </c>
      <c r="D2577" s="517" t="s">
        <v>5845</v>
      </c>
      <c r="E2577" s="517"/>
      <c r="F2577" s="438" t="s">
        <v>5846</v>
      </c>
      <c r="G2577" s="438" t="s">
        <v>5840</v>
      </c>
      <c r="H2577" s="427" t="s">
        <v>5163</v>
      </c>
      <c r="I2577" s="518">
        <v>2181.1875</v>
      </c>
      <c r="J2577" s="381">
        <v>566.703125</v>
      </c>
      <c r="K2577" s="519">
        <v>566.703125</v>
      </c>
      <c r="L2577" s="369">
        <f t="shared" si="192"/>
        <v>113.340625</v>
      </c>
      <c r="M2577" s="369" t="s">
        <v>6171</v>
      </c>
      <c r="N2577" s="432" t="s">
        <v>3785</v>
      </c>
      <c r="O2577" s="521" t="s">
        <v>5847</v>
      </c>
      <c r="P2577" s="438" t="s">
        <v>5530</v>
      </c>
      <c r="Q2577" s="481">
        <v>0.2</v>
      </c>
      <c r="R2577" s="427">
        <v>1900001375</v>
      </c>
      <c r="S2577" s="513" t="s">
        <v>3475</v>
      </c>
      <c r="T2577" s="2" t="s">
        <v>5914</v>
      </c>
      <c r="U2577" s="9" t="s">
        <v>3475</v>
      </c>
    </row>
    <row r="2578" spans="1:21" x14ac:dyDescent="0.35">
      <c r="A2578" s="435" t="s">
        <v>5160</v>
      </c>
      <c r="B2578" s="427" t="s">
        <v>5854</v>
      </c>
      <c r="C2578" s="517" t="s">
        <v>5845</v>
      </c>
      <c r="D2578" s="517" t="s">
        <v>5845</v>
      </c>
      <c r="E2578" s="517"/>
      <c r="F2578" s="438" t="s">
        <v>5846</v>
      </c>
      <c r="G2578" s="438" t="s">
        <v>5840</v>
      </c>
      <c r="H2578" s="427" t="s">
        <v>5163</v>
      </c>
      <c r="I2578" s="518">
        <v>2181.1875</v>
      </c>
      <c r="J2578" s="381">
        <v>566.703125</v>
      </c>
      <c r="K2578" s="519">
        <v>566.703125</v>
      </c>
      <c r="L2578" s="369">
        <f t="shared" si="192"/>
        <v>113.340625</v>
      </c>
      <c r="M2578" s="369" t="s">
        <v>6171</v>
      </c>
      <c r="N2578" s="432" t="s">
        <v>3785</v>
      </c>
      <c r="O2578" s="521" t="s">
        <v>5847</v>
      </c>
      <c r="P2578" s="438" t="s">
        <v>5530</v>
      </c>
      <c r="Q2578" s="481">
        <v>0.2</v>
      </c>
      <c r="R2578" s="427">
        <v>1900001375</v>
      </c>
      <c r="S2578" s="513" t="s">
        <v>3475</v>
      </c>
      <c r="T2578" s="2" t="s">
        <v>5914</v>
      </c>
      <c r="U2578" s="9" t="s">
        <v>3475</v>
      </c>
    </row>
    <row r="2579" spans="1:21" x14ac:dyDescent="0.35">
      <c r="A2579" s="435" t="s">
        <v>5160</v>
      </c>
      <c r="B2579" s="427" t="s">
        <v>5854</v>
      </c>
      <c r="C2579" s="517" t="s">
        <v>5845</v>
      </c>
      <c r="D2579" s="517" t="s">
        <v>5845</v>
      </c>
      <c r="E2579" s="517"/>
      <c r="F2579" s="438" t="s">
        <v>5846</v>
      </c>
      <c r="G2579" s="438" t="s">
        <v>5840</v>
      </c>
      <c r="H2579" s="427" t="s">
        <v>5163</v>
      </c>
      <c r="I2579" s="518">
        <v>2181.1875</v>
      </c>
      <c r="J2579" s="381">
        <v>566.703125</v>
      </c>
      <c r="K2579" s="519">
        <v>566.703125</v>
      </c>
      <c r="L2579" s="369">
        <f t="shared" si="192"/>
        <v>113.340625</v>
      </c>
      <c r="M2579" s="369" t="s">
        <v>6171</v>
      </c>
      <c r="N2579" s="432" t="s">
        <v>3785</v>
      </c>
      <c r="O2579" s="521" t="s">
        <v>5847</v>
      </c>
      <c r="P2579" s="438" t="s">
        <v>5530</v>
      </c>
      <c r="Q2579" s="481">
        <v>0.2</v>
      </c>
      <c r="R2579" s="427">
        <v>1900001375</v>
      </c>
      <c r="S2579" s="513" t="s">
        <v>3475</v>
      </c>
      <c r="T2579" s="2" t="s">
        <v>5914</v>
      </c>
      <c r="U2579" s="9" t="s">
        <v>3475</v>
      </c>
    </row>
    <row r="2580" spans="1:21" x14ac:dyDescent="0.35">
      <c r="A2580" s="435" t="s">
        <v>5160</v>
      </c>
      <c r="B2580" s="427" t="s">
        <v>5854</v>
      </c>
      <c r="C2580" s="517" t="s">
        <v>5845</v>
      </c>
      <c r="D2580" s="517" t="s">
        <v>5845</v>
      </c>
      <c r="E2580" s="517"/>
      <c r="F2580" s="438" t="s">
        <v>5846</v>
      </c>
      <c r="G2580" s="438" t="s">
        <v>5840</v>
      </c>
      <c r="H2580" s="427" t="s">
        <v>5163</v>
      </c>
      <c r="I2580" s="518">
        <v>2181.1875</v>
      </c>
      <c r="J2580" s="381">
        <v>566.703125</v>
      </c>
      <c r="K2580" s="519">
        <v>566.703125</v>
      </c>
      <c r="L2580" s="369">
        <f t="shared" si="192"/>
        <v>113.340625</v>
      </c>
      <c r="M2580" s="369" t="s">
        <v>6171</v>
      </c>
      <c r="N2580" s="432" t="s">
        <v>3785</v>
      </c>
      <c r="O2580" s="521" t="s">
        <v>5847</v>
      </c>
      <c r="P2580" s="438" t="s">
        <v>5530</v>
      </c>
      <c r="Q2580" s="481">
        <v>0.2</v>
      </c>
      <c r="R2580" s="427">
        <v>1900001375</v>
      </c>
      <c r="S2580" s="513" t="s">
        <v>3475</v>
      </c>
      <c r="T2580" s="2" t="s">
        <v>5914</v>
      </c>
      <c r="U2580" s="9" t="s">
        <v>3475</v>
      </c>
    </row>
    <row r="2581" spans="1:21" x14ac:dyDescent="0.35">
      <c r="A2581" s="435" t="s">
        <v>5160</v>
      </c>
      <c r="B2581" s="427" t="s">
        <v>5854</v>
      </c>
      <c r="C2581" s="517" t="s">
        <v>5845</v>
      </c>
      <c r="D2581" s="517" t="s">
        <v>5845</v>
      </c>
      <c r="E2581" s="517"/>
      <c r="F2581" s="438" t="s">
        <v>5846</v>
      </c>
      <c r="G2581" s="438" t="s">
        <v>5840</v>
      </c>
      <c r="H2581" s="427" t="s">
        <v>5163</v>
      </c>
      <c r="I2581" s="518">
        <v>2181.1875</v>
      </c>
      <c r="J2581" s="381">
        <v>566.703125</v>
      </c>
      <c r="K2581" s="519">
        <v>566.703125</v>
      </c>
      <c r="L2581" s="369">
        <f t="shared" si="192"/>
        <v>113.340625</v>
      </c>
      <c r="M2581" s="369" t="s">
        <v>6171</v>
      </c>
      <c r="N2581" s="432" t="s">
        <v>3785</v>
      </c>
      <c r="O2581" s="521" t="s">
        <v>5847</v>
      </c>
      <c r="P2581" s="438" t="s">
        <v>5530</v>
      </c>
      <c r="Q2581" s="481">
        <v>0.2</v>
      </c>
      <c r="R2581" s="427">
        <v>1900001375</v>
      </c>
      <c r="S2581" s="513" t="s">
        <v>3475</v>
      </c>
      <c r="T2581" s="2" t="s">
        <v>5914</v>
      </c>
      <c r="U2581" s="9" t="s">
        <v>3475</v>
      </c>
    </row>
    <row r="2582" spans="1:21" x14ac:dyDescent="0.35">
      <c r="A2582" s="435" t="s">
        <v>5160</v>
      </c>
      <c r="B2582" s="427" t="s">
        <v>5854</v>
      </c>
      <c r="C2582" s="517" t="s">
        <v>5845</v>
      </c>
      <c r="D2582" s="517" t="s">
        <v>5845</v>
      </c>
      <c r="E2582" s="517"/>
      <c r="F2582" s="438" t="s">
        <v>5846</v>
      </c>
      <c r="G2582" s="438" t="s">
        <v>5840</v>
      </c>
      <c r="H2582" s="427" t="s">
        <v>5163</v>
      </c>
      <c r="I2582" s="518">
        <v>2181.1875</v>
      </c>
      <c r="J2582" s="381">
        <v>566.703125</v>
      </c>
      <c r="K2582" s="519">
        <v>566.703125</v>
      </c>
      <c r="L2582" s="369">
        <f t="shared" si="192"/>
        <v>113.340625</v>
      </c>
      <c r="M2582" s="369" t="s">
        <v>6171</v>
      </c>
      <c r="N2582" s="432" t="s">
        <v>3785</v>
      </c>
      <c r="O2582" s="521" t="s">
        <v>5847</v>
      </c>
      <c r="P2582" s="438" t="s">
        <v>5530</v>
      </c>
      <c r="Q2582" s="481">
        <v>0.2</v>
      </c>
      <c r="R2582" s="427">
        <v>1900001375</v>
      </c>
      <c r="S2582" s="513" t="s">
        <v>3475</v>
      </c>
      <c r="T2582" s="2" t="s">
        <v>5914</v>
      </c>
      <c r="U2582" s="9" t="s">
        <v>3475</v>
      </c>
    </row>
    <row r="2583" spans="1:21" x14ac:dyDescent="0.35">
      <c r="A2583" s="435" t="s">
        <v>5160</v>
      </c>
      <c r="B2583" s="427" t="s">
        <v>5854</v>
      </c>
      <c r="C2583" s="517" t="s">
        <v>5845</v>
      </c>
      <c r="D2583" s="517" t="s">
        <v>5845</v>
      </c>
      <c r="E2583" s="517"/>
      <c r="F2583" s="438" t="s">
        <v>5846</v>
      </c>
      <c r="G2583" s="438" t="s">
        <v>5840</v>
      </c>
      <c r="H2583" s="427" t="s">
        <v>5163</v>
      </c>
      <c r="I2583" s="518">
        <v>2181.1875</v>
      </c>
      <c r="J2583" s="381">
        <v>566.703125</v>
      </c>
      <c r="K2583" s="519">
        <v>566.703125</v>
      </c>
      <c r="L2583" s="369">
        <f t="shared" si="192"/>
        <v>113.340625</v>
      </c>
      <c r="M2583" s="369" t="s">
        <v>6171</v>
      </c>
      <c r="N2583" s="432" t="s">
        <v>3785</v>
      </c>
      <c r="O2583" s="521" t="s">
        <v>5847</v>
      </c>
      <c r="P2583" s="438" t="s">
        <v>5530</v>
      </c>
      <c r="Q2583" s="481">
        <v>0.2</v>
      </c>
      <c r="R2583" s="427">
        <v>1900001375</v>
      </c>
      <c r="S2583" s="513" t="s">
        <v>3475</v>
      </c>
      <c r="T2583" s="2" t="s">
        <v>5914</v>
      </c>
      <c r="U2583" s="9" t="s">
        <v>3475</v>
      </c>
    </row>
    <row r="2584" spans="1:21" x14ac:dyDescent="0.35">
      <c r="A2584" s="435" t="s">
        <v>5160</v>
      </c>
      <c r="B2584" s="427" t="s">
        <v>5854</v>
      </c>
      <c r="C2584" s="517" t="s">
        <v>5845</v>
      </c>
      <c r="D2584" s="517" t="s">
        <v>5845</v>
      </c>
      <c r="E2584" s="517"/>
      <c r="F2584" s="438" t="s">
        <v>5846</v>
      </c>
      <c r="G2584" s="438" t="s">
        <v>5840</v>
      </c>
      <c r="H2584" s="427" t="s">
        <v>5163</v>
      </c>
      <c r="I2584" s="518">
        <v>2181.1875</v>
      </c>
      <c r="J2584" s="381">
        <v>566.703125</v>
      </c>
      <c r="K2584" s="519">
        <v>566.703125</v>
      </c>
      <c r="L2584" s="369">
        <f t="shared" si="192"/>
        <v>113.340625</v>
      </c>
      <c r="M2584" s="369" t="s">
        <v>6171</v>
      </c>
      <c r="N2584" s="432" t="s">
        <v>3785</v>
      </c>
      <c r="O2584" s="521" t="s">
        <v>5847</v>
      </c>
      <c r="P2584" s="438" t="s">
        <v>5530</v>
      </c>
      <c r="Q2584" s="481">
        <v>0.2</v>
      </c>
      <c r="R2584" s="427">
        <v>1900001375</v>
      </c>
      <c r="S2584" s="513" t="s">
        <v>3475</v>
      </c>
      <c r="T2584" s="2" t="s">
        <v>5914</v>
      </c>
      <c r="U2584" s="9" t="s">
        <v>3475</v>
      </c>
    </row>
    <row r="2585" spans="1:21" x14ac:dyDescent="0.35">
      <c r="A2585" s="435" t="s">
        <v>5160</v>
      </c>
      <c r="B2585" s="427" t="s">
        <v>5854</v>
      </c>
      <c r="C2585" s="517" t="s">
        <v>5845</v>
      </c>
      <c r="D2585" s="517" t="s">
        <v>5845</v>
      </c>
      <c r="E2585" s="517"/>
      <c r="F2585" s="438" t="s">
        <v>5846</v>
      </c>
      <c r="G2585" s="438" t="s">
        <v>5840</v>
      </c>
      <c r="H2585" s="427" t="s">
        <v>5163</v>
      </c>
      <c r="I2585" s="518">
        <v>2181.1875</v>
      </c>
      <c r="J2585" s="381">
        <v>566.703125</v>
      </c>
      <c r="K2585" s="519">
        <v>566.703125</v>
      </c>
      <c r="L2585" s="369">
        <f t="shared" si="192"/>
        <v>113.340625</v>
      </c>
      <c r="M2585" s="369" t="s">
        <v>6171</v>
      </c>
      <c r="N2585" s="432" t="s">
        <v>3785</v>
      </c>
      <c r="O2585" s="521" t="s">
        <v>5847</v>
      </c>
      <c r="P2585" s="438" t="s">
        <v>5530</v>
      </c>
      <c r="Q2585" s="481">
        <v>0.2</v>
      </c>
      <c r="R2585" s="427">
        <v>1900001375</v>
      </c>
      <c r="S2585" s="513" t="s">
        <v>3475</v>
      </c>
      <c r="T2585" s="2" t="s">
        <v>5914</v>
      </c>
      <c r="U2585" s="9" t="s">
        <v>3475</v>
      </c>
    </row>
    <row r="2586" spans="1:21" x14ac:dyDescent="0.35">
      <c r="A2586" s="435" t="s">
        <v>5160</v>
      </c>
      <c r="B2586" s="427" t="s">
        <v>5854</v>
      </c>
      <c r="C2586" s="517" t="s">
        <v>5845</v>
      </c>
      <c r="D2586" s="517" t="s">
        <v>5845</v>
      </c>
      <c r="E2586" s="517"/>
      <c r="F2586" s="438" t="s">
        <v>5846</v>
      </c>
      <c r="G2586" s="438" t="s">
        <v>5840</v>
      </c>
      <c r="H2586" s="427" t="s">
        <v>5163</v>
      </c>
      <c r="I2586" s="518">
        <v>2181.1875</v>
      </c>
      <c r="J2586" s="381">
        <v>566.703125</v>
      </c>
      <c r="K2586" s="519">
        <v>566.703125</v>
      </c>
      <c r="L2586" s="369">
        <f t="shared" si="192"/>
        <v>113.340625</v>
      </c>
      <c r="M2586" s="369" t="s">
        <v>6171</v>
      </c>
      <c r="N2586" s="432" t="s">
        <v>3785</v>
      </c>
      <c r="O2586" s="521" t="s">
        <v>5847</v>
      </c>
      <c r="P2586" s="438" t="s">
        <v>5530</v>
      </c>
      <c r="Q2586" s="481">
        <v>0.2</v>
      </c>
      <c r="R2586" s="427">
        <v>1900001375</v>
      </c>
      <c r="S2586" s="513" t="s">
        <v>3475</v>
      </c>
      <c r="T2586" s="2" t="s">
        <v>5914</v>
      </c>
      <c r="U2586" s="9" t="s">
        <v>3475</v>
      </c>
    </row>
    <row r="2587" spans="1:21" x14ac:dyDescent="0.35">
      <c r="A2587" s="435" t="s">
        <v>5160</v>
      </c>
      <c r="B2587" s="427" t="s">
        <v>5854</v>
      </c>
      <c r="C2587" s="517" t="s">
        <v>5845</v>
      </c>
      <c r="D2587" s="517" t="s">
        <v>5845</v>
      </c>
      <c r="E2587" s="517"/>
      <c r="F2587" s="438" t="s">
        <v>5846</v>
      </c>
      <c r="G2587" s="438" t="s">
        <v>5840</v>
      </c>
      <c r="H2587" s="427" t="s">
        <v>5163</v>
      </c>
      <c r="I2587" s="518">
        <v>2181.1875</v>
      </c>
      <c r="J2587" s="381">
        <v>566.703125</v>
      </c>
      <c r="K2587" s="519">
        <v>566.703125</v>
      </c>
      <c r="L2587" s="369">
        <f t="shared" si="192"/>
        <v>113.340625</v>
      </c>
      <c r="M2587" s="369" t="s">
        <v>6171</v>
      </c>
      <c r="N2587" s="432" t="s">
        <v>3785</v>
      </c>
      <c r="O2587" s="521" t="s">
        <v>5847</v>
      </c>
      <c r="P2587" s="438" t="s">
        <v>5530</v>
      </c>
      <c r="Q2587" s="481">
        <v>0.2</v>
      </c>
      <c r="R2587" s="427">
        <v>1900001375</v>
      </c>
      <c r="S2587" s="513" t="s">
        <v>3475</v>
      </c>
      <c r="T2587" s="2" t="s">
        <v>5914</v>
      </c>
      <c r="U2587" s="9" t="s">
        <v>3475</v>
      </c>
    </row>
    <row r="2588" spans="1:21" x14ac:dyDescent="0.35">
      <c r="A2588" s="435" t="s">
        <v>5160</v>
      </c>
      <c r="B2588" s="427" t="s">
        <v>5854</v>
      </c>
      <c r="C2588" s="517" t="s">
        <v>5845</v>
      </c>
      <c r="D2588" s="517" t="s">
        <v>5845</v>
      </c>
      <c r="E2588" s="517"/>
      <c r="F2588" s="438" t="s">
        <v>5846</v>
      </c>
      <c r="G2588" s="438" t="s">
        <v>5840</v>
      </c>
      <c r="H2588" s="427" t="s">
        <v>5163</v>
      </c>
      <c r="I2588" s="518">
        <v>2181.1875</v>
      </c>
      <c r="J2588" s="381">
        <v>566.703125</v>
      </c>
      <c r="K2588" s="519">
        <v>566.703125</v>
      </c>
      <c r="L2588" s="369">
        <f t="shared" si="192"/>
        <v>113.340625</v>
      </c>
      <c r="M2588" s="369" t="s">
        <v>6171</v>
      </c>
      <c r="N2588" s="432" t="s">
        <v>3785</v>
      </c>
      <c r="O2588" s="521" t="s">
        <v>5847</v>
      </c>
      <c r="P2588" s="438" t="s">
        <v>5530</v>
      </c>
      <c r="Q2588" s="481">
        <v>0.2</v>
      </c>
      <c r="R2588" s="427">
        <v>1900001375</v>
      </c>
      <c r="S2588" s="513" t="s">
        <v>3475</v>
      </c>
      <c r="T2588" s="2" t="s">
        <v>5914</v>
      </c>
      <c r="U2588" s="9" t="s">
        <v>3475</v>
      </c>
    </row>
    <row r="2589" spans="1:21" x14ac:dyDescent="0.35">
      <c r="A2589" s="435" t="s">
        <v>5160</v>
      </c>
      <c r="B2589" s="427" t="s">
        <v>5854</v>
      </c>
      <c r="C2589" s="517" t="s">
        <v>5845</v>
      </c>
      <c r="D2589" s="517" t="s">
        <v>5845</v>
      </c>
      <c r="E2589" s="517"/>
      <c r="F2589" s="438" t="s">
        <v>5846</v>
      </c>
      <c r="G2589" s="438" t="s">
        <v>5840</v>
      </c>
      <c r="H2589" s="427" t="s">
        <v>5163</v>
      </c>
      <c r="I2589" s="518">
        <v>2181.1875</v>
      </c>
      <c r="J2589" s="381">
        <v>566.703125</v>
      </c>
      <c r="K2589" s="519">
        <v>566.703125</v>
      </c>
      <c r="L2589" s="369">
        <f t="shared" si="192"/>
        <v>113.340625</v>
      </c>
      <c r="M2589" s="369" t="s">
        <v>6171</v>
      </c>
      <c r="N2589" s="432" t="s">
        <v>3785</v>
      </c>
      <c r="O2589" s="521" t="s">
        <v>5847</v>
      </c>
      <c r="P2589" s="438" t="s">
        <v>5530</v>
      </c>
      <c r="Q2589" s="481">
        <v>0.2</v>
      </c>
      <c r="R2589" s="427">
        <v>1900001375</v>
      </c>
      <c r="S2589" s="513" t="s">
        <v>3475</v>
      </c>
      <c r="T2589" s="2" t="s">
        <v>5914</v>
      </c>
      <c r="U2589" s="9" t="s">
        <v>3475</v>
      </c>
    </row>
    <row r="2590" spans="1:21" x14ac:dyDescent="0.35">
      <c r="A2590" s="435" t="s">
        <v>5160</v>
      </c>
      <c r="B2590" s="427" t="s">
        <v>5854</v>
      </c>
      <c r="C2590" s="517" t="s">
        <v>5845</v>
      </c>
      <c r="D2590" s="517" t="s">
        <v>5845</v>
      </c>
      <c r="E2590" s="517"/>
      <c r="F2590" s="438" t="s">
        <v>5846</v>
      </c>
      <c r="G2590" s="438" t="s">
        <v>5840</v>
      </c>
      <c r="H2590" s="427" t="s">
        <v>5163</v>
      </c>
      <c r="I2590" s="518">
        <v>2181.1875</v>
      </c>
      <c r="J2590" s="381">
        <v>566.703125</v>
      </c>
      <c r="K2590" s="519">
        <v>566.703125</v>
      </c>
      <c r="L2590" s="369">
        <f t="shared" si="192"/>
        <v>113.340625</v>
      </c>
      <c r="M2590" s="369" t="s">
        <v>6171</v>
      </c>
      <c r="N2590" s="432" t="s">
        <v>3785</v>
      </c>
      <c r="O2590" s="521" t="s">
        <v>5847</v>
      </c>
      <c r="P2590" s="438" t="s">
        <v>5530</v>
      </c>
      <c r="Q2590" s="481">
        <v>0.2</v>
      </c>
      <c r="R2590" s="427">
        <v>1900001375</v>
      </c>
      <c r="S2590" s="513" t="s">
        <v>3475</v>
      </c>
      <c r="T2590" s="2" t="s">
        <v>5914</v>
      </c>
      <c r="U2590" s="9" t="s">
        <v>3475</v>
      </c>
    </row>
    <row r="2591" spans="1:21" x14ac:dyDescent="0.35">
      <c r="A2591" s="435" t="s">
        <v>5160</v>
      </c>
      <c r="B2591" s="427" t="s">
        <v>5854</v>
      </c>
      <c r="C2591" s="517" t="s">
        <v>5845</v>
      </c>
      <c r="D2591" s="517" t="s">
        <v>5845</v>
      </c>
      <c r="E2591" s="517"/>
      <c r="F2591" s="438" t="s">
        <v>5846</v>
      </c>
      <c r="G2591" s="438" t="s">
        <v>5840</v>
      </c>
      <c r="H2591" s="427" t="s">
        <v>5163</v>
      </c>
      <c r="I2591" s="518">
        <v>2181.1875</v>
      </c>
      <c r="J2591" s="381">
        <v>566.703125</v>
      </c>
      <c r="K2591" s="519">
        <v>566.703125</v>
      </c>
      <c r="L2591" s="369">
        <f t="shared" si="192"/>
        <v>113.340625</v>
      </c>
      <c r="M2591" s="369" t="s">
        <v>6171</v>
      </c>
      <c r="N2591" s="432" t="s">
        <v>3785</v>
      </c>
      <c r="O2591" s="521" t="s">
        <v>5847</v>
      </c>
      <c r="P2591" s="438" t="s">
        <v>5530</v>
      </c>
      <c r="Q2591" s="481">
        <v>0.2</v>
      </c>
      <c r="R2591" s="427">
        <v>1900001375</v>
      </c>
      <c r="S2591" s="513" t="s">
        <v>3475</v>
      </c>
      <c r="T2591" s="2" t="s">
        <v>5914</v>
      </c>
      <c r="U2591" s="9" t="s">
        <v>3475</v>
      </c>
    </row>
    <row r="2592" spans="1:21" x14ac:dyDescent="0.35">
      <c r="A2592" s="435" t="s">
        <v>5160</v>
      </c>
      <c r="B2592" s="427" t="s">
        <v>5854</v>
      </c>
      <c r="C2592" s="517" t="s">
        <v>5845</v>
      </c>
      <c r="D2592" s="517" t="s">
        <v>5845</v>
      </c>
      <c r="E2592" s="517"/>
      <c r="F2592" s="438" t="s">
        <v>5846</v>
      </c>
      <c r="G2592" s="438" t="s">
        <v>5840</v>
      </c>
      <c r="H2592" s="427" t="s">
        <v>5163</v>
      </c>
      <c r="I2592" s="518">
        <v>2181.1875</v>
      </c>
      <c r="J2592" s="381">
        <v>566.703125</v>
      </c>
      <c r="K2592" s="519">
        <v>566.703125</v>
      </c>
      <c r="L2592" s="369">
        <f t="shared" si="192"/>
        <v>113.340625</v>
      </c>
      <c r="M2592" s="369" t="s">
        <v>6171</v>
      </c>
      <c r="N2592" s="432" t="s">
        <v>3785</v>
      </c>
      <c r="O2592" s="521" t="s">
        <v>5847</v>
      </c>
      <c r="P2592" s="438" t="s">
        <v>5530</v>
      </c>
      <c r="Q2592" s="481">
        <v>0.2</v>
      </c>
      <c r="R2592" s="427">
        <v>1900001375</v>
      </c>
      <c r="S2592" s="513" t="s">
        <v>3475</v>
      </c>
      <c r="T2592" s="2" t="s">
        <v>5914</v>
      </c>
      <c r="U2592" s="9" t="s">
        <v>3475</v>
      </c>
    </row>
    <row r="2593" spans="1:21" x14ac:dyDescent="0.35">
      <c r="A2593" s="435" t="s">
        <v>5160</v>
      </c>
      <c r="B2593" s="427" t="s">
        <v>5854</v>
      </c>
      <c r="C2593" s="517" t="s">
        <v>5845</v>
      </c>
      <c r="D2593" s="517" t="s">
        <v>5845</v>
      </c>
      <c r="E2593" s="517"/>
      <c r="F2593" s="438" t="s">
        <v>5846</v>
      </c>
      <c r="G2593" s="438" t="s">
        <v>5840</v>
      </c>
      <c r="H2593" s="427" t="s">
        <v>5163</v>
      </c>
      <c r="I2593" s="518">
        <v>2181.1875</v>
      </c>
      <c r="J2593" s="381">
        <v>566.703125</v>
      </c>
      <c r="K2593" s="519">
        <v>566.703125</v>
      </c>
      <c r="L2593" s="369">
        <f t="shared" si="192"/>
        <v>113.340625</v>
      </c>
      <c r="M2593" s="369" t="s">
        <v>6171</v>
      </c>
      <c r="N2593" s="432" t="s">
        <v>3785</v>
      </c>
      <c r="O2593" s="521" t="s">
        <v>5847</v>
      </c>
      <c r="P2593" s="438" t="s">
        <v>5530</v>
      </c>
      <c r="Q2593" s="481">
        <v>0.2</v>
      </c>
      <c r="R2593" s="427">
        <v>1900001375</v>
      </c>
      <c r="S2593" s="513" t="s">
        <v>3475</v>
      </c>
      <c r="T2593" s="2" t="s">
        <v>5914</v>
      </c>
      <c r="U2593" s="9" t="s">
        <v>3475</v>
      </c>
    </row>
    <row r="2594" spans="1:21" x14ac:dyDescent="0.35">
      <c r="A2594" s="435" t="s">
        <v>5160</v>
      </c>
      <c r="B2594" s="427" t="s">
        <v>5855</v>
      </c>
      <c r="C2594" s="517" t="s">
        <v>5845</v>
      </c>
      <c r="D2594" s="517" t="s">
        <v>5845</v>
      </c>
      <c r="E2594" s="517"/>
      <c r="F2594" s="438" t="s">
        <v>5846</v>
      </c>
      <c r="G2594" s="438" t="s">
        <v>5840</v>
      </c>
      <c r="H2594" s="427" t="s">
        <v>5163</v>
      </c>
      <c r="I2594" s="518">
        <v>611.21875</v>
      </c>
      <c r="J2594" s="381">
        <v>158.8125</v>
      </c>
      <c r="K2594" s="519">
        <v>158.8125</v>
      </c>
      <c r="L2594" s="369">
        <f t="shared" si="192"/>
        <v>31.762500000000003</v>
      </c>
      <c r="M2594" s="369" t="s">
        <v>6171</v>
      </c>
      <c r="N2594" s="432" t="s">
        <v>3785</v>
      </c>
      <c r="O2594" s="521" t="s">
        <v>5847</v>
      </c>
      <c r="P2594" s="438" t="s">
        <v>5530</v>
      </c>
      <c r="Q2594" s="481">
        <v>0.2</v>
      </c>
      <c r="R2594" s="427">
        <v>1900001375</v>
      </c>
      <c r="S2594" s="513" t="s">
        <v>3475</v>
      </c>
      <c r="T2594" s="2" t="s">
        <v>5914</v>
      </c>
      <c r="U2594" s="9" t="s">
        <v>3475</v>
      </c>
    </row>
    <row r="2595" spans="1:21" x14ac:dyDescent="0.35">
      <c r="A2595" s="435" t="s">
        <v>5160</v>
      </c>
      <c r="B2595" s="427" t="s">
        <v>5855</v>
      </c>
      <c r="C2595" s="517" t="s">
        <v>5845</v>
      </c>
      <c r="D2595" s="517" t="s">
        <v>5845</v>
      </c>
      <c r="E2595" s="517"/>
      <c r="F2595" s="438" t="s">
        <v>5846</v>
      </c>
      <c r="G2595" s="438" t="s">
        <v>5840</v>
      </c>
      <c r="H2595" s="427" t="s">
        <v>5163</v>
      </c>
      <c r="I2595" s="518">
        <v>611.21875</v>
      </c>
      <c r="J2595" s="381">
        <v>158.8125</v>
      </c>
      <c r="K2595" s="519">
        <v>158.8125</v>
      </c>
      <c r="L2595" s="369">
        <f t="shared" si="192"/>
        <v>31.762500000000003</v>
      </c>
      <c r="M2595" s="369" t="s">
        <v>6171</v>
      </c>
      <c r="N2595" s="432" t="s">
        <v>3785</v>
      </c>
      <c r="O2595" s="521" t="s">
        <v>5847</v>
      </c>
      <c r="P2595" s="438" t="s">
        <v>5530</v>
      </c>
      <c r="Q2595" s="481">
        <v>0.2</v>
      </c>
      <c r="R2595" s="427">
        <v>1900001375</v>
      </c>
      <c r="S2595" s="513" t="s">
        <v>3475</v>
      </c>
      <c r="T2595" s="2" t="s">
        <v>5914</v>
      </c>
      <c r="U2595" s="9" t="s">
        <v>3475</v>
      </c>
    </row>
    <row r="2596" spans="1:21" x14ac:dyDescent="0.35">
      <c r="A2596" s="435" t="s">
        <v>5160</v>
      </c>
      <c r="B2596" s="427" t="s">
        <v>5855</v>
      </c>
      <c r="C2596" s="517" t="s">
        <v>5845</v>
      </c>
      <c r="D2596" s="517" t="s">
        <v>5845</v>
      </c>
      <c r="E2596" s="517"/>
      <c r="F2596" s="438" t="s">
        <v>5846</v>
      </c>
      <c r="G2596" s="438" t="s">
        <v>5840</v>
      </c>
      <c r="H2596" s="427" t="s">
        <v>5163</v>
      </c>
      <c r="I2596" s="518">
        <v>611.21875</v>
      </c>
      <c r="J2596" s="381">
        <v>158.8125</v>
      </c>
      <c r="K2596" s="519">
        <v>158.8125</v>
      </c>
      <c r="L2596" s="369">
        <f t="shared" si="192"/>
        <v>31.762500000000003</v>
      </c>
      <c r="M2596" s="369" t="s">
        <v>6171</v>
      </c>
      <c r="N2596" s="432" t="s">
        <v>3785</v>
      </c>
      <c r="O2596" s="521" t="s">
        <v>5847</v>
      </c>
      <c r="P2596" s="438" t="s">
        <v>5530</v>
      </c>
      <c r="Q2596" s="481">
        <v>0.2</v>
      </c>
      <c r="R2596" s="427">
        <v>1900001375</v>
      </c>
      <c r="S2596" s="513" t="s">
        <v>3475</v>
      </c>
      <c r="T2596" s="2" t="s">
        <v>5914</v>
      </c>
      <c r="U2596" s="9" t="s">
        <v>3475</v>
      </c>
    </row>
    <row r="2597" spans="1:21" x14ac:dyDescent="0.35">
      <c r="A2597" s="435" t="s">
        <v>5160</v>
      </c>
      <c r="B2597" s="427" t="s">
        <v>5855</v>
      </c>
      <c r="C2597" s="517" t="s">
        <v>5845</v>
      </c>
      <c r="D2597" s="517" t="s">
        <v>5845</v>
      </c>
      <c r="E2597" s="517"/>
      <c r="F2597" s="438" t="s">
        <v>5846</v>
      </c>
      <c r="G2597" s="438" t="s">
        <v>5840</v>
      </c>
      <c r="H2597" s="427" t="s">
        <v>5163</v>
      </c>
      <c r="I2597" s="518">
        <v>611.21875</v>
      </c>
      <c r="J2597" s="381">
        <v>158.8125</v>
      </c>
      <c r="K2597" s="519">
        <v>158.8125</v>
      </c>
      <c r="L2597" s="369">
        <f t="shared" si="192"/>
        <v>31.762500000000003</v>
      </c>
      <c r="M2597" s="369" t="s">
        <v>6171</v>
      </c>
      <c r="N2597" s="432" t="s">
        <v>3785</v>
      </c>
      <c r="O2597" s="521" t="s">
        <v>5847</v>
      </c>
      <c r="P2597" s="438" t="s">
        <v>5530</v>
      </c>
      <c r="Q2597" s="481">
        <v>0.2</v>
      </c>
      <c r="R2597" s="427">
        <v>1900001375</v>
      </c>
      <c r="S2597" s="513" t="s">
        <v>3475</v>
      </c>
      <c r="T2597" s="2" t="s">
        <v>5914</v>
      </c>
      <c r="U2597" s="9" t="s">
        <v>3475</v>
      </c>
    </row>
    <row r="2598" spans="1:21" x14ac:dyDescent="0.35">
      <c r="A2598" s="435" t="s">
        <v>5160</v>
      </c>
      <c r="B2598" s="427" t="s">
        <v>5855</v>
      </c>
      <c r="C2598" s="517" t="s">
        <v>5845</v>
      </c>
      <c r="D2598" s="517" t="s">
        <v>5845</v>
      </c>
      <c r="E2598" s="517"/>
      <c r="F2598" s="438" t="s">
        <v>5846</v>
      </c>
      <c r="G2598" s="438" t="s">
        <v>5840</v>
      </c>
      <c r="H2598" s="427" t="s">
        <v>5163</v>
      </c>
      <c r="I2598" s="518">
        <v>611.21875</v>
      </c>
      <c r="J2598" s="381">
        <v>158.8125</v>
      </c>
      <c r="K2598" s="519">
        <v>158.8125</v>
      </c>
      <c r="L2598" s="369">
        <f t="shared" si="192"/>
        <v>31.762500000000003</v>
      </c>
      <c r="M2598" s="369" t="s">
        <v>6171</v>
      </c>
      <c r="N2598" s="432" t="s">
        <v>3785</v>
      </c>
      <c r="O2598" s="521" t="s">
        <v>5847</v>
      </c>
      <c r="P2598" s="438" t="s">
        <v>5530</v>
      </c>
      <c r="Q2598" s="481">
        <v>0.2</v>
      </c>
      <c r="R2598" s="427">
        <v>1900001375</v>
      </c>
      <c r="S2598" s="513" t="s">
        <v>3475</v>
      </c>
      <c r="T2598" s="2" t="s">
        <v>5914</v>
      </c>
      <c r="U2598" s="9" t="s">
        <v>3475</v>
      </c>
    </row>
    <row r="2599" spans="1:21" x14ac:dyDescent="0.35">
      <c r="A2599" s="435" t="s">
        <v>5160</v>
      </c>
      <c r="B2599" s="427" t="s">
        <v>5855</v>
      </c>
      <c r="C2599" s="517" t="s">
        <v>5845</v>
      </c>
      <c r="D2599" s="517" t="s">
        <v>5845</v>
      </c>
      <c r="E2599" s="517"/>
      <c r="F2599" s="438" t="s">
        <v>5846</v>
      </c>
      <c r="G2599" s="438" t="s">
        <v>5840</v>
      </c>
      <c r="H2599" s="427" t="s">
        <v>5163</v>
      </c>
      <c r="I2599" s="518">
        <v>611.21875</v>
      </c>
      <c r="J2599" s="381">
        <v>158.8125</v>
      </c>
      <c r="K2599" s="519">
        <v>158.8125</v>
      </c>
      <c r="L2599" s="369">
        <f t="shared" si="192"/>
        <v>31.762500000000003</v>
      </c>
      <c r="M2599" s="369" t="s">
        <v>6171</v>
      </c>
      <c r="N2599" s="432" t="s">
        <v>3785</v>
      </c>
      <c r="O2599" s="521" t="s">
        <v>5847</v>
      </c>
      <c r="P2599" s="438" t="s">
        <v>5530</v>
      </c>
      <c r="Q2599" s="481">
        <v>0.2</v>
      </c>
      <c r="R2599" s="427">
        <v>1900001375</v>
      </c>
      <c r="S2599" s="513" t="s">
        <v>3475</v>
      </c>
      <c r="T2599" s="2" t="s">
        <v>5914</v>
      </c>
      <c r="U2599" s="9" t="s">
        <v>3475</v>
      </c>
    </row>
    <row r="2600" spans="1:21" x14ac:dyDescent="0.35">
      <c r="A2600" s="435" t="s">
        <v>5160</v>
      </c>
      <c r="B2600" s="427" t="s">
        <v>5855</v>
      </c>
      <c r="C2600" s="517" t="s">
        <v>5845</v>
      </c>
      <c r="D2600" s="517" t="s">
        <v>5845</v>
      </c>
      <c r="E2600" s="517"/>
      <c r="F2600" s="438" t="s">
        <v>5846</v>
      </c>
      <c r="G2600" s="438" t="s">
        <v>5840</v>
      </c>
      <c r="H2600" s="427" t="s">
        <v>5163</v>
      </c>
      <c r="I2600" s="518">
        <v>611.21875</v>
      </c>
      <c r="J2600" s="381">
        <v>158.8125</v>
      </c>
      <c r="K2600" s="519">
        <v>158.8125</v>
      </c>
      <c r="L2600" s="369">
        <f t="shared" si="192"/>
        <v>31.762500000000003</v>
      </c>
      <c r="M2600" s="369" t="s">
        <v>6171</v>
      </c>
      <c r="N2600" s="432" t="s">
        <v>3785</v>
      </c>
      <c r="O2600" s="521" t="s">
        <v>5847</v>
      </c>
      <c r="P2600" s="438" t="s">
        <v>5530</v>
      </c>
      <c r="Q2600" s="481">
        <v>0.2</v>
      </c>
      <c r="R2600" s="427">
        <v>1900001375</v>
      </c>
      <c r="S2600" s="513" t="s">
        <v>3475</v>
      </c>
      <c r="T2600" s="2" t="s">
        <v>5914</v>
      </c>
      <c r="U2600" s="9" t="s">
        <v>3475</v>
      </c>
    </row>
    <row r="2601" spans="1:21" x14ac:dyDescent="0.35">
      <c r="A2601" s="435" t="s">
        <v>5160</v>
      </c>
      <c r="B2601" s="427" t="s">
        <v>5855</v>
      </c>
      <c r="C2601" s="517" t="s">
        <v>5845</v>
      </c>
      <c r="D2601" s="517" t="s">
        <v>5845</v>
      </c>
      <c r="E2601" s="517"/>
      <c r="F2601" s="438" t="s">
        <v>5846</v>
      </c>
      <c r="G2601" s="438" t="s">
        <v>5840</v>
      </c>
      <c r="H2601" s="427" t="s">
        <v>5163</v>
      </c>
      <c r="I2601" s="518">
        <v>611.21875</v>
      </c>
      <c r="J2601" s="381">
        <v>158.8125</v>
      </c>
      <c r="K2601" s="519">
        <v>158.8125</v>
      </c>
      <c r="L2601" s="369">
        <f t="shared" si="192"/>
        <v>31.762500000000003</v>
      </c>
      <c r="M2601" s="369" t="s">
        <v>6171</v>
      </c>
      <c r="N2601" s="432" t="s">
        <v>3785</v>
      </c>
      <c r="O2601" s="521" t="s">
        <v>5847</v>
      </c>
      <c r="P2601" s="438" t="s">
        <v>5530</v>
      </c>
      <c r="Q2601" s="481">
        <v>0.2</v>
      </c>
      <c r="R2601" s="427">
        <v>1900001375</v>
      </c>
      <c r="S2601" s="513" t="s">
        <v>3475</v>
      </c>
      <c r="T2601" s="2" t="s">
        <v>5914</v>
      </c>
      <c r="U2601" s="9" t="s">
        <v>3475</v>
      </c>
    </row>
    <row r="2602" spans="1:21" x14ac:dyDescent="0.35">
      <c r="A2602" s="435" t="s">
        <v>5160</v>
      </c>
      <c r="B2602" s="427" t="s">
        <v>5855</v>
      </c>
      <c r="C2602" s="517" t="s">
        <v>5845</v>
      </c>
      <c r="D2602" s="517" t="s">
        <v>5845</v>
      </c>
      <c r="E2602" s="517"/>
      <c r="F2602" s="438" t="s">
        <v>5846</v>
      </c>
      <c r="G2602" s="438" t="s">
        <v>5840</v>
      </c>
      <c r="H2602" s="427" t="s">
        <v>5163</v>
      </c>
      <c r="I2602" s="518">
        <v>611.21875</v>
      </c>
      <c r="J2602" s="381">
        <v>158.8125</v>
      </c>
      <c r="K2602" s="519">
        <v>158.8125</v>
      </c>
      <c r="L2602" s="369">
        <f t="shared" si="192"/>
        <v>31.762500000000003</v>
      </c>
      <c r="M2602" s="369" t="s">
        <v>6171</v>
      </c>
      <c r="N2602" s="432" t="s">
        <v>3785</v>
      </c>
      <c r="O2602" s="521" t="s">
        <v>5847</v>
      </c>
      <c r="P2602" s="438" t="s">
        <v>5530</v>
      </c>
      <c r="Q2602" s="481">
        <v>0.2</v>
      </c>
      <c r="R2602" s="427">
        <v>1900001375</v>
      </c>
      <c r="S2602" s="513" t="s">
        <v>3475</v>
      </c>
      <c r="T2602" s="2" t="s">
        <v>5914</v>
      </c>
      <c r="U2602" s="9" t="s">
        <v>3475</v>
      </c>
    </row>
    <row r="2603" spans="1:21" x14ac:dyDescent="0.35">
      <c r="A2603" s="435" t="s">
        <v>5160</v>
      </c>
      <c r="B2603" s="427" t="s">
        <v>5855</v>
      </c>
      <c r="C2603" s="517" t="s">
        <v>5845</v>
      </c>
      <c r="D2603" s="517" t="s">
        <v>5845</v>
      </c>
      <c r="E2603" s="517"/>
      <c r="F2603" s="438" t="s">
        <v>5846</v>
      </c>
      <c r="G2603" s="438" t="s">
        <v>5840</v>
      </c>
      <c r="H2603" s="427" t="s">
        <v>5163</v>
      </c>
      <c r="I2603" s="518">
        <v>611.21875</v>
      </c>
      <c r="J2603" s="381">
        <v>158.8125</v>
      </c>
      <c r="K2603" s="519">
        <v>158.8125</v>
      </c>
      <c r="L2603" s="369">
        <f t="shared" si="192"/>
        <v>31.762500000000003</v>
      </c>
      <c r="M2603" s="369" t="s">
        <v>6171</v>
      </c>
      <c r="N2603" s="432" t="s">
        <v>3785</v>
      </c>
      <c r="O2603" s="521" t="s">
        <v>5847</v>
      </c>
      <c r="P2603" s="438" t="s">
        <v>5530</v>
      </c>
      <c r="Q2603" s="481">
        <v>0.2</v>
      </c>
      <c r="R2603" s="427">
        <v>1900001375</v>
      </c>
      <c r="S2603" s="513" t="s">
        <v>3475</v>
      </c>
      <c r="T2603" s="2" t="s">
        <v>5914</v>
      </c>
      <c r="U2603" s="9" t="s">
        <v>3475</v>
      </c>
    </row>
    <row r="2604" spans="1:21" x14ac:dyDescent="0.35">
      <c r="A2604" s="435" t="s">
        <v>5160</v>
      </c>
      <c r="B2604" s="427" t="s">
        <v>5855</v>
      </c>
      <c r="C2604" s="517" t="s">
        <v>5845</v>
      </c>
      <c r="D2604" s="517" t="s">
        <v>5845</v>
      </c>
      <c r="E2604" s="517"/>
      <c r="F2604" s="438" t="s">
        <v>5846</v>
      </c>
      <c r="G2604" s="438" t="s">
        <v>5840</v>
      </c>
      <c r="H2604" s="427" t="s">
        <v>5163</v>
      </c>
      <c r="I2604" s="518">
        <v>611.21875</v>
      </c>
      <c r="J2604" s="381">
        <v>158.8125</v>
      </c>
      <c r="K2604" s="519">
        <v>158.8125</v>
      </c>
      <c r="L2604" s="369">
        <f t="shared" si="192"/>
        <v>31.762500000000003</v>
      </c>
      <c r="M2604" s="369" t="s">
        <v>6171</v>
      </c>
      <c r="N2604" s="432" t="s">
        <v>3785</v>
      </c>
      <c r="O2604" s="521" t="s">
        <v>5847</v>
      </c>
      <c r="P2604" s="438" t="s">
        <v>5530</v>
      </c>
      <c r="Q2604" s="481">
        <v>0.2</v>
      </c>
      <c r="R2604" s="427">
        <v>1900001375</v>
      </c>
      <c r="S2604" s="513" t="s">
        <v>3475</v>
      </c>
      <c r="T2604" s="2" t="s">
        <v>5914</v>
      </c>
      <c r="U2604" s="9" t="s">
        <v>3475</v>
      </c>
    </row>
    <row r="2605" spans="1:21" x14ac:dyDescent="0.35">
      <c r="A2605" s="435" t="s">
        <v>5160</v>
      </c>
      <c r="B2605" s="427" t="s">
        <v>5855</v>
      </c>
      <c r="C2605" s="517" t="s">
        <v>5845</v>
      </c>
      <c r="D2605" s="517" t="s">
        <v>5845</v>
      </c>
      <c r="E2605" s="517"/>
      <c r="F2605" s="438" t="s">
        <v>5846</v>
      </c>
      <c r="G2605" s="438" t="s">
        <v>5840</v>
      </c>
      <c r="H2605" s="427" t="s">
        <v>5163</v>
      </c>
      <c r="I2605" s="518">
        <v>611.21875</v>
      </c>
      <c r="J2605" s="381">
        <v>158.8125</v>
      </c>
      <c r="K2605" s="519">
        <v>158.8125</v>
      </c>
      <c r="L2605" s="369">
        <f t="shared" si="192"/>
        <v>31.762500000000003</v>
      </c>
      <c r="M2605" s="369" t="s">
        <v>6171</v>
      </c>
      <c r="N2605" s="432" t="s">
        <v>3785</v>
      </c>
      <c r="O2605" s="521" t="s">
        <v>5847</v>
      </c>
      <c r="P2605" s="438" t="s">
        <v>5530</v>
      </c>
      <c r="Q2605" s="481">
        <v>0.2</v>
      </c>
      <c r="R2605" s="427">
        <v>1900001375</v>
      </c>
      <c r="S2605" s="513" t="s">
        <v>3475</v>
      </c>
      <c r="T2605" s="2" t="s">
        <v>5914</v>
      </c>
      <c r="U2605" s="9" t="s">
        <v>3475</v>
      </c>
    </row>
    <row r="2606" spans="1:21" x14ac:dyDescent="0.35">
      <c r="A2606" s="435" t="s">
        <v>5160</v>
      </c>
      <c r="B2606" s="427" t="s">
        <v>5855</v>
      </c>
      <c r="C2606" s="517" t="s">
        <v>5845</v>
      </c>
      <c r="D2606" s="517" t="s">
        <v>5845</v>
      </c>
      <c r="E2606" s="517"/>
      <c r="F2606" s="438" t="s">
        <v>5846</v>
      </c>
      <c r="G2606" s="438" t="s">
        <v>5840</v>
      </c>
      <c r="H2606" s="427" t="s">
        <v>5163</v>
      </c>
      <c r="I2606" s="518">
        <v>611.21875</v>
      </c>
      <c r="J2606" s="381">
        <v>158.8125</v>
      </c>
      <c r="K2606" s="519">
        <v>158.8125</v>
      </c>
      <c r="L2606" s="369">
        <f t="shared" si="192"/>
        <v>31.762500000000003</v>
      </c>
      <c r="M2606" s="369" t="s">
        <v>6171</v>
      </c>
      <c r="N2606" s="432" t="s">
        <v>3785</v>
      </c>
      <c r="O2606" s="521" t="s">
        <v>5847</v>
      </c>
      <c r="P2606" s="438" t="s">
        <v>5530</v>
      </c>
      <c r="Q2606" s="481">
        <v>0.2</v>
      </c>
      <c r="R2606" s="427">
        <v>1900001375</v>
      </c>
      <c r="S2606" s="513" t="s">
        <v>3475</v>
      </c>
      <c r="T2606" s="2" t="s">
        <v>5914</v>
      </c>
      <c r="U2606" s="9" t="s">
        <v>3475</v>
      </c>
    </row>
    <row r="2607" spans="1:21" x14ac:dyDescent="0.35">
      <c r="A2607" s="435" t="s">
        <v>5160</v>
      </c>
      <c r="B2607" s="427" t="s">
        <v>5855</v>
      </c>
      <c r="C2607" s="517" t="s">
        <v>5845</v>
      </c>
      <c r="D2607" s="517" t="s">
        <v>5845</v>
      </c>
      <c r="E2607" s="517"/>
      <c r="F2607" s="438" t="s">
        <v>5846</v>
      </c>
      <c r="G2607" s="438" t="s">
        <v>5840</v>
      </c>
      <c r="H2607" s="427" t="s">
        <v>5163</v>
      </c>
      <c r="I2607" s="518">
        <v>611.21875</v>
      </c>
      <c r="J2607" s="381">
        <v>158.8125</v>
      </c>
      <c r="K2607" s="519">
        <v>158.8125</v>
      </c>
      <c r="L2607" s="369">
        <f t="shared" si="192"/>
        <v>31.762500000000003</v>
      </c>
      <c r="M2607" s="369" t="s">
        <v>6171</v>
      </c>
      <c r="N2607" s="432" t="s">
        <v>3785</v>
      </c>
      <c r="O2607" s="521" t="s">
        <v>5847</v>
      </c>
      <c r="P2607" s="438" t="s">
        <v>5530</v>
      </c>
      <c r="Q2607" s="481">
        <v>0.2</v>
      </c>
      <c r="R2607" s="427">
        <v>1900001375</v>
      </c>
      <c r="S2607" s="513" t="s">
        <v>3475</v>
      </c>
      <c r="T2607" s="2" t="s">
        <v>5914</v>
      </c>
      <c r="U2607" s="9" t="s">
        <v>3475</v>
      </c>
    </row>
    <row r="2608" spans="1:21" x14ac:dyDescent="0.35">
      <c r="A2608" s="435" t="s">
        <v>5160</v>
      </c>
      <c r="B2608" s="427" t="s">
        <v>5855</v>
      </c>
      <c r="C2608" s="517" t="s">
        <v>5845</v>
      </c>
      <c r="D2608" s="517" t="s">
        <v>5845</v>
      </c>
      <c r="E2608" s="517"/>
      <c r="F2608" s="438" t="s">
        <v>5846</v>
      </c>
      <c r="G2608" s="438" t="s">
        <v>5840</v>
      </c>
      <c r="H2608" s="427" t="s">
        <v>5163</v>
      </c>
      <c r="I2608" s="518">
        <v>611.21875</v>
      </c>
      <c r="J2608" s="381">
        <v>158.8125</v>
      </c>
      <c r="K2608" s="519">
        <v>158.8125</v>
      </c>
      <c r="L2608" s="369">
        <f t="shared" si="192"/>
        <v>31.762500000000003</v>
      </c>
      <c r="M2608" s="369" t="s">
        <v>6171</v>
      </c>
      <c r="N2608" s="432" t="s">
        <v>3785</v>
      </c>
      <c r="O2608" s="521" t="s">
        <v>5847</v>
      </c>
      <c r="P2608" s="438" t="s">
        <v>5530</v>
      </c>
      <c r="Q2608" s="481">
        <v>0.2</v>
      </c>
      <c r="R2608" s="427">
        <v>1900001375</v>
      </c>
      <c r="S2608" s="513" t="s">
        <v>3475</v>
      </c>
      <c r="T2608" s="2" t="s">
        <v>5914</v>
      </c>
      <c r="U2608" s="9" t="s">
        <v>3475</v>
      </c>
    </row>
    <row r="2609" spans="1:21" x14ac:dyDescent="0.35">
      <c r="A2609" s="435" t="s">
        <v>5160</v>
      </c>
      <c r="B2609" s="427" t="s">
        <v>5855</v>
      </c>
      <c r="C2609" s="517" t="s">
        <v>5845</v>
      </c>
      <c r="D2609" s="517" t="s">
        <v>5845</v>
      </c>
      <c r="E2609" s="517"/>
      <c r="F2609" s="438" t="s">
        <v>5846</v>
      </c>
      <c r="G2609" s="438" t="s">
        <v>5840</v>
      </c>
      <c r="H2609" s="427" t="s">
        <v>5163</v>
      </c>
      <c r="I2609" s="518">
        <v>611.21875</v>
      </c>
      <c r="J2609" s="381">
        <v>158.8125</v>
      </c>
      <c r="K2609" s="519">
        <v>158.8125</v>
      </c>
      <c r="L2609" s="369">
        <f t="shared" si="192"/>
        <v>31.762500000000003</v>
      </c>
      <c r="M2609" s="369" t="s">
        <v>6171</v>
      </c>
      <c r="N2609" s="432" t="s">
        <v>3785</v>
      </c>
      <c r="O2609" s="521" t="s">
        <v>5847</v>
      </c>
      <c r="P2609" s="438" t="s">
        <v>5530</v>
      </c>
      <c r="Q2609" s="481">
        <v>0.2</v>
      </c>
      <c r="R2609" s="427">
        <v>1900001375</v>
      </c>
      <c r="S2609" s="513" t="s">
        <v>3475</v>
      </c>
      <c r="T2609" s="2" t="s">
        <v>5914</v>
      </c>
      <c r="U2609" s="9" t="s">
        <v>3475</v>
      </c>
    </row>
    <row r="2610" spans="1:21" x14ac:dyDescent="0.35">
      <c r="A2610" s="435" t="s">
        <v>5160</v>
      </c>
      <c r="B2610" s="427" t="s">
        <v>5855</v>
      </c>
      <c r="C2610" s="517" t="s">
        <v>5845</v>
      </c>
      <c r="D2610" s="517" t="s">
        <v>5845</v>
      </c>
      <c r="E2610" s="517"/>
      <c r="F2610" s="438" t="s">
        <v>5846</v>
      </c>
      <c r="G2610" s="438" t="s">
        <v>5840</v>
      </c>
      <c r="H2610" s="427" t="s">
        <v>5163</v>
      </c>
      <c r="I2610" s="518">
        <v>611.21875</v>
      </c>
      <c r="J2610" s="381">
        <v>158.8125</v>
      </c>
      <c r="K2610" s="519">
        <v>158.8125</v>
      </c>
      <c r="L2610" s="369">
        <f t="shared" si="192"/>
        <v>31.762500000000003</v>
      </c>
      <c r="M2610" s="369" t="s">
        <v>6171</v>
      </c>
      <c r="N2610" s="432" t="s">
        <v>3785</v>
      </c>
      <c r="O2610" s="521" t="s">
        <v>5847</v>
      </c>
      <c r="P2610" s="438" t="s">
        <v>5530</v>
      </c>
      <c r="Q2610" s="481">
        <v>0.2</v>
      </c>
      <c r="R2610" s="427">
        <v>1900001375</v>
      </c>
      <c r="S2610" s="513" t="s">
        <v>3475</v>
      </c>
      <c r="T2610" s="2" t="s">
        <v>5914</v>
      </c>
      <c r="U2610" s="9" t="s">
        <v>3475</v>
      </c>
    </row>
    <row r="2611" spans="1:21" x14ac:dyDescent="0.35">
      <c r="A2611" s="435" t="s">
        <v>5160</v>
      </c>
      <c r="B2611" s="427" t="s">
        <v>5855</v>
      </c>
      <c r="C2611" s="517" t="s">
        <v>5845</v>
      </c>
      <c r="D2611" s="517" t="s">
        <v>5845</v>
      </c>
      <c r="E2611" s="517"/>
      <c r="F2611" s="438" t="s">
        <v>5846</v>
      </c>
      <c r="G2611" s="438" t="s">
        <v>5840</v>
      </c>
      <c r="H2611" s="427" t="s">
        <v>5163</v>
      </c>
      <c r="I2611" s="518">
        <v>611.21875</v>
      </c>
      <c r="J2611" s="381">
        <v>158.8125</v>
      </c>
      <c r="K2611" s="519">
        <v>158.8125</v>
      </c>
      <c r="L2611" s="369">
        <f t="shared" si="192"/>
        <v>31.762500000000003</v>
      </c>
      <c r="M2611" s="369" t="s">
        <v>6171</v>
      </c>
      <c r="N2611" s="432" t="s">
        <v>3785</v>
      </c>
      <c r="O2611" s="521" t="s">
        <v>5847</v>
      </c>
      <c r="P2611" s="438" t="s">
        <v>5530</v>
      </c>
      <c r="Q2611" s="481">
        <v>0.2</v>
      </c>
      <c r="R2611" s="427">
        <v>1900001375</v>
      </c>
      <c r="S2611" s="513" t="s">
        <v>3475</v>
      </c>
      <c r="T2611" s="2" t="s">
        <v>5914</v>
      </c>
      <c r="U2611" s="9" t="s">
        <v>3475</v>
      </c>
    </row>
    <row r="2612" spans="1:21" x14ac:dyDescent="0.35">
      <c r="A2612" s="435" t="s">
        <v>5160</v>
      </c>
      <c r="B2612" s="427" t="s">
        <v>5855</v>
      </c>
      <c r="C2612" s="517" t="s">
        <v>5845</v>
      </c>
      <c r="D2612" s="517" t="s">
        <v>5845</v>
      </c>
      <c r="E2612" s="517"/>
      <c r="F2612" s="438" t="s">
        <v>5846</v>
      </c>
      <c r="G2612" s="438" t="s">
        <v>5840</v>
      </c>
      <c r="H2612" s="427" t="s">
        <v>5163</v>
      </c>
      <c r="I2612" s="518">
        <v>611.21875</v>
      </c>
      <c r="J2612" s="381">
        <v>158.8125</v>
      </c>
      <c r="K2612" s="519">
        <v>158.8125</v>
      </c>
      <c r="L2612" s="369">
        <f t="shared" si="192"/>
        <v>31.762500000000003</v>
      </c>
      <c r="M2612" s="369" t="s">
        <v>6171</v>
      </c>
      <c r="N2612" s="432" t="s">
        <v>3785</v>
      </c>
      <c r="O2612" s="521" t="s">
        <v>5847</v>
      </c>
      <c r="P2612" s="438" t="s">
        <v>5530</v>
      </c>
      <c r="Q2612" s="481">
        <v>0.2</v>
      </c>
      <c r="R2612" s="427">
        <v>1900001375</v>
      </c>
      <c r="S2612" s="513" t="s">
        <v>3475</v>
      </c>
      <c r="T2612" s="2" t="s">
        <v>5914</v>
      </c>
      <c r="U2612" s="9" t="s">
        <v>3475</v>
      </c>
    </row>
    <row r="2613" spans="1:21" x14ac:dyDescent="0.35">
      <c r="A2613" s="435" t="s">
        <v>5160</v>
      </c>
      <c r="B2613" s="427" t="s">
        <v>5855</v>
      </c>
      <c r="C2613" s="517" t="s">
        <v>5845</v>
      </c>
      <c r="D2613" s="517" t="s">
        <v>5845</v>
      </c>
      <c r="E2613" s="517"/>
      <c r="F2613" s="438" t="s">
        <v>5846</v>
      </c>
      <c r="G2613" s="438" t="s">
        <v>5840</v>
      </c>
      <c r="H2613" s="427" t="s">
        <v>5163</v>
      </c>
      <c r="I2613" s="518">
        <v>611.21875</v>
      </c>
      <c r="J2613" s="381">
        <v>158.8125</v>
      </c>
      <c r="K2613" s="519">
        <v>158.8125</v>
      </c>
      <c r="L2613" s="369">
        <f t="shared" si="192"/>
        <v>31.762500000000003</v>
      </c>
      <c r="M2613" s="369" t="s">
        <v>6171</v>
      </c>
      <c r="N2613" s="432" t="s">
        <v>3785</v>
      </c>
      <c r="O2613" s="521" t="s">
        <v>5847</v>
      </c>
      <c r="P2613" s="438" t="s">
        <v>5530</v>
      </c>
      <c r="Q2613" s="481">
        <v>0.2</v>
      </c>
      <c r="R2613" s="427">
        <v>1900001375</v>
      </c>
      <c r="S2613" s="513" t="s">
        <v>3475</v>
      </c>
      <c r="T2613" s="2" t="s">
        <v>5914</v>
      </c>
      <c r="U2613" s="9" t="s">
        <v>3475</v>
      </c>
    </row>
    <row r="2614" spans="1:21" x14ac:dyDescent="0.35">
      <c r="A2614" s="435" t="s">
        <v>5160</v>
      </c>
      <c r="B2614" s="427" t="s">
        <v>5855</v>
      </c>
      <c r="C2614" s="517" t="s">
        <v>5845</v>
      </c>
      <c r="D2614" s="517" t="s">
        <v>5845</v>
      </c>
      <c r="E2614" s="517"/>
      <c r="F2614" s="438" t="s">
        <v>5846</v>
      </c>
      <c r="G2614" s="438" t="s">
        <v>5840</v>
      </c>
      <c r="H2614" s="427" t="s">
        <v>5163</v>
      </c>
      <c r="I2614" s="518">
        <v>611.21875</v>
      </c>
      <c r="J2614" s="381">
        <v>158.8125</v>
      </c>
      <c r="K2614" s="519">
        <v>158.8125</v>
      </c>
      <c r="L2614" s="369">
        <f t="shared" si="192"/>
        <v>31.762500000000003</v>
      </c>
      <c r="M2614" s="369" t="s">
        <v>6171</v>
      </c>
      <c r="N2614" s="432" t="s">
        <v>3785</v>
      </c>
      <c r="O2614" s="521" t="s">
        <v>5847</v>
      </c>
      <c r="P2614" s="438" t="s">
        <v>5530</v>
      </c>
      <c r="Q2614" s="481">
        <v>0.2</v>
      </c>
      <c r="R2614" s="427">
        <v>1900001375</v>
      </c>
      <c r="S2614" s="513" t="s">
        <v>3475</v>
      </c>
      <c r="T2614" s="2" t="s">
        <v>5914</v>
      </c>
      <c r="U2614" s="9" t="s">
        <v>3475</v>
      </c>
    </row>
    <row r="2615" spans="1:21" x14ac:dyDescent="0.35">
      <c r="A2615" s="435" t="s">
        <v>5160</v>
      </c>
      <c r="B2615" s="427" t="s">
        <v>5855</v>
      </c>
      <c r="C2615" s="517" t="s">
        <v>5845</v>
      </c>
      <c r="D2615" s="517" t="s">
        <v>5845</v>
      </c>
      <c r="E2615" s="517"/>
      <c r="F2615" s="438" t="s">
        <v>5846</v>
      </c>
      <c r="G2615" s="438" t="s">
        <v>5840</v>
      </c>
      <c r="H2615" s="427" t="s">
        <v>5163</v>
      </c>
      <c r="I2615" s="518">
        <v>611.21875</v>
      </c>
      <c r="J2615" s="381">
        <v>158.8125</v>
      </c>
      <c r="K2615" s="519">
        <v>158.8125</v>
      </c>
      <c r="L2615" s="369">
        <f t="shared" si="192"/>
        <v>31.762500000000003</v>
      </c>
      <c r="M2615" s="369" t="s">
        <v>6171</v>
      </c>
      <c r="N2615" s="432" t="s">
        <v>3785</v>
      </c>
      <c r="O2615" s="521" t="s">
        <v>5847</v>
      </c>
      <c r="P2615" s="438" t="s">
        <v>5530</v>
      </c>
      <c r="Q2615" s="481">
        <v>0.2</v>
      </c>
      <c r="R2615" s="427">
        <v>1900001375</v>
      </c>
      <c r="S2615" s="513" t="s">
        <v>3475</v>
      </c>
      <c r="T2615" s="2" t="s">
        <v>5914</v>
      </c>
      <c r="U2615" s="9" t="s">
        <v>3475</v>
      </c>
    </row>
    <row r="2616" spans="1:21" x14ac:dyDescent="0.35">
      <c r="A2616" s="435" t="s">
        <v>5160</v>
      </c>
      <c r="B2616" s="427" t="s">
        <v>5855</v>
      </c>
      <c r="C2616" s="517" t="s">
        <v>5845</v>
      </c>
      <c r="D2616" s="517" t="s">
        <v>5845</v>
      </c>
      <c r="E2616" s="517"/>
      <c r="F2616" s="438" t="s">
        <v>5846</v>
      </c>
      <c r="G2616" s="438" t="s">
        <v>5840</v>
      </c>
      <c r="H2616" s="427" t="s">
        <v>5163</v>
      </c>
      <c r="I2616" s="518">
        <v>611.21875</v>
      </c>
      <c r="J2616" s="381">
        <v>158.8125</v>
      </c>
      <c r="K2616" s="519">
        <v>158.8125</v>
      </c>
      <c r="L2616" s="369">
        <f t="shared" si="192"/>
        <v>31.762500000000003</v>
      </c>
      <c r="M2616" s="369" t="s">
        <v>6171</v>
      </c>
      <c r="N2616" s="432" t="s">
        <v>3785</v>
      </c>
      <c r="O2616" s="521" t="s">
        <v>5847</v>
      </c>
      <c r="P2616" s="438" t="s">
        <v>5530</v>
      </c>
      <c r="Q2616" s="481">
        <v>0.2</v>
      </c>
      <c r="R2616" s="427">
        <v>1900001375</v>
      </c>
      <c r="S2616" s="513" t="s">
        <v>3475</v>
      </c>
      <c r="T2616" s="2" t="s">
        <v>5914</v>
      </c>
      <c r="U2616" s="9" t="s">
        <v>3475</v>
      </c>
    </row>
    <row r="2617" spans="1:21" x14ac:dyDescent="0.35">
      <c r="A2617" s="435" t="s">
        <v>5160</v>
      </c>
      <c r="B2617" s="427" t="s">
        <v>5855</v>
      </c>
      <c r="C2617" s="517" t="s">
        <v>5845</v>
      </c>
      <c r="D2617" s="517" t="s">
        <v>5845</v>
      </c>
      <c r="E2617" s="517"/>
      <c r="F2617" s="438" t="s">
        <v>5846</v>
      </c>
      <c r="G2617" s="438" t="s">
        <v>5840</v>
      </c>
      <c r="H2617" s="427" t="s">
        <v>5163</v>
      </c>
      <c r="I2617" s="518">
        <v>611.21875</v>
      </c>
      <c r="J2617" s="381">
        <v>158.8125</v>
      </c>
      <c r="K2617" s="519">
        <v>158.8125</v>
      </c>
      <c r="L2617" s="369">
        <f t="shared" si="192"/>
        <v>31.762500000000003</v>
      </c>
      <c r="M2617" s="369" t="s">
        <v>6171</v>
      </c>
      <c r="N2617" s="432" t="s">
        <v>3785</v>
      </c>
      <c r="O2617" s="521" t="s">
        <v>5847</v>
      </c>
      <c r="P2617" s="438" t="s">
        <v>5530</v>
      </c>
      <c r="Q2617" s="481">
        <v>0.2</v>
      </c>
      <c r="R2617" s="427">
        <v>1900001375</v>
      </c>
      <c r="S2617" s="513" t="s">
        <v>3475</v>
      </c>
      <c r="T2617" s="2" t="s">
        <v>5914</v>
      </c>
      <c r="U2617" s="9" t="s">
        <v>3475</v>
      </c>
    </row>
    <row r="2618" spans="1:21" x14ac:dyDescent="0.35">
      <c r="A2618" s="435" t="s">
        <v>5160</v>
      </c>
      <c r="B2618" s="427" t="s">
        <v>5855</v>
      </c>
      <c r="C2618" s="517" t="s">
        <v>5845</v>
      </c>
      <c r="D2618" s="517" t="s">
        <v>5845</v>
      </c>
      <c r="E2618" s="517"/>
      <c r="F2618" s="438" t="s">
        <v>5846</v>
      </c>
      <c r="G2618" s="438" t="s">
        <v>5840</v>
      </c>
      <c r="H2618" s="427" t="s">
        <v>5163</v>
      </c>
      <c r="I2618" s="518">
        <v>611.21875</v>
      </c>
      <c r="J2618" s="381">
        <v>158.8125</v>
      </c>
      <c r="K2618" s="519">
        <v>158.8125</v>
      </c>
      <c r="L2618" s="369">
        <f t="shared" si="192"/>
        <v>31.762500000000003</v>
      </c>
      <c r="M2618" s="369" t="s">
        <v>6171</v>
      </c>
      <c r="N2618" s="432" t="s">
        <v>3785</v>
      </c>
      <c r="O2618" s="521" t="s">
        <v>5847</v>
      </c>
      <c r="P2618" s="438" t="s">
        <v>5530</v>
      </c>
      <c r="Q2618" s="481">
        <v>0.2</v>
      </c>
      <c r="R2618" s="427">
        <v>1900001375</v>
      </c>
      <c r="S2618" s="513" t="s">
        <v>3475</v>
      </c>
      <c r="T2618" s="2" t="s">
        <v>5914</v>
      </c>
      <c r="U2618" s="9" t="s">
        <v>3475</v>
      </c>
    </row>
    <row r="2619" spans="1:21" x14ac:dyDescent="0.35">
      <c r="A2619" s="435" t="s">
        <v>5160</v>
      </c>
      <c r="B2619" s="427" t="s">
        <v>5855</v>
      </c>
      <c r="C2619" s="517" t="s">
        <v>5845</v>
      </c>
      <c r="D2619" s="517" t="s">
        <v>5845</v>
      </c>
      <c r="E2619" s="517"/>
      <c r="F2619" s="438" t="s">
        <v>5846</v>
      </c>
      <c r="G2619" s="438" t="s">
        <v>5840</v>
      </c>
      <c r="H2619" s="427" t="s">
        <v>5163</v>
      </c>
      <c r="I2619" s="518">
        <v>611.21875</v>
      </c>
      <c r="J2619" s="381">
        <v>158.8125</v>
      </c>
      <c r="K2619" s="519">
        <v>158.8125</v>
      </c>
      <c r="L2619" s="369">
        <f t="shared" si="192"/>
        <v>31.762500000000003</v>
      </c>
      <c r="M2619" s="369" t="s">
        <v>6171</v>
      </c>
      <c r="N2619" s="432" t="s">
        <v>3785</v>
      </c>
      <c r="O2619" s="521" t="s">
        <v>5847</v>
      </c>
      <c r="P2619" s="438" t="s">
        <v>5530</v>
      </c>
      <c r="Q2619" s="481">
        <v>0.2</v>
      </c>
      <c r="R2619" s="427">
        <v>1900001375</v>
      </c>
      <c r="S2619" s="513" t="s">
        <v>3475</v>
      </c>
      <c r="T2619" s="2" t="s">
        <v>5914</v>
      </c>
      <c r="U2619" s="9" t="s">
        <v>3475</v>
      </c>
    </row>
    <row r="2620" spans="1:21" x14ac:dyDescent="0.35">
      <c r="A2620" s="435" t="s">
        <v>5160</v>
      </c>
      <c r="B2620" s="427" t="s">
        <v>5855</v>
      </c>
      <c r="C2620" s="517" t="s">
        <v>5845</v>
      </c>
      <c r="D2620" s="517" t="s">
        <v>5845</v>
      </c>
      <c r="E2620" s="517"/>
      <c r="F2620" s="438" t="s">
        <v>5846</v>
      </c>
      <c r="G2620" s="438" t="s">
        <v>5840</v>
      </c>
      <c r="H2620" s="427" t="s">
        <v>5163</v>
      </c>
      <c r="I2620" s="518">
        <v>611.21875</v>
      </c>
      <c r="J2620" s="381">
        <v>158.8125</v>
      </c>
      <c r="K2620" s="519">
        <v>158.8125</v>
      </c>
      <c r="L2620" s="369">
        <f t="shared" si="192"/>
        <v>31.762500000000003</v>
      </c>
      <c r="M2620" s="369" t="s">
        <v>6171</v>
      </c>
      <c r="N2620" s="432" t="s">
        <v>3785</v>
      </c>
      <c r="O2620" s="521" t="s">
        <v>5847</v>
      </c>
      <c r="P2620" s="438" t="s">
        <v>5530</v>
      </c>
      <c r="Q2620" s="481">
        <v>0.2</v>
      </c>
      <c r="R2620" s="427">
        <v>1900001375</v>
      </c>
      <c r="S2620" s="513" t="s">
        <v>3475</v>
      </c>
      <c r="T2620" s="2" t="s">
        <v>5914</v>
      </c>
      <c r="U2620" s="9" t="s">
        <v>3475</v>
      </c>
    </row>
    <row r="2621" spans="1:21" x14ac:dyDescent="0.35">
      <c r="A2621" s="435" t="s">
        <v>5160</v>
      </c>
      <c r="B2621" s="427" t="s">
        <v>5855</v>
      </c>
      <c r="C2621" s="517" t="s">
        <v>5845</v>
      </c>
      <c r="D2621" s="517" t="s">
        <v>5845</v>
      </c>
      <c r="E2621" s="517"/>
      <c r="F2621" s="438" t="s">
        <v>5846</v>
      </c>
      <c r="G2621" s="438" t="s">
        <v>5840</v>
      </c>
      <c r="H2621" s="427" t="s">
        <v>5163</v>
      </c>
      <c r="I2621" s="518">
        <v>611.21875</v>
      </c>
      <c r="J2621" s="381">
        <v>158.8125</v>
      </c>
      <c r="K2621" s="519">
        <v>158.8125</v>
      </c>
      <c r="L2621" s="369">
        <f t="shared" si="192"/>
        <v>31.762500000000003</v>
      </c>
      <c r="M2621" s="369" t="s">
        <v>6171</v>
      </c>
      <c r="N2621" s="432" t="s">
        <v>3785</v>
      </c>
      <c r="O2621" s="521" t="s">
        <v>5847</v>
      </c>
      <c r="P2621" s="438" t="s">
        <v>5530</v>
      </c>
      <c r="Q2621" s="481">
        <v>0.2</v>
      </c>
      <c r="R2621" s="427">
        <v>1900001375</v>
      </c>
      <c r="S2621" s="513" t="s">
        <v>3475</v>
      </c>
      <c r="T2621" s="2" t="s">
        <v>5914</v>
      </c>
      <c r="U2621" s="9" t="s">
        <v>3475</v>
      </c>
    </row>
    <row r="2622" spans="1:21" x14ac:dyDescent="0.35">
      <c r="A2622" s="435" t="s">
        <v>5160</v>
      </c>
      <c r="B2622" s="427" t="s">
        <v>5855</v>
      </c>
      <c r="C2622" s="517" t="s">
        <v>5845</v>
      </c>
      <c r="D2622" s="517" t="s">
        <v>5845</v>
      </c>
      <c r="E2622" s="517"/>
      <c r="F2622" s="438" t="s">
        <v>5846</v>
      </c>
      <c r="G2622" s="438" t="s">
        <v>5840</v>
      </c>
      <c r="H2622" s="427" t="s">
        <v>5163</v>
      </c>
      <c r="I2622" s="518">
        <v>611.21875</v>
      </c>
      <c r="J2622" s="381">
        <v>158.8125</v>
      </c>
      <c r="K2622" s="519">
        <v>158.8125</v>
      </c>
      <c r="L2622" s="369">
        <f t="shared" si="192"/>
        <v>31.762500000000003</v>
      </c>
      <c r="M2622" s="369" t="s">
        <v>6171</v>
      </c>
      <c r="N2622" s="432" t="s">
        <v>3785</v>
      </c>
      <c r="O2622" s="521" t="s">
        <v>5847</v>
      </c>
      <c r="P2622" s="438" t="s">
        <v>5530</v>
      </c>
      <c r="Q2622" s="481">
        <v>0.2</v>
      </c>
      <c r="R2622" s="427">
        <v>1900001375</v>
      </c>
      <c r="S2622" s="513" t="s">
        <v>3475</v>
      </c>
      <c r="T2622" s="2" t="s">
        <v>5914</v>
      </c>
      <c r="U2622" s="9" t="s">
        <v>3475</v>
      </c>
    </row>
    <row r="2623" spans="1:21" x14ac:dyDescent="0.35">
      <c r="A2623" s="435" t="s">
        <v>5160</v>
      </c>
      <c r="B2623" s="427" t="s">
        <v>5855</v>
      </c>
      <c r="C2623" s="517" t="s">
        <v>5845</v>
      </c>
      <c r="D2623" s="517" t="s">
        <v>5845</v>
      </c>
      <c r="E2623" s="517"/>
      <c r="F2623" s="438" t="s">
        <v>5846</v>
      </c>
      <c r="G2623" s="438" t="s">
        <v>5840</v>
      </c>
      <c r="H2623" s="427" t="s">
        <v>5163</v>
      </c>
      <c r="I2623" s="518">
        <v>611.21875</v>
      </c>
      <c r="J2623" s="381">
        <v>158.8125</v>
      </c>
      <c r="K2623" s="519">
        <v>158.8125</v>
      </c>
      <c r="L2623" s="369">
        <f t="shared" si="192"/>
        <v>31.762500000000003</v>
      </c>
      <c r="M2623" s="369" t="s">
        <v>6171</v>
      </c>
      <c r="N2623" s="432" t="s">
        <v>3785</v>
      </c>
      <c r="O2623" s="521" t="s">
        <v>5847</v>
      </c>
      <c r="P2623" s="438" t="s">
        <v>5530</v>
      </c>
      <c r="Q2623" s="481">
        <v>0.2</v>
      </c>
      <c r="R2623" s="427">
        <v>1900001375</v>
      </c>
      <c r="S2623" s="513" t="s">
        <v>3475</v>
      </c>
      <c r="T2623" s="2" t="s">
        <v>5914</v>
      </c>
      <c r="U2623" s="9" t="s">
        <v>3475</v>
      </c>
    </row>
    <row r="2624" spans="1:21" x14ac:dyDescent="0.35">
      <c r="A2624" s="435" t="s">
        <v>5160</v>
      </c>
      <c r="B2624" s="427" t="s">
        <v>5855</v>
      </c>
      <c r="C2624" s="517" t="s">
        <v>5845</v>
      </c>
      <c r="D2624" s="517" t="s">
        <v>5845</v>
      </c>
      <c r="E2624" s="517"/>
      <c r="F2624" s="438" t="s">
        <v>5846</v>
      </c>
      <c r="G2624" s="438" t="s">
        <v>5840</v>
      </c>
      <c r="H2624" s="427" t="s">
        <v>5163</v>
      </c>
      <c r="I2624" s="518">
        <v>611.21875</v>
      </c>
      <c r="J2624" s="381">
        <v>158.8125</v>
      </c>
      <c r="K2624" s="519">
        <v>158.8125</v>
      </c>
      <c r="L2624" s="369">
        <f t="shared" si="192"/>
        <v>31.762500000000003</v>
      </c>
      <c r="M2624" s="369" t="s">
        <v>6171</v>
      </c>
      <c r="N2624" s="432" t="s">
        <v>3785</v>
      </c>
      <c r="O2624" s="521" t="s">
        <v>5847</v>
      </c>
      <c r="P2624" s="438" t="s">
        <v>5530</v>
      </c>
      <c r="Q2624" s="481">
        <v>0.2</v>
      </c>
      <c r="R2624" s="427">
        <v>1900001375</v>
      </c>
      <c r="S2624" s="513" t="s">
        <v>3475</v>
      </c>
      <c r="T2624" s="2" t="s">
        <v>5914</v>
      </c>
      <c r="U2624" s="9" t="s">
        <v>3475</v>
      </c>
    </row>
    <row r="2625" spans="1:21" x14ac:dyDescent="0.35">
      <c r="A2625" s="435" t="s">
        <v>5160</v>
      </c>
      <c r="B2625" s="427" t="s">
        <v>5855</v>
      </c>
      <c r="C2625" s="517" t="s">
        <v>5845</v>
      </c>
      <c r="D2625" s="517" t="s">
        <v>5845</v>
      </c>
      <c r="E2625" s="517"/>
      <c r="F2625" s="438" t="s">
        <v>5846</v>
      </c>
      <c r="G2625" s="438" t="s">
        <v>5840</v>
      </c>
      <c r="H2625" s="427" t="s">
        <v>5163</v>
      </c>
      <c r="I2625" s="518">
        <v>611.21875</v>
      </c>
      <c r="J2625" s="381">
        <v>158.8125</v>
      </c>
      <c r="K2625" s="519">
        <v>158.8125</v>
      </c>
      <c r="L2625" s="369">
        <f t="shared" si="192"/>
        <v>31.762500000000003</v>
      </c>
      <c r="M2625" s="369" t="s">
        <v>6171</v>
      </c>
      <c r="N2625" s="432" t="s">
        <v>3785</v>
      </c>
      <c r="O2625" s="521" t="s">
        <v>5847</v>
      </c>
      <c r="P2625" s="438" t="s">
        <v>5530</v>
      </c>
      <c r="Q2625" s="481">
        <v>0.2</v>
      </c>
      <c r="R2625" s="427">
        <v>1900001375</v>
      </c>
      <c r="S2625" s="513" t="s">
        <v>3475</v>
      </c>
      <c r="T2625" s="2" t="s">
        <v>5914</v>
      </c>
      <c r="U2625" s="9" t="s">
        <v>3475</v>
      </c>
    </row>
    <row r="2626" spans="1:21" x14ac:dyDescent="0.35">
      <c r="A2626" s="435" t="s">
        <v>5160</v>
      </c>
      <c r="B2626" s="427" t="s">
        <v>5856</v>
      </c>
      <c r="C2626" s="517" t="s">
        <v>5845</v>
      </c>
      <c r="D2626" s="517" t="s">
        <v>5845</v>
      </c>
      <c r="E2626" s="517"/>
      <c r="F2626" s="438" t="s">
        <v>5846</v>
      </c>
      <c r="G2626" s="438" t="s">
        <v>5840</v>
      </c>
      <c r="H2626" s="427" t="s">
        <v>5163</v>
      </c>
      <c r="I2626" s="518">
        <v>12882</v>
      </c>
      <c r="J2626" s="381">
        <v>3347</v>
      </c>
      <c r="K2626" s="519">
        <v>3347</v>
      </c>
      <c r="L2626" s="369">
        <f t="shared" si="192"/>
        <v>669.40000000000009</v>
      </c>
      <c r="M2626" s="369" t="s">
        <v>6171</v>
      </c>
      <c r="N2626" s="432" t="s">
        <v>3785</v>
      </c>
      <c r="O2626" s="521" t="s">
        <v>5847</v>
      </c>
      <c r="P2626" s="438" t="s">
        <v>5530</v>
      </c>
      <c r="Q2626" s="481">
        <v>0.2</v>
      </c>
      <c r="R2626" s="427">
        <v>1900001375</v>
      </c>
      <c r="S2626" s="513" t="s">
        <v>3475</v>
      </c>
      <c r="T2626" s="2" t="s">
        <v>5914</v>
      </c>
      <c r="U2626" s="9" t="s">
        <v>3475</v>
      </c>
    </row>
    <row r="2627" spans="1:21" x14ac:dyDescent="0.35">
      <c r="A2627" s="435" t="s">
        <v>5160</v>
      </c>
      <c r="B2627" s="427" t="s">
        <v>5856</v>
      </c>
      <c r="C2627" s="517" t="s">
        <v>5845</v>
      </c>
      <c r="D2627" s="517" t="s">
        <v>5845</v>
      </c>
      <c r="E2627" s="517"/>
      <c r="F2627" s="438" t="s">
        <v>5846</v>
      </c>
      <c r="G2627" s="438" t="s">
        <v>5840</v>
      </c>
      <c r="H2627" s="427" t="s">
        <v>5163</v>
      </c>
      <c r="I2627" s="518">
        <v>12882</v>
      </c>
      <c r="J2627" s="381">
        <v>3347</v>
      </c>
      <c r="K2627" s="519">
        <v>3347</v>
      </c>
      <c r="L2627" s="369">
        <f t="shared" si="192"/>
        <v>669.40000000000009</v>
      </c>
      <c r="M2627" s="369" t="s">
        <v>6171</v>
      </c>
      <c r="N2627" s="432" t="s">
        <v>3785</v>
      </c>
      <c r="O2627" s="521" t="s">
        <v>5847</v>
      </c>
      <c r="P2627" s="438" t="s">
        <v>5530</v>
      </c>
      <c r="Q2627" s="481">
        <v>0.2</v>
      </c>
      <c r="R2627" s="427">
        <v>1900001375</v>
      </c>
      <c r="S2627" s="513" t="s">
        <v>3475</v>
      </c>
      <c r="T2627" s="2" t="s">
        <v>5914</v>
      </c>
      <c r="U2627" s="9" t="s">
        <v>3475</v>
      </c>
    </row>
    <row r="2628" spans="1:21" hidden="1" x14ac:dyDescent="0.35">
      <c r="A2628" s="435" t="s">
        <v>5160</v>
      </c>
      <c r="B2628" s="427" t="s">
        <v>5857</v>
      </c>
      <c r="C2628" s="517" t="s">
        <v>5845</v>
      </c>
      <c r="D2628" s="517" t="s">
        <v>5845</v>
      </c>
      <c r="E2628" s="517"/>
      <c r="F2628" s="438" t="s">
        <v>5846</v>
      </c>
      <c r="G2628" s="435" t="s">
        <v>5520</v>
      </c>
      <c r="H2628" s="427" t="s">
        <v>5163</v>
      </c>
      <c r="I2628" s="518">
        <v>51579.5</v>
      </c>
      <c r="J2628" s="381">
        <v>13401</v>
      </c>
      <c r="K2628" s="519">
        <v>13401</v>
      </c>
      <c r="L2628" s="369">
        <f t="shared" si="192"/>
        <v>2680.2000000000003</v>
      </c>
      <c r="M2628" s="369" t="s">
        <v>6171</v>
      </c>
      <c r="N2628" s="432" t="s">
        <v>3785</v>
      </c>
      <c r="O2628" s="521" t="s">
        <v>5847</v>
      </c>
      <c r="P2628" s="438" t="s">
        <v>5530</v>
      </c>
      <c r="Q2628" s="481">
        <v>0.2</v>
      </c>
      <c r="R2628" s="427">
        <v>1900001375</v>
      </c>
      <c r="S2628" s="513" t="s">
        <v>3475</v>
      </c>
      <c r="T2628" s="2" t="s">
        <v>5914</v>
      </c>
      <c r="U2628" s="9" t="s">
        <v>3475</v>
      </c>
    </row>
    <row r="2629" spans="1:21" hidden="1" x14ac:dyDescent="0.35">
      <c r="A2629" s="435" t="s">
        <v>5160</v>
      </c>
      <c r="B2629" s="427" t="s">
        <v>5857</v>
      </c>
      <c r="C2629" s="517" t="s">
        <v>5845</v>
      </c>
      <c r="D2629" s="517" t="s">
        <v>5845</v>
      </c>
      <c r="E2629" s="517"/>
      <c r="F2629" s="438" t="s">
        <v>5846</v>
      </c>
      <c r="G2629" s="435" t="s">
        <v>5520</v>
      </c>
      <c r="H2629" s="427" t="s">
        <v>5163</v>
      </c>
      <c r="I2629" s="518">
        <v>51579.5</v>
      </c>
      <c r="J2629" s="381">
        <v>13401</v>
      </c>
      <c r="K2629" s="519">
        <v>13401</v>
      </c>
      <c r="L2629" s="369">
        <f t="shared" ref="L2629:L2692" si="193">+K2629*Q2629</f>
        <v>2680.2000000000003</v>
      </c>
      <c r="M2629" s="369" t="s">
        <v>6171</v>
      </c>
      <c r="N2629" s="432" t="s">
        <v>3785</v>
      </c>
      <c r="O2629" s="521" t="s">
        <v>5847</v>
      </c>
      <c r="P2629" s="438" t="s">
        <v>5530</v>
      </c>
      <c r="Q2629" s="481">
        <v>0.2</v>
      </c>
      <c r="R2629" s="427">
        <v>1900001375</v>
      </c>
      <c r="S2629" s="513" t="s">
        <v>3475</v>
      </c>
      <c r="T2629" s="2" t="s">
        <v>5914</v>
      </c>
      <c r="U2629" s="9" t="s">
        <v>3475</v>
      </c>
    </row>
    <row r="2630" spans="1:21" x14ac:dyDescent="0.35">
      <c r="A2630" s="435" t="s">
        <v>5160</v>
      </c>
      <c r="B2630" s="427" t="s">
        <v>5858</v>
      </c>
      <c r="C2630" s="517" t="s">
        <v>5845</v>
      </c>
      <c r="D2630" s="517" t="s">
        <v>5845</v>
      </c>
      <c r="E2630" s="517"/>
      <c r="F2630" s="438" t="s">
        <v>5846</v>
      </c>
      <c r="G2630" s="438" t="s">
        <v>5840</v>
      </c>
      <c r="H2630" s="427" t="s">
        <v>5163</v>
      </c>
      <c r="I2630" s="518">
        <v>1802.5</v>
      </c>
      <c r="J2630" s="381">
        <v>468.5</v>
      </c>
      <c r="K2630" s="519">
        <v>468.5</v>
      </c>
      <c r="L2630" s="369">
        <f t="shared" si="193"/>
        <v>93.7</v>
      </c>
      <c r="M2630" s="369" t="s">
        <v>6171</v>
      </c>
      <c r="N2630" s="432" t="s">
        <v>3785</v>
      </c>
      <c r="O2630" s="521" t="s">
        <v>5847</v>
      </c>
      <c r="P2630" s="438" t="s">
        <v>5530</v>
      </c>
      <c r="Q2630" s="481">
        <v>0.2</v>
      </c>
      <c r="R2630" s="427">
        <v>1900001375</v>
      </c>
      <c r="S2630" s="513" t="s">
        <v>3475</v>
      </c>
      <c r="T2630" s="2" t="s">
        <v>5914</v>
      </c>
      <c r="U2630" s="9" t="s">
        <v>3475</v>
      </c>
    </row>
    <row r="2631" spans="1:21" x14ac:dyDescent="0.35">
      <c r="A2631" s="435" t="s">
        <v>5160</v>
      </c>
      <c r="B2631" s="427" t="s">
        <v>5858</v>
      </c>
      <c r="C2631" s="517" t="s">
        <v>5845</v>
      </c>
      <c r="D2631" s="517" t="s">
        <v>5845</v>
      </c>
      <c r="E2631" s="517"/>
      <c r="F2631" s="438" t="s">
        <v>5846</v>
      </c>
      <c r="G2631" s="438" t="s">
        <v>5840</v>
      </c>
      <c r="H2631" s="427" t="s">
        <v>5163</v>
      </c>
      <c r="I2631" s="518">
        <v>1802.5</v>
      </c>
      <c r="J2631" s="381">
        <v>468.5</v>
      </c>
      <c r="K2631" s="519">
        <v>468.5</v>
      </c>
      <c r="L2631" s="369">
        <f t="shared" si="193"/>
        <v>93.7</v>
      </c>
      <c r="M2631" s="369" t="s">
        <v>6171</v>
      </c>
      <c r="N2631" s="432" t="s">
        <v>3785</v>
      </c>
      <c r="O2631" s="521" t="s">
        <v>5847</v>
      </c>
      <c r="P2631" s="438" t="s">
        <v>5530</v>
      </c>
      <c r="Q2631" s="481">
        <v>0.2</v>
      </c>
      <c r="R2631" s="427">
        <v>1900001375</v>
      </c>
      <c r="S2631" s="513" t="s">
        <v>3475</v>
      </c>
      <c r="T2631" s="2" t="s">
        <v>5914</v>
      </c>
      <c r="U2631" s="9" t="s">
        <v>3475</v>
      </c>
    </row>
    <row r="2632" spans="1:21" hidden="1" x14ac:dyDescent="0.35">
      <c r="A2632" s="435" t="s">
        <v>5160</v>
      </c>
      <c r="B2632" s="427" t="s">
        <v>5859</v>
      </c>
      <c r="C2632" s="517" t="s">
        <v>5845</v>
      </c>
      <c r="D2632" s="517" t="s">
        <v>5845</v>
      </c>
      <c r="E2632" s="517"/>
      <c r="F2632" s="438" t="s">
        <v>5846</v>
      </c>
      <c r="G2632" s="435" t="s">
        <v>5520</v>
      </c>
      <c r="H2632" s="427" t="s">
        <v>5163</v>
      </c>
      <c r="I2632" s="518">
        <v>902.66</v>
      </c>
      <c r="J2632" s="381">
        <v>234.52</v>
      </c>
      <c r="K2632" s="519">
        <v>234.52</v>
      </c>
      <c r="L2632" s="369">
        <f t="shared" si="193"/>
        <v>46.904000000000003</v>
      </c>
      <c r="M2632" s="369" t="s">
        <v>6171</v>
      </c>
      <c r="N2632" s="432" t="s">
        <v>3785</v>
      </c>
      <c r="O2632" s="521" t="s">
        <v>5847</v>
      </c>
      <c r="P2632" s="438" t="s">
        <v>5530</v>
      </c>
      <c r="Q2632" s="481">
        <v>0.2</v>
      </c>
      <c r="R2632" s="427">
        <v>1900001375</v>
      </c>
      <c r="S2632" s="513" t="s">
        <v>3475</v>
      </c>
      <c r="T2632" s="2" t="s">
        <v>5914</v>
      </c>
      <c r="U2632" s="9" t="s">
        <v>3475</v>
      </c>
    </row>
    <row r="2633" spans="1:21" hidden="1" x14ac:dyDescent="0.35">
      <c r="A2633" s="435" t="s">
        <v>5160</v>
      </c>
      <c r="B2633" s="427" t="s">
        <v>5859</v>
      </c>
      <c r="C2633" s="517" t="s">
        <v>5845</v>
      </c>
      <c r="D2633" s="517" t="s">
        <v>5845</v>
      </c>
      <c r="E2633" s="517"/>
      <c r="F2633" s="438" t="s">
        <v>5846</v>
      </c>
      <c r="G2633" s="435" t="s">
        <v>5520</v>
      </c>
      <c r="H2633" s="427" t="s">
        <v>5163</v>
      </c>
      <c r="I2633" s="518">
        <v>902.66</v>
      </c>
      <c r="J2633" s="381">
        <v>234.52</v>
      </c>
      <c r="K2633" s="519">
        <v>234.52</v>
      </c>
      <c r="L2633" s="369">
        <f t="shared" si="193"/>
        <v>46.904000000000003</v>
      </c>
      <c r="M2633" s="369" t="s">
        <v>6171</v>
      </c>
      <c r="N2633" s="432" t="s">
        <v>3785</v>
      </c>
      <c r="O2633" s="521" t="s">
        <v>5847</v>
      </c>
      <c r="P2633" s="438" t="s">
        <v>5530</v>
      </c>
      <c r="Q2633" s="481">
        <v>0.2</v>
      </c>
      <c r="R2633" s="427">
        <v>1900001375</v>
      </c>
      <c r="S2633" s="513" t="s">
        <v>3475</v>
      </c>
      <c r="T2633" s="2" t="s">
        <v>5914</v>
      </c>
      <c r="U2633" s="9" t="s">
        <v>3475</v>
      </c>
    </row>
    <row r="2634" spans="1:21" hidden="1" x14ac:dyDescent="0.35">
      <c r="A2634" s="435" t="s">
        <v>5160</v>
      </c>
      <c r="B2634" s="427" t="s">
        <v>5859</v>
      </c>
      <c r="C2634" s="517" t="s">
        <v>5845</v>
      </c>
      <c r="D2634" s="517" t="s">
        <v>5845</v>
      </c>
      <c r="E2634" s="517"/>
      <c r="F2634" s="438" t="s">
        <v>5846</v>
      </c>
      <c r="G2634" s="435" t="s">
        <v>5520</v>
      </c>
      <c r="H2634" s="427" t="s">
        <v>5163</v>
      </c>
      <c r="I2634" s="518">
        <v>902.66</v>
      </c>
      <c r="J2634" s="381">
        <v>234.52</v>
      </c>
      <c r="K2634" s="519">
        <v>234.52</v>
      </c>
      <c r="L2634" s="369">
        <f t="shared" si="193"/>
        <v>46.904000000000003</v>
      </c>
      <c r="M2634" s="369" t="s">
        <v>6171</v>
      </c>
      <c r="N2634" s="432" t="s">
        <v>3785</v>
      </c>
      <c r="O2634" s="521" t="s">
        <v>5847</v>
      </c>
      <c r="P2634" s="438" t="s">
        <v>5530</v>
      </c>
      <c r="Q2634" s="481">
        <v>0.2</v>
      </c>
      <c r="R2634" s="427">
        <v>1900001375</v>
      </c>
      <c r="S2634" s="513" t="s">
        <v>3475</v>
      </c>
      <c r="T2634" s="2" t="s">
        <v>5914</v>
      </c>
      <c r="U2634" s="9" t="s">
        <v>3475</v>
      </c>
    </row>
    <row r="2635" spans="1:21" hidden="1" x14ac:dyDescent="0.35">
      <c r="A2635" s="435" t="s">
        <v>5160</v>
      </c>
      <c r="B2635" s="427" t="s">
        <v>5859</v>
      </c>
      <c r="C2635" s="517" t="s">
        <v>5845</v>
      </c>
      <c r="D2635" s="517" t="s">
        <v>5845</v>
      </c>
      <c r="E2635" s="517"/>
      <c r="F2635" s="438" t="s">
        <v>5846</v>
      </c>
      <c r="G2635" s="435" t="s">
        <v>5520</v>
      </c>
      <c r="H2635" s="427" t="s">
        <v>5163</v>
      </c>
      <c r="I2635" s="518">
        <v>902.66</v>
      </c>
      <c r="J2635" s="381">
        <v>234.52</v>
      </c>
      <c r="K2635" s="519">
        <v>234.52</v>
      </c>
      <c r="L2635" s="369">
        <f t="shared" si="193"/>
        <v>46.904000000000003</v>
      </c>
      <c r="M2635" s="369" t="s">
        <v>6171</v>
      </c>
      <c r="N2635" s="432" t="s">
        <v>3785</v>
      </c>
      <c r="O2635" s="521" t="s">
        <v>5847</v>
      </c>
      <c r="P2635" s="438" t="s">
        <v>5530</v>
      </c>
      <c r="Q2635" s="481">
        <v>0.2</v>
      </c>
      <c r="R2635" s="427">
        <v>1900001375</v>
      </c>
      <c r="S2635" s="513" t="s">
        <v>3475</v>
      </c>
      <c r="T2635" s="2" t="s">
        <v>5914</v>
      </c>
      <c r="U2635" s="9" t="s">
        <v>3475</v>
      </c>
    </row>
    <row r="2636" spans="1:21" hidden="1" x14ac:dyDescent="0.35">
      <c r="A2636" s="435" t="s">
        <v>5160</v>
      </c>
      <c r="B2636" s="427" t="s">
        <v>5859</v>
      </c>
      <c r="C2636" s="517" t="s">
        <v>5845</v>
      </c>
      <c r="D2636" s="517" t="s">
        <v>5845</v>
      </c>
      <c r="E2636" s="517"/>
      <c r="F2636" s="438" t="s">
        <v>5846</v>
      </c>
      <c r="G2636" s="435" t="s">
        <v>5520</v>
      </c>
      <c r="H2636" s="427" t="s">
        <v>5163</v>
      </c>
      <c r="I2636" s="518">
        <v>902.66</v>
      </c>
      <c r="J2636" s="381">
        <v>234.52</v>
      </c>
      <c r="K2636" s="519">
        <v>234.52</v>
      </c>
      <c r="L2636" s="369">
        <f t="shared" si="193"/>
        <v>46.904000000000003</v>
      </c>
      <c r="M2636" s="369" t="s">
        <v>6171</v>
      </c>
      <c r="N2636" s="432" t="s">
        <v>3785</v>
      </c>
      <c r="O2636" s="521" t="s">
        <v>5847</v>
      </c>
      <c r="P2636" s="438" t="s">
        <v>5530</v>
      </c>
      <c r="Q2636" s="481">
        <v>0.2</v>
      </c>
      <c r="R2636" s="427">
        <v>1900001375</v>
      </c>
      <c r="S2636" s="513" t="s">
        <v>3475</v>
      </c>
      <c r="T2636" s="2" t="s">
        <v>5914</v>
      </c>
      <c r="U2636" s="9" t="s">
        <v>3475</v>
      </c>
    </row>
    <row r="2637" spans="1:21" hidden="1" x14ac:dyDescent="0.35">
      <c r="A2637" s="435" t="s">
        <v>5160</v>
      </c>
      <c r="B2637" s="427" t="s">
        <v>5859</v>
      </c>
      <c r="C2637" s="517" t="s">
        <v>5845</v>
      </c>
      <c r="D2637" s="517" t="s">
        <v>5845</v>
      </c>
      <c r="E2637" s="517"/>
      <c r="F2637" s="438" t="s">
        <v>5846</v>
      </c>
      <c r="G2637" s="435" t="s">
        <v>5520</v>
      </c>
      <c r="H2637" s="427" t="s">
        <v>5163</v>
      </c>
      <c r="I2637" s="518">
        <v>902.66</v>
      </c>
      <c r="J2637" s="381">
        <v>234.52</v>
      </c>
      <c r="K2637" s="519">
        <v>234.52</v>
      </c>
      <c r="L2637" s="369">
        <f t="shared" si="193"/>
        <v>46.904000000000003</v>
      </c>
      <c r="M2637" s="369" t="s">
        <v>6171</v>
      </c>
      <c r="N2637" s="432" t="s">
        <v>3785</v>
      </c>
      <c r="O2637" s="521" t="s">
        <v>5847</v>
      </c>
      <c r="P2637" s="438" t="s">
        <v>5530</v>
      </c>
      <c r="Q2637" s="481">
        <v>0.2</v>
      </c>
      <c r="R2637" s="427">
        <v>1900001375</v>
      </c>
      <c r="S2637" s="513" t="s">
        <v>3475</v>
      </c>
      <c r="T2637" s="2" t="s">
        <v>5914</v>
      </c>
      <c r="U2637" s="9" t="s">
        <v>3475</v>
      </c>
    </row>
    <row r="2638" spans="1:21" hidden="1" x14ac:dyDescent="0.35">
      <c r="A2638" s="435" t="s">
        <v>5160</v>
      </c>
      <c r="B2638" s="427" t="s">
        <v>5859</v>
      </c>
      <c r="C2638" s="517" t="s">
        <v>5845</v>
      </c>
      <c r="D2638" s="517" t="s">
        <v>5845</v>
      </c>
      <c r="E2638" s="517"/>
      <c r="F2638" s="438" t="s">
        <v>5846</v>
      </c>
      <c r="G2638" s="435" t="s">
        <v>5520</v>
      </c>
      <c r="H2638" s="427" t="s">
        <v>5163</v>
      </c>
      <c r="I2638" s="518">
        <v>902.66</v>
      </c>
      <c r="J2638" s="381">
        <v>234.52</v>
      </c>
      <c r="K2638" s="519">
        <v>234.52</v>
      </c>
      <c r="L2638" s="369">
        <f t="shared" si="193"/>
        <v>46.904000000000003</v>
      </c>
      <c r="M2638" s="369" t="s">
        <v>6171</v>
      </c>
      <c r="N2638" s="432" t="s">
        <v>3785</v>
      </c>
      <c r="O2638" s="521" t="s">
        <v>5847</v>
      </c>
      <c r="P2638" s="438" t="s">
        <v>5530</v>
      </c>
      <c r="Q2638" s="481">
        <v>0.2</v>
      </c>
      <c r="R2638" s="427">
        <v>1900001375</v>
      </c>
      <c r="S2638" s="513" t="s">
        <v>3475</v>
      </c>
      <c r="T2638" s="2" t="s">
        <v>5914</v>
      </c>
      <c r="U2638" s="9" t="s">
        <v>3475</v>
      </c>
    </row>
    <row r="2639" spans="1:21" hidden="1" x14ac:dyDescent="0.35">
      <c r="A2639" s="435" t="s">
        <v>5160</v>
      </c>
      <c r="B2639" s="427" t="s">
        <v>5859</v>
      </c>
      <c r="C2639" s="517" t="s">
        <v>5845</v>
      </c>
      <c r="D2639" s="517" t="s">
        <v>5845</v>
      </c>
      <c r="E2639" s="517"/>
      <c r="F2639" s="438" t="s">
        <v>5846</v>
      </c>
      <c r="G2639" s="435" t="s">
        <v>5520</v>
      </c>
      <c r="H2639" s="427" t="s">
        <v>5163</v>
      </c>
      <c r="I2639" s="518">
        <v>902.66</v>
      </c>
      <c r="J2639" s="381">
        <v>234.52</v>
      </c>
      <c r="K2639" s="519">
        <v>234.52</v>
      </c>
      <c r="L2639" s="369">
        <f t="shared" si="193"/>
        <v>46.904000000000003</v>
      </c>
      <c r="M2639" s="369" t="s">
        <v>6171</v>
      </c>
      <c r="N2639" s="432" t="s">
        <v>3785</v>
      </c>
      <c r="O2639" s="521" t="s">
        <v>5847</v>
      </c>
      <c r="P2639" s="438" t="s">
        <v>5530</v>
      </c>
      <c r="Q2639" s="481">
        <v>0.2</v>
      </c>
      <c r="R2639" s="427">
        <v>1900001375</v>
      </c>
      <c r="S2639" s="513" t="s">
        <v>3475</v>
      </c>
      <c r="T2639" s="2" t="s">
        <v>5914</v>
      </c>
      <c r="U2639" s="9" t="s">
        <v>3475</v>
      </c>
    </row>
    <row r="2640" spans="1:21" hidden="1" x14ac:dyDescent="0.35">
      <c r="A2640" s="435" t="s">
        <v>5160</v>
      </c>
      <c r="B2640" s="427" t="s">
        <v>5859</v>
      </c>
      <c r="C2640" s="517" t="s">
        <v>5845</v>
      </c>
      <c r="D2640" s="517" t="s">
        <v>5845</v>
      </c>
      <c r="E2640" s="517"/>
      <c r="F2640" s="438" t="s">
        <v>5846</v>
      </c>
      <c r="G2640" s="435" t="s">
        <v>5520</v>
      </c>
      <c r="H2640" s="427" t="s">
        <v>5163</v>
      </c>
      <c r="I2640" s="518">
        <v>902.66</v>
      </c>
      <c r="J2640" s="381">
        <v>234.52</v>
      </c>
      <c r="K2640" s="519">
        <v>234.52</v>
      </c>
      <c r="L2640" s="369">
        <f t="shared" si="193"/>
        <v>46.904000000000003</v>
      </c>
      <c r="M2640" s="369" t="s">
        <v>6171</v>
      </c>
      <c r="N2640" s="432" t="s">
        <v>3785</v>
      </c>
      <c r="O2640" s="521" t="s">
        <v>5847</v>
      </c>
      <c r="P2640" s="438" t="s">
        <v>5530</v>
      </c>
      <c r="Q2640" s="481">
        <v>0.2</v>
      </c>
      <c r="R2640" s="427">
        <v>1900001375</v>
      </c>
      <c r="S2640" s="513" t="s">
        <v>3475</v>
      </c>
      <c r="T2640" s="2" t="s">
        <v>5914</v>
      </c>
      <c r="U2640" s="9" t="s">
        <v>3475</v>
      </c>
    </row>
    <row r="2641" spans="1:21" hidden="1" x14ac:dyDescent="0.35">
      <c r="A2641" s="435" t="s">
        <v>5160</v>
      </c>
      <c r="B2641" s="427" t="s">
        <v>5859</v>
      </c>
      <c r="C2641" s="517" t="s">
        <v>5845</v>
      </c>
      <c r="D2641" s="517" t="s">
        <v>5845</v>
      </c>
      <c r="E2641" s="517"/>
      <c r="F2641" s="438" t="s">
        <v>5846</v>
      </c>
      <c r="G2641" s="435" t="s">
        <v>5520</v>
      </c>
      <c r="H2641" s="427" t="s">
        <v>5163</v>
      </c>
      <c r="I2641" s="518">
        <v>902.66</v>
      </c>
      <c r="J2641" s="381">
        <v>234.52</v>
      </c>
      <c r="K2641" s="519">
        <v>234.52</v>
      </c>
      <c r="L2641" s="369">
        <f t="shared" si="193"/>
        <v>46.904000000000003</v>
      </c>
      <c r="M2641" s="369" t="s">
        <v>6171</v>
      </c>
      <c r="N2641" s="432" t="s">
        <v>3785</v>
      </c>
      <c r="O2641" s="521" t="s">
        <v>5847</v>
      </c>
      <c r="P2641" s="438" t="s">
        <v>5530</v>
      </c>
      <c r="Q2641" s="481">
        <v>0.2</v>
      </c>
      <c r="R2641" s="427">
        <v>1900001375</v>
      </c>
      <c r="S2641" s="513" t="s">
        <v>3475</v>
      </c>
      <c r="T2641" s="2" t="s">
        <v>5914</v>
      </c>
      <c r="U2641" s="9" t="s">
        <v>3475</v>
      </c>
    </row>
    <row r="2642" spans="1:21" hidden="1" x14ac:dyDescent="0.35">
      <c r="A2642" s="435" t="s">
        <v>5160</v>
      </c>
      <c r="B2642" s="427" t="s">
        <v>5859</v>
      </c>
      <c r="C2642" s="517" t="s">
        <v>5845</v>
      </c>
      <c r="D2642" s="517" t="s">
        <v>5845</v>
      </c>
      <c r="E2642" s="517"/>
      <c r="F2642" s="438" t="s">
        <v>5846</v>
      </c>
      <c r="G2642" s="435" t="s">
        <v>5520</v>
      </c>
      <c r="H2642" s="427" t="s">
        <v>5163</v>
      </c>
      <c r="I2642" s="518">
        <v>902.66</v>
      </c>
      <c r="J2642" s="381">
        <v>234.52</v>
      </c>
      <c r="K2642" s="519">
        <v>234.52</v>
      </c>
      <c r="L2642" s="369">
        <f t="shared" si="193"/>
        <v>46.904000000000003</v>
      </c>
      <c r="M2642" s="369" t="s">
        <v>6171</v>
      </c>
      <c r="N2642" s="432" t="s">
        <v>3785</v>
      </c>
      <c r="O2642" s="521" t="s">
        <v>5847</v>
      </c>
      <c r="P2642" s="438" t="s">
        <v>5530</v>
      </c>
      <c r="Q2642" s="481">
        <v>0.2</v>
      </c>
      <c r="R2642" s="427">
        <v>1900001375</v>
      </c>
      <c r="S2642" s="513" t="s">
        <v>3475</v>
      </c>
      <c r="T2642" s="2" t="s">
        <v>5914</v>
      </c>
      <c r="U2642" s="9" t="s">
        <v>3475</v>
      </c>
    </row>
    <row r="2643" spans="1:21" hidden="1" x14ac:dyDescent="0.35">
      <c r="A2643" s="435" t="s">
        <v>5160</v>
      </c>
      <c r="B2643" s="427" t="s">
        <v>5859</v>
      </c>
      <c r="C2643" s="517" t="s">
        <v>5845</v>
      </c>
      <c r="D2643" s="517" t="s">
        <v>5845</v>
      </c>
      <c r="E2643" s="517"/>
      <c r="F2643" s="438" t="s">
        <v>5846</v>
      </c>
      <c r="G2643" s="435" t="s">
        <v>5520</v>
      </c>
      <c r="H2643" s="427" t="s">
        <v>5163</v>
      </c>
      <c r="I2643" s="518">
        <v>902.66</v>
      </c>
      <c r="J2643" s="381">
        <v>234.52</v>
      </c>
      <c r="K2643" s="519">
        <v>234.52</v>
      </c>
      <c r="L2643" s="369">
        <f t="shared" si="193"/>
        <v>46.904000000000003</v>
      </c>
      <c r="M2643" s="369" t="s">
        <v>6171</v>
      </c>
      <c r="N2643" s="432" t="s">
        <v>3785</v>
      </c>
      <c r="O2643" s="521" t="s">
        <v>5847</v>
      </c>
      <c r="P2643" s="438" t="s">
        <v>5530</v>
      </c>
      <c r="Q2643" s="481">
        <v>0.2</v>
      </c>
      <c r="R2643" s="427">
        <v>1900001375</v>
      </c>
      <c r="S2643" s="513" t="s">
        <v>3475</v>
      </c>
      <c r="T2643" s="2" t="s">
        <v>5914</v>
      </c>
      <c r="U2643" s="9" t="s">
        <v>3475</v>
      </c>
    </row>
    <row r="2644" spans="1:21" hidden="1" x14ac:dyDescent="0.35">
      <c r="A2644" s="435" t="s">
        <v>5160</v>
      </c>
      <c r="B2644" s="427" t="s">
        <v>5859</v>
      </c>
      <c r="C2644" s="517" t="s">
        <v>5845</v>
      </c>
      <c r="D2644" s="517" t="s">
        <v>5845</v>
      </c>
      <c r="E2644" s="517"/>
      <c r="F2644" s="438" t="s">
        <v>5846</v>
      </c>
      <c r="G2644" s="435" t="s">
        <v>5520</v>
      </c>
      <c r="H2644" s="427" t="s">
        <v>5163</v>
      </c>
      <c r="I2644" s="518">
        <v>902.66</v>
      </c>
      <c r="J2644" s="381">
        <v>234.52</v>
      </c>
      <c r="K2644" s="519">
        <v>234.52</v>
      </c>
      <c r="L2644" s="369">
        <f t="shared" si="193"/>
        <v>46.904000000000003</v>
      </c>
      <c r="M2644" s="369" t="s">
        <v>6171</v>
      </c>
      <c r="N2644" s="432" t="s">
        <v>3785</v>
      </c>
      <c r="O2644" s="521" t="s">
        <v>5847</v>
      </c>
      <c r="P2644" s="438" t="s">
        <v>5530</v>
      </c>
      <c r="Q2644" s="481">
        <v>0.2</v>
      </c>
      <c r="R2644" s="427">
        <v>1900001375</v>
      </c>
      <c r="S2644" s="513" t="s">
        <v>3475</v>
      </c>
      <c r="T2644" s="2" t="s">
        <v>5914</v>
      </c>
      <c r="U2644" s="9" t="s">
        <v>3475</v>
      </c>
    </row>
    <row r="2645" spans="1:21" hidden="1" x14ac:dyDescent="0.35">
      <c r="A2645" s="435" t="s">
        <v>5160</v>
      </c>
      <c r="B2645" s="427" t="s">
        <v>5859</v>
      </c>
      <c r="C2645" s="517" t="s">
        <v>5845</v>
      </c>
      <c r="D2645" s="517" t="s">
        <v>5845</v>
      </c>
      <c r="E2645" s="517"/>
      <c r="F2645" s="438" t="s">
        <v>5846</v>
      </c>
      <c r="G2645" s="435" t="s">
        <v>5520</v>
      </c>
      <c r="H2645" s="427" t="s">
        <v>5163</v>
      </c>
      <c r="I2645" s="518">
        <v>902.66</v>
      </c>
      <c r="J2645" s="381">
        <v>234.52</v>
      </c>
      <c r="K2645" s="519">
        <v>234.52</v>
      </c>
      <c r="L2645" s="369">
        <f t="shared" si="193"/>
        <v>46.904000000000003</v>
      </c>
      <c r="M2645" s="369" t="s">
        <v>6171</v>
      </c>
      <c r="N2645" s="432" t="s">
        <v>3785</v>
      </c>
      <c r="O2645" s="521" t="s">
        <v>5847</v>
      </c>
      <c r="P2645" s="438" t="s">
        <v>5530</v>
      </c>
      <c r="Q2645" s="481">
        <v>0.2</v>
      </c>
      <c r="R2645" s="427">
        <v>1900001375</v>
      </c>
      <c r="S2645" s="513" t="s">
        <v>3475</v>
      </c>
      <c r="T2645" s="2" t="s">
        <v>5914</v>
      </c>
      <c r="U2645" s="9" t="s">
        <v>3475</v>
      </c>
    </row>
    <row r="2646" spans="1:21" hidden="1" x14ac:dyDescent="0.35">
      <c r="A2646" s="435" t="s">
        <v>5160</v>
      </c>
      <c r="B2646" s="427" t="s">
        <v>5859</v>
      </c>
      <c r="C2646" s="517" t="s">
        <v>5845</v>
      </c>
      <c r="D2646" s="517" t="s">
        <v>5845</v>
      </c>
      <c r="E2646" s="517"/>
      <c r="F2646" s="438" t="s">
        <v>5846</v>
      </c>
      <c r="G2646" s="435" t="s">
        <v>5520</v>
      </c>
      <c r="H2646" s="427" t="s">
        <v>5163</v>
      </c>
      <c r="I2646" s="518">
        <v>902.66</v>
      </c>
      <c r="J2646" s="381">
        <v>234.52</v>
      </c>
      <c r="K2646" s="519">
        <v>234.52</v>
      </c>
      <c r="L2646" s="369">
        <f t="shared" si="193"/>
        <v>46.904000000000003</v>
      </c>
      <c r="M2646" s="369" t="s">
        <v>6171</v>
      </c>
      <c r="N2646" s="432" t="s">
        <v>3785</v>
      </c>
      <c r="O2646" s="521" t="s">
        <v>5847</v>
      </c>
      <c r="P2646" s="438" t="s">
        <v>5530</v>
      </c>
      <c r="Q2646" s="481">
        <v>0.2</v>
      </c>
      <c r="R2646" s="427">
        <v>1900001375</v>
      </c>
      <c r="S2646" s="513" t="s">
        <v>3475</v>
      </c>
      <c r="T2646" s="2" t="s">
        <v>5914</v>
      </c>
      <c r="U2646" s="9" t="s">
        <v>3475</v>
      </c>
    </row>
    <row r="2647" spans="1:21" hidden="1" x14ac:dyDescent="0.35">
      <c r="A2647" s="435" t="s">
        <v>5160</v>
      </c>
      <c r="B2647" s="427" t="s">
        <v>5859</v>
      </c>
      <c r="C2647" s="517" t="s">
        <v>5845</v>
      </c>
      <c r="D2647" s="517" t="s">
        <v>5845</v>
      </c>
      <c r="E2647" s="517"/>
      <c r="F2647" s="438" t="s">
        <v>5846</v>
      </c>
      <c r="G2647" s="435" t="s">
        <v>5520</v>
      </c>
      <c r="H2647" s="427" t="s">
        <v>5163</v>
      </c>
      <c r="I2647" s="518">
        <v>902.66</v>
      </c>
      <c r="J2647" s="381">
        <v>234.52</v>
      </c>
      <c r="K2647" s="519">
        <v>234.52</v>
      </c>
      <c r="L2647" s="369">
        <f t="shared" si="193"/>
        <v>46.904000000000003</v>
      </c>
      <c r="M2647" s="369" t="s">
        <v>6171</v>
      </c>
      <c r="N2647" s="432" t="s">
        <v>3785</v>
      </c>
      <c r="O2647" s="521" t="s">
        <v>5847</v>
      </c>
      <c r="P2647" s="438" t="s">
        <v>5530</v>
      </c>
      <c r="Q2647" s="481">
        <v>0.2</v>
      </c>
      <c r="R2647" s="427">
        <v>1900001375</v>
      </c>
      <c r="S2647" s="513" t="s">
        <v>3475</v>
      </c>
      <c r="T2647" s="2" t="s">
        <v>5914</v>
      </c>
      <c r="U2647" s="9" t="s">
        <v>3475</v>
      </c>
    </row>
    <row r="2648" spans="1:21" hidden="1" x14ac:dyDescent="0.35">
      <c r="A2648" s="435" t="s">
        <v>5160</v>
      </c>
      <c r="B2648" s="427" t="s">
        <v>5859</v>
      </c>
      <c r="C2648" s="517" t="s">
        <v>5845</v>
      </c>
      <c r="D2648" s="517" t="s">
        <v>5845</v>
      </c>
      <c r="E2648" s="517"/>
      <c r="F2648" s="438" t="s">
        <v>5846</v>
      </c>
      <c r="G2648" s="435" t="s">
        <v>5520</v>
      </c>
      <c r="H2648" s="427" t="s">
        <v>5163</v>
      </c>
      <c r="I2648" s="518">
        <v>902.66</v>
      </c>
      <c r="J2648" s="381">
        <v>234.52</v>
      </c>
      <c r="K2648" s="519">
        <v>234.52</v>
      </c>
      <c r="L2648" s="369">
        <f t="shared" si="193"/>
        <v>46.904000000000003</v>
      </c>
      <c r="M2648" s="369" t="s">
        <v>6171</v>
      </c>
      <c r="N2648" s="432" t="s">
        <v>3785</v>
      </c>
      <c r="O2648" s="521" t="s">
        <v>5847</v>
      </c>
      <c r="P2648" s="438" t="s">
        <v>5530</v>
      </c>
      <c r="Q2648" s="481">
        <v>0.2</v>
      </c>
      <c r="R2648" s="427">
        <v>1900001375</v>
      </c>
      <c r="S2648" s="513" t="s">
        <v>3475</v>
      </c>
      <c r="T2648" s="2" t="s">
        <v>5914</v>
      </c>
      <c r="U2648" s="9" t="s">
        <v>3475</v>
      </c>
    </row>
    <row r="2649" spans="1:21" hidden="1" x14ac:dyDescent="0.35">
      <c r="A2649" s="435" t="s">
        <v>5160</v>
      </c>
      <c r="B2649" s="427" t="s">
        <v>5859</v>
      </c>
      <c r="C2649" s="517" t="s">
        <v>5845</v>
      </c>
      <c r="D2649" s="517" t="s">
        <v>5845</v>
      </c>
      <c r="E2649" s="517"/>
      <c r="F2649" s="438" t="s">
        <v>5846</v>
      </c>
      <c r="G2649" s="435" t="s">
        <v>5520</v>
      </c>
      <c r="H2649" s="427" t="s">
        <v>5163</v>
      </c>
      <c r="I2649" s="518">
        <v>902.66</v>
      </c>
      <c r="J2649" s="381">
        <v>234.52</v>
      </c>
      <c r="K2649" s="519">
        <v>234.52</v>
      </c>
      <c r="L2649" s="369">
        <f t="shared" si="193"/>
        <v>46.904000000000003</v>
      </c>
      <c r="M2649" s="369" t="s">
        <v>6171</v>
      </c>
      <c r="N2649" s="432" t="s">
        <v>3785</v>
      </c>
      <c r="O2649" s="521" t="s">
        <v>5847</v>
      </c>
      <c r="P2649" s="438" t="s">
        <v>5530</v>
      </c>
      <c r="Q2649" s="481">
        <v>0.2</v>
      </c>
      <c r="R2649" s="427">
        <v>1900001375</v>
      </c>
      <c r="S2649" s="513" t="s">
        <v>3475</v>
      </c>
      <c r="T2649" s="2" t="s">
        <v>5914</v>
      </c>
      <c r="U2649" s="9" t="s">
        <v>3475</v>
      </c>
    </row>
    <row r="2650" spans="1:21" hidden="1" x14ac:dyDescent="0.35">
      <c r="A2650" s="435" t="s">
        <v>5160</v>
      </c>
      <c r="B2650" s="427" t="s">
        <v>5859</v>
      </c>
      <c r="C2650" s="517" t="s">
        <v>5845</v>
      </c>
      <c r="D2650" s="517" t="s">
        <v>5845</v>
      </c>
      <c r="E2650" s="517"/>
      <c r="F2650" s="438" t="s">
        <v>5846</v>
      </c>
      <c r="G2650" s="435" t="s">
        <v>5520</v>
      </c>
      <c r="H2650" s="427" t="s">
        <v>5163</v>
      </c>
      <c r="I2650" s="518">
        <v>902.66</v>
      </c>
      <c r="J2650" s="381">
        <v>234.52</v>
      </c>
      <c r="K2650" s="519">
        <v>234.52</v>
      </c>
      <c r="L2650" s="369">
        <f t="shared" si="193"/>
        <v>46.904000000000003</v>
      </c>
      <c r="M2650" s="369" t="s">
        <v>6171</v>
      </c>
      <c r="N2650" s="432" t="s">
        <v>3785</v>
      </c>
      <c r="O2650" s="521" t="s">
        <v>5847</v>
      </c>
      <c r="P2650" s="438" t="s">
        <v>5530</v>
      </c>
      <c r="Q2650" s="481">
        <v>0.2</v>
      </c>
      <c r="R2650" s="427">
        <v>1900001375</v>
      </c>
      <c r="S2650" s="513" t="s">
        <v>3475</v>
      </c>
      <c r="T2650" s="2" t="s">
        <v>5914</v>
      </c>
      <c r="U2650" s="9" t="s">
        <v>3475</v>
      </c>
    </row>
    <row r="2651" spans="1:21" hidden="1" x14ac:dyDescent="0.35">
      <c r="A2651" s="435" t="s">
        <v>5160</v>
      </c>
      <c r="B2651" s="427" t="s">
        <v>5859</v>
      </c>
      <c r="C2651" s="517" t="s">
        <v>5845</v>
      </c>
      <c r="D2651" s="517" t="s">
        <v>5845</v>
      </c>
      <c r="E2651" s="517"/>
      <c r="F2651" s="438" t="s">
        <v>5846</v>
      </c>
      <c r="G2651" s="435" t="s">
        <v>5520</v>
      </c>
      <c r="H2651" s="427" t="s">
        <v>5163</v>
      </c>
      <c r="I2651" s="518">
        <v>902.66</v>
      </c>
      <c r="J2651" s="381">
        <v>234.52</v>
      </c>
      <c r="K2651" s="519">
        <v>234.52</v>
      </c>
      <c r="L2651" s="369">
        <f t="shared" si="193"/>
        <v>46.904000000000003</v>
      </c>
      <c r="M2651" s="369" t="s">
        <v>6171</v>
      </c>
      <c r="N2651" s="432" t="s">
        <v>3785</v>
      </c>
      <c r="O2651" s="521" t="s">
        <v>5847</v>
      </c>
      <c r="P2651" s="438" t="s">
        <v>5530</v>
      </c>
      <c r="Q2651" s="481">
        <v>0.2</v>
      </c>
      <c r="R2651" s="427">
        <v>1900001375</v>
      </c>
      <c r="S2651" s="513" t="s">
        <v>3475</v>
      </c>
      <c r="T2651" s="2" t="s">
        <v>5914</v>
      </c>
      <c r="U2651" s="9" t="s">
        <v>3475</v>
      </c>
    </row>
    <row r="2652" spans="1:21" hidden="1" x14ac:dyDescent="0.35">
      <c r="A2652" s="435" t="s">
        <v>5160</v>
      </c>
      <c r="B2652" s="427" t="s">
        <v>5859</v>
      </c>
      <c r="C2652" s="517" t="s">
        <v>5845</v>
      </c>
      <c r="D2652" s="517" t="s">
        <v>5845</v>
      </c>
      <c r="E2652" s="517"/>
      <c r="F2652" s="438" t="s">
        <v>5846</v>
      </c>
      <c r="G2652" s="435" t="s">
        <v>5520</v>
      </c>
      <c r="H2652" s="427" t="s">
        <v>5163</v>
      </c>
      <c r="I2652" s="518">
        <v>902.66</v>
      </c>
      <c r="J2652" s="381">
        <v>234.52</v>
      </c>
      <c r="K2652" s="519">
        <v>234.52</v>
      </c>
      <c r="L2652" s="369">
        <f t="shared" si="193"/>
        <v>46.904000000000003</v>
      </c>
      <c r="M2652" s="369" t="s">
        <v>6171</v>
      </c>
      <c r="N2652" s="432" t="s">
        <v>3785</v>
      </c>
      <c r="O2652" s="521" t="s">
        <v>5847</v>
      </c>
      <c r="P2652" s="438" t="s">
        <v>5530</v>
      </c>
      <c r="Q2652" s="481">
        <v>0.2</v>
      </c>
      <c r="R2652" s="427">
        <v>1900001375</v>
      </c>
      <c r="S2652" s="513" t="s">
        <v>3475</v>
      </c>
      <c r="T2652" s="2" t="s">
        <v>5914</v>
      </c>
      <c r="U2652" s="9" t="s">
        <v>3475</v>
      </c>
    </row>
    <row r="2653" spans="1:21" hidden="1" x14ac:dyDescent="0.35">
      <c r="A2653" s="435" t="s">
        <v>5160</v>
      </c>
      <c r="B2653" s="427" t="s">
        <v>5859</v>
      </c>
      <c r="C2653" s="517" t="s">
        <v>5845</v>
      </c>
      <c r="D2653" s="517" t="s">
        <v>5845</v>
      </c>
      <c r="E2653" s="517"/>
      <c r="F2653" s="438" t="s">
        <v>5846</v>
      </c>
      <c r="G2653" s="435" t="s">
        <v>5520</v>
      </c>
      <c r="H2653" s="427" t="s">
        <v>5163</v>
      </c>
      <c r="I2653" s="518">
        <v>902.66</v>
      </c>
      <c r="J2653" s="381">
        <v>234.52</v>
      </c>
      <c r="K2653" s="519">
        <v>234.52</v>
      </c>
      <c r="L2653" s="369">
        <f t="shared" si="193"/>
        <v>46.904000000000003</v>
      </c>
      <c r="M2653" s="369" t="s">
        <v>6171</v>
      </c>
      <c r="N2653" s="432" t="s">
        <v>3785</v>
      </c>
      <c r="O2653" s="521" t="s">
        <v>5847</v>
      </c>
      <c r="P2653" s="438" t="s">
        <v>5530</v>
      </c>
      <c r="Q2653" s="481">
        <v>0.2</v>
      </c>
      <c r="R2653" s="427">
        <v>1900001375</v>
      </c>
      <c r="S2653" s="513" t="s">
        <v>3475</v>
      </c>
      <c r="T2653" s="2" t="s">
        <v>5914</v>
      </c>
      <c r="U2653" s="9" t="s">
        <v>3475</v>
      </c>
    </row>
    <row r="2654" spans="1:21" hidden="1" x14ac:dyDescent="0.35">
      <c r="A2654" s="435" t="s">
        <v>5160</v>
      </c>
      <c r="B2654" s="427" t="s">
        <v>5859</v>
      </c>
      <c r="C2654" s="517" t="s">
        <v>5845</v>
      </c>
      <c r="D2654" s="517" t="s">
        <v>5845</v>
      </c>
      <c r="E2654" s="517"/>
      <c r="F2654" s="438" t="s">
        <v>5846</v>
      </c>
      <c r="G2654" s="435" t="s">
        <v>5520</v>
      </c>
      <c r="H2654" s="427" t="s">
        <v>5163</v>
      </c>
      <c r="I2654" s="518">
        <v>902.66</v>
      </c>
      <c r="J2654" s="381">
        <v>234.52</v>
      </c>
      <c r="K2654" s="519">
        <v>234.52</v>
      </c>
      <c r="L2654" s="369">
        <f t="shared" si="193"/>
        <v>46.904000000000003</v>
      </c>
      <c r="M2654" s="369" t="s">
        <v>6171</v>
      </c>
      <c r="N2654" s="432" t="s">
        <v>3785</v>
      </c>
      <c r="O2654" s="521" t="s">
        <v>5847</v>
      </c>
      <c r="P2654" s="438" t="s">
        <v>5530</v>
      </c>
      <c r="Q2654" s="481">
        <v>0.2</v>
      </c>
      <c r="R2654" s="427">
        <v>1900001375</v>
      </c>
      <c r="S2654" s="513" t="s">
        <v>3475</v>
      </c>
      <c r="T2654" s="2" t="s">
        <v>5914</v>
      </c>
      <c r="U2654" s="9" t="s">
        <v>3475</v>
      </c>
    </row>
    <row r="2655" spans="1:21" hidden="1" x14ac:dyDescent="0.35">
      <c r="A2655" s="435" t="s">
        <v>5160</v>
      </c>
      <c r="B2655" s="427" t="s">
        <v>5859</v>
      </c>
      <c r="C2655" s="517" t="s">
        <v>5845</v>
      </c>
      <c r="D2655" s="517" t="s">
        <v>5845</v>
      </c>
      <c r="E2655" s="517"/>
      <c r="F2655" s="438" t="s">
        <v>5846</v>
      </c>
      <c r="G2655" s="435" t="s">
        <v>5520</v>
      </c>
      <c r="H2655" s="427" t="s">
        <v>5163</v>
      </c>
      <c r="I2655" s="518">
        <v>902.66</v>
      </c>
      <c r="J2655" s="381">
        <v>234.52</v>
      </c>
      <c r="K2655" s="519">
        <v>234.52</v>
      </c>
      <c r="L2655" s="369">
        <f t="shared" si="193"/>
        <v>46.904000000000003</v>
      </c>
      <c r="M2655" s="369" t="s">
        <v>6171</v>
      </c>
      <c r="N2655" s="432" t="s">
        <v>3785</v>
      </c>
      <c r="O2655" s="521" t="s">
        <v>5847</v>
      </c>
      <c r="P2655" s="438" t="s">
        <v>5530</v>
      </c>
      <c r="Q2655" s="481">
        <v>0.2</v>
      </c>
      <c r="R2655" s="427">
        <v>1900001375</v>
      </c>
      <c r="S2655" s="513" t="s">
        <v>3475</v>
      </c>
      <c r="T2655" s="2" t="s">
        <v>5914</v>
      </c>
      <c r="U2655" s="9" t="s">
        <v>3475</v>
      </c>
    </row>
    <row r="2656" spans="1:21" hidden="1" x14ac:dyDescent="0.35">
      <c r="A2656" s="435" t="s">
        <v>5160</v>
      </c>
      <c r="B2656" s="427" t="s">
        <v>5859</v>
      </c>
      <c r="C2656" s="517" t="s">
        <v>5845</v>
      </c>
      <c r="D2656" s="517" t="s">
        <v>5845</v>
      </c>
      <c r="E2656" s="517"/>
      <c r="F2656" s="438" t="s">
        <v>5846</v>
      </c>
      <c r="G2656" s="435" t="s">
        <v>5520</v>
      </c>
      <c r="H2656" s="427" t="s">
        <v>5163</v>
      </c>
      <c r="I2656" s="518">
        <v>902.66</v>
      </c>
      <c r="J2656" s="381">
        <v>234.52</v>
      </c>
      <c r="K2656" s="519">
        <v>234.52</v>
      </c>
      <c r="L2656" s="369">
        <f t="shared" si="193"/>
        <v>46.904000000000003</v>
      </c>
      <c r="M2656" s="369" t="s">
        <v>6171</v>
      </c>
      <c r="N2656" s="432" t="s">
        <v>3785</v>
      </c>
      <c r="O2656" s="521" t="s">
        <v>5847</v>
      </c>
      <c r="P2656" s="438" t="s">
        <v>5530</v>
      </c>
      <c r="Q2656" s="481">
        <v>0.2</v>
      </c>
      <c r="R2656" s="427">
        <v>1900001375</v>
      </c>
      <c r="S2656" s="513" t="s">
        <v>3475</v>
      </c>
      <c r="T2656" s="2" t="s">
        <v>5914</v>
      </c>
      <c r="U2656" s="9" t="s">
        <v>3475</v>
      </c>
    </row>
    <row r="2657" spans="1:21" hidden="1" x14ac:dyDescent="0.35">
      <c r="A2657" s="435" t="s">
        <v>5160</v>
      </c>
      <c r="B2657" s="427" t="s">
        <v>5859</v>
      </c>
      <c r="C2657" s="517" t="s">
        <v>5845</v>
      </c>
      <c r="D2657" s="517" t="s">
        <v>5845</v>
      </c>
      <c r="E2657" s="517"/>
      <c r="F2657" s="438" t="s">
        <v>5846</v>
      </c>
      <c r="G2657" s="435" t="s">
        <v>5520</v>
      </c>
      <c r="H2657" s="427" t="s">
        <v>5163</v>
      </c>
      <c r="I2657" s="518">
        <v>902.66</v>
      </c>
      <c r="J2657" s="381">
        <v>234.52</v>
      </c>
      <c r="K2657" s="519">
        <v>234.52</v>
      </c>
      <c r="L2657" s="369">
        <f t="shared" si="193"/>
        <v>46.904000000000003</v>
      </c>
      <c r="M2657" s="369" t="s">
        <v>6171</v>
      </c>
      <c r="N2657" s="432" t="s">
        <v>3785</v>
      </c>
      <c r="O2657" s="521" t="s">
        <v>5847</v>
      </c>
      <c r="P2657" s="438" t="s">
        <v>5530</v>
      </c>
      <c r="Q2657" s="481">
        <v>0.2</v>
      </c>
      <c r="R2657" s="427">
        <v>1900001375</v>
      </c>
      <c r="S2657" s="513" t="s">
        <v>3475</v>
      </c>
      <c r="T2657" s="2" t="s">
        <v>5914</v>
      </c>
      <c r="U2657" s="9" t="s">
        <v>3475</v>
      </c>
    </row>
    <row r="2658" spans="1:21" hidden="1" x14ac:dyDescent="0.35">
      <c r="A2658" s="435" t="s">
        <v>5160</v>
      </c>
      <c r="B2658" s="427" t="s">
        <v>5859</v>
      </c>
      <c r="C2658" s="517" t="s">
        <v>5845</v>
      </c>
      <c r="D2658" s="517" t="s">
        <v>5845</v>
      </c>
      <c r="E2658" s="517"/>
      <c r="F2658" s="438" t="s">
        <v>5846</v>
      </c>
      <c r="G2658" s="435" t="s">
        <v>5520</v>
      </c>
      <c r="H2658" s="427" t="s">
        <v>5163</v>
      </c>
      <c r="I2658" s="518">
        <v>902.66</v>
      </c>
      <c r="J2658" s="381">
        <v>234.52</v>
      </c>
      <c r="K2658" s="519">
        <v>234.52</v>
      </c>
      <c r="L2658" s="369">
        <f t="shared" si="193"/>
        <v>46.904000000000003</v>
      </c>
      <c r="M2658" s="369" t="s">
        <v>6171</v>
      </c>
      <c r="N2658" s="432" t="s">
        <v>3785</v>
      </c>
      <c r="O2658" s="521" t="s">
        <v>5847</v>
      </c>
      <c r="P2658" s="438" t="s">
        <v>5530</v>
      </c>
      <c r="Q2658" s="481">
        <v>0.2</v>
      </c>
      <c r="R2658" s="427">
        <v>1900001375</v>
      </c>
      <c r="S2658" s="513" t="s">
        <v>3475</v>
      </c>
      <c r="T2658" s="2" t="s">
        <v>5914</v>
      </c>
      <c r="U2658" s="9" t="s">
        <v>3475</v>
      </c>
    </row>
    <row r="2659" spans="1:21" hidden="1" x14ac:dyDescent="0.35">
      <c r="A2659" s="435" t="s">
        <v>5160</v>
      </c>
      <c r="B2659" s="427" t="s">
        <v>5859</v>
      </c>
      <c r="C2659" s="517" t="s">
        <v>5845</v>
      </c>
      <c r="D2659" s="517" t="s">
        <v>5845</v>
      </c>
      <c r="E2659" s="517"/>
      <c r="F2659" s="438" t="s">
        <v>5846</v>
      </c>
      <c r="G2659" s="435" t="s">
        <v>5520</v>
      </c>
      <c r="H2659" s="427" t="s">
        <v>5163</v>
      </c>
      <c r="I2659" s="518">
        <v>902.66</v>
      </c>
      <c r="J2659" s="381">
        <v>234.52</v>
      </c>
      <c r="K2659" s="519">
        <v>234.52</v>
      </c>
      <c r="L2659" s="369">
        <f t="shared" si="193"/>
        <v>46.904000000000003</v>
      </c>
      <c r="M2659" s="369" t="s">
        <v>6171</v>
      </c>
      <c r="N2659" s="432" t="s">
        <v>3785</v>
      </c>
      <c r="O2659" s="521" t="s">
        <v>5847</v>
      </c>
      <c r="P2659" s="438" t="s">
        <v>5530</v>
      </c>
      <c r="Q2659" s="481">
        <v>0.2</v>
      </c>
      <c r="R2659" s="427">
        <v>1900001375</v>
      </c>
      <c r="S2659" s="513" t="s">
        <v>3475</v>
      </c>
      <c r="T2659" s="2" t="s">
        <v>5914</v>
      </c>
      <c r="U2659" s="9" t="s">
        <v>3475</v>
      </c>
    </row>
    <row r="2660" spans="1:21" hidden="1" x14ac:dyDescent="0.35">
      <c r="A2660" s="435" t="s">
        <v>5160</v>
      </c>
      <c r="B2660" s="427" t="s">
        <v>5859</v>
      </c>
      <c r="C2660" s="517" t="s">
        <v>5845</v>
      </c>
      <c r="D2660" s="517" t="s">
        <v>5845</v>
      </c>
      <c r="E2660" s="517"/>
      <c r="F2660" s="438" t="s">
        <v>5846</v>
      </c>
      <c r="G2660" s="435" t="s">
        <v>5520</v>
      </c>
      <c r="H2660" s="427" t="s">
        <v>5163</v>
      </c>
      <c r="I2660" s="518">
        <v>902.66</v>
      </c>
      <c r="J2660" s="381">
        <v>234.52</v>
      </c>
      <c r="K2660" s="519">
        <v>234.52</v>
      </c>
      <c r="L2660" s="369">
        <f t="shared" si="193"/>
        <v>46.904000000000003</v>
      </c>
      <c r="M2660" s="369" t="s">
        <v>6171</v>
      </c>
      <c r="N2660" s="432" t="s">
        <v>3785</v>
      </c>
      <c r="O2660" s="521" t="s">
        <v>5847</v>
      </c>
      <c r="P2660" s="438" t="s">
        <v>5530</v>
      </c>
      <c r="Q2660" s="481">
        <v>0.2</v>
      </c>
      <c r="R2660" s="427">
        <v>1900001375</v>
      </c>
      <c r="S2660" s="513" t="s">
        <v>3475</v>
      </c>
      <c r="T2660" s="2" t="s">
        <v>5914</v>
      </c>
      <c r="U2660" s="9" t="s">
        <v>3475</v>
      </c>
    </row>
    <row r="2661" spans="1:21" hidden="1" x14ac:dyDescent="0.35">
      <c r="A2661" s="435" t="s">
        <v>5160</v>
      </c>
      <c r="B2661" s="427" t="s">
        <v>5859</v>
      </c>
      <c r="C2661" s="517" t="s">
        <v>5845</v>
      </c>
      <c r="D2661" s="517" t="s">
        <v>5845</v>
      </c>
      <c r="E2661" s="517"/>
      <c r="F2661" s="438" t="s">
        <v>5846</v>
      </c>
      <c r="G2661" s="435" t="s">
        <v>5520</v>
      </c>
      <c r="H2661" s="427" t="s">
        <v>5163</v>
      </c>
      <c r="I2661" s="518">
        <v>902.66</v>
      </c>
      <c r="J2661" s="381">
        <v>234.52</v>
      </c>
      <c r="K2661" s="519">
        <v>234.52</v>
      </c>
      <c r="L2661" s="369">
        <f t="shared" si="193"/>
        <v>46.904000000000003</v>
      </c>
      <c r="M2661" s="369" t="s">
        <v>6171</v>
      </c>
      <c r="N2661" s="432" t="s">
        <v>3785</v>
      </c>
      <c r="O2661" s="521" t="s">
        <v>5847</v>
      </c>
      <c r="P2661" s="438" t="s">
        <v>5530</v>
      </c>
      <c r="Q2661" s="481">
        <v>0.2</v>
      </c>
      <c r="R2661" s="427">
        <v>1900001375</v>
      </c>
      <c r="S2661" s="513" t="s">
        <v>3475</v>
      </c>
      <c r="T2661" s="2" t="s">
        <v>5914</v>
      </c>
      <c r="U2661" s="9" t="s">
        <v>3475</v>
      </c>
    </row>
    <row r="2662" spans="1:21" hidden="1" x14ac:dyDescent="0.35">
      <c r="A2662" s="435" t="s">
        <v>5160</v>
      </c>
      <c r="B2662" s="427" t="s">
        <v>5859</v>
      </c>
      <c r="C2662" s="517" t="s">
        <v>5845</v>
      </c>
      <c r="D2662" s="517" t="s">
        <v>5845</v>
      </c>
      <c r="E2662" s="517"/>
      <c r="F2662" s="438" t="s">
        <v>5846</v>
      </c>
      <c r="G2662" s="435" t="s">
        <v>5520</v>
      </c>
      <c r="H2662" s="427" t="s">
        <v>5163</v>
      </c>
      <c r="I2662" s="518">
        <v>902.66</v>
      </c>
      <c r="J2662" s="381">
        <v>234.52</v>
      </c>
      <c r="K2662" s="519">
        <v>234.52</v>
      </c>
      <c r="L2662" s="369">
        <f t="shared" si="193"/>
        <v>46.904000000000003</v>
      </c>
      <c r="M2662" s="369" t="s">
        <v>6171</v>
      </c>
      <c r="N2662" s="432" t="s">
        <v>3785</v>
      </c>
      <c r="O2662" s="521" t="s">
        <v>5847</v>
      </c>
      <c r="P2662" s="438" t="s">
        <v>5530</v>
      </c>
      <c r="Q2662" s="481">
        <v>0.2</v>
      </c>
      <c r="R2662" s="427">
        <v>1900001375</v>
      </c>
      <c r="S2662" s="513" t="s">
        <v>3475</v>
      </c>
      <c r="T2662" s="2" t="s">
        <v>5914</v>
      </c>
      <c r="U2662" s="9" t="s">
        <v>3475</v>
      </c>
    </row>
    <row r="2663" spans="1:21" hidden="1" x14ac:dyDescent="0.35">
      <c r="A2663" s="435" t="s">
        <v>5160</v>
      </c>
      <c r="B2663" s="427" t="s">
        <v>5859</v>
      </c>
      <c r="C2663" s="517" t="s">
        <v>5845</v>
      </c>
      <c r="D2663" s="517" t="s">
        <v>5845</v>
      </c>
      <c r="E2663" s="517"/>
      <c r="F2663" s="438" t="s">
        <v>5846</v>
      </c>
      <c r="G2663" s="435" t="s">
        <v>5520</v>
      </c>
      <c r="H2663" s="427" t="s">
        <v>5163</v>
      </c>
      <c r="I2663" s="518">
        <v>902.66</v>
      </c>
      <c r="J2663" s="381">
        <v>234.52</v>
      </c>
      <c r="K2663" s="519">
        <v>234.52</v>
      </c>
      <c r="L2663" s="369">
        <f t="shared" si="193"/>
        <v>46.904000000000003</v>
      </c>
      <c r="M2663" s="369" t="s">
        <v>6171</v>
      </c>
      <c r="N2663" s="432" t="s">
        <v>3785</v>
      </c>
      <c r="O2663" s="521" t="s">
        <v>5847</v>
      </c>
      <c r="P2663" s="438" t="s">
        <v>5530</v>
      </c>
      <c r="Q2663" s="481">
        <v>0.2</v>
      </c>
      <c r="R2663" s="427">
        <v>1900001375</v>
      </c>
      <c r="S2663" s="513" t="s">
        <v>3475</v>
      </c>
      <c r="T2663" s="2" t="s">
        <v>5914</v>
      </c>
      <c r="U2663" s="9" t="s">
        <v>3475</v>
      </c>
    </row>
    <row r="2664" spans="1:21" hidden="1" x14ac:dyDescent="0.35">
      <c r="A2664" s="435" t="s">
        <v>5160</v>
      </c>
      <c r="B2664" s="427" t="s">
        <v>5859</v>
      </c>
      <c r="C2664" s="517" t="s">
        <v>5845</v>
      </c>
      <c r="D2664" s="517" t="s">
        <v>5845</v>
      </c>
      <c r="E2664" s="517"/>
      <c r="F2664" s="438" t="s">
        <v>5846</v>
      </c>
      <c r="G2664" s="435" t="s">
        <v>5520</v>
      </c>
      <c r="H2664" s="427" t="s">
        <v>5163</v>
      </c>
      <c r="I2664" s="518">
        <v>902.66</v>
      </c>
      <c r="J2664" s="381">
        <v>234.52</v>
      </c>
      <c r="K2664" s="519">
        <v>234.52</v>
      </c>
      <c r="L2664" s="369">
        <f t="shared" si="193"/>
        <v>46.904000000000003</v>
      </c>
      <c r="M2664" s="369" t="s">
        <v>6171</v>
      </c>
      <c r="N2664" s="432" t="s">
        <v>3785</v>
      </c>
      <c r="O2664" s="521" t="s">
        <v>5847</v>
      </c>
      <c r="P2664" s="438" t="s">
        <v>5530</v>
      </c>
      <c r="Q2664" s="481">
        <v>0.2</v>
      </c>
      <c r="R2664" s="427">
        <v>1900001375</v>
      </c>
      <c r="S2664" s="513" t="s">
        <v>3475</v>
      </c>
      <c r="T2664" s="2" t="s">
        <v>5914</v>
      </c>
      <c r="U2664" s="9" t="s">
        <v>3475</v>
      </c>
    </row>
    <row r="2665" spans="1:21" hidden="1" x14ac:dyDescent="0.35">
      <c r="A2665" s="435" t="s">
        <v>5160</v>
      </c>
      <c r="B2665" s="427" t="s">
        <v>5859</v>
      </c>
      <c r="C2665" s="517" t="s">
        <v>5845</v>
      </c>
      <c r="D2665" s="517" t="s">
        <v>5845</v>
      </c>
      <c r="E2665" s="517"/>
      <c r="F2665" s="438" t="s">
        <v>5846</v>
      </c>
      <c r="G2665" s="435" t="s">
        <v>5520</v>
      </c>
      <c r="H2665" s="427" t="s">
        <v>5163</v>
      </c>
      <c r="I2665" s="518">
        <v>902.66</v>
      </c>
      <c r="J2665" s="381">
        <v>234.52</v>
      </c>
      <c r="K2665" s="519">
        <v>234.52</v>
      </c>
      <c r="L2665" s="369">
        <f t="shared" si="193"/>
        <v>46.904000000000003</v>
      </c>
      <c r="M2665" s="369" t="s">
        <v>6171</v>
      </c>
      <c r="N2665" s="432" t="s">
        <v>3785</v>
      </c>
      <c r="O2665" s="521" t="s">
        <v>5847</v>
      </c>
      <c r="P2665" s="438" t="s">
        <v>5530</v>
      </c>
      <c r="Q2665" s="481">
        <v>0.2</v>
      </c>
      <c r="R2665" s="427">
        <v>1900001375</v>
      </c>
      <c r="S2665" s="513" t="s">
        <v>3475</v>
      </c>
      <c r="T2665" s="2" t="s">
        <v>5914</v>
      </c>
      <c r="U2665" s="9" t="s">
        <v>3475</v>
      </c>
    </row>
    <row r="2666" spans="1:21" hidden="1" x14ac:dyDescent="0.35">
      <c r="A2666" s="435" t="s">
        <v>5160</v>
      </c>
      <c r="B2666" s="427" t="s">
        <v>5859</v>
      </c>
      <c r="C2666" s="517" t="s">
        <v>5845</v>
      </c>
      <c r="D2666" s="517" t="s">
        <v>5845</v>
      </c>
      <c r="E2666" s="517"/>
      <c r="F2666" s="438" t="s">
        <v>5846</v>
      </c>
      <c r="G2666" s="435" t="s">
        <v>5520</v>
      </c>
      <c r="H2666" s="427" t="s">
        <v>5163</v>
      </c>
      <c r="I2666" s="518">
        <v>902.66</v>
      </c>
      <c r="J2666" s="381">
        <v>234.52</v>
      </c>
      <c r="K2666" s="519">
        <v>234.52</v>
      </c>
      <c r="L2666" s="369">
        <f t="shared" si="193"/>
        <v>46.904000000000003</v>
      </c>
      <c r="M2666" s="369" t="s">
        <v>6171</v>
      </c>
      <c r="N2666" s="432" t="s">
        <v>3785</v>
      </c>
      <c r="O2666" s="521" t="s">
        <v>5847</v>
      </c>
      <c r="P2666" s="438" t="s">
        <v>5530</v>
      </c>
      <c r="Q2666" s="481">
        <v>0.2</v>
      </c>
      <c r="R2666" s="427">
        <v>1900001375</v>
      </c>
      <c r="S2666" s="513" t="s">
        <v>3475</v>
      </c>
      <c r="T2666" s="2" t="s">
        <v>5914</v>
      </c>
      <c r="U2666" s="9" t="s">
        <v>3475</v>
      </c>
    </row>
    <row r="2667" spans="1:21" hidden="1" x14ac:dyDescent="0.35">
      <c r="A2667" s="435" t="s">
        <v>5160</v>
      </c>
      <c r="B2667" s="427" t="s">
        <v>5859</v>
      </c>
      <c r="C2667" s="517" t="s">
        <v>5845</v>
      </c>
      <c r="D2667" s="517" t="s">
        <v>5845</v>
      </c>
      <c r="E2667" s="517"/>
      <c r="F2667" s="438" t="s">
        <v>5846</v>
      </c>
      <c r="G2667" s="435" t="s">
        <v>5520</v>
      </c>
      <c r="H2667" s="427" t="s">
        <v>5163</v>
      </c>
      <c r="I2667" s="518">
        <v>902.66</v>
      </c>
      <c r="J2667" s="381">
        <v>234.52</v>
      </c>
      <c r="K2667" s="519">
        <v>234.52</v>
      </c>
      <c r="L2667" s="369">
        <f t="shared" si="193"/>
        <v>46.904000000000003</v>
      </c>
      <c r="M2667" s="369" t="s">
        <v>6171</v>
      </c>
      <c r="N2667" s="432" t="s">
        <v>3785</v>
      </c>
      <c r="O2667" s="521" t="s">
        <v>5847</v>
      </c>
      <c r="P2667" s="438" t="s">
        <v>5530</v>
      </c>
      <c r="Q2667" s="481">
        <v>0.2</v>
      </c>
      <c r="R2667" s="427">
        <v>1900001375</v>
      </c>
      <c r="S2667" s="513" t="s">
        <v>3475</v>
      </c>
      <c r="T2667" s="2" t="s">
        <v>5914</v>
      </c>
      <c r="U2667" s="9" t="s">
        <v>3475</v>
      </c>
    </row>
    <row r="2668" spans="1:21" hidden="1" x14ac:dyDescent="0.35">
      <c r="A2668" s="435" t="s">
        <v>5160</v>
      </c>
      <c r="B2668" s="427" t="s">
        <v>5859</v>
      </c>
      <c r="C2668" s="517" t="s">
        <v>5845</v>
      </c>
      <c r="D2668" s="517" t="s">
        <v>5845</v>
      </c>
      <c r="E2668" s="517"/>
      <c r="F2668" s="438" t="s">
        <v>5846</v>
      </c>
      <c r="G2668" s="435" t="s">
        <v>5520</v>
      </c>
      <c r="H2668" s="427" t="s">
        <v>5163</v>
      </c>
      <c r="I2668" s="518">
        <v>902.66</v>
      </c>
      <c r="J2668" s="381">
        <v>234.52</v>
      </c>
      <c r="K2668" s="519">
        <v>234.52</v>
      </c>
      <c r="L2668" s="369">
        <f t="shared" si="193"/>
        <v>46.904000000000003</v>
      </c>
      <c r="M2668" s="369" t="s">
        <v>6171</v>
      </c>
      <c r="N2668" s="432" t="s">
        <v>3785</v>
      </c>
      <c r="O2668" s="521" t="s">
        <v>5847</v>
      </c>
      <c r="P2668" s="438" t="s">
        <v>5530</v>
      </c>
      <c r="Q2668" s="481">
        <v>0.2</v>
      </c>
      <c r="R2668" s="427">
        <v>1900001375</v>
      </c>
      <c r="S2668" s="513" t="s">
        <v>3475</v>
      </c>
      <c r="T2668" s="2" t="s">
        <v>5914</v>
      </c>
      <c r="U2668" s="9" t="s">
        <v>3475</v>
      </c>
    </row>
    <row r="2669" spans="1:21" hidden="1" x14ac:dyDescent="0.35">
      <c r="A2669" s="435" t="s">
        <v>5160</v>
      </c>
      <c r="B2669" s="427" t="s">
        <v>5859</v>
      </c>
      <c r="C2669" s="517" t="s">
        <v>5845</v>
      </c>
      <c r="D2669" s="517" t="s">
        <v>5845</v>
      </c>
      <c r="E2669" s="517"/>
      <c r="F2669" s="438" t="s">
        <v>5846</v>
      </c>
      <c r="G2669" s="435" t="s">
        <v>5520</v>
      </c>
      <c r="H2669" s="427" t="s">
        <v>5163</v>
      </c>
      <c r="I2669" s="518">
        <v>902.66</v>
      </c>
      <c r="J2669" s="381">
        <v>234.52</v>
      </c>
      <c r="K2669" s="519">
        <v>234.52</v>
      </c>
      <c r="L2669" s="369">
        <f t="shared" si="193"/>
        <v>46.904000000000003</v>
      </c>
      <c r="M2669" s="369" t="s">
        <v>6171</v>
      </c>
      <c r="N2669" s="432" t="s">
        <v>3785</v>
      </c>
      <c r="O2669" s="521" t="s">
        <v>5847</v>
      </c>
      <c r="P2669" s="438" t="s">
        <v>5530</v>
      </c>
      <c r="Q2669" s="481">
        <v>0.2</v>
      </c>
      <c r="R2669" s="427">
        <v>1900001375</v>
      </c>
      <c r="S2669" s="513" t="s">
        <v>3475</v>
      </c>
      <c r="T2669" s="2" t="s">
        <v>5914</v>
      </c>
      <c r="U2669" s="9" t="s">
        <v>3475</v>
      </c>
    </row>
    <row r="2670" spans="1:21" hidden="1" x14ac:dyDescent="0.35">
      <c r="A2670" s="435" t="s">
        <v>5160</v>
      </c>
      <c r="B2670" s="427" t="s">
        <v>5859</v>
      </c>
      <c r="C2670" s="517" t="s">
        <v>5845</v>
      </c>
      <c r="D2670" s="517" t="s">
        <v>5845</v>
      </c>
      <c r="E2670" s="517"/>
      <c r="F2670" s="438" t="s">
        <v>5846</v>
      </c>
      <c r="G2670" s="435" t="s">
        <v>5520</v>
      </c>
      <c r="H2670" s="427" t="s">
        <v>5163</v>
      </c>
      <c r="I2670" s="518">
        <v>902.66</v>
      </c>
      <c r="J2670" s="381">
        <v>234.52</v>
      </c>
      <c r="K2670" s="519">
        <v>234.52</v>
      </c>
      <c r="L2670" s="369">
        <f t="shared" si="193"/>
        <v>46.904000000000003</v>
      </c>
      <c r="M2670" s="369" t="s">
        <v>6171</v>
      </c>
      <c r="N2670" s="432" t="s">
        <v>3785</v>
      </c>
      <c r="O2670" s="521" t="s">
        <v>5847</v>
      </c>
      <c r="P2670" s="438" t="s">
        <v>5530</v>
      </c>
      <c r="Q2670" s="481">
        <v>0.2</v>
      </c>
      <c r="R2670" s="427">
        <v>1900001375</v>
      </c>
      <c r="S2670" s="513" t="s">
        <v>3475</v>
      </c>
      <c r="T2670" s="2" t="s">
        <v>5914</v>
      </c>
      <c r="U2670" s="9" t="s">
        <v>3475</v>
      </c>
    </row>
    <row r="2671" spans="1:21" hidden="1" x14ac:dyDescent="0.35">
      <c r="A2671" s="435" t="s">
        <v>5160</v>
      </c>
      <c r="B2671" s="427" t="s">
        <v>5859</v>
      </c>
      <c r="C2671" s="517" t="s">
        <v>5845</v>
      </c>
      <c r="D2671" s="517" t="s">
        <v>5845</v>
      </c>
      <c r="E2671" s="517"/>
      <c r="F2671" s="438" t="s">
        <v>5846</v>
      </c>
      <c r="G2671" s="435" t="s">
        <v>5520</v>
      </c>
      <c r="H2671" s="427" t="s">
        <v>5163</v>
      </c>
      <c r="I2671" s="518">
        <v>902.66</v>
      </c>
      <c r="J2671" s="381">
        <v>234.52</v>
      </c>
      <c r="K2671" s="519">
        <v>234.52</v>
      </c>
      <c r="L2671" s="369">
        <f t="shared" si="193"/>
        <v>46.904000000000003</v>
      </c>
      <c r="M2671" s="369" t="s">
        <v>6171</v>
      </c>
      <c r="N2671" s="432" t="s">
        <v>3785</v>
      </c>
      <c r="O2671" s="521" t="s">
        <v>5847</v>
      </c>
      <c r="P2671" s="438" t="s">
        <v>5530</v>
      </c>
      <c r="Q2671" s="481">
        <v>0.2</v>
      </c>
      <c r="R2671" s="427">
        <v>1900001375</v>
      </c>
      <c r="S2671" s="513" t="s">
        <v>3475</v>
      </c>
      <c r="T2671" s="2" t="s">
        <v>5914</v>
      </c>
      <c r="U2671" s="9" t="s">
        <v>3475</v>
      </c>
    </row>
    <row r="2672" spans="1:21" hidden="1" x14ac:dyDescent="0.35">
      <c r="A2672" s="435" t="s">
        <v>5160</v>
      </c>
      <c r="B2672" s="427" t="s">
        <v>5859</v>
      </c>
      <c r="C2672" s="517" t="s">
        <v>5845</v>
      </c>
      <c r="D2672" s="517" t="s">
        <v>5845</v>
      </c>
      <c r="E2672" s="517"/>
      <c r="F2672" s="438" t="s">
        <v>5846</v>
      </c>
      <c r="G2672" s="435" t="s">
        <v>5520</v>
      </c>
      <c r="H2672" s="427" t="s">
        <v>5163</v>
      </c>
      <c r="I2672" s="518">
        <v>902.66</v>
      </c>
      <c r="J2672" s="381">
        <v>234.52</v>
      </c>
      <c r="K2672" s="519">
        <v>234.52</v>
      </c>
      <c r="L2672" s="369">
        <f t="shared" si="193"/>
        <v>46.904000000000003</v>
      </c>
      <c r="M2672" s="369" t="s">
        <v>6171</v>
      </c>
      <c r="N2672" s="432" t="s">
        <v>3785</v>
      </c>
      <c r="O2672" s="521" t="s">
        <v>5847</v>
      </c>
      <c r="P2672" s="438" t="s">
        <v>5530</v>
      </c>
      <c r="Q2672" s="481">
        <v>0.2</v>
      </c>
      <c r="R2672" s="427">
        <v>1900001375</v>
      </c>
      <c r="S2672" s="513" t="s">
        <v>3475</v>
      </c>
      <c r="T2672" s="2" t="s">
        <v>5914</v>
      </c>
      <c r="U2672" s="9" t="s">
        <v>3475</v>
      </c>
    </row>
    <row r="2673" spans="1:21" hidden="1" x14ac:dyDescent="0.35">
      <c r="A2673" s="435" t="s">
        <v>5160</v>
      </c>
      <c r="B2673" s="427" t="s">
        <v>5859</v>
      </c>
      <c r="C2673" s="517" t="s">
        <v>5845</v>
      </c>
      <c r="D2673" s="517" t="s">
        <v>5845</v>
      </c>
      <c r="E2673" s="517"/>
      <c r="F2673" s="438" t="s">
        <v>5846</v>
      </c>
      <c r="G2673" s="435" t="s">
        <v>5520</v>
      </c>
      <c r="H2673" s="427" t="s">
        <v>5163</v>
      </c>
      <c r="I2673" s="518">
        <v>902.66</v>
      </c>
      <c r="J2673" s="381">
        <v>234.52</v>
      </c>
      <c r="K2673" s="519">
        <v>234.52</v>
      </c>
      <c r="L2673" s="369">
        <f t="shared" si="193"/>
        <v>46.904000000000003</v>
      </c>
      <c r="M2673" s="369" t="s">
        <v>6171</v>
      </c>
      <c r="N2673" s="432" t="s">
        <v>3785</v>
      </c>
      <c r="O2673" s="521" t="s">
        <v>5847</v>
      </c>
      <c r="P2673" s="438" t="s">
        <v>5530</v>
      </c>
      <c r="Q2673" s="481">
        <v>0.2</v>
      </c>
      <c r="R2673" s="427">
        <v>1900001375</v>
      </c>
      <c r="S2673" s="513" t="s">
        <v>3475</v>
      </c>
      <c r="T2673" s="2" t="s">
        <v>5914</v>
      </c>
      <c r="U2673" s="9" t="s">
        <v>3475</v>
      </c>
    </row>
    <row r="2674" spans="1:21" hidden="1" x14ac:dyDescent="0.35">
      <c r="A2674" s="435" t="s">
        <v>5160</v>
      </c>
      <c r="B2674" s="427" t="s">
        <v>5859</v>
      </c>
      <c r="C2674" s="517" t="s">
        <v>5845</v>
      </c>
      <c r="D2674" s="517" t="s">
        <v>5845</v>
      </c>
      <c r="E2674" s="517"/>
      <c r="F2674" s="438" t="s">
        <v>5846</v>
      </c>
      <c r="G2674" s="435" t="s">
        <v>5520</v>
      </c>
      <c r="H2674" s="427" t="s">
        <v>5163</v>
      </c>
      <c r="I2674" s="518">
        <v>902.66</v>
      </c>
      <c r="J2674" s="381">
        <v>234.52</v>
      </c>
      <c r="K2674" s="519">
        <v>234.52</v>
      </c>
      <c r="L2674" s="369">
        <f t="shared" si="193"/>
        <v>46.904000000000003</v>
      </c>
      <c r="M2674" s="369" t="s">
        <v>6171</v>
      </c>
      <c r="N2674" s="432" t="s">
        <v>3785</v>
      </c>
      <c r="O2674" s="521" t="s">
        <v>5847</v>
      </c>
      <c r="P2674" s="438" t="s">
        <v>5530</v>
      </c>
      <c r="Q2674" s="481">
        <v>0.2</v>
      </c>
      <c r="R2674" s="427">
        <v>1900001375</v>
      </c>
      <c r="S2674" s="513" t="s">
        <v>3475</v>
      </c>
      <c r="T2674" s="2" t="s">
        <v>5914</v>
      </c>
      <c r="U2674" s="9" t="s">
        <v>3475</v>
      </c>
    </row>
    <row r="2675" spans="1:21" hidden="1" x14ac:dyDescent="0.35">
      <c r="A2675" s="435" t="s">
        <v>5160</v>
      </c>
      <c r="B2675" s="427" t="s">
        <v>5859</v>
      </c>
      <c r="C2675" s="517" t="s">
        <v>5845</v>
      </c>
      <c r="D2675" s="517" t="s">
        <v>5845</v>
      </c>
      <c r="E2675" s="517"/>
      <c r="F2675" s="438" t="s">
        <v>5846</v>
      </c>
      <c r="G2675" s="435" t="s">
        <v>5520</v>
      </c>
      <c r="H2675" s="427" t="s">
        <v>5163</v>
      </c>
      <c r="I2675" s="518">
        <v>902.66</v>
      </c>
      <c r="J2675" s="381">
        <v>234.52</v>
      </c>
      <c r="K2675" s="519">
        <v>234.52</v>
      </c>
      <c r="L2675" s="369">
        <f t="shared" si="193"/>
        <v>46.904000000000003</v>
      </c>
      <c r="M2675" s="369" t="s">
        <v>6171</v>
      </c>
      <c r="N2675" s="432" t="s">
        <v>3785</v>
      </c>
      <c r="O2675" s="521" t="s">
        <v>5847</v>
      </c>
      <c r="P2675" s="438" t="s">
        <v>5530</v>
      </c>
      <c r="Q2675" s="481">
        <v>0.2</v>
      </c>
      <c r="R2675" s="427">
        <v>1900001375</v>
      </c>
      <c r="S2675" s="513" t="s">
        <v>3475</v>
      </c>
      <c r="T2675" s="2" t="s">
        <v>5914</v>
      </c>
      <c r="U2675" s="9" t="s">
        <v>3475</v>
      </c>
    </row>
    <row r="2676" spans="1:21" hidden="1" x14ac:dyDescent="0.35">
      <c r="A2676" s="435" t="s">
        <v>5160</v>
      </c>
      <c r="B2676" s="427" t="s">
        <v>5859</v>
      </c>
      <c r="C2676" s="517" t="s">
        <v>5845</v>
      </c>
      <c r="D2676" s="517" t="s">
        <v>5845</v>
      </c>
      <c r="E2676" s="517"/>
      <c r="F2676" s="438" t="s">
        <v>5846</v>
      </c>
      <c r="G2676" s="435" t="s">
        <v>5520</v>
      </c>
      <c r="H2676" s="427" t="s">
        <v>5163</v>
      </c>
      <c r="I2676" s="518">
        <v>902.66</v>
      </c>
      <c r="J2676" s="381">
        <v>234.52</v>
      </c>
      <c r="K2676" s="519">
        <v>234.52</v>
      </c>
      <c r="L2676" s="369">
        <f t="shared" si="193"/>
        <v>46.904000000000003</v>
      </c>
      <c r="M2676" s="369" t="s">
        <v>6171</v>
      </c>
      <c r="N2676" s="432" t="s">
        <v>3785</v>
      </c>
      <c r="O2676" s="521" t="s">
        <v>5847</v>
      </c>
      <c r="P2676" s="438" t="s">
        <v>5530</v>
      </c>
      <c r="Q2676" s="481">
        <v>0.2</v>
      </c>
      <c r="R2676" s="427">
        <v>1900001375</v>
      </c>
      <c r="S2676" s="513" t="s">
        <v>3475</v>
      </c>
      <c r="T2676" s="2" t="s">
        <v>5914</v>
      </c>
      <c r="U2676" s="9" t="s">
        <v>3475</v>
      </c>
    </row>
    <row r="2677" spans="1:21" hidden="1" x14ac:dyDescent="0.35">
      <c r="A2677" s="435" t="s">
        <v>5160</v>
      </c>
      <c r="B2677" s="427" t="s">
        <v>5859</v>
      </c>
      <c r="C2677" s="517" t="s">
        <v>5845</v>
      </c>
      <c r="D2677" s="517" t="s">
        <v>5845</v>
      </c>
      <c r="E2677" s="517"/>
      <c r="F2677" s="438" t="s">
        <v>5846</v>
      </c>
      <c r="G2677" s="435" t="s">
        <v>5520</v>
      </c>
      <c r="H2677" s="427" t="s">
        <v>5163</v>
      </c>
      <c r="I2677" s="518">
        <v>902.66</v>
      </c>
      <c r="J2677" s="381">
        <v>234.52</v>
      </c>
      <c r="K2677" s="519">
        <v>234.52</v>
      </c>
      <c r="L2677" s="369">
        <f t="shared" si="193"/>
        <v>46.904000000000003</v>
      </c>
      <c r="M2677" s="369" t="s">
        <v>6171</v>
      </c>
      <c r="N2677" s="432" t="s">
        <v>3785</v>
      </c>
      <c r="O2677" s="521" t="s">
        <v>5847</v>
      </c>
      <c r="P2677" s="438" t="s">
        <v>5530</v>
      </c>
      <c r="Q2677" s="481">
        <v>0.2</v>
      </c>
      <c r="R2677" s="427">
        <v>1900001375</v>
      </c>
      <c r="S2677" s="513" t="s">
        <v>3475</v>
      </c>
      <c r="T2677" s="2" t="s">
        <v>5914</v>
      </c>
      <c r="U2677" s="9" t="s">
        <v>3475</v>
      </c>
    </row>
    <row r="2678" spans="1:21" hidden="1" x14ac:dyDescent="0.35">
      <c r="A2678" s="435" t="s">
        <v>5160</v>
      </c>
      <c r="B2678" s="427" t="s">
        <v>5859</v>
      </c>
      <c r="C2678" s="517" t="s">
        <v>5845</v>
      </c>
      <c r="D2678" s="517" t="s">
        <v>5845</v>
      </c>
      <c r="E2678" s="517"/>
      <c r="F2678" s="438" t="s">
        <v>5846</v>
      </c>
      <c r="G2678" s="435" t="s">
        <v>5520</v>
      </c>
      <c r="H2678" s="427" t="s">
        <v>5163</v>
      </c>
      <c r="I2678" s="518">
        <v>902.66</v>
      </c>
      <c r="J2678" s="381">
        <v>234.52</v>
      </c>
      <c r="K2678" s="519">
        <v>234.52</v>
      </c>
      <c r="L2678" s="369">
        <f t="shared" si="193"/>
        <v>46.904000000000003</v>
      </c>
      <c r="M2678" s="369" t="s">
        <v>6171</v>
      </c>
      <c r="N2678" s="432" t="s">
        <v>3785</v>
      </c>
      <c r="O2678" s="521" t="s">
        <v>5847</v>
      </c>
      <c r="P2678" s="438" t="s">
        <v>5530</v>
      </c>
      <c r="Q2678" s="481">
        <v>0.2</v>
      </c>
      <c r="R2678" s="427">
        <v>1900001375</v>
      </c>
      <c r="S2678" s="513" t="s">
        <v>3475</v>
      </c>
      <c r="T2678" s="2" t="s">
        <v>5914</v>
      </c>
      <c r="U2678" s="9" t="s">
        <v>3475</v>
      </c>
    </row>
    <row r="2679" spans="1:21" hidden="1" x14ac:dyDescent="0.35">
      <c r="A2679" s="435" t="s">
        <v>5160</v>
      </c>
      <c r="B2679" s="427" t="s">
        <v>5859</v>
      </c>
      <c r="C2679" s="517" t="s">
        <v>5845</v>
      </c>
      <c r="D2679" s="517" t="s">
        <v>5845</v>
      </c>
      <c r="E2679" s="517"/>
      <c r="F2679" s="438" t="s">
        <v>5846</v>
      </c>
      <c r="G2679" s="435" t="s">
        <v>5520</v>
      </c>
      <c r="H2679" s="427" t="s">
        <v>5163</v>
      </c>
      <c r="I2679" s="518">
        <v>902.66</v>
      </c>
      <c r="J2679" s="381">
        <v>234.52</v>
      </c>
      <c r="K2679" s="519">
        <v>234.52</v>
      </c>
      <c r="L2679" s="369">
        <f t="shared" si="193"/>
        <v>46.904000000000003</v>
      </c>
      <c r="M2679" s="369" t="s">
        <v>6171</v>
      </c>
      <c r="N2679" s="432" t="s">
        <v>3785</v>
      </c>
      <c r="O2679" s="521" t="s">
        <v>5847</v>
      </c>
      <c r="P2679" s="438" t="s">
        <v>5530</v>
      </c>
      <c r="Q2679" s="481">
        <v>0.2</v>
      </c>
      <c r="R2679" s="427">
        <v>1900001375</v>
      </c>
      <c r="S2679" s="513" t="s">
        <v>3475</v>
      </c>
      <c r="T2679" s="2" t="s">
        <v>5914</v>
      </c>
      <c r="U2679" s="9" t="s">
        <v>3475</v>
      </c>
    </row>
    <row r="2680" spans="1:21" hidden="1" x14ac:dyDescent="0.35">
      <c r="A2680" s="435" t="s">
        <v>5160</v>
      </c>
      <c r="B2680" s="427" t="s">
        <v>5859</v>
      </c>
      <c r="C2680" s="517" t="s">
        <v>5845</v>
      </c>
      <c r="D2680" s="517" t="s">
        <v>5845</v>
      </c>
      <c r="E2680" s="517"/>
      <c r="F2680" s="438" t="s">
        <v>5846</v>
      </c>
      <c r="G2680" s="435" t="s">
        <v>5520</v>
      </c>
      <c r="H2680" s="427" t="s">
        <v>5163</v>
      </c>
      <c r="I2680" s="518">
        <v>902.66</v>
      </c>
      <c r="J2680" s="381">
        <v>234.52</v>
      </c>
      <c r="K2680" s="519">
        <v>234.52</v>
      </c>
      <c r="L2680" s="369">
        <f t="shared" si="193"/>
        <v>46.904000000000003</v>
      </c>
      <c r="M2680" s="369" t="s">
        <v>6171</v>
      </c>
      <c r="N2680" s="432" t="s">
        <v>3785</v>
      </c>
      <c r="O2680" s="521" t="s">
        <v>5847</v>
      </c>
      <c r="P2680" s="438" t="s">
        <v>5530</v>
      </c>
      <c r="Q2680" s="481">
        <v>0.2</v>
      </c>
      <c r="R2680" s="427">
        <v>1900001375</v>
      </c>
      <c r="S2680" s="513" t="s">
        <v>3475</v>
      </c>
      <c r="T2680" s="2" t="s">
        <v>5914</v>
      </c>
      <c r="U2680" s="9" t="s">
        <v>3475</v>
      </c>
    </row>
    <row r="2681" spans="1:21" hidden="1" x14ac:dyDescent="0.35">
      <c r="A2681" s="435" t="s">
        <v>5160</v>
      </c>
      <c r="B2681" s="427" t="s">
        <v>5859</v>
      </c>
      <c r="C2681" s="517" t="s">
        <v>5845</v>
      </c>
      <c r="D2681" s="517" t="s">
        <v>5845</v>
      </c>
      <c r="E2681" s="517"/>
      <c r="F2681" s="438" t="s">
        <v>5846</v>
      </c>
      <c r="G2681" s="435" t="s">
        <v>5520</v>
      </c>
      <c r="H2681" s="427" t="s">
        <v>5163</v>
      </c>
      <c r="I2681" s="518">
        <v>902.66</v>
      </c>
      <c r="J2681" s="381">
        <v>234.52</v>
      </c>
      <c r="K2681" s="519">
        <v>234.52</v>
      </c>
      <c r="L2681" s="369">
        <f t="shared" si="193"/>
        <v>46.904000000000003</v>
      </c>
      <c r="M2681" s="369" t="s">
        <v>6171</v>
      </c>
      <c r="N2681" s="432" t="s">
        <v>3785</v>
      </c>
      <c r="O2681" s="521" t="s">
        <v>5847</v>
      </c>
      <c r="P2681" s="438" t="s">
        <v>5530</v>
      </c>
      <c r="Q2681" s="481">
        <v>0.2</v>
      </c>
      <c r="R2681" s="427">
        <v>1900001375</v>
      </c>
      <c r="S2681" s="513" t="s">
        <v>3475</v>
      </c>
      <c r="T2681" s="2" t="s">
        <v>5914</v>
      </c>
      <c r="U2681" s="9" t="s">
        <v>3475</v>
      </c>
    </row>
    <row r="2682" spans="1:21" x14ac:dyDescent="0.35">
      <c r="A2682" s="435" t="s">
        <v>5160</v>
      </c>
      <c r="B2682" s="427" t="s">
        <v>5860</v>
      </c>
      <c r="C2682" s="517" t="s">
        <v>5845</v>
      </c>
      <c r="D2682" s="517" t="s">
        <v>5845</v>
      </c>
      <c r="E2682" s="517"/>
      <c r="F2682" s="438" t="s">
        <v>5846</v>
      </c>
      <c r="G2682" s="438" t="s">
        <v>5840</v>
      </c>
      <c r="H2682" s="427" t="s">
        <v>5163</v>
      </c>
      <c r="I2682" s="518">
        <v>28369</v>
      </c>
      <c r="J2682" s="381">
        <v>7371</v>
      </c>
      <c r="K2682" s="519">
        <v>7371</v>
      </c>
      <c r="L2682" s="369">
        <f t="shared" si="193"/>
        <v>1474.2</v>
      </c>
      <c r="M2682" s="369" t="s">
        <v>6171</v>
      </c>
      <c r="N2682" s="432" t="s">
        <v>3785</v>
      </c>
      <c r="O2682" s="521" t="s">
        <v>5847</v>
      </c>
      <c r="P2682" s="438" t="s">
        <v>5530</v>
      </c>
      <c r="Q2682" s="481">
        <v>0.2</v>
      </c>
      <c r="R2682" s="427">
        <v>1900001375</v>
      </c>
      <c r="S2682" s="513" t="s">
        <v>3475</v>
      </c>
      <c r="T2682" s="2" t="s">
        <v>5914</v>
      </c>
      <c r="U2682" s="9" t="s">
        <v>3475</v>
      </c>
    </row>
    <row r="2683" spans="1:21" x14ac:dyDescent="0.35">
      <c r="A2683" s="435" t="s">
        <v>5160</v>
      </c>
      <c r="B2683" s="427" t="s">
        <v>5861</v>
      </c>
      <c r="C2683" s="517" t="s">
        <v>5845</v>
      </c>
      <c r="D2683" s="517" t="s">
        <v>5845</v>
      </c>
      <c r="E2683" s="517"/>
      <c r="F2683" s="438" t="s">
        <v>5846</v>
      </c>
      <c r="G2683" s="438" t="s">
        <v>5840</v>
      </c>
      <c r="H2683" s="427" t="s">
        <v>5163</v>
      </c>
      <c r="I2683" s="518">
        <v>12895</v>
      </c>
      <c r="J2683" s="381">
        <v>3351</v>
      </c>
      <c r="K2683" s="519">
        <v>3351</v>
      </c>
      <c r="L2683" s="369">
        <f t="shared" si="193"/>
        <v>670.2</v>
      </c>
      <c r="M2683" s="369" t="s">
        <v>6171</v>
      </c>
      <c r="N2683" s="432" t="s">
        <v>3785</v>
      </c>
      <c r="O2683" s="521" t="s">
        <v>5847</v>
      </c>
      <c r="P2683" s="438" t="s">
        <v>5530</v>
      </c>
      <c r="Q2683" s="481">
        <v>0.2</v>
      </c>
      <c r="R2683" s="427">
        <v>1900001375</v>
      </c>
      <c r="S2683" s="513" t="s">
        <v>3475</v>
      </c>
      <c r="T2683" s="2" t="s">
        <v>5914</v>
      </c>
      <c r="U2683" s="9" t="s">
        <v>3475</v>
      </c>
    </row>
    <row r="2684" spans="1:21" x14ac:dyDescent="0.35">
      <c r="A2684" s="435" t="s">
        <v>5160</v>
      </c>
      <c r="B2684" s="427" t="s">
        <v>5862</v>
      </c>
      <c r="C2684" s="517" t="s">
        <v>5845</v>
      </c>
      <c r="D2684" s="517" t="s">
        <v>5845</v>
      </c>
      <c r="E2684" s="517"/>
      <c r="F2684" s="438" t="s">
        <v>5846</v>
      </c>
      <c r="G2684" s="438" t="s">
        <v>5840</v>
      </c>
      <c r="H2684" s="427" t="s">
        <v>5163</v>
      </c>
      <c r="I2684" s="518">
        <v>2063</v>
      </c>
      <c r="J2684" s="381">
        <v>536</v>
      </c>
      <c r="K2684" s="519">
        <v>536</v>
      </c>
      <c r="L2684" s="369">
        <f t="shared" si="193"/>
        <v>107.2</v>
      </c>
      <c r="M2684" s="369" t="s">
        <v>6171</v>
      </c>
      <c r="N2684" s="432" t="s">
        <v>3785</v>
      </c>
      <c r="O2684" s="521" t="s">
        <v>5847</v>
      </c>
      <c r="P2684" s="438" t="s">
        <v>5530</v>
      </c>
      <c r="Q2684" s="481">
        <v>0.2</v>
      </c>
      <c r="R2684" s="427">
        <v>1900001375</v>
      </c>
      <c r="S2684" s="513" t="s">
        <v>3475</v>
      </c>
      <c r="T2684" s="2" t="s">
        <v>5914</v>
      </c>
      <c r="U2684" s="9" t="s">
        <v>3475</v>
      </c>
    </row>
    <row r="2685" spans="1:21" x14ac:dyDescent="0.35">
      <c r="A2685" s="435" t="s">
        <v>5160</v>
      </c>
      <c r="B2685" s="427" t="s">
        <v>5860</v>
      </c>
      <c r="C2685" s="517" t="s">
        <v>5845</v>
      </c>
      <c r="D2685" s="517" t="s">
        <v>5845</v>
      </c>
      <c r="E2685" s="517"/>
      <c r="F2685" s="438" t="s">
        <v>5846</v>
      </c>
      <c r="G2685" s="438" t="s">
        <v>5840</v>
      </c>
      <c r="H2685" s="427" t="s">
        <v>5163</v>
      </c>
      <c r="I2685" s="518">
        <v>28369</v>
      </c>
      <c r="J2685" s="381">
        <v>7371</v>
      </c>
      <c r="K2685" s="519">
        <v>7371</v>
      </c>
      <c r="L2685" s="369">
        <f t="shared" si="193"/>
        <v>1474.2</v>
      </c>
      <c r="M2685" s="369" t="s">
        <v>6171</v>
      </c>
      <c r="N2685" s="432" t="s">
        <v>3785</v>
      </c>
      <c r="O2685" s="521" t="s">
        <v>5847</v>
      </c>
      <c r="P2685" s="438" t="s">
        <v>5530</v>
      </c>
      <c r="Q2685" s="481">
        <v>0.2</v>
      </c>
      <c r="R2685" s="427">
        <v>1900001375</v>
      </c>
      <c r="S2685" s="513" t="s">
        <v>3475</v>
      </c>
      <c r="T2685" s="2" t="s">
        <v>5914</v>
      </c>
      <c r="U2685" s="9" t="s">
        <v>3475</v>
      </c>
    </row>
    <row r="2686" spans="1:21" x14ac:dyDescent="0.35">
      <c r="A2686" s="435" t="s">
        <v>5160</v>
      </c>
      <c r="B2686" s="427" t="s">
        <v>5863</v>
      </c>
      <c r="C2686" s="517" t="s">
        <v>5845</v>
      </c>
      <c r="D2686" s="517" t="s">
        <v>5845</v>
      </c>
      <c r="E2686" s="517"/>
      <c r="F2686" s="438" t="s">
        <v>5846</v>
      </c>
      <c r="G2686" s="438" t="s">
        <v>5840</v>
      </c>
      <c r="H2686" s="427" t="s">
        <v>5163</v>
      </c>
      <c r="I2686" s="518">
        <v>7737</v>
      </c>
      <c r="J2686" s="381">
        <v>2011</v>
      </c>
      <c r="K2686" s="519">
        <v>2011</v>
      </c>
      <c r="L2686" s="369">
        <f t="shared" si="193"/>
        <v>402.20000000000005</v>
      </c>
      <c r="M2686" s="369" t="s">
        <v>6171</v>
      </c>
      <c r="N2686" s="432" t="s">
        <v>3785</v>
      </c>
      <c r="O2686" s="521" t="s">
        <v>5847</v>
      </c>
      <c r="P2686" s="438" t="s">
        <v>5530</v>
      </c>
      <c r="Q2686" s="481">
        <v>0.2</v>
      </c>
      <c r="R2686" s="427">
        <v>1900001375</v>
      </c>
      <c r="S2686" s="513" t="s">
        <v>3475</v>
      </c>
      <c r="T2686" s="2" t="s">
        <v>5914</v>
      </c>
      <c r="U2686" s="9" t="s">
        <v>3475</v>
      </c>
    </row>
    <row r="2687" spans="1:21" x14ac:dyDescent="0.35">
      <c r="A2687" s="435" t="s">
        <v>5160</v>
      </c>
      <c r="B2687" s="427" t="s">
        <v>5862</v>
      </c>
      <c r="C2687" s="517" t="s">
        <v>5845</v>
      </c>
      <c r="D2687" s="517" t="s">
        <v>5845</v>
      </c>
      <c r="E2687" s="517"/>
      <c r="F2687" s="438" t="s">
        <v>5846</v>
      </c>
      <c r="G2687" s="438" t="s">
        <v>5840</v>
      </c>
      <c r="H2687" s="427" t="s">
        <v>5163</v>
      </c>
      <c r="I2687" s="518">
        <v>2063</v>
      </c>
      <c r="J2687" s="381">
        <v>536</v>
      </c>
      <c r="K2687" s="519">
        <v>536</v>
      </c>
      <c r="L2687" s="369">
        <f t="shared" si="193"/>
        <v>107.2</v>
      </c>
      <c r="M2687" s="369" t="s">
        <v>6171</v>
      </c>
      <c r="N2687" s="432" t="s">
        <v>3785</v>
      </c>
      <c r="O2687" s="521" t="s">
        <v>5847</v>
      </c>
      <c r="P2687" s="438" t="s">
        <v>5530</v>
      </c>
      <c r="Q2687" s="481">
        <v>0.2</v>
      </c>
      <c r="R2687" s="427">
        <v>1900001375</v>
      </c>
      <c r="S2687" s="513" t="s">
        <v>3475</v>
      </c>
      <c r="T2687" s="2" t="s">
        <v>5914</v>
      </c>
      <c r="U2687" s="9" t="s">
        <v>3475</v>
      </c>
    </row>
    <row r="2688" spans="1:21" x14ac:dyDescent="0.35">
      <c r="A2688" s="435" t="s">
        <v>5160</v>
      </c>
      <c r="B2688" s="427" t="s">
        <v>5864</v>
      </c>
      <c r="C2688" s="517" t="s">
        <v>5845</v>
      </c>
      <c r="D2688" s="517" t="s">
        <v>5845</v>
      </c>
      <c r="E2688" s="517"/>
      <c r="F2688" s="438" t="s">
        <v>5846</v>
      </c>
      <c r="G2688" s="438" t="s">
        <v>5840</v>
      </c>
      <c r="H2688" s="427" t="s">
        <v>5163</v>
      </c>
      <c r="I2688" s="518">
        <v>1677</v>
      </c>
      <c r="J2688" s="381">
        <v>435</v>
      </c>
      <c r="K2688" s="519">
        <v>435</v>
      </c>
      <c r="L2688" s="369">
        <f t="shared" si="193"/>
        <v>87</v>
      </c>
      <c r="M2688" s="369" t="s">
        <v>6171</v>
      </c>
      <c r="N2688" s="432" t="s">
        <v>3785</v>
      </c>
      <c r="O2688" s="521" t="s">
        <v>5847</v>
      </c>
      <c r="P2688" s="438" t="s">
        <v>5530</v>
      </c>
      <c r="Q2688" s="481">
        <v>0.2</v>
      </c>
      <c r="R2688" s="427">
        <v>1900001375</v>
      </c>
      <c r="S2688" s="513" t="s">
        <v>3475</v>
      </c>
      <c r="T2688" s="2" t="s">
        <v>5914</v>
      </c>
      <c r="U2688" s="9" t="s">
        <v>3475</v>
      </c>
    </row>
    <row r="2689" spans="1:21" x14ac:dyDescent="0.35">
      <c r="A2689" s="435" t="s">
        <v>5160</v>
      </c>
      <c r="B2689" s="427" t="s">
        <v>5865</v>
      </c>
      <c r="C2689" s="517" t="s">
        <v>5845</v>
      </c>
      <c r="D2689" s="517" t="s">
        <v>5845</v>
      </c>
      <c r="E2689" s="517"/>
      <c r="F2689" s="438" t="s">
        <v>5846</v>
      </c>
      <c r="G2689" s="438" t="s">
        <v>5840</v>
      </c>
      <c r="H2689" s="427" t="s">
        <v>5163</v>
      </c>
      <c r="I2689" s="518">
        <v>7724</v>
      </c>
      <c r="J2689" s="381">
        <v>2007</v>
      </c>
      <c r="K2689" s="519">
        <v>2007</v>
      </c>
      <c r="L2689" s="369">
        <f t="shared" si="193"/>
        <v>401.40000000000003</v>
      </c>
      <c r="M2689" s="369" t="s">
        <v>6171</v>
      </c>
      <c r="N2689" s="432" t="s">
        <v>3785</v>
      </c>
      <c r="O2689" s="521" t="s">
        <v>5847</v>
      </c>
      <c r="P2689" s="438" t="s">
        <v>5530</v>
      </c>
      <c r="Q2689" s="481">
        <v>0.2</v>
      </c>
      <c r="R2689" s="427">
        <v>1900001375</v>
      </c>
      <c r="S2689" s="513" t="s">
        <v>3475</v>
      </c>
      <c r="T2689" s="2" t="s">
        <v>5914</v>
      </c>
      <c r="U2689" s="9" t="s">
        <v>3475</v>
      </c>
    </row>
    <row r="2690" spans="1:21" x14ac:dyDescent="0.35">
      <c r="A2690" s="435" t="s">
        <v>5160</v>
      </c>
      <c r="B2690" s="427" t="s">
        <v>5866</v>
      </c>
      <c r="C2690" s="517" t="s">
        <v>5845</v>
      </c>
      <c r="D2690" s="517" t="s">
        <v>5845</v>
      </c>
      <c r="E2690" s="517"/>
      <c r="F2690" s="438" t="s">
        <v>5846</v>
      </c>
      <c r="G2690" s="438" t="s">
        <v>5840</v>
      </c>
      <c r="H2690" s="427" t="s">
        <v>5163</v>
      </c>
      <c r="I2690" s="518">
        <v>8769</v>
      </c>
      <c r="J2690" s="381">
        <v>2278</v>
      </c>
      <c r="K2690" s="519">
        <v>2278</v>
      </c>
      <c r="L2690" s="369">
        <f t="shared" si="193"/>
        <v>455.6</v>
      </c>
      <c r="M2690" s="369" t="s">
        <v>6171</v>
      </c>
      <c r="N2690" s="432" t="s">
        <v>3785</v>
      </c>
      <c r="O2690" s="521" t="s">
        <v>5847</v>
      </c>
      <c r="P2690" s="438" t="s">
        <v>5530</v>
      </c>
      <c r="Q2690" s="481">
        <v>0.2</v>
      </c>
      <c r="R2690" s="427">
        <v>1900001375</v>
      </c>
      <c r="S2690" s="513" t="s">
        <v>3475</v>
      </c>
      <c r="T2690" s="2" t="s">
        <v>5914</v>
      </c>
      <c r="U2690" s="513" t="s">
        <v>3475</v>
      </c>
    </row>
    <row r="2691" spans="1:21" hidden="1" x14ac:dyDescent="0.35">
      <c r="A2691" s="435" t="s">
        <v>5160</v>
      </c>
      <c r="B2691" s="427" t="s">
        <v>5867</v>
      </c>
      <c r="C2691" s="520" t="s">
        <v>5845</v>
      </c>
      <c r="D2691" s="517" t="s">
        <v>5845</v>
      </c>
      <c r="E2691" s="517" t="s">
        <v>3493</v>
      </c>
      <c r="F2691" s="438" t="s">
        <v>5846</v>
      </c>
      <c r="G2691" s="435" t="s">
        <v>5868</v>
      </c>
      <c r="H2691" s="427" t="s">
        <v>5163</v>
      </c>
      <c r="I2691" s="518">
        <v>206292</v>
      </c>
      <c r="J2691" s="381">
        <v>53598</v>
      </c>
      <c r="K2691" s="519">
        <v>53598</v>
      </c>
      <c r="L2691" s="369">
        <f t="shared" si="193"/>
        <v>10719.6</v>
      </c>
      <c r="M2691" s="369" t="s">
        <v>6171</v>
      </c>
      <c r="N2691" s="432" t="s">
        <v>3785</v>
      </c>
      <c r="O2691" s="521" t="s">
        <v>5847</v>
      </c>
      <c r="P2691" s="438" t="s">
        <v>5530</v>
      </c>
      <c r="Q2691" s="481">
        <v>0.2</v>
      </c>
      <c r="R2691" s="427">
        <v>1900001375</v>
      </c>
      <c r="S2691" s="513" t="s">
        <v>3494</v>
      </c>
      <c r="T2691" s="2" t="s">
        <v>5915</v>
      </c>
    </row>
    <row r="2692" spans="1:21" x14ac:dyDescent="0.35">
      <c r="A2692" s="435" t="s">
        <v>5160</v>
      </c>
      <c r="B2692" s="427" t="s">
        <v>5922</v>
      </c>
      <c r="C2692" s="520" t="s">
        <v>5845</v>
      </c>
      <c r="D2692" s="517" t="s">
        <v>5845</v>
      </c>
      <c r="E2692" s="517"/>
      <c r="F2692" s="438" t="s">
        <v>5846</v>
      </c>
      <c r="G2692" s="435" t="s">
        <v>5840</v>
      </c>
      <c r="H2692" s="427" t="s">
        <v>5163</v>
      </c>
      <c r="I2692" s="518">
        <v>11580</v>
      </c>
      <c r="J2692" s="381">
        <v>3009</v>
      </c>
      <c r="K2692" s="519">
        <v>3009</v>
      </c>
      <c r="L2692" s="369">
        <f t="shared" si="193"/>
        <v>601.80000000000007</v>
      </c>
      <c r="M2692" s="369" t="s">
        <v>6171</v>
      </c>
      <c r="N2692" s="432" t="s">
        <v>3785</v>
      </c>
      <c r="O2692" s="521" t="s">
        <v>5847</v>
      </c>
      <c r="P2692" s="438" t="s">
        <v>5530</v>
      </c>
      <c r="Q2692" s="481">
        <v>0.2</v>
      </c>
      <c r="R2692" s="427">
        <v>1900001375</v>
      </c>
      <c r="S2692" s="513"/>
      <c r="T2692" s="2" t="s">
        <v>5915</v>
      </c>
    </row>
    <row r="2693" spans="1:21" hidden="1" x14ac:dyDescent="0.35">
      <c r="A2693" s="435" t="s">
        <v>5160</v>
      </c>
      <c r="B2693" s="427" t="s">
        <v>5869</v>
      </c>
      <c r="C2693" s="520" t="s">
        <v>5845</v>
      </c>
      <c r="D2693" s="517" t="s">
        <v>5845</v>
      </c>
      <c r="E2693" s="517"/>
      <c r="F2693" s="438" t="s">
        <v>5846</v>
      </c>
      <c r="G2693" s="498" t="s">
        <v>5302</v>
      </c>
      <c r="H2693" s="427" t="s">
        <v>5163</v>
      </c>
      <c r="I2693" s="518">
        <v>1544.5</v>
      </c>
      <c r="J2693" s="381">
        <v>401.5</v>
      </c>
      <c r="K2693" s="519">
        <v>401.5</v>
      </c>
      <c r="L2693" s="369">
        <f t="shared" ref="L2693:L2756" si="194">+K2693*Q2693</f>
        <v>80.300000000000011</v>
      </c>
      <c r="M2693" s="369" t="s">
        <v>6171</v>
      </c>
      <c r="N2693" s="432" t="s">
        <v>3785</v>
      </c>
      <c r="O2693" s="521" t="s">
        <v>5847</v>
      </c>
      <c r="P2693" s="438" t="s">
        <v>5530</v>
      </c>
      <c r="Q2693" s="481">
        <v>0.2</v>
      </c>
      <c r="R2693" s="427">
        <v>1900001375</v>
      </c>
      <c r="S2693" s="513" t="s">
        <v>3505</v>
      </c>
      <c r="T2693" s="2" t="s">
        <v>5915</v>
      </c>
    </row>
    <row r="2694" spans="1:21" hidden="1" x14ac:dyDescent="0.35">
      <c r="A2694" s="435" t="s">
        <v>5160</v>
      </c>
      <c r="B2694" s="427" t="s">
        <v>5869</v>
      </c>
      <c r="C2694" s="520" t="s">
        <v>5845</v>
      </c>
      <c r="D2694" s="517" t="s">
        <v>5845</v>
      </c>
      <c r="E2694" s="517"/>
      <c r="F2694" s="438" t="s">
        <v>5846</v>
      </c>
      <c r="G2694" s="498" t="s">
        <v>5302</v>
      </c>
      <c r="H2694" s="427" t="s">
        <v>5163</v>
      </c>
      <c r="I2694" s="518">
        <v>1544.5</v>
      </c>
      <c r="J2694" s="381">
        <v>401.5</v>
      </c>
      <c r="K2694" s="519">
        <v>401.5</v>
      </c>
      <c r="L2694" s="369">
        <f t="shared" si="194"/>
        <v>80.300000000000011</v>
      </c>
      <c r="M2694" s="369" t="s">
        <v>6171</v>
      </c>
      <c r="N2694" s="432" t="s">
        <v>3785</v>
      </c>
      <c r="O2694" s="521" t="s">
        <v>5847</v>
      </c>
      <c r="P2694" s="438" t="s">
        <v>5530</v>
      </c>
      <c r="Q2694" s="481">
        <v>0.2</v>
      </c>
      <c r="R2694" s="427">
        <v>1900001375</v>
      </c>
      <c r="S2694" s="513" t="s">
        <v>5920</v>
      </c>
      <c r="T2694" s="2" t="s">
        <v>5915</v>
      </c>
    </row>
    <row r="2695" spans="1:21" x14ac:dyDescent="0.35">
      <c r="A2695" s="435" t="s">
        <v>5160</v>
      </c>
      <c r="B2695" s="543" t="s">
        <v>5870</v>
      </c>
      <c r="C2695" s="517" t="s">
        <v>5845</v>
      </c>
      <c r="D2695" s="517" t="s">
        <v>5845</v>
      </c>
      <c r="E2695" s="517"/>
      <c r="F2695" s="438" t="s">
        <v>5846</v>
      </c>
      <c r="G2695" s="438" t="s">
        <v>5840</v>
      </c>
      <c r="H2695" s="427" t="s">
        <v>5163</v>
      </c>
      <c r="I2695" s="518">
        <v>77.5</v>
      </c>
      <c r="J2695" s="381">
        <v>20</v>
      </c>
      <c r="K2695" s="519">
        <v>20</v>
      </c>
      <c r="L2695" s="369">
        <f t="shared" si="194"/>
        <v>4</v>
      </c>
      <c r="M2695" s="369" t="s">
        <v>6171</v>
      </c>
      <c r="N2695" s="432" t="s">
        <v>3785</v>
      </c>
      <c r="O2695" s="521" t="s">
        <v>5847</v>
      </c>
      <c r="P2695" s="438" t="s">
        <v>5530</v>
      </c>
      <c r="Q2695" s="481">
        <v>0.2</v>
      </c>
      <c r="R2695" s="427">
        <v>1900001375</v>
      </c>
      <c r="S2695" s="513" t="s">
        <v>3475</v>
      </c>
      <c r="T2695" s="2" t="s">
        <v>5914</v>
      </c>
      <c r="U2695" s="9" t="s">
        <v>3475</v>
      </c>
    </row>
    <row r="2696" spans="1:21" x14ac:dyDescent="0.35">
      <c r="A2696" s="435" t="s">
        <v>5160</v>
      </c>
      <c r="B2696" s="543" t="s">
        <v>5870</v>
      </c>
      <c r="C2696" s="517" t="s">
        <v>5845</v>
      </c>
      <c r="D2696" s="517" t="s">
        <v>5845</v>
      </c>
      <c r="E2696" s="517"/>
      <c r="F2696" s="438" t="s">
        <v>5846</v>
      </c>
      <c r="G2696" s="438" t="s">
        <v>5840</v>
      </c>
      <c r="H2696" s="427" t="s">
        <v>5163</v>
      </c>
      <c r="I2696" s="518">
        <v>77.5</v>
      </c>
      <c r="J2696" s="381">
        <v>20</v>
      </c>
      <c r="K2696" s="519">
        <v>20</v>
      </c>
      <c r="L2696" s="369">
        <f t="shared" si="194"/>
        <v>4</v>
      </c>
      <c r="M2696" s="369" t="s">
        <v>6171</v>
      </c>
      <c r="N2696" s="432" t="s">
        <v>3785</v>
      </c>
      <c r="O2696" s="521" t="s">
        <v>5847</v>
      </c>
      <c r="P2696" s="438" t="s">
        <v>5530</v>
      </c>
      <c r="Q2696" s="481">
        <v>0.2</v>
      </c>
      <c r="R2696" s="427">
        <v>1900001375</v>
      </c>
      <c r="S2696" s="513" t="s">
        <v>3475</v>
      </c>
      <c r="T2696" s="2" t="s">
        <v>5914</v>
      </c>
      <c r="U2696" s="513" t="s">
        <v>3475</v>
      </c>
    </row>
    <row r="2697" spans="1:21" x14ac:dyDescent="0.35">
      <c r="A2697" s="435" t="s">
        <v>5160</v>
      </c>
      <c r="B2697" s="543" t="s">
        <v>5871</v>
      </c>
      <c r="C2697" s="517" t="s">
        <v>5845</v>
      </c>
      <c r="D2697" s="517" t="s">
        <v>5845</v>
      </c>
      <c r="E2697" s="517"/>
      <c r="F2697" s="438" t="s">
        <v>5846</v>
      </c>
      <c r="G2697" s="435" t="s">
        <v>5278</v>
      </c>
      <c r="H2697" s="427" t="s">
        <v>5163</v>
      </c>
      <c r="I2697" s="518">
        <v>2153.4</v>
      </c>
      <c r="J2697" s="381">
        <v>559.5</v>
      </c>
      <c r="K2697" s="519">
        <v>559.5</v>
      </c>
      <c r="L2697" s="369">
        <f t="shared" si="194"/>
        <v>111.9</v>
      </c>
      <c r="M2697" s="369" t="s">
        <v>6171</v>
      </c>
      <c r="N2697" s="432" t="s">
        <v>3785</v>
      </c>
      <c r="O2697" s="521" t="s">
        <v>5847</v>
      </c>
      <c r="P2697" s="438" t="s">
        <v>5530</v>
      </c>
      <c r="Q2697" s="481">
        <v>0.2</v>
      </c>
      <c r="R2697" s="427">
        <v>1900001375</v>
      </c>
      <c r="S2697" s="513" t="s">
        <v>3475</v>
      </c>
      <c r="T2697" s="2" t="s">
        <v>5914</v>
      </c>
      <c r="U2697" s="9" t="s">
        <v>3475</v>
      </c>
    </row>
    <row r="2698" spans="1:21" x14ac:dyDescent="0.35">
      <c r="A2698" s="435" t="s">
        <v>5160</v>
      </c>
      <c r="B2698" s="543" t="s">
        <v>5871</v>
      </c>
      <c r="C2698" s="517" t="s">
        <v>5845</v>
      </c>
      <c r="D2698" s="517" t="s">
        <v>5845</v>
      </c>
      <c r="E2698" s="517"/>
      <c r="F2698" s="438" t="s">
        <v>5846</v>
      </c>
      <c r="G2698" s="435" t="s">
        <v>5278</v>
      </c>
      <c r="H2698" s="427" t="s">
        <v>5163</v>
      </c>
      <c r="I2698" s="518">
        <v>2153.4</v>
      </c>
      <c r="J2698" s="381">
        <v>559.5</v>
      </c>
      <c r="K2698" s="519">
        <v>559.5</v>
      </c>
      <c r="L2698" s="369">
        <f t="shared" si="194"/>
        <v>111.9</v>
      </c>
      <c r="M2698" s="369" t="s">
        <v>6171</v>
      </c>
      <c r="N2698" s="432" t="s">
        <v>3785</v>
      </c>
      <c r="O2698" s="521" t="s">
        <v>5847</v>
      </c>
      <c r="P2698" s="438" t="s">
        <v>5530</v>
      </c>
      <c r="Q2698" s="481">
        <v>0.2</v>
      </c>
      <c r="R2698" s="427">
        <v>1900001375</v>
      </c>
      <c r="S2698" s="513" t="s">
        <v>3475</v>
      </c>
      <c r="T2698" s="2" t="s">
        <v>5914</v>
      </c>
      <c r="U2698" s="9" t="s">
        <v>3475</v>
      </c>
    </row>
    <row r="2699" spans="1:21" x14ac:dyDescent="0.35">
      <c r="A2699" s="435" t="s">
        <v>5160</v>
      </c>
      <c r="B2699" s="543" t="s">
        <v>5871</v>
      </c>
      <c r="C2699" s="517" t="s">
        <v>5845</v>
      </c>
      <c r="D2699" s="517" t="s">
        <v>5845</v>
      </c>
      <c r="E2699" s="517"/>
      <c r="F2699" s="438" t="s">
        <v>5846</v>
      </c>
      <c r="G2699" s="435" t="s">
        <v>5278</v>
      </c>
      <c r="H2699" s="427" t="s">
        <v>5163</v>
      </c>
      <c r="I2699" s="518">
        <v>2153.4</v>
      </c>
      <c r="J2699" s="381">
        <v>559.5</v>
      </c>
      <c r="K2699" s="519">
        <v>559.5</v>
      </c>
      <c r="L2699" s="369">
        <f t="shared" si="194"/>
        <v>111.9</v>
      </c>
      <c r="M2699" s="369" t="s">
        <v>6171</v>
      </c>
      <c r="N2699" s="432" t="s">
        <v>3785</v>
      </c>
      <c r="O2699" s="521" t="s">
        <v>5847</v>
      </c>
      <c r="P2699" s="438" t="s">
        <v>5530</v>
      </c>
      <c r="Q2699" s="481">
        <v>0.2</v>
      </c>
      <c r="R2699" s="427">
        <v>1900001375</v>
      </c>
      <c r="S2699" s="513" t="s">
        <v>3475</v>
      </c>
      <c r="T2699" s="2" t="s">
        <v>5914</v>
      </c>
      <c r="U2699" s="9" t="s">
        <v>3475</v>
      </c>
    </row>
    <row r="2700" spans="1:21" x14ac:dyDescent="0.35">
      <c r="A2700" s="435" t="s">
        <v>5160</v>
      </c>
      <c r="B2700" s="543" t="s">
        <v>5871</v>
      </c>
      <c r="C2700" s="517" t="s">
        <v>5845</v>
      </c>
      <c r="D2700" s="517" t="s">
        <v>5845</v>
      </c>
      <c r="E2700" s="517"/>
      <c r="F2700" s="438" t="s">
        <v>5846</v>
      </c>
      <c r="G2700" s="435" t="s">
        <v>5278</v>
      </c>
      <c r="H2700" s="427" t="s">
        <v>5163</v>
      </c>
      <c r="I2700" s="518">
        <v>2153.4</v>
      </c>
      <c r="J2700" s="381">
        <v>559.5</v>
      </c>
      <c r="K2700" s="519">
        <v>559.5</v>
      </c>
      <c r="L2700" s="369">
        <f t="shared" si="194"/>
        <v>111.9</v>
      </c>
      <c r="M2700" s="369" t="s">
        <v>6171</v>
      </c>
      <c r="N2700" s="432" t="s">
        <v>3785</v>
      </c>
      <c r="O2700" s="521" t="s">
        <v>5847</v>
      </c>
      <c r="P2700" s="438" t="s">
        <v>5530</v>
      </c>
      <c r="Q2700" s="481">
        <v>0.2</v>
      </c>
      <c r="R2700" s="427">
        <v>1900001375</v>
      </c>
      <c r="S2700" s="513" t="s">
        <v>3475</v>
      </c>
      <c r="T2700" s="2" t="s">
        <v>5914</v>
      </c>
      <c r="U2700" s="9" t="s">
        <v>3475</v>
      </c>
    </row>
    <row r="2701" spans="1:21" x14ac:dyDescent="0.35">
      <c r="A2701" s="435" t="s">
        <v>5160</v>
      </c>
      <c r="B2701" s="543" t="s">
        <v>5871</v>
      </c>
      <c r="C2701" s="517" t="s">
        <v>5845</v>
      </c>
      <c r="D2701" s="517" t="s">
        <v>5845</v>
      </c>
      <c r="E2701" s="517"/>
      <c r="F2701" s="438" t="s">
        <v>5846</v>
      </c>
      <c r="G2701" s="435" t="s">
        <v>5278</v>
      </c>
      <c r="H2701" s="427" t="s">
        <v>5163</v>
      </c>
      <c r="I2701" s="518">
        <v>2153.4</v>
      </c>
      <c r="J2701" s="381">
        <v>559.5</v>
      </c>
      <c r="K2701" s="519">
        <v>559.5</v>
      </c>
      <c r="L2701" s="369">
        <f t="shared" si="194"/>
        <v>111.9</v>
      </c>
      <c r="M2701" s="369" t="s">
        <v>6171</v>
      </c>
      <c r="N2701" s="432" t="s">
        <v>3785</v>
      </c>
      <c r="O2701" s="521" t="s">
        <v>5847</v>
      </c>
      <c r="P2701" s="438" t="s">
        <v>5530</v>
      </c>
      <c r="Q2701" s="481">
        <v>0.2</v>
      </c>
      <c r="R2701" s="427">
        <v>1900001375</v>
      </c>
      <c r="S2701" s="513" t="s">
        <v>3475</v>
      </c>
      <c r="T2701" s="2" t="s">
        <v>5914</v>
      </c>
      <c r="U2701" s="9" t="s">
        <v>3475</v>
      </c>
    </row>
    <row r="2702" spans="1:21" x14ac:dyDescent="0.35">
      <c r="A2702" s="435" t="s">
        <v>5160</v>
      </c>
      <c r="B2702" s="543" t="s">
        <v>5871</v>
      </c>
      <c r="C2702" s="517" t="s">
        <v>5845</v>
      </c>
      <c r="D2702" s="517" t="s">
        <v>5845</v>
      </c>
      <c r="E2702" s="517"/>
      <c r="F2702" s="438" t="s">
        <v>5846</v>
      </c>
      <c r="G2702" s="435" t="s">
        <v>5278</v>
      </c>
      <c r="H2702" s="427" t="s">
        <v>5163</v>
      </c>
      <c r="I2702" s="518">
        <v>2153.4</v>
      </c>
      <c r="J2702" s="381">
        <v>559.5</v>
      </c>
      <c r="K2702" s="519">
        <v>559.5</v>
      </c>
      <c r="L2702" s="369">
        <f t="shared" si="194"/>
        <v>111.9</v>
      </c>
      <c r="M2702" s="369" t="s">
        <v>6171</v>
      </c>
      <c r="N2702" s="432" t="s">
        <v>3785</v>
      </c>
      <c r="O2702" s="521" t="s">
        <v>5847</v>
      </c>
      <c r="P2702" s="438" t="s">
        <v>5530</v>
      </c>
      <c r="Q2702" s="481">
        <v>0.2</v>
      </c>
      <c r="R2702" s="427">
        <v>1900001375</v>
      </c>
      <c r="S2702" s="513" t="s">
        <v>3475</v>
      </c>
      <c r="T2702" s="2" t="s">
        <v>5914</v>
      </c>
      <c r="U2702" s="9" t="s">
        <v>3475</v>
      </c>
    </row>
    <row r="2703" spans="1:21" x14ac:dyDescent="0.35">
      <c r="A2703" s="435" t="s">
        <v>5160</v>
      </c>
      <c r="B2703" s="543" t="s">
        <v>5871</v>
      </c>
      <c r="C2703" s="517" t="s">
        <v>5845</v>
      </c>
      <c r="D2703" s="517" t="s">
        <v>5845</v>
      </c>
      <c r="E2703" s="517"/>
      <c r="F2703" s="438" t="s">
        <v>5846</v>
      </c>
      <c r="G2703" s="435" t="s">
        <v>5278</v>
      </c>
      <c r="H2703" s="427" t="s">
        <v>5163</v>
      </c>
      <c r="I2703" s="518">
        <v>2153.4</v>
      </c>
      <c r="J2703" s="381">
        <v>559.5</v>
      </c>
      <c r="K2703" s="519">
        <v>559.5</v>
      </c>
      <c r="L2703" s="369">
        <f t="shared" si="194"/>
        <v>111.9</v>
      </c>
      <c r="M2703" s="369" t="s">
        <v>6171</v>
      </c>
      <c r="N2703" s="432" t="s">
        <v>3785</v>
      </c>
      <c r="O2703" s="521" t="s">
        <v>5847</v>
      </c>
      <c r="P2703" s="438" t="s">
        <v>5530</v>
      </c>
      <c r="Q2703" s="481">
        <v>0.2</v>
      </c>
      <c r="R2703" s="427">
        <v>1900001375</v>
      </c>
      <c r="S2703" s="513" t="s">
        <v>3475</v>
      </c>
      <c r="T2703" s="2" t="s">
        <v>5914</v>
      </c>
      <c r="U2703" s="9" t="s">
        <v>3475</v>
      </c>
    </row>
    <row r="2704" spans="1:21" x14ac:dyDescent="0.35">
      <c r="A2704" s="435" t="s">
        <v>5160</v>
      </c>
      <c r="B2704" s="543" t="s">
        <v>5871</v>
      </c>
      <c r="C2704" s="517" t="s">
        <v>5845</v>
      </c>
      <c r="D2704" s="517" t="s">
        <v>5845</v>
      </c>
      <c r="E2704" s="517"/>
      <c r="F2704" s="438" t="s">
        <v>5846</v>
      </c>
      <c r="G2704" s="435" t="s">
        <v>5278</v>
      </c>
      <c r="H2704" s="427" t="s">
        <v>5163</v>
      </c>
      <c r="I2704" s="518">
        <v>2153.4</v>
      </c>
      <c r="J2704" s="381">
        <v>559.5</v>
      </c>
      <c r="K2704" s="519">
        <v>559.5</v>
      </c>
      <c r="L2704" s="369">
        <f t="shared" si="194"/>
        <v>111.9</v>
      </c>
      <c r="M2704" s="369" t="s">
        <v>6171</v>
      </c>
      <c r="N2704" s="432" t="s">
        <v>3785</v>
      </c>
      <c r="O2704" s="521" t="s">
        <v>5847</v>
      </c>
      <c r="P2704" s="438" t="s">
        <v>5530</v>
      </c>
      <c r="Q2704" s="481">
        <v>0.2</v>
      </c>
      <c r="R2704" s="427">
        <v>1900001375</v>
      </c>
      <c r="S2704" s="513" t="s">
        <v>3475</v>
      </c>
      <c r="T2704" s="2" t="s">
        <v>5914</v>
      </c>
      <c r="U2704" s="9" t="s">
        <v>3475</v>
      </c>
    </row>
    <row r="2705" spans="1:21" x14ac:dyDescent="0.35">
      <c r="A2705" s="435" t="s">
        <v>5160</v>
      </c>
      <c r="B2705" s="543" t="s">
        <v>5871</v>
      </c>
      <c r="C2705" s="517" t="s">
        <v>5845</v>
      </c>
      <c r="D2705" s="517" t="s">
        <v>5845</v>
      </c>
      <c r="E2705" s="517"/>
      <c r="F2705" s="438" t="s">
        <v>5846</v>
      </c>
      <c r="G2705" s="435" t="s">
        <v>5278</v>
      </c>
      <c r="H2705" s="427" t="s">
        <v>5163</v>
      </c>
      <c r="I2705" s="518">
        <v>2153.4</v>
      </c>
      <c r="J2705" s="381">
        <v>559.5</v>
      </c>
      <c r="K2705" s="519">
        <v>559.5</v>
      </c>
      <c r="L2705" s="369">
        <f t="shared" si="194"/>
        <v>111.9</v>
      </c>
      <c r="M2705" s="369" t="s">
        <v>6171</v>
      </c>
      <c r="N2705" s="432" t="s">
        <v>3785</v>
      </c>
      <c r="O2705" s="521" t="s">
        <v>5847</v>
      </c>
      <c r="P2705" s="438" t="s">
        <v>5530</v>
      </c>
      <c r="Q2705" s="481">
        <v>0.2</v>
      </c>
      <c r="R2705" s="427">
        <v>1900001375</v>
      </c>
      <c r="S2705" s="513" t="s">
        <v>3475</v>
      </c>
      <c r="T2705" s="2" t="s">
        <v>5914</v>
      </c>
      <c r="U2705" s="9" t="s">
        <v>3475</v>
      </c>
    </row>
    <row r="2706" spans="1:21" x14ac:dyDescent="0.35">
      <c r="A2706" s="435" t="s">
        <v>5160</v>
      </c>
      <c r="B2706" s="543" t="s">
        <v>5871</v>
      </c>
      <c r="C2706" s="517" t="s">
        <v>5845</v>
      </c>
      <c r="D2706" s="517" t="s">
        <v>5845</v>
      </c>
      <c r="E2706" s="517"/>
      <c r="F2706" s="438" t="s">
        <v>5846</v>
      </c>
      <c r="G2706" s="435" t="s">
        <v>5278</v>
      </c>
      <c r="H2706" s="427" t="s">
        <v>5163</v>
      </c>
      <c r="I2706" s="518">
        <v>2153.4</v>
      </c>
      <c r="J2706" s="381">
        <v>559.5</v>
      </c>
      <c r="K2706" s="519">
        <v>559.5</v>
      </c>
      <c r="L2706" s="369">
        <f t="shared" si="194"/>
        <v>111.9</v>
      </c>
      <c r="M2706" s="369" t="s">
        <v>6171</v>
      </c>
      <c r="N2706" s="432" t="s">
        <v>3785</v>
      </c>
      <c r="O2706" s="521" t="s">
        <v>5847</v>
      </c>
      <c r="P2706" s="438" t="s">
        <v>5530</v>
      </c>
      <c r="Q2706" s="481">
        <v>0.2</v>
      </c>
      <c r="R2706" s="427">
        <v>1900001375</v>
      </c>
      <c r="S2706" s="513" t="s">
        <v>3475</v>
      </c>
      <c r="T2706" s="2" t="s">
        <v>5914</v>
      </c>
      <c r="U2706" s="9" t="s">
        <v>3475</v>
      </c>
    </row>
    <row r="2707" spans="1:21" x14ac:dyDescent="0.35">
      <c r="A2707" s="435" t="s">
        <v>5160</v>
      </c>
      <c r="B2707" s="427" t="s">
        <v>5490</v>
      </c>
      <c r="C2707" s="520" t="s">
        <v>5845</v>
      </c>
      <c r="D2707" s="517" t="s">
        <v>5845</v>
      </c>
      <c r="E2707" s="517" t="s">
        <v>2192</v>
      </c>
      <c r="F2707" s="438" t="s">
        <v>5846</v>
      </c>
      <c r="G2707" s="438" t="s">
        <v>5840</v>
      </c>
      <c r="H2707" s="427" t="s">
        <v>5163</v>
      </c>
      <c r="I2707" s="518">
        <v>1843.98</v>
      </c>
      <c r="J2707" s="381">
        <v>479.1</v>
      </c>
      <c r="K2707" s="519">
        <v>479.1</v>
      </c>
      <c r="L2707" s="369">
        <f t="shared" si="194"/>
        <v>95.820000000000007</v>
      </c>
      <c r="M2707" s="369" t="s">
        <v>6171</v>
      </c>
      <c r="N2707" s="432" t="s">
        <v>3785</v>
      </c>
      <c r="O2707" s="521" t="s">
        <v>5847</v>
      </c>
      <c r="P2707" s="438" t="s">
        <v>5530</v>
      </c>
      <c r="Q2707" s="481">
        <v>0.2</v>
      </c>
      <c r="R2707" s="427">
        <v>1900001375</v>
      </c>
      <c r="S2707" s="513" t="s">
        <v>1048</v>
      </c>
      <c r="T2707" s="2" t="s">
        <v>5915</v>
      </c>
    </row>
    <row r="2708" spans="1:21" x14ac:dyDescent="0.35">
      <c r="A2708" s="435" t="s">
        <v>5160</v>
      </c>
      <c r="B2708" s="427" t="s">
        <v>5490</v>
      </c>
      <c r="C2708" s="520" t="s">
        <v>5845</v>
      </c>
      <c r="D2708" s="517" t="s">
        <v>5845</v>
      </c>
      <c r="E2708" s="517" t="s">
        <v>2195</v>
      </c>
      <c r="F2708" s="438" t="s">
        <v>5846</v>
      </c>
      <c r="G2708" s="438" t="s">
        <v>5840</v>
      </c>
      <c r="H2708" s="427" t="s">
        <v>5163</v>
      </c>
      <c r="I2708" s="518">
        <v>1843.98</v>
      </c>
      <c r="J2708" s="381">
        <v>479.1</v>
      </c>
      <c r="K2708" s="519">
        <v>479.1</v>
      </c>
      <c r="L2708" s="369">
        <f t="shared" si="194"/>
        <v>95.820000000000007</v>
      </c>
      <c r="M2708" s="369" t="s">
        <v>6171</v>
      </c>
      <c r="N2708" s="432" t="s">
        <v>3785</v>
      </c>
      <c r="O2708" s="521" t="s">
        <v>5847</v>
      </c>
      <c r="P2708" s="438" t="s">
        <v>5530</v>
      </c>
      <c r="Q2708" s="481">
        <v>0.2</v>
      </c>
      <c r="R2708" s="427">
        <v>1900001375</v>
      </c>
      <c r="S2708" s="513" t="s">
        <v>2194</v>
      </c>
      <c r="T2708" s="2" t="s">
        <v>5915</v>
      </c>
    </row>
    <row r="2709" spans="1:21" x14ac:dyDescent="0.35">
      <c r="A2709" s="435" t="s">
        <v>5160</v>
      </c>
      <c r="B2709" s="427" t="s">
        <v>5490</v>
      </c>
      <c r="C2709" s="520" t="s">
        <v>5845</v>
      </c>
      <c r="D2709" s="517" t="s">
        <v>5845</v>
      </c>
      <c r="E2709" s="517" t="s">
        <v>2197</v>
      </c>
      <c r="F2709" s="438" t="s">
        <v>5846</v>
      </c>
      <c r="G2709" s="438" t="s">
        <v>5840</v>
      </c>
      <c r="H2709" s="427" t="s">
        <v>5163</v>
      </c>
      <c r="I2709" s="518">
        <v>1843.98</v>
      </c>
      <c r="J2709" s="381">
        <v>479.1</v>
      </c>
      <c r="K2709" s="519">
        <v>479.1</v>
      </c>
      <c r="L2709" s="369">
        <f t="shared" si="194"/>
        <v>95.820000000000007</v>
      </c>
      <c r="M2709" s="369" t="s">
        <v>6171</v>
      </c>
      <c r="N2709" s="432" t="s">
        <v>3785</v>
      </c>
      <c r="O2709" s="521" t="s">
        <v>5847</v>
      </c>
      <c r="P2709" s="438" t="s">
        <v>5530</v>
      </c>
      <c r="Q2709" s="481">
        <v>0.2</v>
      </c>
      <c r="R2709" s="427">
        <v>1900001375</v>
      </c>
      <c r="S2709" s="513" t="s">
        <v>331</v>
      </c>
      <c r="T2709" s="2" t="s">
        <v>5915</v>
      </c>
    </row>
    <row r="2710" spans="1:21" x14ac:dyDescent="0.35">
      <c r="A2710" s="435" t="s">
        <v>5160</v>
      </c>
      <c r="B2710" s="427" t="s">
        <v>5490</v>
      </c>
      <c r="C2710" s="520" t="s">
        <v>5845</v>
      </c>
      <c r="D2710" s="517" t="s">
        <v>5845</v>
      </c>
      <c r="E2710" s="517" t="s">
        <v>2199</v>
      </c>
      <c r="F2710" s="438" t="s">
        <v>5846</v>
      </c>
      <c r="G2710" s="438" t="s">
        <v>5840</v>
      </c>
      <c r="H2710" s="427" t="s">
        <v>5163</v>
      </c>
      <c r="I2710" s="518">
        <v>1843.98</v>
      </c>
      <c r="J2710" s="381">
        <v>479.1</v>
      </c>
      <c r="K2710" s="519">
        <v>479.1</v>
      </c>
      <c r="L2710" s="369">
        <f t="shared" si="194"/>
        <v>95.820000000000007</v>
      </c>
      <c r="M2710" s="369" t="s">
        <v>6171</v>
      </c>
      <c r="N2710" s="432" t="s">
        <v>3785</v>
      </c>
      <c r="O2710" s="521" t="s">
        <v>5847</v>
      </c>
      <c r="P2710" s="438" t="s">
        <v>5530</v>
      </c>
      <c r="Q2710" s="481">
        <v>0.2</v>
      </c>
      <c r="R2710" s="427">
        <v>1900001375</v>
      </c>
      <c r="S2710" s="513" t="s">
        <v>1137</v>
      </c>
      <c r="T2710" s="2" t="s">
        <v>5915</v>
      </c>
    </row>
    <row r="2711" spans="1:21" x14ac:dyDescent="0.35">
      <c r="A2711" s="435" t="s">
        <v>5160</v>
      </c>
      <c r="B2711" s="427" t="s">
        <v>5490</v>
      </c>
      <c r="C2711" s="520" t="s">
        <v>5845</v>
      </c>
      <c r="D2711" s="517" t="s">
        <v>5845</v>
      </c>
      <c r="E2711" s="517" t="s">
        <v>2201</v>
      </c>
      <c r="F2711" s="438" t="s">
        <v>5846</v>
      </c>
      <c r="G2711" s="438" t="s">
        <v>5840</v>
      </c>
      <c r="H2711" s="427" t="s">
        <v>5163</v>
      </c>
      <c r="I2711" s="518">
        <v>1843.98</v>
      </c>
      <c r="J2711" s="381">
        <v>479.1</v>
      </c>
      <c r="K2711" s="519">
        <v>479.1</v>
      </c>
      <c r="L2711" s="369">
        <f t="shared" si="194"/>
        <v>95.820000000000007</v>
      </c>
      <c r="M2711" s="369" t="s">
        <v>6171</v>
      </c>
      <c r="N2711" s="432" t="s">
        <v>3785</v>
      </c>
      <c r="O2711" s="521" t="s">
        <v>5847</v>
      </c>
      <c r="P2711" s="438" t="s">
        <v>5530</v>
      </c>
      <c r="Q2711" s="481">
        <v>0.2</v>
      </c>
      <c r="R2711" s="427">
        <v>1900001375</v>
      </c>
      <c r="S2711" s="513" t="s">
        <v>1084</v>
      </c>
      <c r="T2711" s="2" t="s">
        <v>5915</v>
      </c>
    </row>
    <row r="2712" spans="1:21" x14ac:dyDescent="0.35">
      <c r="A2712" s="435" t="s">
        <v>5160</v>
      </c>
      <c r="B2712" s="427" t="s">
        <v>5490</v>
      </c>
      <c r="C2712" s="520" t="s">
        <v>5845</v>
      </c>
      <c r="D2712" s="517" t="s">
        <v>5845</v>
      </c>
      <c r="E2712" s="517" t="s">
        <v>2204</v>
      </c>
      <c r="F2712" s="438" t="s">
        <v>5846</v>
      </c>
      <c r="G2712" s="438" t="s">
        <v>5840</v>
      </c>
      <c r="H2712" s="427" t="s">
        <v>5163</v>
      </c>
      <c r="I2712" s="518">
        <v>1843.98</v>
      </c>
      <c r="J2712" s="381">
        <v>479.1</v>
      </c>
      <c r="K2712" s="519">
        <v>479.1</v>
      </c>
      <c r="L2712" s="369">
        <f t="shared" si="194"/>
        <v>95.820000000000007</v>
      </c>
      <c r="M2712" s="369" t="s">
        <v>6171</v>
      </c>
      <c r="N2712" s="432" t="s">
        <v>3785</v>
      </c>
      <c r="O2712" s="521" t="s">
        <v>5847</v>
      </c>
      <c r="P2712" s="438" t="s">
        <v>5530</v>
      </c>
      <c r="Q2712" s="481">
        <v>0.2</v>
      </c>
      <c r="R2712" s="427">
        <v>1900001375</v>
      </c>
      <c r="S2712" s="513" t="s">
        <v>2203</v>
      </c>
      <c r="T2712" s="2" t="s">
        <v>5915</v>
      </c>
    </row>
    <row r="2713" spans="1:21" x14ac:dyDescent="0.35">
      <c r="A2713" s="435" t="s">
        <v>5160</v>
      </c>
      <c r="B2713" s="427" t="s">
        <v>5490</v>
      </c>
      <c r="C2713" s="520" t="s">
        <v>5845</v>
      </c>
      <c r="D2713" s="517" t="s">
        <v>5845</v>
      </c>
      <c r="E2713" s="517" t="s">
        <v>2206</v>
      </c>
      <c r="F2713" s="438" t="s">
        <v>5846</v>
      </c>
      <c r="G2713" s="438" t="s">
        <v>5840</v>
      </c>
      <c r="H2713" s="427" t="s">
        <v>5163</v>
      </c>
      <c r="I2713" s="518">
        <v>1843.98</v>
      </c>
      <c r="J2713" s="381">
        <v>479.1</v>
      </c>
      <c r="K2713" s="519">
        <v>479.1</v>
      </c>
      <c r="L2713" s="369">
        <f t="shared" si="194"/>
        <v>95.820000000000007</v>
      </c>
      <c r="M2713" s="369" t="s">
        <v>6171</v>
      </c>
      <c r="N2713" s="432" t="s">
        <v>3785</v>
      </c>
      <c r="O2713" s="521" t="s">
        <v>5847</v>
      </c>
      <c r="P2713" s="438" t="s">
        <v>5530</v>
      </c>
      <c r="Q2713" s="481">
        <v>0.2</v>
      </c>
      <c r="R2713" s="427">
        <v>1900001375</v>
      </c>
      <c r="S2713" s="513" t="s">
        <v>484</v>
      </c>
      <c r="T2713" s="2" t="s">
        <v>5915</v>
      </c>
    </row>
    <row r="2714" spans="1:21" x14ac:dyDescent="0.35">
      <c r="A2714" s="435" t="s">
        <v>5160</v>
      </c>
      <c r="B2714" s="427" t="s">
        <v>5490</v>
      </c>
      <c r="C2714" s="520" t="s">
        <v>5845</v>
      </c>
      <c r="D2714" s="517" t="s">
        <v>5845</v>
      </c>
      <c r="E2714" s="517" t="s">
        <v>2209</v>
      </c>
      <c r="F2714" s="438" t="s">
        <v>5846</v>
      </c>
      <c r="G2714" s="438" t="s">
        <v>5840</v>
      </c>
      <c r="H2714" s="427" t="s">
        <v>5163</v>
      </c>
      <c r="I2714" s="518">
        <v>1843.98</v>
      </c>
      <c r="J2714" s="381">
        <v>479.1</v>
      </c>
      <c r="K2714" s="519">
        <v>479.1</v>
      </c>
      <c r="L2714" s="369">
        <f t="shared" si="194"/>
        <v>95.820000000000007</v>
      </c>
      <c r="M2714" s="369" t="s">
        <v>6171</v>
      </c>
      <c r="N2714" s="432" t="s">
        <v>3785</v>
      </c>
      <c r="O2714" s="521" t="s">
        <v>5847</v>
      </c>
      <c r="P2714" s="438" t="s">
        <v>5530</v>
      </c>
      <c r="Q2714" s="481">
        <v>0.2</v>
      </c>
      <c r="R2714" s="427">
        <v>1900001375</v>
      </c>
      <c r="S2714" s="513" t="s">
        <v>2208</v>
      </c>
      <c r="T2714" s="2" t="s">
        <v>5915</v>
      </c>
    </row>
    <row r="2715" spans="1:21" x14ac:dyDescent="0.35">
      <c r="A2715" s="435" t="s">
        <v>5160</v>
      </c>
      <c r="B2715" s="427" t="s">
        <v>5490</v>
      </c>
      <c r="C2715" s="520" t="s">
        <v>5845</v>
      </c>
      <c r="D2715" s="517" t="s">
        <v>5845</v>
      </c>
      <c r="E2715" s="517" t="s">
        <v>2211</v>
      </c>
      <c r="F2715" s="438" t="s">
        <v>5846</v>
      </c>
      <c r="G2715" s="438" t="s">
        <v>5840</v>
      </c>
      <c r="H2715" s="427" t="s">
        <v>5163</v>
      </c>
      <c r="I2715" s="518">
        <v>1843.98</v>
      </c>
      <c r="J2715" s="381">
        <v>479.1</v>
      </c>
      <c r="K2715" s="519">
        <v>479.1</v>
      </c>
      <c r="L2715" s="369">
        <f t="shared" si="194"/>
        <v>95.820000000000007</v>
      </c>
      <c r="M2715" s="369" t="s">
        <v>6171</v>
      </c>
      <c r="N2715" s="432" t="s">
        <v>3785</v>
      </c>
      <c r="O2715" s="521" t="s">
        <v>5847</v>
      </c>
      <c r="P2715" s="438" t="s">
        <v>5530</v>
      </c>
      <c r="Q2715" s="481">
        <v>0.2</v>
      </c>
      <c r="R2715" s="427">
        <v>1900001375</v>
      </c>
      <c r="S2715" s="513" t="s">
        <v>733</v>
      </c>
      <c r="T2715" s="2" t="s">
        <v>5915</v>
      </c>
    </row>
    <row r="2716" spans="1:21" x14ac:dyDescent="0.35">
      <c r="A2716" s="435" t="s">
        <v>5160</v>
      </c>
      <c r="B2716" s="427" t="s">
        <v>5490</v>
      </c>
      <c r="C2716" s="520" t="s">
        <v>5845</v>
      </c>
      <c r="D2716" s="517" t="s">
        <v>5845</v>
      </c>
      <c r="E2716" s="517" t="s">
        <v>2213</v>
      </c>
      <c r="F2716" s="438" t="s">
        <v>5846</v>
      </c>
      <c r="G2716" s="438" t="s">
        <v>5840</v>
      </c>
      <c r="H2716" s="427" t="s">
        <v>5163</v>
      </c>
      <c r="I2716" s="518">
        <v>1843.98</v>
      </c>
      <c r="J2716" s="381">
        <v>479.1</v>
      </c>
      <c r="K2716" s="519">
        <v>479.1</v>
      </c>
      <c r="L2716" s="369">
        <f t="shared" si="194"/>
        <v>95.820000000000007</v>
      </c>
      <c r="M2716" s="369" t="s">
        <v>6171</v>
      </c>
      <c r="N2716" s="432" t="s">
        <v>3785</v>
      </c>
      <c r="O2716" s="521" t="s">
        <v>5847</v>
      </c>
      <c r="P2716" s="438" t="s">
        <v>5530</v>
      </c>
      <c r="Q2716" s="481">
        <v>0.2</v>
      </c>
      <c r="R2716" s="427">
        <v>1900001375</v>
      </c>
      <c r="S2716" s="513" t="s">
        <v>1145</v>
      </c>
      <c r="T2716" s="2" t="s">
        <v>5915</v>
      </c>
    </row>
    <row r="2717" spans="1:21" x14ac:dyDescent="0.35">
      <c r="A2717" s="435" t="s">
        <v>5160</v>
      </c>
      <c r="B2717" s="427" t="s">
        <v>5490</v>
      </c>
      <c r="C2717" s="520" t="s">
        <v>5845</v>
      </c>
      <c r="D2717" s="517" t="s">
        <v>5845</v>
      </c>
      <c r="E2717" s="517" t="s">
        <v>2215</v>
      </c>
      <c r="F2717" s="438" t="s">
        <v>5846</v>
      </c>
      <c r="G2717" s="438" t="s">
        <v>5840</v>
      </c>
      <c r="H2717" s="427" t="s">
        <v>5163</v>
      </c>
      <c r="I2717" s="518">
        <v>1843.98</v>
      </c>
      <c r="J2717" s="381">
        <v>479.1</v>
      </c>
      <c r="K2717" s="519">
        <v>479.1</v>
      </c>
      <c r="L2717" s="369">
        <f t="shared" si="194"/>
        <v>95.820000000000007</v>
      </c>
      <c r="M2717" s="369" t="s">
        <v>6171</v>
      </c>
      <c r="N2717" s="432" t="s">
        <v>3785</v>
      </c>
      <c r="O2717" s="521" t="s">
        <v>5847</v>
      </c>
      <c r="P2717" s="438" t="s">
        <v>5530</v>
      </c>
      <c r="Q2717" s="481">
        <v>0.2</v>
      </c>
      <c r="R2717" s="427">
        <v>1900001375</v>
      </c>
      <c r="S2717" s="513" t="s">
        <v>1140</v>
      </c>
      <c r="T2717" s="2" t="s">
        <v>5915</v>
      </c>
    </row>
    <row r="2718" spans="1:21" x14ac:dyDescent="0.35">
      <c r="A2718" s="435" t="s">
        <v>5160</v>
      </c>
      <c r="B2718" s="427" t="s">
        <v>5490</v>
      </c>
      <c r="C2718" s="520" t="s">
        <v>5845</v>
      </c>
      <c r="D2718" s="517" t="s">
        <v>5845</v>
      </c>
      <c r="E2718" s="517" t="s">
        <v>2217</v>
      </c>
      <c r="F2718" s="438" t="s">
        <v>5846</v>
      </c>
      <c r="G2718" s="438" t="s">
        <v>5840</v>
      </c>
      <c r="H2718" s="427" t="s">
        <v>5163</v>
      </c>
      <c r="I2718" s="518">
        <v>1843.98</v>
      </c>
      <c r="J2718" s="381">
        <v>479.1</v>
      </c>
      <c r="K2718" s="519">
        <v>479.1</v>
      </c>
      <c r="L2718" s="369">
        <f t="shared" si="194"/>
        <v>95.820000000000007</v>
      </c>
      <c r="M2718" s="369" t="s">
        <v>6171</v>
      </c>
      <c r="N2718" s="432" t="s">
        <v>3785</v>
      </c>
      <c r="O2718" s="521" t="s">
        <v>5847</v>
      </c>
      <c r="P2718" s="438" t="s">
        <v>5530</v>
      </c>
      <c r="Q2718" s="481">
        <v>0.2</v>
      </c>
      <c r="R2718" s="427">
        <v>1900001375</v>
      </c>
      <c r="S2718" s="513" t="s">
        <v>569</v>
      </c>
      <c r="T2718" s="2" t="s">
        <v>5915</v>
      </c>
    </row>
    <row r="2719" spans="1:21" x14ac:dyDescent="0.35">
      <c r="A2719" s="435" t="s">
        <v>5160</v>
      </c>
      <c r="B2719" s="427" t="s">
        <v>5490</v>
      </c>
      <c r="C2719" s="520" t="s">
        <v>5845</v>
      </c>
      <c r="D2719" s="517" t="s">
        <v>5845</v>
      </c>
      <c r="E2719" s="517" t="s">
        <v>2219</v>
      </c>
      <c r="F2719" s="438" t="s">
        <v>5846</v>
      </c>
      <c r="G2719" s="438" t="s">
        <v>5840</v>
      </c>
      <c r="H2719" s="427" t="s">
        <v>5163</v>
      </c>
      <c r="I2719" s="518">
        <v>1843.98</v>
      </c>
      <c r="J2719" s="381">
        <v>479.1</v>
      </c>
      <c r="K2719" s="519">
        <v>479.1</v>
      </c>
      <c r="L2719" s="369">
        <f t="shared" si="194"/>
        <v>95.820000000000007</v>
      </c>
      <c r="M2719" s="369" t="s">
        <v>6171</v>
      </c>
      <c r="N2719" s="432" t="s">
        <v>3785</v>
      </c>
      <c r="O2719" s="521" t="s">
        <v>5847</v>
      </c>
      <c r="P2719" s="438" t="s">
        <v>5530</v>
      </c>
      <c r="Q2719" s="481">
        <v>0.2</v>
      </c>
      <c r="R2719" s="427">
        <v>1900001375</v>
      </c>
      <c r="S2719" s="513" t="s">
        <v>353</v>
      </c>
      <c r="T2719" s="2" t="s">
        <v>5915</v>
      </c>
    </row>
    <row r="2720" spans="1:21" x14ac:dyDescent="0.35">
      <c r="A2720" s="435" t="s">
        <v>5160</v>
      </c>
      <c r="B2720" s="427" t="s">
        <v>5490</v>
      </c>
      <c r="C2720" s="520" t="s">
        <v>5845</v>
      </c>
      <c r="D2720" s="517" t="s">
        <v>5845</v>
      </c>
      <c r="E2720" s="517" t="s">
        <v>2221</v>
      </c>
      <c r="F2720" s="438" t="s">
        <v>5846</v>
      </c>
      <c r="G2720" s="438" t="s">
        <v>5840</v>
      </c>
      <c r="H2720" s="427" t="s">
        <v>5163</v>
      </c>
      <c r="I2720" s="518">
        <v>1843.98</v>
      </c>
      <c r="J2720" s="381">
        <v>479.1</v>
      </c>
      <c r="K2720" s="519">
        <v>479.1</v>
      </c>
      <c r="L2720" s="369">
        <f t="shared" si="194"/>
        <v>95.820000000000007</v>
      </c>
      <c r="M2720" s="369" t="s">
        <v>6171</v>
      </c>
      <c r="N2720" s="432" t="s">
        <v>3785</v>
      </c>
      <c r="O2720" s="521" t="s">
        <v>5847</v>
      </c>
      <c r="P2720" s="438" t="s">
        <v>5530</v>
      </c>
      <c r="Q2720" s="481">
        <v>0.2</v>
      </c>
      <c r="R2720" s="427">
        <v>1900001375</v>
      </c>
      <c r="S2720" s="513" t="s">
        <v>503</v>
      </c>
      <c r="T2720" s="2" t="s">
        <v>5915</v>
      </c>
    </row>
    <row r="2721" spans="1:20" x14ac:dyDescent="0.35">
      <c r="A2721" s="435" t="s">
        <v>5160</v>
      </c>
      <c r="B2721" s="427" t="s">
        <v>5490</v>
      </c>
      <c r="C2721" s="520" t="s">
        <v>5845</v>
      </c>
      <c r="D2721" s="517" t="s">
        <v>5845</v>
      </c>
      <c r="E2721" s="517" t="s">
        <v>2223</v>
      </c>
      <c r="F2721" s="438" t="s">
        <v>5846</v>
      </c>
      <c r="G2721" s="438" t="s">
        <v>5840</v>
      </c>
      <c r="H2721" s="427" t="s">
        <v>5163</v>
      </c>
      <c r="I2721" s="518">
        <v>1843.98</v>
      </c>
      <c r="J2721" s="381">
        <v>479.1</v>
      </c>
      <c r="K2721" s="519">
        <v>479.1</v>
      </c>
      <c r="L2721" s="369">
        <f t="shared" si="194"/>
        <v>95.820000000000007</v>
      </c>
      <c r="M2721" s="369" t="s">
        <v>6171</v>
      </c>
      <c r="N2721" s="432" t="s">
        <v>3785</v>
      </c>
      <c r="O2721" s="521" t="s">
        <v>5847</v>
      </c>
      <c r="P2721" s="438" t="s">
        <v>5530</v>
      </c>
      <c r="Q2721" s="481">
        <v>0.2</v>
      </c>
      <c r="R2721" s="427">
        <v>1900001375</v>
      </c>
      <c r="S2721" s="513" t="s">
        <v>542</v>
      </c>
      <c r="T2721" s="2" t="s">
        <v>5915</v>
      </c>
    </row>
    <row r="2722" spans="1:20" x14ac:dyDescent="0.35">
      <c r="A2722" s="435" t="s">
        <v>5160</v>
      </c>
      <c r="B2722" s="427" t="s">
        <v>5490</v>
      </c>
      <c r="C2722" s="520" t="s">
        <v>5845</v>
      </c>
      <c r="D2722" s="517" t="s">
        <v>5845</v>
      </c>
      <c r="E2722" s="517" t="s">
        <v>2226</v>
      </c>
      <c r="F2722" s="438" t="s">
        <v>5846</v>
      </c>
      <c r="G2722" s="438" t="s">
        <v>5840</v>
      </c>
      <c r="H2722" s="427" t="s">
        <v>5163</v>
      </c>
      <c r="I2722" s="518">
        <v>1843.98</v>
      </c>
      <c r="J2722" s="381">
        <v>479.1</v>
      </c>
      <c r="K2722" s="519">
        <v>479.1</v>
      </c>
      <c r="L2722" s="369">
        <f t="shared" si="194"/>
        <v>95.820000000000007</v>
      </c>
      <c r="M2722" s="369" t="s">
        <v>6171</v>
      </c>
      <c r="N2722" s="432" t="s">
        <v>3785</v>
      </c>
      <c r="O2722" s="521" t="s">
        <v>5847</v>
      </c>
      <c r="P2722" s="438" t="s">
        <v>5530</v>
      </c>
      <c r="Q2722" s="481">
        <v>0.2</v>
      </c>
      <c r="R2722" s="427">
        <v>1900001375</v>
      </c>
      <c r="S2722" s="513" t="s">
        <v>2225</v>
      </c>
      <c r="T2722" s="2" t="s">
        <v>5915</v>
      </c>
    </row>
    <row r="2723" spans="1:20" x14ac:dyDescent="0.35">
      <c r="A2723" s="435" t="s">
        <v>5160</v>
      </c>
      <c r="B2723" s="427" t="s">
        <v>5490</v>
      </c>
      <c r="C2723" s="520" t="s">
        <v>5845</v>
      </c>
      <c r="D2723" s="517" t="s">
        <v>5845</v>
      </c>
      <c r="E2723" s="517" t="s">
        <v>2228</v>
      </c>
      <c r="F2723" s="438" t="s">
        <v>5846</v>
      </c>
      <c r="G2723" s="438" t="s">
        <v>5840</v>
      </c>
      <c r="H2723" s="427" t="s">
        <v>5163</v>
      </c>
      <c r="I2723" s="518">
        <v>1843.98</v>
      </c>
      <c r="J2723" s="381">
        <v>479.1</v>
      </c>
      <c r="K2723" s="519">
        <v>479.1</v>
      </c>
      <c r="L2723" s="369">
        <f t="shared" si="194"/>
        <v>95.820000000000007</v>
      </c>
      <c r="M2723" s="369" t="s">
        <v>6171</v>
      </c>
      <c r="N2723" s="432" t="s">
        <v>3785</v>
      </c>
      <c r="O2723" s="521" t="s">
        <v>5847</v>
      </c>
      <c r="P2723" s="438" t="s">
        <v>5530</v>
      </c>
      <c r="Q2723" s="481">
        <v>0.2</v>
      </c>
      <c r="R2723" s="427">
        <v>1900001375</v>
      </c>
      <c r="S2723" s="513" t="s">
        <v>1121</v>
      </c>
      <c r="T2723" s="2" t="s">
        <v>5915</v>
      </c>
    </row>
    <row r="2724" spans="1:20" x14ac:dyDescent="0.35">
      <c r="A2724" s="435" t="s">
        <v>5160</v>
      </c>
      <c r="B2724" s="427" t="s">
        <v>5490</v>
      </c>
      <c r="C2724" s="520" t="s">
        <v>5845</v>
      </c>
      <c r="D2724" s="517" t="s">
        <v>5845</v>
      </c>
      <c r="E2724" s="517" t="s">
        <v>2230</v>
      </c>
      <c r="F2724" s="438" t="s">
        <v>5846</v>
      </c>
      <c r="G2724" s="438" t="s">
        <v>5840</v>
      </c>
      <c r="H2724" s="427" t="s">
        <v>5163</v>
      </c>
      <c r="I2724" s="518">
        <v>1843.98</v>
      </c>
      <c r="J2724" s="381">
        <v>479.1</v>
      </c>
      <c r="K2724" s="519">
        <v>479.1</v>
      </c>
      <c r="L2724" s="369">
        <f t="shared" si="194"/>
        <v>95.820000000000007</v>
      </c>
      <c r="M2724" s="369" t="s">
        <v>6171</v>
      </c>
      <c r="N2724" s="432" t="s">
        <v>3785</v>
      </c>
      <c r="O2724" s="521" t="s">
        <v>5847</v>
      </c>
      <c r="P2724" s="438" t="s">
        <v>5530</v>
      </c>
      <c r="Q2724" s="481">
        <v>0.2</v>
      </c>
      <c r="R2724" s="427">
        <v>1900001375</v>
      </c>
      <c r="S2724" s="513" t="s">
        <v>1118</v>
      </c>
      <c r="T2724" s="2" t="s">
        <v>5915</v>
      </c>
    </row>
    <row r="2725" spans="1:20" x14ac:dyDescent="0.35">
      <c r="A2725" s="435" t="s">
        <v>5160</v>
      </c>
      <c r="B2725" s="427" t="s">
        <v>5490</v>
      </c>
      <c r="C2725" s="520" t="s">
        <v>5845</v>
      </c>
      <c r="D2725" s="517" t="s">
        <v>5845</v>
      </c>
      <c r="E2725" s="517" t="s">
        <v>2232</v>
      </c>
      <c r="F2725" s="438" t="s">
        <v>5846</v>
      </c>
      <c r="G2725" s="438" t="s">
        <v>5840</v>
      </c>
      <c r="H2725" s="427" t="s">
        <v>5163</v>
      </c>
      <c r="I2725" s="518">
        <v>1843.98</v>
      </c>
      <c r="J2725" s="381">
        <v>479.1</v>
      </c>
      <c r="K2725" s="519">
        <v>479.1</v>
      </c>
      <c r="L2725" s="369">
        <f t="shared" si="194"/>
        <v>95.820000000000007</v>
      </c>
      <c r="M2725" s="369" t="s">
        <v>6171</v>
      </c>
      <c r="N2725" s="432" t="s">
        <v>3785</v>
      </c>
      <c r="O2725" s="521" t="s">
        <v>5847</v>
      </c>
      <c r="P2725" s="438" t="s">
        <v>5530</v>
      </c>
      <c r="Q2725" s="481">
        <v>0.2</v>
      </c>
      <c r="R2725" s="427">
        <v>1900001375</v>
      </c>
      <c r="S2725" s="513" t="s">
        <v>427</v>
      </c>
      <c r="T2725" s="2" t="s">
        <v>5915</v>
      </c>
    </row>
    <row r="2726" spans="1:20" x14ac:dyDescent="0.35">
      <c r="A2726" s="435" t="s">
        <v>5160</v>
      </c>
      <c r="B2726" s="427" t="s">
        <v>5490</v>
      </c>
      <c r="C2726" s="520" t="s">
        <v>5845</v>
      </c>
      <c r="D2726" s="517" t="s">
        <v>5845</v>
      </c>
      <c r="E2726" s="517" t="s">
        <v>2234</v>
      </c>
      <c r="F2726" s="438" t="s">
        <v>5846</v>
      </c>
      <c r="G2726" s="438" t="s">
        <v>5840</v>
      </c>
      <c r="H2726" s="427" t="s">
        <v>5163</v>
      </c>
      <c r="I2726" s="518">
        <v>1843.98</v>
      </c>
      <c r="J2726" s="381">
        <v>479.1</v>
      </c>
      <c r="K2726" s="519">
        <v>479.1</v>
      </c>
      <c r="L2726" s="369">
        <f t="shared" si="194"/>
        <v>95.820000000000007</v>
      </c>
      <c r="M2726" s="369" t="s">
        <v>6171</v>
      </c>
      <c r="N2726" s="432" t="s">
        <v>3785</v>
      </c>
      <c r="O2726" s="521" t="s">
        <v>5847</v>
      </c>
      <c r="P2726" s="438" t="s">
        <v>5530</v>
      </c>
      <c r="Q2726" s="481">
        <v>0.2</v>
      </c>
      <c r="R2726" s="427">
        <v>1900001375</v>
      </c>
      <c r="S2726" s="513" t="s">
        <v>1159</v>
      </c>
      <c r="T2726" s="2" t="s">
        <v>5915</v>
      </c>
    </row>
    <row r="2727" spans="1:20" x14ac:dyDescent="0.35">
      <c r="A2727" s="435" t="s">
        <v>5160</v>
      </c>
      <c r="B2727" s="427" t="s">
        <v>5490</v>
      </c>
      <c r="C2727" s="520" t="s">
        <v>5845</v>
      </c>
      <c r="D2727" s="517" t="s">
        <v>5845</v>
      </c>
      <c r="E2727" s="517" t="s">
        <v>2238</v>
      </c>
      <c r="F2727" s="438" t="s">
        <v>5846</v>
      </c>
      <c r="G2727" s="438" t="s">
        <v>5840</v>
      </c>
      <c r="H2727" s="427" t="s">
        <v>5163</v>
      </c>
      <c r="I2727" s="518">
        <v>1843.98</v>
      </c>
      <c r="J2727" s="381">
        <v>479.1</v>
      </c>
      <c r="K2727" s="519">
        <v>479.1</v>
      </c>
      <c r="L2727" s="369">
        <f t="shared" si="194"/>
        <v>95.820000000000007</v>
      </c>
      <c r="M2727" s="369" t="s">
        <v>6171</v>
      </c>
      <c r="N2727" s="432" t="s">
        <v>3785</v>
      </c>
      <c r="O2727" s="521" t="s">
        <v>5847</v>
      </c>
      <c r="P2727" s="438" t="s">
        <v>5530</v>
      </c>
      <c r="Q2727" s="481">
        <v>0.2</v>
      </c>
      <c r="R2727" s="427">
        <v>1900001375</v>
      </c>
      <c r="S2727" s="513" t="s">
        <v>400</v>
      </c>
      <c r="T2727" s="2" t="s">
        <v>5915</v>
      </c>
    </row>
    <row r="2728" spans="1:20" x14ac:dyDescent="0.35">
      <c r="A2728" s="435" t="s">
        <v>5160</v>
      </c>
      <c r="B2728" s="427" t="s">
        <v>5490</v>
      </c>
      <c r="C2728" s="520" t="s">
        <v>5845</v>
      </c>
      <c r="D2728" s="517" t="s">
        <v>5845</v>
      </c>
      <c r="E2728" s="517" t="s">
        <v>2241</v>
      </c>
      <c r="F2728" s="438" t="s">
        <v>5846</v>
      </c>
      <c r="G2728" s="438" t="s">
        <v>5840</v>
      </c>
      <c r="H2728" s="427" t="s">
        <v>5163</v>
      </c>
      <c r="I2728" s="518">
        <v>1843.98</v>
      </c>
      <c r="J2728" s="381">
        <v>479.1</v>
      </c>
      <c r="K2728" s="519">
        <v>479.1</v>
      </c>
      <c r="L2728" s="369">
        <f t="shared" si="194"/>
        <v>95.820000000000007</v>
      </c>
      <c r="M2728" s="369" t="s">
        <v>6171</v>
      </c>
      <c r="N2728" s="432" t="s">
        <v>3785</v>
      </c>
      <c r="O2728" s="521" t="s">
        <v>5847</v>
      </c>
      <c r="P2728" s="438" t="s">
        <v>5530</v>
      </c>
      <c r="Q2728" s="481">
        <v>0.2</v>
      </c>
      <c r="R2728" s="427">
        <v>1900001375</v>
      </c>
      <c r="S2728" s="513" t="s">
        <v>1069</v>
      </c>
      <c r="T2728" s="2" t="s">
        <v>5915</v>
      </c>
    </row>
    <row r="2729" spans="1:20" x14ac:dyDescent="0.35">
      <c r="A2729" s="435" t="s">
        <v>5160</v>
      </c>
      <c r="B2729" s="427" t="s">
        <v>5490</v>
      </c>
      <c r="C2729" s="520" t="s">
        <v>5845</v>
      </c>
      <c r="D2729" s="517" t="s">
        <v>5845</v>
      </c>
      <c r="E2729" s="517" t="s">
        <v>2243</v>
      </c>
      <c r="F2729" s="438" t="s">
        <v>5846</v>
      </c>
      <c r="G2729" s="438" t="s">
        <v>5840</v>
      </c>
      <c r="H2729" s="427" t="s">
        <v>5163</v>
      </c>
      <c r="I2729" s="518">
        <v>1843.98</v>
      </c>
      <c r="J2729" s="381">
        <v>479.1</v>
      </c>
      <c r="K2729" s="519">
        <v>479.1</v>
      </c>
      <c r="L2729" s="369">
        <f t="shared" si="194"/>
        <v>95.820000000000007</v>
      </c>
      <c r="M2729" s="369" t="s">
        <v>6171</v>
      </c>
      <c r="N2729" s="432" t="s">
        <v>3785</v>
      </c>
      <c r="O2729" s="521" t="s">
        <v>5847</v>
      </c>
      <c r="P2729" s="438" t="s">
        <v>5530</v>
      </c>
      <c r="Q2729" s="481">
        <v>0.2</v>
      </c>
      <c r="R2729" s="427">
        <v>1900001375</v>
      </c>
      <c r="S2729" s="513" t="s">
        <v>625</v>
      </c>
      <c r="T2729" s="2" t="s">
        <v>5915</v>
      </c>
    </row>
    <row r="2730" spans="1:20" x14ac:dyDescent="0.35">
      <c r="A2730" s="435" t="s">
        <v>5160</v>
      </c>
      <c r="B2730" s="427" t="s">
        <v>5490</v>
      </c>
      <c r="C2730" s="520" t="s">
        <v>5845</v>
      </c>
      <c r="D2730" s="517" t="s">
        <v>5845</v>
      </c>
      <c r="E2730" s="517" t="s">
        <v>2245</v>
      </c>
      <c r="F2730" s="438" t="s">
        <v>5846</v>
      </c>
      <c r="G2730" s="438" t="s">
        <v>5840</v>
      </c>
      <c r="H2730" s="427" t="s">
        <v>5163</v>
      </c>
      <c r="I2730" s="518">
        <v>1843.98</v>
      </c>
      <c r="J2730" s="381">
        <v>479.1</v>
      </c>
      <c r="K2730" s="519">
        <v>479.1</v>
      </c>
      <c r="L2730" s="369">
        <f t="shared" si="194"/>
        <v>95.820000000000007</v>
      </c>
      <c r="M2730" s="369" t="s">
        <v>6171</v>
      </c>
      <c r="N2730" s="432" t="s">
        <v>3785</v>
      </c>
      <c r="O2730" s="521" t="s">
        <v>5847</v>
      </c>
      <c r="P2730" s="438" t="s">
        <v>5530</v>
      </c>
      <c r="Q2730" s="481">
        <v>0.2</v>
      </c>
      <c r="R2730" s="427">
        <v>1900001375</v>
      </c>
      <c r="S2730" s="513" t="s">
        <v>417</v>
      </c>
      <c r="T2730" s="2" t="s">
        <v>5915</v>
      </c>
    </row>
    <row r="2731" spans="1:20" x14ac:dyDescent="0.35">
      <c r="A2731" s="435" t="s">
        <v>5160</v>
      </c>
      <c r="B2731" s="427" t="s">
        <v>5490</v>
      </c>
      <c r="C2731" s="520" t="s">
        <v>5845</v>
      </c>
      <c r="D2731" s="517" t="s">
        <v>5845</v>
      </c>
      <c r="E2731" s="517" t="s">
        <v>2247</v>
      </c>
      <c r="F2731" s="438" t="s">
        <v>5846</v>
      </c>
      <c r="G2731" s="438" t="s">
        <v>5840</v>
      </c>
      <c r="H2731" s="427" t="s">
        <v>5163</v>
      </c>
      <c r="I2731" s="518">
        <v>1843.98</v>
      </c>
      <c r="J2731" s="381">
        <v>479.1</v>
      </c>
      <c r="K2731" s="519">
        <v>479.1</v>
      </c>
      <c r="L2731" s="369">
        <f t="shared" si="194"/>
        <v>95.820000000000007</v>
      </c>
      <c r="M2731" s="369" t="s">
        <v>6171</v>
      </c>
      <c r="N2731" s="432" t="s">
        <v>3785</v>
      </c>
      <c r="O2731" s="521" t="s">
        <v>5847</v>
      </c>
      <c r="P2731" s="438" t="s">
        <v>5530</v>
      </c>
      <c r="Q2731" s="481">
        <v>0.2</v>
      </c>
      <c r="R2731" s="427">
        <v>1900001375</v>
      </c>
      <c r="S2731" s="513" t="s">
        <v>1078</v>
      </c>
      <c r="T2731" s="2" t="s">
        <v>5915</v>
      </c>
    </row>
    <row r="2732" spans="1:20" x14ac:dyDescent="0.35">
      <c r="A2732" s="435" t="s">
        <v>5160</v>
      </c>
      <c r="B2732" s="427" t="s">
        <v>5490</v>
      </c>
      <c r="C2732" s="520" t="s">
        <v>5845</v>
      </c>
      <c r="D2732" s="517" t="s">
        <v>5845</v>
      </c>
      <c r="E2732" s="517" t="s">
        <v>2250</v>
      </c>
      <c r="F2732" s="438" t="s">
        <v>5846</v>
      </c>
      <c r="G2732" s="438" t="s">
        <v>5840</v>
      </c>
      <c r="H2732" s="427" t="s">
        <v>5163</v>
      </c>
      <c r="I2732" s="518">
        <v>1843.98</v>
      </c>
      <c r="J2732" s="381">
        <v>479.1</v>
      </c>
      <c r="K2732" s="519">
        <v>479.1</v>
      </c>
      <c r="L2732" s="369">
        <f t="shared" si="194"/>
        <v>95.820000000000007</v>
      </c>
      <c r="M2732" s="369" t="s">
        <v>6171</v>
      </c>
      <c r="N2732" s="432" t="s">
        <v>3785</v>
      </c>
      <c r="O2732" s="521" t="s">
        <v>5847</v>
      </c>
      <c r="P2732" s="438" t="s">
        <v>5530</v>
      </c>
      <c r="Q2732" s="481">
        <v>0.2</v>
      </c>
      <c r="R2732" s="427">
        <v>1900001375</v>
      </c>
      <c r="S2732" s="513" t="s">
        <v>2249</v>
      </c>
      <c r="T2732" s="2" t="s">
        <v>5915</v>
      </c>
    </row>
    <row r="2733" spans="1:20" x14ac:dyDescent="0.35">
      <c r="A2733" s="435" t="s">
        <v>5160</v>
      </c>
      <c r="B2733" s="427" t="s">
        <v>5490</v>
      </c>
      <c r="C2733" s="520" t="s">
        <v>5845</v>
      </c>
      <c r="D2733" s="517" t="s">
        <v>5845</v>
      </c>
      <c r="E2733" s="517" t="s">
        <v>2253</v>
      </c>
      <c r="F2733" s="438" t="s">
        <v>5846</v>
      </c>
      <c r="G2733" s="438" t="s">
        <v>5840</v>
      </c>
      <c r="H2733" s="427" t="s">
        <v>5163</v>
      </c>
      <c r="I2733" s="518">
        <v>1843.98</v>
      </c>
      <c r="J2733" s="381">
        <v>479.1</v>
      </c>
      <c r="K2733" s="519">
        <v>479.1</v>
      </c>
      <c r="L2733" s="369">
        <f t="shared" si="194"/>
        <v>95.820000000000007</v>
      </c>
      <c r="M2733" s="369" t="s">
        <v>6171</v>
      </c>
      <c r="N2733" s="432" t="s">
        <v>3785</v>
      </c>
      <c r="O2733" s="521" t="s">
        <v>5847</v>
      </c>
      <c r="P2733" s="438" t="s">
        <v>5530</v>
      </c>
      <c r="Q2733" s="481">
        <v>0.2</v>
      </c>
      <c r="R2733" s="427">
        <v>1900001375</v>
      </c>
      <c r="S2733" s="513" t="s">
        <v>2252</v>
      </c>
      <c r="T2733" s="2" t="s">
        <v>5915</v>
      </c>
    </row>
    <row r="2734" spans="1:20" x14ac:dyDescent="0.35">
      <c r="A2734" s="435" t="s">
        <v>5160</v>
      </c>
      <c r="B2734" s="427" t="s">
        <v>5490</v>
      </c>
      <c r="C2734" s="520" t="s">
        <v>5845</v>
      </c>
      <c r="D2734" s="517" t="s">
        <v>5845</v>
      </c>
      <c r="E2734" s="517" t="s">
        <v>2255</v>
      </c>
      <c r="F2734" s="438" t="s">
        <v>5846</v>
      </c>
      <c r="G2734" s="438" t="s">
        <v>5840</v>
      </c>
      <c r="H2734" s="427" t="s">
        <v>5163</v>
      </c>
      <c r="I2734" s="518">
        <v>1843.98</v>
      </c>
      <c r="J2734" s="381">
        <v>479.1</v>
      </c>
      <c r="K2734" s="519">
        <v>479.1</v>
      </c>
      <c r="L2734" s="369">
        <f t="shared" si="194"/>
        <v>95.820000000000007</v>
      </c>
      <c r="M2734" s="369" t="s">
        <v>6171</v>
      </c>
      <c r="N2734" s="432" t="s">
        <v>3785</v>
      </c>
      <c r="O2734" s="521" t="s">
        <v>5847</v>
      </c>
      <c r="P2734" s="438" t="s">
        <v>5530</v>
      </c>
      <c r="Q2734" s="481">
        <v>0.2</v>
      </c>
      <c r="R2734" s="427">
        <v>1900001375</v>
      </c>
      <c r="S2734" s="513" t="s">
        <v>1552</v>
      </c>
      <c r="T2734" s="2" t="s">
        <v>5915</v>
      </c>
    </row>
    <row r="2735" spans="1:20" x14ac:dyDescent="0.35">
      <c r="A2735" s="435" t="s">
        <v>5160</v>
      </c>
      <c r="B2735" s="427" t="s">
        <v>5490</v>
      </c>
      <c r="C2735" s="520" t="s">
        <v>5845</v>
      </c>
      <c r="D2735" s="517" t="s">
        <v>5845</v>
      </c>
      <c r="E2735" s="517" t="s">
        <v>2257</v>
      </c>
      <c r="F2735" s="438" t="s">
        <v>5846</v>
      </c>
      <c r="G2735" s="438" t="s">
        <v>5840</v>
      </c>
      <c r="H2735" s="427" t="s">
        <v>5163</v>
      </c>
      <c r="I2735" s="518">
        <v>1843.98</v>
      </c>
      <c r="J2735" s="381">
        <v>479.1</v>
      </c>
      <c r="K2735" s="519">
        <v>479.1</v>
      </c>
      <c r="L2735" s="369">
        <f t="shared" si="194"/>
        <v>95.820000000000007</v>
      </c>
      <c r="M2735" s="369" t="s">
        <v>6171</v>
      </c>
      <c r="N2735" s="432" t="s">
        <v>3785</v>
      </c>
      <c r="O2735" s="521" t="s">
        <v>5847</v>
      </c>
      <c r="P2735" s="438" t="s">
        <v>5530</v>
      </c>
      <c r="Q2735" s="481">
        <v>0.2</v>
      </c>
      <c r="R2735" s="427">
        <v>1900001375</v>
      </c>
      <c r="S2735" s="513" t="s">
        <v>404</v>
      </c>
      <c r="T2735" s="2" t="s">
        <v>5915</v>
      </c>
    </row>
    <row r="2736" spans="1:20" x14ac:dyDescent="0.35">
      <c r="A2736" s="435" t="s">
        <v>5160</v>
      </c>
      <c r="B2736" s="427" t="s">
        <v>5490</v>
      </c>
      <c r="C2736" s="520" t="s">
        <v>5845</v>
      </c>
      <c r="D2736" s="517" t="s">
        <v>5845</v>
      </c>
      <c r="E2736" s="517" t="s">
        <v>2260</v>
      </c>
      <c r="F2736" s="438" t="s">
        <v>5846</v>
      </c>
      <c r="G2736" s="438" t="s">
        <v>5840</v>
      </c>
      <c r="H2736" s="427" t="s">
        <v>5163</v>
      </c>
      <c r="I2736" s="518">
        <v>1843.98</v>
      </c>
      <c r="J2736" s="381">
        <v>479.1</v>
      </c>
      <c r="K2736" s="519">
        <v>479.1</v>
      </c>
      <c r="L2736" s="369">
        <f t="shared" si="194"/>
        <v>95.820000000000007</v>
      </c>
      <c r="M2736" s="369" t="s">
        <v>6171</v>
      </c>
      <c r="N2736" s="432" t="s">
        <v>3785</v>
      </c>
      <c r="O2736" s="521" t="s">
        <v>5847</v>
      </c>
      <c r="P2736" s="438" t="s">
        <v>5530</v>
      </c>
      <c r="Q2736" s="481">
        <v>0.2</v>
      </c>
      <c r="R2736" s="427">
        <v>1900001375</v>
      </c>
      <c r="S2736" s="513" t="s">
        <v>413</v>
      </c>
      <c r="T2736" s="2" t="s">
        <v>5915</v>
      </c>
    </row>
    <row r="2737" spans="1:20" x14ac:dyDescent="0.35">
      <c r="A2737" s="435" t="s">
        <v>5160</v>
      </c>
      <c r="B2737" s="427" t="s">
        <v>5490</v>
      </c>
      <c r="C2737" s="520" t="s">
        <v>5845</v>
      </c>
      <c r="D2737" s="517" t="s">
        <v>5845</v>
      </c>
      <c r="E2737" s="517" t="s">
        <v>2264</v>
      </c>
      <c r="F2737" s="438" t="s">
        <v>5846</v>
      </c>
      <c r="G2737" s="438" t="s">
        <v>5840</v>
      </c>
      <c r="H2737" s="427" t="s">
        <v>5163</v>
      </c>
      <c r="I2737" s="518">
        <v>1843.98</v>
      </c>
      <c r="J2737" s="381">
        <v>479.1</v>
      </c>
      <c r="K2737" s="519">
        <v>479.1</v>
      </c>
      <c r="L2737" s="369">
        <f t="shared" si="194"/>
        <v>95.820000000000007</v>
      </c>
      <c r="M2737" s="369" t="s">
        <v>6171</v>
      </c>
      <c r="N2737" s="432" t="s">
        <v>3785</v>
      </c>
      <c r="O2737" s="521" t="s">
        <v>5847</v>
      </c>
      <c r="P2737" s="438" t="s">
        <v>5530</v>
      </c>
      <c r="Q2737" s="481">
        <v>0.2</v>
      </c>
      <c r="R2737" s="427">
        <v>1900001375</v>
      </c>
      <c r="S2737" s="513" t="s">
        <v>79</v>
      </c>
      <c r="T2737" s="2" t="s">
        <v>5915</v>
      </c>
    </row>
    <row r="2738" spans="1:20" x14ac:dyDescent="0.35">
      <c r="A2738" s="435" t="s">
        <v>5160</v>
      </c>
      <c r="B2738" s="427" t="s">
        <v>5490</v>
      </c>
      <c r="C2738" s="520" t="s">
        <v>5845</v>
      </c>
      <c r="D2738" s="517" t="s">
        <v>5845</v>
      </c>
      <c r="E2738" s="517" t="s">
        <v>2266</v>
      </c>
      <c r="F2738" s="438" t="s">
        <v>5846</v>
      </c>
      <c r="G2738" s="438" t="s">
        <v>5840</v>
      </c>
      <c r="H2738" s="427" t="s">
        <v>5163</v>
      </c>
      <c r="I2738" s="518">
        <v>1843.98</v>
      </c>
      <c r="J2738" s="381">
        <v>479.1</v>
      </c>
      <c r="K2738" s="519">
        <v>479.1</v>
      </c>
      <c r="L2738" s="369">
        <f t="shared" si="194"/>
        <v>95.820000000000007</v>
      </c>
      <c r="M2738" s="369" t="s">
        <v>6171</v>
      </c>
      <c r="N2738" s="432" t="s">
        <v>3785</v>
      </c>
      <c r="O2738" s="521" t="s">
        <v>5847</v>
      </c>
      <c r="P2738" s="438" t="s">
        <v>5530</v>
      </c>
      <c r="Q2738" s="481">
        <v>0.2</v>
      </c>
      <c r="R2738" s="427">
        <v>1900001375</v>
      </c>
      <c r="S2738" s="513" t="s">
        <v>355</v>
      </c>
      <c r="T2738" s="2" t="s">
        <v>5915</v>
      </c>
    </row>
    <row r="2739" spans="1:20" x14ac:dyDescent="0.35">
      <c r="A2739" s="435" t="s">
        <v>5160</v>
      </c>
      <c r="B2739" s="427" t="s">
        <v>5490</v>
      </c>
      <c r="C2739" s="520" t="s">
        <v>5845</v>
      </c>
      <c r="D2739" s="517" t="s">
        <v>5845</v>
      </c>
      <c r="E2739" s="517" t="s">
        <v>2270</v>
      </c>
      <c r="F2739" s="438" t="s">
        <v>5846</v>
      </c>
      <c r="G2739" s="438" t="s">
        <v>5840</v>
      </c>
      <c r="H2739" s="427" t="s">
        <v>5163</v>
      </c>
      <c r="I2739" s="518">
        <v>1843.98</v>
      </c>
      <c r="J2739" s="381">
        <v>479.1</v>
      </c>
      <c r="K2739" s="519">
        <v>479.1</v>
      </c>
      <c r="L2739" s="369">
        <f t="shared" si="194"/>
        <v>95.820000000000007</v>
      </c>
      <c r="M2739" s="369" t="s">
        <v>6171</v>
      </c>
      <c r="N2739" s="432" t="s">
        <v>3785</v>
      </c>
      <c r="O2739" s="521" t="s">
        <v>5847</v>
      </c>
      <c r="P2739" s="438" t="s">
        <v>5530</v>
      </c>
      <c r="Q2739" s="481">
        <v>0.2</v>
      </c>
      <c r="R2739" s="427">
        <v>1900001375</v>
      </c>
      <c r="S2739" s="513" t="s">
        <v>1031</v>
      </c>
      <c r="T2739" s="2" t="s">
        <v>5915</v>
      </c>
    </row>
    <row r="2740" spans="1:20" x14ac:dyDescent="0.35">
      <c r="A2740" s="435" t="s">
        <v>5160</v>
      </c>
      <c r="B2740" s="427" t="s">
        <v>5490</v>
      </c>
      <c r="C2740" s="520" t="s">
        <v>5845</v>
      </c>
      <c r="D2740" s="517" t="s">
        <v>5845</v>
      </c>
      <c r="E2740" s="517" t="s">
        <v>2272</v>
      </c>
      <c r="F2740" s="438" t="s">
        <v>5846</v>
      </c>
      <c r="G2740" s="438" t="s">
        <v>5840</v>
      </c>
      <c r="H2740" s="427" t="s">
        <v>5163</v>
      </c>
      <c r="I2740" s="518">
        <v>1843.98</v>
      </c>
      <c r="J2740" s="381">
        <v>479.1</v>
      </c>
      <c r="K2740" s="519">
        <v>479.1</v>
      </c>
      <c r="L2740" s="369">
        <f t="shared" si="194"/>
        <v>95.820000000000007</v>
      </c>
      <c r="M2740" s="369" t="s">
        <v>6171</v>
      </c>
      <c r="N2740" s="432" t="s">
        <v>3785</v>
      </c>
      <c r="O2740" s="521" t="s">
        <v>5847</v>
      </c>
      <c r="P2740" s="438" t="s">
        <v>5530</v>
      </c>
      <c r="Q2740" s="481">
        <v>0.2</v>
      </c>
      <c r="R2740" s="427">
        <v>1900001375</v>
      </c>
      <c r="S2740" s="513" t="s">
        <v>1038</v>
      </c>
      <c r="T2740" s="2" t="s">
        <v>5915</v>
      </c>
    </row>
    <row r="2741" spans="1:20" x14ac:dyDescent="0.35">
      <c r="A2741" s="435" t="s">
        <v>5160</v>
      </c>
      <c r="B2741" s="427" t="s">
        <v>5490</v>
      </c>
      <c r="C2741" s="520" t="s">
        <v>5845</v>
      </c>
      <c r="D2741" s="517" t="s">
        <v>5845</v>
      </c>
      <c r="E2741" s="517" t="s">
        <v>2275</v>
      </c>
      <c r="F2741" s="438" t="s">
        <v>5846</v>
      </c>
      <c r="G2741" s="438" t="s">
        <v>5840</v>
      </c>
      <c r="H2741" s="427" t="s">
        <v>5163</v>
      </c>
      <c r="I2741" s="518">
        <v>1843.98</v>
      </c>
      <c r="J2741" s="381">
        <v>479.1</v>
      </c>
      <c r="K2741" s="519">
        <v>479.1</v>
      </c>
      <c r="L2741" s="369">
        <f t="shared" si="194"/>
        <v>95.820000000000007</v>
      </c>
      <c r="M2741" s="369" t="s">
        <v>6171</v>
      </c>
      <c r="N2741" s="432" t="s">
        <v>3785</v>
      </c>
      <c r="O2741" s="521" t="s">
        <v>5847</v>
      </c>
      <c r="P2741" s="438" t="s">
        <v>5530</v>
      </c>
      <c r="Q2741" s="481">
        <v>0.2</v>
      </c>
      <c r="R2741" s="427">
        <v>1900001375</v>
      </c>
      <c r="S2741" s="513" t="s">
        <v>2274</v>
      </c>
      <c r="T2741" s="2" t="s">
        <v>5915</v>
      </c>
    </row>
    <row r="2742" spans="1:20" x14ac:dyDescent="0.35">
      <c r="A2742" s="435" t="s">
        <v>5160</v>
      </c>
      <c r="B2742" s="427" t="s">
        <v>5490</v>
      </c>
      <c r="C2742" s="520" t="s">
        <v>5845</v>
      </c>
      <c r="D2742" s="517" t="s">
        <v>5845</v>
      </c>
      <c r="E2742" s="517" t="s">
        <v>2277</v>
      </c>
      <c r="F2742" s="438" t="s">
        <v>5846</v>
      </c>
      <c r="G2742" s="438" t="s">
        <v>5840</v>
      </c>
      <c r="H2742" s="427" t="s">
        <v>5163</v>
      </c>
      <c r="I2742" s="518">
        <v>1843.98</v>
      </c>
      <c r="J2742" s="381">
        <v>479.1</v>
      </c>
      <c r="K2742" s="519">
        <v>479.1</v>
      </c>
      <c r="L2742" s="369">
        <f t="shared" si="194"/>
        <v>95.820000000000007</v>
      </c>
      <c r="M2742" s="369" t="s">
        <v>6171</v>
      </c>
      <c r="N2742" s="432" t="s">
        <v>3785</v>
      </c>
      <c r="O2742" s="521" t="s">
        <v>5847</v>
      </c>
      <c r="P2742" s="438" t="s">
        <v>5530</v>
      </c>
      <c r="Q2742" s="481">
        <v>0.2</v>
      </c>
      <c r="R2742" s="427">
        <v>1900001375</v>
      </c>
      <c r="S2742" s="513" t="s">
        <v>1035</v>
      </c>
      <c r="T2742" s="2" t="s">
        <v>5915</v>
      </c>
    </row>
    <row r="2743" spans="1:20" x14ac:dyDescent="0.35">
      <c r="A2743" s="435" t="s">
        <v>5160</v>
      </c>
      <c r="B2743" s="427" t="s">
        <v>5490</v>
      </c>
      <c r="C2743" s="520" t="s">
        <v>5845</v>
      </c>
      <c r="D2743" s="517" t="s">
        <v>5845</v>
      </c>
      <c r="E2743" s="517" t="s">
        <v>2281</v>
      </c>
      <c r="F2743" s="438" t="s">
        <v>5846</v>
      </c>
      <c r="G2743" s="438" t="s">
        <v>5840</v>
      </c>
      <c r="H2743" s="427" t="s">
        <v>5163</v>
      </c>
      <c r="I2743" s="518">
        <v>1843.98</v>
      </c>
      <c r="J2743" s="381">
        <v>479.1</v>
      </c>
      <c r="K2743" s="519">
        <v>479.1</v>
      </c>
      <c r="L2743" s="369">
        <f t="shared" si="194"/>
        <v>95.820000000000007</v>
      </c>
      <c r="M2743" s="369" t="s">
        <v>6171</v>
      </c>
      <c r="N2743" s="432" t="s">
        <v>3785</v>
      </c>
      <c r="O2743" s="521" t="s">
        <v>5847</v>
      </c>
      <c r="P2743" s="438" t="s">
        <v>5530</v>
      </c>
      <c r="Q2743" s="481">
        <v>0.2</v>
      </c>
      <c r="R2743" s="427">
        <v>1900001375</v>
      </c>
      <c r="S2743" s="513" t="s">
        <v>1168</v>
      </c>
      <c r="T2743" s="2" t="s">
        <v>5915</v>
      </c>
    </row>
    <row r="2744" spans="1:20" x14ac:dyDescent="0.35">
      <c r="A2744" s="435" t="s">
        <v>5160</v>
      </c>
      <c r="B2744" s="427" t="s">
        <v>5490</v>
      </c>
      <c r="C2744" s="520" t="s">
        <v>5845</v>
      </c>
      <c r="D2744" s="517" t="s">
        <v>5845</v>
      </c>
      <c r="E2744" s="517" t="s">
        <v>2285</v>
      </c>
      <c r="F2744" s="438" t="s">
        <v>5846</v>
      </c>
      <c r="G2744" s="438" t="s">
        <v>5840</v>
      </c>
      <c r="H2744" s="427" t="s">
        <v>5163</v>
      </c>
      <c r="I2744" s="518">
        <v>1843.98</v>
      </c>
      <c r="J2744" s="381">
        <v>479.1</v>
      </c>
      <c r="K2744" s="519">
        <v>479.1</v>
      </c>
      <c r="L2744" s="369">
        <f t="shared" si="194"/>
        <v>95.820000000000007</v>
      </c>
      <c r="M2744" s="369" t="s">
        <v>6171</v>
      </c>
      <c r="N2744" s="432" t="s">
        <v>3785</v>
      </c>
      <c r="O2744" s="521" t="s">
        <v>5847</v>
      </c>
      <c r="P2744" s="438" t="s">
        <v>5530</v>
      </c>
      <c r="Q2744" s="481">
        <v>0.2</v>
      </c>
      <c r="R2744" s="427">
        <v>1900001375</v>
      </c>
      <c r="S2744" s="513" t="s">
        <v>1177</v>
      </c>
      <c r="T2744" s="2" t="s">
        <v>5915</v>
      </c>
    </row>
    <row r="2745" spans="1:20" x14ac:dyDescent="0.35">
      <c r="A2745" s="435" t="s">
        <v>5160</v>
      </c>
      <c r="B2745" s="427" t="s">
        <v>5490</v>
      </c>
      <c r="C2745" s="520" t="s">
        <v>5845</v>
      </c>
      <c r="D2745" s="517" t="s">
        <v>5845</v>
      </c>
      <c r="E2745" s="517" t="s">
        <v>2287</v>
      </c>
      <c r="F2745" s="438" t="s">
        <v>5846</v>
      </c>
      <c r="G2745" s="438" t="s">
        <v>5840</v>
      </c>
      <c r="H2745" s="427" t="s">
        <v>5163</v>
      </c>
      <c r="I2745" s="518">
        <v>1843.98</v>
      </c>
      <c r="J2745" s="381">
        <v>479.1</v>
      </c>
      <c r="K2745" s="519">
        <v>479.1</v>
      </c>
      <c r="L2745" s="369">
        <f t="shared" si="194"/>
        <v>95.820000000000007</v>
      </c>
      <c r="M2745" s="369" t="s">
        <v>6171</v>
      </c>
      <c r="N2745" s="432" t="s">
        <v>3785</v>
      </c>
      <c r="O2745" s="521" t="s">
        <v>5847</v>
      </c>
      <c r="P2745" s="438" t="s">
        <v>5530</v>
      </c>
      <c r="Q2745" s="481">
        <v>0.2</v>
      </c>
      <c r="R2745" s="427">
        <v>1900001375</v>
      </c>
      <c r="S2745" s="513" t="s">
        <v>1182</v>
      </c>
      <c r="T2745" s="2" t="s">
        <v>5915</v>
      </c>
    </row>
    <row r="2746" spans="1:20" x14ac:dyDescent="0.35">
      <c r="A2746" s="435" t="s">
        <v>5160</v>
      </c>
      <c r="B2746" s="427" t="s">
        <v>5490</v>
      </c>
      <c r="C2746" s="520" t="s">
        <v>5845</v>
      </c>
      <c r="D2746" s="517" t="s">
        <v>5845</v>
      </c>
      <c r="E2746" s="517" t="s">
        <v>2290</v>
      </c>
      <c r="F2746" s="438" t="s">
        <v>5846</v>
      </c>
      <c r="G2746" s="438" t="s">
        <v>5840</v>
      </c>
      <c r="H2746" s="427" t="s">
        <v>5163</v>
      </c>
      <c r="I2746" s="518">
        <v>1843.98</v>
      </c>
      <c r="J2746" s="381">
        <v>479.1</v>
      </c>
      <c r="K2746" s="519">
        <v>479.1</v>
      </c>
      <c r="L2746" s="369">
        <f t="shared" si="194"/>
        <v>95.820000000000007</v>
      </c>
      <c r="M2746" s="369" t="s">
        <v>6171</v>
      </c>
      <c r="N2746" s="432" t="s">
        <v>3785</v>
      </c>
      <c r="O2746" s="521" t="s">
        <v>5847</v>
      </c>
      <c r="P2746" s="438" t="s">
        <v>5530</v>
      </c>
      <c r="Q2746" s="481">
        <v>0.2</v>
      </c>
      <c r="R2746" s="427">
        <v>1900001375</v>
      </c>
      <c r="S2746" s="513" t="s">
        <v>2289</v>
      </c>
      <c r="T2746" s="2" t="s">
        <v>5915</v>
      </c>
    </row>
    <row r="2747" spans="1:20" x14ac:dyDescent="0.35">
      <c r="A2747" s="435" t="s">
        <v>5160</v>
      </c>
      <c r="B2747" s="427" t="s">
        <v>5490</v>
      </c>
      <c r="C2747" s="520" t="s">
        <v>5845</v>
      </c>
      <c r="D2747" s="517" t="s">
        <v>5845</v>
      </c>
      <c r="E2747" s="517" t="s">
        <v>2293</v>
      </c>
      <c r="F2747" s="438" t="s">
        <v>5846</v>
      </c>
      <c r="G2747" s="438" t="s">
        <v>5840</v>
      </c>
      <c r="H2747" s="427" t="s">
        <v>5163</v>
      </c>
      <c r="I2747" s="518">
        <v>1843.98</v>
      </c>
      <c r="J2747" s="381">
        <v>479.1</v>
      </c>
      <c r="K2747" s="519">
        <v>479.1</v>
      </c>
      <c r="L2747" s="369">
        <f t="shared" si="194"/>
        <v>95.820000000000007</v>
      </c>
      <c r="M2747" s="369" t="s">
        <v>6171</v>
      </c>
      <c r="N2747" s="432" t="s">
        <v>3785</v>
      </c>
      <c r="O2747" s="521" t="s">
        <v>5847</v>
      </c>
      <c r="P2747" s="438" t="s">
        <v>5530</v>
      </c>
      <c r="Q2747" s="481">
        <v>0.2</v>
      </c>
      <c r="R2747" s="427">
        <v>1900001375</v>
      </c>
      <c r="S2747" s="513" t="s">
        <v>1197</v>
      </c>
      <c r="T2747" s="2" t="s">
        <v>5915</v>
      </c>
    </row>
    <row r="2748" spans="1:20" x14ac:dyDescent="0.35">
      <c r="A2748" s="435" t="s">
        <v>5160</v>
      </c>
      <c r="B2748" s="427" t="s">
        <v>5490</v>
      </c>
      <c r="C2748" s="520" t="s">
        <v>5845</v>
      </c>
      <c r="D2748" s="517" t="s">
        <v>5845</v>
      </c>
      <c r="E2748" s="517" t="s">
        <v>2296</v>
      </c>
      <c r="F2748" s="438" t="s">
        <v>5846</v>
      </c>
      <c r="G2748" s="438" t="s">
        <v>5840</v>
      </c>
      <c r="H2748" s="427" t="s">
        <v>5163</v>
      </c>
      <c r="I2748" s="518">
        <v>1843.98</v>
      </c>
      <c r="J2748" s="381">
        <v>479.1</v>
      </c>
      <c r="K2748" s="519">
        <v>479.1</v>
      </c>
      <c r="L2748" s="369">
        <f t="shared" si="194"/>
        <v>95.820000000000007</v>
      </c>
      <c r="M2748" s="369" t="s">
        <v>6171</v>
      </c>
      <c r="N2748" s="432" t="s">
        <v>3785</v>
      </c>
      <c r="O2748" s="521" t="s">
        <v>5847</v>
      </c>
      <c r="P2748" s="438" t="s">
        <v>5530</v>
      </c>
      <c r="Q2748" s="481">
        <v>0.2</v>
      </c>
      <c r="R2748" s="427">
        <v>1900001375</v>
      </c>
      <c r="S2748" s="513" t="s">
        <v>2295</v>
      </c>
      <c r="T2748" s="2" t="s">
        <v>5915</v>
      </c>
    </row>
    <row r="2749" spans="1:20" x14ac:dyDescent="0.35">
      <c r="A2749" s="435" t="s">
        <v>5160</v>
      </c>
      <c r="B2749" s="427" t="s">
        <v>5490</v>
      </c>
      <c r="C2749" s="520" t="s">
        <v>5845</v>
      </c>
      <c r="D2749" s="517" t="s">
        <v>5845</v>
      </c>
      <c r="E2749" s="517" t="s">
        <v>2301</v>
      </c>
      <c r="F2749" s="438" t="s">
        <v>5846</v>
      </c>
      <c r="G2749" s="438" t="s">
        <v>5840</v>
      </c>
      <c r="H2749" s="427" t="s">
        <v>5163</v>
      </c>
      <c r="I2749" s="518">
        <v>1843.98</v>
      </c>
      <c r="J2749" s="381">
        <v>479.1</v>
      </c>
      <c r="K2749" s="519">
        <v>479.1</v>
      </c>
      <c r="L2749" s="369">
        <f t="shared" si="194"/>
        <v>95.820000000000007</v>
      </c>
      <c r="M2749" s="369" t="s">
        <v>6171</v>
      </c>
      <c r="N2749" s="432" t="s">
        <v>3785</v>
      </c>
      <c r="O2749" s="521" t="s">
        <v>5847</v>
      </c>
      <c r="P2749" s="438" t="s">
        <v>5530</v>
      </c>
      <c r="Q2749" s="481">
        <v>0.2</v>
      </c>
      <c r="R2749" s="427">
        <v>1900001375</v>
      </c>
      <c r="S2749" s="513" t="s">
        <v>609</v>
      </c>
      <c r="T2749" s="2" t="s">
        <v>5915</v>
      </c>
    </row>
    <row r="2750" spans="1:20" x14ac:dyDescent="0.35">
      <c r="A2750" s="435" t="s">
        <v>5160</v>
      </c>
      <c r="B2750" s="427" t="s">
        <v>5490</v>
      </c>
      <c r="C2750" s="520" t="s">
        <v>5845</v>
      </c>
      <c r="D2750" s="517" t="s">
        <v>5845</v>
      </c>
      <c r="E2750" s="517" t="s">
        <v>2306</v>
      </c>
      <c r="F2750" s="438" t="s">
        <v>5846</v>
      </c>
      <c r="G2750" s="438" t="s">
        <v>5840</v>
      </c>
      <c r="H2750" s="427" t="s">
        <v>5163</v>
      </c>
      <c r="I2750" s="518">
        <v>1843.98</v>
      </c>
      <c r="J2750" s="381">
        <v>479.1</v>
      </c>
      <c r="K2750" s="519">
        <v>479.1</v>
      </c>
      <c r="L2750" s="369">
        <f t="shared" si="194"/>
        <v>95.820000000000007</v>
      </c>
      <c r="M2750" s="369" t="s">
        <v>6171</v>
      </c>
      <c r="N2750" s="432" t="s">
        <v>3785</v>
      </c>
      <c r="O2750" s="521" t="s">
        <v>5847</v>
      </c>
      <c r="P2750" s="438" t="s">
        <v>5530</v>
      </c>
      <c r="Q2750" s="481">
        <v>0.2</v>
      </c>
      <c r="R2750" s="427">
        <v>1900001375</v>
      </c>
      <c r="S2750" s="513" t="s">
        <v>1203</v>
      </c>
      <c r="T2750" s="2" t="s">
        <v>5915</v>
      </c>
    </row>
    <row r="2751" spans="1:20" x14ac:dyDescent="0.35">
      <c r="A2751" s="435" t="s">
        <v>5160</v>
      </c>
      <c r="B2751" s="427" t="s">
        <v>5490</v>
      </c>
      <c r="C2751" s="520" t="s">
        <v>5845</v>
      </c>
      <c r="D2751" s="517" t="s">
        <v>5845</v>
      </c>
      <c r="E2751" s="517" t="s">
        <v>2307</v>
      </c>
      <c r="F2751" s="438" t="s">
        <v>5846</v>
      </c>
      <c r="G2751" s="438" t="s">
        <v>5840</v>
      </c>
      <c r="H2751" s="427" t="s">
        <v>5163</v>
      </c>
      <c r="I2751" s="518">
        <v>1843.98</v>
      </c>
      <c r="J2751" s="381">
        <v>479.1</v>
      </c>
      <c r="K2751" s="519">
        <v>479.1</v>
      </c>
      <c r="L2751" s="369">
        <f t="shared" si="194"/>
        <v>95.820000000000007</v>
      </c>
      <c r="M2751" s="369" t="s">
        <v>6171</v>
      </c>
      <c r="N2751" s="432" t="s">
        <v>3785</v>
      </c>
      <c r="O2751" s="521" t="s">
        <v>5847</v>
      </c>
      <c r="P2751" s="438" t="s">
        <v>5530</v>
      </c>
      <c r="Q2751" s="481">
        <v>0.2</v>
      </c>
      <c r="R2751" s="427">
        <v>1900001375</v>
      </c>
      <c r="S2751" s="513" t="s">
        <v>1213</v>
      </c>
      <c r="T2751" s="2" t="s">
        <v>5915</v>
      </c>
    </row>
    <row r="2752" spans="1:20" x14ac:dyDescent="0.35">
      <c r="A2752" s="435" t="s">
        <v>5160</v>
      </c>
      <c r="B2752" s="427" t="s">
        <v>5490</v>
      </c>
      <c r="C2752" s="520" t="s">
        <v>5845</v>
      </c>
      <c r="D2752" s="517" t="s">
        <v>5845</v>
      </c>
      <c r="E2752" s="517" t="s">
        <v>2309</v>
      </c>
      <c r="F2752" s="438" t="s">
        <v>5846</v>
      </c>
      <c r="G2752" s="438" t="s">
        <v>5840</v>
      </c>
      <c r="H2752" s="427" t="s">
        <v>5163</v>
      </c>
      <c r="I2752" s="518">
        <v>1843.98</v>
      </c>
      <c r="J2752" s="381">
        <v>479.1</v>
      </c>
      <c r="K2752" s="519">
        <v>479.1</v>
      </c>
      <c r="L2752" s="369">
        <f t="shared" si="194"/>
        <v>95.820000000000007</v>
      </c>
      <c r="M2752" s="369" t="s">
        <v>6171</v>
      </c>
      <c r="N2752" s="432" t="s">
        <v>3785</v>
      </c>
      <c r="O2752" s="521" t="s">
        <v>5847</v>
      </c>
      <c r="P2752" s="438" t="s">
        <v>5530</v>
      </c>
      <c r="Q2752" s="481">
        <v>0.2</v>
      </c>
      <c r="R2752" s="427">
        <v>1900001375</v>
      </c>
      <c r="S2752" s="513" t="s">
        <v>1226</v>
      </c>
      <c r="T2752" s="2" t="s">
        <v>5915</v>
      </c>
    </row>
    <row r="2753" spans="1:21" x14ac:dyDescent="0.35">
      <c r="A2753" s="435" t="s">
        <v>5160</v>
      </c>
      <c r="B2753" s="427" t="s">
        <v>5490</v>
      </c>
      <c r="C2753" s="520" t="s">
        <v>5845</v>
      </c>
      <c r="D2753" s="517" t="s">
        <v>5845</v>
      </c>
      <c r="E2753" s="517" t="s">
        <v>2311</v>
      </c>
      <c r="F2753" s="438" t="s">
        <v>5846</v>
      </c>
      <c r="G2753" s="438" t="s">
        <v>5840</v>
      </c>
      <c r="H2753" s="427" t="s">
        <v>5163</v>
      </c>
      <c r="I2753" s="518">
        <v>1843.98</v>
      </c>
      <c r="J2753" s="381">
        <v>479.1</v>
      </c>
      <c r="K2753" s="519">
        <v>479.1</v>
      </c>
      <c r="L2753" s="369">
        <f t="shared" si="194"/>
        <v>95.820000000000007</v>
      </c>
      <c r="M2753" s="369" t="s">
        <v>6171</v>
      </c>
      <c r="N2753" s="432" t="s">
        <v>3785</v>
      </c>
      <c r="O2753" s="521" t="s">
        <v>5847</v>
      </c>
      <c r="P2753" s="438" t="s">
        <v>5530</v>
      </c>
      <c r="Q2753" s="481">
        <v>0.2</v>
      </c>
      <c r="R2753" s="427">
        <v>1900001375</v>
      </c>
      <c r="S2753" s="513" t="s">
        <v>330</v>
      </c>
      <c r="T2753" s="2" t="s">
        <v>5915</v>
      </c>
    </row>
    <row r="2754" spans="1:21" x14ac:dyDescent="0.35">
      <c r="A2754" s="435" t="s">
        <v>5160</v>
      </c>
      <c r="B2754" s="427" t="s">
        <v>5490</v>
      </c>
      <c r="C2754" s="520" t="s">
        <v>5845</v>
      </c>
      <c r="D2754" s="517" t="s">
        <v>5845</v>
      </c>
      <c r="E2754" s="517" t="s">
        <v>2313</v>
      </c>
      <c r="F2754" s="438" t="s">
        <v>5846</v>
      </c>
      <c r="G2754" s="438" t="s">
        <v>5840</v>
      </c>
      <c r="H2754" s="427" t="s">
        <v>5163</v>
      </c>
      <c r="I2754" s="518">
        <v>1843.98</v>
      </c>
      <c r="J2754" s="381">
        <v>479.1</v>
      </c>
      <c r="K2754" s="519">
        <v>479.1</v>
      </c>
      <c r="L2754" s="369">
        <f t="shared" si="194"/>
        <v>95.820000000000007</v>
      </c>
      <c r="M2754" s="369" t="s">
        <v>6171</v>
      </c>
      <c r="N2754" s="432" t="s">
        <v>3785</v>
      </c>
      <c r="O2754" s="521" t="s">
        <v>5847</v>
      </c>
      <c r="P2754" s="438" t="s">
        <v>5530</v>
      </c>
      <c r="Q2754" s="481">
        <v>0.2</v>
      </c>
      <c r="R2754" s="427">
        <v>1900001375</v>
      </c>
      <c r="S2754" s="513" t="s">
        <v>467</v>
      </c>
      <c r="T2754" s="2" t="s">
        <v>5915</v>
      </c>
    </row>
    <row r="2755" spans="1:21" x14ac:dyDescent="0.35">
      <c r="A2755" s="435" t="s">
        <v>5160</v>
      </c>
      <c r="B2755" s="427" t="s">
        <v>5490</v>
      </c>
      <c r="C2755" s="520" t="s">
        <v>5845</v>
      </c>
      <c r="D2755" s="517" t="s">
        <v>5845</v>
      </c>
      <c r="E2755" s="517" t="s">
        <v>2315</v>
      </c>
      <c r="F2755" s="438" t="s">
        <v>5846</v>
      </c>
      <c r="G2755" s="438" t="s">
        <v>5840</v>
      </c>
      <c r="H2755" s="427" t="s">
        <v>5163</v>
      </c>
      <c r="I2755" s="518">
        <v>1843.98</v>
      </c>
      <c r="J2755" s="381">
        <v>479.1</v>
      </c>
      <c r="K2755" s="519">
        <v>479.1</v>
      </c>
      <c r="L2755" s="369">
        <f t="shared" si="194"/>
        <v>95.820000000000007</v>
      </c>
      <c r="M2755" s="369" t="s">
        <v>6171</v>
      </c>
      <c r="N2755" s="432" t="s">
        <v>3785</v>
      </c>
      <c r="O2755" s="521" t="s">
        <v>5847</v>
      </c>
      <c r="P2755" s="438" t="s">
        <v>5530</v>
      </c>
      <c r="Q2755" s="481">
        <v>0.2</v>
      </c>
      <c r="R2755" s="427">
        <v>1900001375</v>
      </c>
      <c r="S2755" s="513" t="s">
        <v>1209</v>
      </c>
      <c r="T2755" s="2" t="s">
        <v>5915</v>
      </c>
    </row>
    <row r="2756" spans="1:21" x14ac:dyDescent="0.35">
      <c r="A2756" s="435" t="s">
        <v>5160</v>
      </c>
      <c r="B2756" s="427" t="s">
        <v>5490</v>
      </c>
      <c r="C2756" s="520" t="s">
        <v>5845</v>
      </c>
      <c r="D2756" s="517" t="s">
        <v>5845</v>
      </c>
      <c r="E2756" s="517" t="s">
        <v>2317</v>
      </c>
      <c r="F2756" s="438" t="s">
        <v>5846</v>
      </c>
      <c r="G2756" s="438" t="s">
        <v>5840</v>
      </c>
      <c r="H2756" s="427" t="s">
        <v>5163</v>
      </c>
      <c r="I2756" s="518">
        <v>1843.98</v>
      </c>
      <c r="J2756" s="381">
        <v>479.1</v>
      </c>
      <c r="K2756" s="519">
        <v>479.1</v>
      </c>
      <c r="L2756" s="369">
        <f t="shared" si="194"/>
        <v>95.820000000000007</v>
      </c>
      <c r="M2756" s="369" t="s">
        <v>6171</v>
      </c>
      <c r="N2756" s="432" t="s">
        <v>3785</v>
      </c>
      <c r="O2756" s="521" t="s">
        <v>5847</v>
      </c>
      <c r="P2756" s="438" t="s">
        <v>5530</v>
      </c>
      <c r="Q2756" s="481">
        <v>0.2</v>
      </c>
      <c r="R2756" s="427">
        <v>1900001375</v>
      </c>
      <c r="S2756" s="513" t="s">
        <v>1586</v>
      </c>
      <c r="T2756" s="2" t="s">
        <v>5915</v>
      </c>
    </row>
    <row r="2757" spans="1:21" x14ac:dyDescent="0.35">
      <c r="A2757" s="435" t="s">
        <v>5160</v>
      </c>
      <c r="B2757" s="543" t="s">
        <v>5872</v>
      </c>
      <c r="C2757" s="517" t="s">
        <v>5845</v>
      </c>
      <c r="D2757" s="517" t="s">
        <v>5845</v>
      </c>
      <c r="E2757" s="517"/>
      <c r="F2757" s="438" t="s">
        <v>5846</v>
      </c>
      <c r="G2757" s="438" t="s">
        <v>5840</v>
      </c>
      <c r="H2757" s="427" t="s">
        <v>5163</v>
      </c>
      <c r="I2757" s="518">
        <v>3597.625</v>
      </c>
      <c r="J2757" s="381">
        <v>934.75</v>
      </c>
      <c r="K2757" s="519">
        <v>934.75</v>
      </c>
      <c r="L2757" s="369">
        <f t="shared" ref="L2757:L2820" si="195">+K2757*Q2757</f>
        <v>186.95000000000002</v>
      </c>
      <c r="M2757" s="369" t="s">
        <v>6171</v>
      </c>
      <c r="N2757" s="432" t="s">
        <v>3785</v>
      </c>
      <c r="O2757" s="521" t="s">
        <v>5847</v>
      </c>
      <c r="P2757" s="438" t="s">
        <v>5530</v>
      </c>
      <c r="Q2757" s="481">
        <v>0.2</v>
      </c>
      <c r="R2757" s="427">
        <v>1900001375</v>
      </c>
      <c r="S2757" s="513" t="s">
        <v>3475</v>
      </c>
      <c r="T2757" s="2" t="s">
        <v>5914</v>
      </c>
      <c r="U2757" s="9" t="s">
        <v>3475</v>
      </c>
    </row>
    <row r="2758" spans="1:21" x14ac:dyDescent="0.35">
      <c r="A2758" s="435" t="s">
        <v>5160</v>
      </c>
      <c r="B2758" s="543" t="s">
        <v>5872</v>
      </c>
      <c r="C2758" s="517" t="s">
        <v>5845</v>
      </c>
      <c r="D2758" s="517" t="s">
        <v>5845</v>
      </c>
      <c r="E2758" s="517"/>
      <c r="F2758" s="438" t="s">
        <v>5846</v>
      </c>
      <c r="G2758" s="438" t="s">
        <v>5840</v>
      </c>
      <c r="H2758" s="427" t="s">
        <v>5163</v>
      </c>
      <c r="I2758" s="518">
        <v>3597.625</v>
      </c>
      <c r="J2758" s="381">
        <v>934.75</v>
      </c>
      <c r="K2758" s="519">
        <v>934.75</v>
      </c>
      <c r="L2758" s="369">
        <f t="shared" si="195"/>
        <v>186.95000000000002</v>
      </c>
      <c r="M2758" s="369" t="s">
        <v>6171</v>
      </c>
      <c r="N2758" s="432" t="s">
        <v>3785</v>
      </c>
      <c r="O2758" s="521" t="s">
        <v>5847</v>
      </c>
      <c r="P2758" s="438" t="s">
        <v>5530</v>
      </c>
      <c r="Q2758" s="481">
        <v>0.2</v>
      </c>
      <c r="R2758" s="427">
        <v>1900001375</v>
      </c>
      <c r="S2758" s="513" t="s">
        <v>3475</v>
      </c>
      <c r="T2758" s="2" t="s">
        <v>5914</v>
      </c>
      <c r="U2758" s="9" t="s">
        <v>3475</v>
      </c>
    </row>
    <row r="2759" spans="1:21" x14ac:dyDescent="0.35">
      <c r="A2759" s="435" t="s">
        <v>5160</v>
      </c>
      <c r="B2759" s="543" t="s">
        <v>5872</v>
      </c>
      <c r="C2759" s="517" t="s">
        <v>5845</v>
      </c>
      <c r="D2759" s="517" t="s">
        <v>5845</v>
      </c>
      <c r="E2759" s="517"/>
      <c r="F2759" s="438" t="s">
        <v>5846</v>
      </c>
      <c r="G2759" s="438" t="s">
        <v>5840</v>
      </c>
      <c r="H2759" s="427" t="s">
        <v>5163</v>
      </c>
      <c r="I2759" s="518">
        <v>3597.625</v>
      </c>
      <c r="J2759" s="381">
        <v>934.75</v>
      </c>
      <c r="K2759" s="519">
        <v>934.75</v>
      </c>
      <c r="L2759" s="369">
        <f t="shared" si="195"/>
        <v>186.95000000000002</v>
      </c>
      <c r="M2759" s="369" t="s">
        <v>6171</v>
      </c>
      <c r="N2759" s="432" t="s">
        <v>3785</v>
      </c>
      <c r="O2759" s="521" t="s">
        <v>5847</v>
      </c>
      <c r="P2759" s="438" t="s">
        <v>5530</v>
      </c>
      <c r="Q2759" s="481">
        <v>0.2</v>
      </c>
      <c r="R2759" s="427">
        <v>1900001375</v>
      </c>
      <c r="S2759" s="513" t="s">
        <v>3475</v>
      </c>
      <c r="T2759" s="2" t="s">
        <v>5914</v>
      </c>
      <c r="U2759" s="9" t="s">
        <v>3475</v>
      </c>
    </row>
    <row r="2760" spans="1:21" x14ac:dyDescent="0.35">
      <c r="A2760" s="435" t="s">
        <v>5160</v>
      </c>
      <c r="B2760" s="543" t="s">
        <v>5872</v>
      </c>
      <c r="C2760" s="517" t="s">
        <v>5845</v>
      </c>
      <c r="D2760" s="517" t="s">
        <v>5845</v>
      </c>
      <c r="E2760" s="517"/>
      <c r="F2760" s="438" t="s">
        <v>5846</v>
      </c>
      <c r="G2760" s="438" t="s">
        <v>5840</v>
      </c>
      <c r="H2760" s="427" t="s">
        <v>5163</v>
      </c>
      <c r="I2760" s="518">
        <v>3597.625</v>
      </c>
      <c r="J2760" s="381">
        <v>934.75</v>
      </c>
      <c r="K2760" s="519">
        <v>934.75</v>
      </c>
      <c r="L2760" s="369">
        <f t="shared" si="195"/>
        <v>186.95000000000002</v>
      </c>
      <c r="M2760" s="369" t="s">
        <v>6171</v>
      </c>
      <c r="N2760" s="432" t="s">
        <v>3785</v>
      </c>
      <c r="O2760" s="521" t="s">
        <v>5847</v>
      </c>
      <c r="P2760" s="438" t="s">
        <v>5530</v>
      </c>
      <c r="Q2760" s="481">
        <v>0.2</v>
      </c>
      <c r="R2760" s="427">
        <v>1900001375</v>
      </c>
      <c r="S2760" s="513" t="s">
        <v>3475</v>
      </c>
      <c r="T2760" s="2" t="s">
        <v>5914</v>
      </c>
      <c r="U2760" s="9" t="s">
        <v>3475</v>
      </c>
    </row>
    <row r="2761" spans="1:21" x14ac:dyDescent="0.35">
      <c r="A2761" s="435" t="s">
        <v>5160</v>
      </c>
      <c r="B2761" s="543" t="s">
        <v>5872</v>
      </c>
      <c r="C2761" s="517" t="s">
        <v>5845</v>
      </c>
      <c r="D2761" s="517" t="s">
        <v>5845</v>
      </c>
      <c r="E2761" s="517"/>
      <c r="F2761" s="438" t="s">
        <v>5846</v>
      </c>
      <c r="G2761" s="438" t="s">
        <v>5840</v>
      </c>
      <c r="H2761" s="427" t="s">
        <v>5163</v>
      </c>
      <c r="I2761" s="518">
        <v>3597.625</v>
      </c>
      <c r="J2761" s="381">
        <v>934.75</v>
      </c>
      <c r="K2761" s="519">
        <v>934.75</v>
      </c>
      <c r="L2761" s="369">
        <f t="shared" si="195"/>
        <v>186.95000000000002</v>
      </c>
      <c r="M2761" s="369" t="s">
        <v>6171</v>
      </c>
      <c r="N2761" s="432" t="s">
        <v>3785</v>
      </c>
      <c r="O2761" s="521" t="s">
        <v>5847</v>
      </c>
      <c r="P2761" s="438" t="s">
        <v>5530</v>
      </c>
      <c r="Q2761" s="481">
        <v>0.2</v>
      </c>
      <c r="R2761" s="427">
        <v>1900001375</v>
      </c>
      <c r="S2761" s="513" t="s">
        <v>3475</v>
      </c>
      <c r="T2761" s="2" t="s">
        <v>5914</v>
      </c>
      <c r="U2761" s="9" t="s">
        <v>3475</v>
      </c>
    </row>
    <row r="2762" spans="1:21" x14ac:dyDescent="0.35">
      <c r="A2762" s="435" t="s">
        <v>5160</v>
      </c>
      <c r="B2762" s="543" t="s">
        <v>5872</v>
      </c>
      <c r="C2762" s="517" t="s">
        <v>5845</v>
      </c>
      <c r="D2762" s="517" t="s">
        <v>5845</v>
      </c>
      <c r="E2762" s="517"/>
      <c r="F2762" s="438" t="s">
        <v>5846</v>
      </c>
      <c r="G2762" s="438" t="s">
        <v>5840</v>
      </c>
      <c r="H2762" s="427" t="s">
        <v>5163</v>
      </c>
      <c r="I2762" s="518">
        <v>3597.625</v>
      </c>
      <c r="J2762" s="381">
        <v>934.75</v>
      </c>
      <c r="K2762" s="519">
        <v>934.75</v>
      </c>
      <c r="L2762" s="369">
        <f t="shared" si="195"/>
        <v>186.95000000000002</v>
      </c>
      <c r="M2762" s="369" t="s">
        <v>6171</v>
      </c>
      <c r="N2762" s="432" t="s">
        <v>3785</v>
      </c>
      <c r="O2762" s="521" t="s">
        <v>5847</v>
      </c>
      <c r="P2762" s="438" t="s">
        <v>5530</v>
      </c>
      <c r="Q2762" s="481">
        <v>0.2</v>
      </c>
      <c r="R2762" s="427">
        <v>1900001375</v>
      </c>
      <c r="S2762" s="513" t="s">
        <v>3475</v>
      </c>
      <c r="T2762" s="2" t="s">
        <v>5914</v>
      </c>
      <c r="U2762" s="9" t="s">
        <v>3475</v>
      </c>
    </row>
    <row r="2763" spans="1:21" x14ac:dyDescent="0.35">
      <c r="A2763" s="435" t="s">
        <v>5160</v>
      </c>
      <c r="B2763" s="543" t="s">
        <v>5872</v>
      </c>
      <c r="C2763" s="517" t="s">
        <v>5845</v>
      </c>
      <c r="D2763" s="517" t="s">
        <v>5845</v>
      </c>
      <c r="E2763" s="517"/>
      <c r="F2763" s="438" t="s">
        <v>5846</v>
      </c>
      <c r="G2763" s="438" t="s">
        <v>5840</v>
      </c>
      <c r="H2763" s="427" t="s">
        <v>5163</v>
      </c>
      <c r="I2763" s="518">
        <v>3597.625</v>
      </c>
      <c r="J2763" s="381">
        <v>934.75</v>
      </c>
      <c r="K2763" s="519">
        <v>934.75</v>
      </c>
      <c r="L2763" s="369">
        <f t="shared" si="195"/>
        <v>186.95000000000002</v>
      </c>
      <c r="M2763" s="369" t="s">
        <v>6171</v>
      </c>
      <c r="N2763" s="432" t="s">
        <v>3785</v>
      </c>
      <c r="O2763" s="521" t="s">
        <v>5847</v>
      </c>
      <c r="P2763" s="438" t="s">
        <v>5530</v>
      </c>
      <c r="Q2763" s="481">
        <v>0.2</v>
      </c>
      <c r="R2763" s="427">
        <v>1900001375</v>
      </c>
      <c r="S2763" s="513" t="s">
        <v>3475</v>
      </c>
      <c r="T2763" s="2" t="s">
        <v>5914</v>
      </c>
      <c r="U2763" s="9" t="s">
        <v>3475</v>
      </c>
    </row>
    <row r="2764" spans="1:21" x14ac:dyDescent="0.35">
      <c r="A2764" s="435" t="s">
        <v>5160</v>
      </c>
      <c r="B2764" s="543" t="s">
        <v>5872</v>
      </c>
      <c r="C2764" s="517" t="s">
        <v>5845</v>
      </c>
      <c r="D2764" s="517" t="s">
        <v>5845</v>
      </c>
      <c r="E2764" s="517"/>
      <c r="F2764" s="438" t="s">
        <v>5846</v>
      </c>
      <c r="G2764" s="438" t="s">
        <v>5840</v>
      </c>
      <c r="H2764" s="427" t="s">
        <v>5163</v>
      </c>
      <c r="I2764" s="518">
        <v>3597.625</v>
      </c>
      <c r="J2764" s="381">
        <v>934.75</v>
      </c>
      <c r="K2764" s="519">
        <v>934.75</v>
      </c>
      <c r="L2764" s="369">
        <f t="shared" si="195"/>
        <v>186.95000000000002</v>
      </c>
      <c r="M2764" s="369" t="s">
        <v>6171</v>
      </c>
      <c r="N2764" s="432" t="s">
        <v>3785</v>
      </c>
      <c r="O2764" s="521" t="s">
        <v>5847</v>
      </c>
      <c r="P2764" s="438" t="s">
        <v>5530</v>
      </c>
      <c r="Q2764" s="481">
        <v>0.2</v>
      </c>
      <c r="R2764" s="427">
        <v>1900001375</v>
      </c>
      <c r="S2764" s="513" t="s">
        <v>3475</v>
      </c>
      <c r="T2764" s="2" t="s">
        <v>5914</v>
      </c>
      <c r="U2764" s="9" t="s">
        <v>3475</v>
      </c>
    </row>
    <row r="2765" spans="1:21" x14ac:dyDescent="0.35">
      <c r="A2765" s="435" t="s">
        <v>5160</v>
      </c>
      <c r="B2765" s="543" t="s">
        <v>5872</v>
      </c>
      <c r="C2765" s="517" t="s">
        <v>5845</v>
      </c>
      <c r="D2765" s="517" t="s">
        <v>5845</v>
      </c>
      <c r="E2765" s="517"/>
      <c r="F2765" s="438" t="s">
        <v>5846</v>
      </c>
      <c r="G2765" s="438" t="s">
        <v>5840</v>
      </c>
      <c r="H2765" s="427" t="s">
        <v>5163</v>
      </c>
      <c r="I2765" s="518">
        <v>3597.625</v>
      </c>
      <c r="J2765" s="381">
        <v>934.75</v>
      </c>
      <c r="K2765" s="519">
        <v>934.75</v>
      </c>
      <c r="L2765" s="369">
        <f t="shared" si="195"/>
        <v>186.95000000000002</v>
      </c>
      <c r="M2765" s="369" t="s">
        <v>6171</v>
      </c>
      <c r="N2765" s="432" t="s">
        <v>3785</v>
      </c>
      <c r="O2765" s="521" t="s">
        <v>5847</v>
      </c>
      <c r="P2765" s="438" t="s">
        <v>5530</v>
      </c>
      <c r="Q2765" s="481">
        <v>0.2</v>
      </c>
      <c r="R2765" s="427">
        <v>1900001375</v>
      </c>
      <c r="S2765" s="513" t="s">
        <v>3475</v>
      </c>
      <c r="T2765" s="2" t="s">
        <v>5914</v>
      </c>
      <c r="U2765" s="9" t="s">
        <v>3475</v>
      </c>
    </row>
    <row r="2766" spans="1:21" x14ac:dyDescent="0.35">
      <c r="A2766" s="435" t="s">
        <v>5160</v>
      </c>
      <c r="B2766" s="543" t="s">
        <v>5872</v>
      </c>
      <c r="C2766" s="517" t="s">
        <v>5845</v>
      </c>
      <c r="D2766" s="517" t="s">
        <v>5845</v>
      </c>
      <c r="E2766" s="517"/>
      <c r="F2766" s="438" t="s">
        <v>5846</v>
      </c>
      <c r="G2766" s="438" t="s">
        <v>5840</v>
      </c>
      <c r="H2766" s="427" t="s">
        <v>5163</v>
      </c>
      <c r="I2766" s="518">
        <v>3597.625</v>
      </c>
      <c r="J2766" s="381">
        <v>934.75</v>
      </c>
      <c r="K2766" s="519">
        <v>934.75</v>
      </c>
      <c r="L2766" s="369">
        <f t="shared" si="195"/>
        <v>186.95000000000002</v>
      </c>
      <c r="M2766" s="369" t="s">
        <v>6171</v>
      </c>
      <c r="N2766" s="432" t="s">
        <v>3785</v>
      </c>
      <c r="O2766" s="521" t="s">
        <v>5847</v>
      </c>
      <c r="P2766" s="438" t="s">
        <v>5530</v>
      </c>
      <c r="Q2766" s="481">
        <v>0.2</v>
      </c>
      <c r="R2766" s="427">
        <v>1900001375</v>
      </c>
      <c r="S2766" s="513" t="s">
        <v>3475</v>
      </c>
      <c r="T2766" s="2" t="s">
        <v>5914</v>
      </c>
      <c r="U2766" s="9" t="s">
        <v>3475</v>
      </c>
    </row>
    <row r="2767" spans="1:21" x14ac:dyDescent="0.35">
      <c r="A2767" s="435" t="s">
        <v>5160</v>
      </c>
      <c r="B2767" s="543" t="s">
        <v>5872</v>
      </c>
      <c r="C2767" s="517" t="s">
        <v>5845</v>
      </c>
      <c r="D2767" s="517" t="s">
        <v>5845</v>
      </c>
      <c r="E2767" s="517"/>
      <c r="F2767" s="438" t="s">
        <v>5846</v>
      </c>
      <c r="G2767" s="438" t="s">
        <v>5840</v>
      </c>
      <c r="H2767" s="427" t="s">
        <v>5163</v>
      </c>
      <c r="I2767" s="518">
        <v>3597.625</v>
      </c>
      <c r="J2767" s="381">
        <v>934.75</v>
      </c>
      <c r="K2767" s="519">
        <v>934.75</v>
      </c>
      <c r="L2767" s="369">
        <f t="shared" si="195"/>
        <v>186.95000000000002</v>
      </c>
      <c r="M2767" s="369" t="s">
        <v>6171</v>
      </c>
      <c r="N2767" s="432" t="s">
        <v>3785</v>
      </c>
      <c r="O2767" s="521" t="s">
        <v>5847</v>
      </c>
      <c r="P2767" s="438" t="s">
        <v>5530</v>
      </c>
      <c r="Q2767" s="481">
        <v>0.2</v>
      </c>
      <c r="R2767" s="427">
        <v>1900001375</v>
      </c>
      <c r="S2767" s="513" t="s">
        <v>3475</v>
      </c>
      <c r="T2767" s="2" t="s">
        <v>5914</v>
      </c>
      <c r="U2767" s="9" t="s">
        <v>3475</v>
      </c>
    </row>
    <row r="2768" spans="1:21" x14ac:dyDescent="0.35">
      <c r="A2768" s="435" t="s">
        <v>5160</v>
      </c>
      <c r="B2768" s="543" t="s">
        <v>5872</v>
      </c>
      <c r="C2768" s="517" t="s">
        <v>5845</v>
      </c>
      <c r="D2768" s="517" t="s">
        <v>5845</v>
      </c>
      <c r="E2768" s="517"/>
      <c r="F2768" s="438" t="s">
        <v>5846</v>
      </c>
      <c r="G2768" s="438" t="s">
        <v>5840</v>
      </c>
      <c r="H2768" s="427" t="s">
        <v>5163</v>
      </c>
      <c r="I2768" s="518">
        <v>3597.625</v>
      </c>
      <c r="J2768" s="381">
        <v>934.75</v>
      </c>
      <c r="K2768" s="519">
        <v>934.75</v>
      </c>
      <c r="L2768" s="369">
        <f t="shared" si="195"/>
        <v>186.95000000000002</v>
      </c>
      <c r="M2768" s="369" t="s">
        <v>6171</v>
      </c>
      <c r="N2768" s="432" t="s">
        <v>3785</v>
      </c>
      <c r="O2768" s="521" t="s">
        <v>5847</v>
      </c>
      <c r="P2768" s="438" t="s">
        <v>5530</v>
      </c>
      <c r="Q2768" s="481">
        <v>0.2</v>
      </c>
      <c r="R2768" s="427">
        <v>1900001375</v>
      </c>
      <c r="S2768" s="513" t="s">
        <v>3475</v>
      </c>
      <c r="T2768" s="2" t="s">
        <v>5914</v>
      </c>
      <c r="U2768" s="9" t="s">
        <v>3475</v>
      </c>
    </row>
    <row r="2769" spans="1:21" x14ac:dyDescent="0.35">
      <c r="A2769" s="435" t="s">
        <v>5160</v>
      </c>
      <c r="B2769" s="543" t="s">
        <v>5872</v>
      </c>
      <c r="C2769" s="517" t="s">
        <v>5845</v>
      </c>
      <c r="D2769" s="517" t="s">
        <v>5845</v>
      </c>
      <c r="E2769" s="517"/>
      <c r="F2769" s="438" t="s">
        <v>5846</v>
      </c>
      <c r="G2769" s="438" t="s">
        <v>5840</v>
      </c>
      <c r="H2769" s="427" t="s">
        <v>5163</v>
      </c>
      <c r="I2769" s="518">
        <v>3597.625</v>
      </c>
      <c r="J2769" s="381">
        <v>934.75</v>
      </c>
      <c r="K2769" s="519">
        <v>934.75</v>
      </c>
      <c r="L2769" s="369">
        <f t="shared" si="195"/>
        <v>186.95000000000002</v>
      </c>
      <c r="M2769" s="369" t="s">
        <v>6171</v>
      </c>
      <c r="N2769" s="432" t="s">
        <v>3785</v>
      </c>
      <c r="O2769" s="521" t="s">
        <v>5847</v>
      </c>
      <c r="P2769" s="438" t="s">
        <v>5530</v>
      </c>
      <c r="Q2769" s="481">
        <v>0.2</v>
      </c>
      <c r="R2769" s="427">
        <v>1900001375</v>
      </c>
      <c r="S2769" s="513" t="s">
        <v>3475</v>
      </c>
      <c r="T2769" s="2" t="s">
        <v>5914</v>
      </c>
      <c r="U2769" s="9" t="s">
        <v>3475</v>
      </c>
    </row>
    <row r="2770" spans="1:21" x14ac:dyDescent="0.35">
      <c r="A2770" s="435" t="s">
        <v>5160</v>
      </c>
      <c r="B2770" s="543" t="s">
        <v>5872</v>
      </c>
      <c r="C2770" s="517" t="s">
        <v>5845</v>
      </c>
      <c r="D2770" s="517" t="s">
        <v>5845</v>
      </c>
      <c r="E2770" s="517"/>
      <c r="F2770" s="438" t="s">
        <v>5846</v>
      </c>
      <c r="G2770" s="438" t="s">
        <v>5840</v>
      </c>
      <c r="H2770" s="427" t="s">
        <v>5163</v>
      </c>
      <c r="I2770" s="518">
        <v>3597.625</v>
      </c>
      <c r="J2770" s="381">
        <v>934.75</v>
      </c>
      <c r="K2770" s="519">
        <v>934.75</v>
      </c>
      <c r="L2770" s="369">
        <f t="shared" si="195"/>
        <v>186.95000000000002</v>
      </c>
      <c r="M2770" s="369" t="s">
        <v>6171</v>
      </c>
      <c r="N2770" s="432" t="s">
        <v>3785</v>
      </c>
      <c r="O2770" s="521" t="s">
        <v>5847</v>
      </c>
      <c r="P2770" s="438" t="s">
        <v>5530</v>
      </c>
      <c r="Q2770" s="481">
        <v>0.2</v>
      </c>
      <c r="R2770" s="427">
        <v>1900001375</v>
      </c>
      <c r="S2770" s="513" t="s">
        <v>3475</v>
      </c>
      <c r="T2770" s="2" t="s">
        <v>5914</v>
      </c>
      <c r="U2770" s="9" t="s">
        <v>3475</v>
      </c>
    </row>
    <row r="2771" spans="1:21" x14ac:dyDescent="0.35">
      <c r="A2771" s="435" t="s">
        <v>5160</v>
      </c>
      <c r="B2771" s="543" t="s">
        <v>5872</v>
      </c>
      <c r="C2771" s="517" t="s">
        <v>5845</v>
      </c>
      <c r="D2771" s="517" t="s">
        <v>5845</v>
      </c>
      <c r="E2771" s="517"/>
      <c r="F2771" s="438" t="s">
        <v>5846</v>
      </c>
      <c r="G2771" s="438" t="s">
        <v>5840</v>
      </c>
      <c r="H2771" s="427" t="s">
        <v>5163</v>
      </c>
      <c r="I2771" s="518">
        <v>3597.625</v>
      </c>
      <c r="J2771" s="381">
        <v>934.75</v>
      </c>
      <c r="K2771" s="519">
        <v>934.75</v>
      </c>
      <c r="L2771" s="369">
        <f t="shared" si="195"/>
        <v>186.95000000000002</v>
      </c>
      <c r="M2771" s="369" t="s">
        <v>6171</v>
      </c>
      <c r="N2771" s="432" t="s">
        <v>3785</v>
      </c>
      <c r="O2771" s="521" t="s">
        <v>5847</v>
      </c>
      <c r="P2771" s="438" t="s">
        <v>5530</v>
      </c>
      <c r="Q2771" s="481">
        <v>0.2</v>
      </c>
      <c r="R2771" s="427">
        <v>1900001375</v>
      </c>
      <c r="S2771" s="513" t="s">
        <v>3475</v>
      </c>
      <c r="T2771" s="2" t="s">
        <v>5914</v>
      </c>
      <c r="U2771" s="9" t="s">
        <v>3475</v>
      </c>
    </row>
    <row r="2772" spans="1:21" x14ac:dyDescent="0.35">
      <c r="A2772" s="435" t="s">
        <v>5160</v>
      </c>
      <c r="B2772" s="543" t="s">
        <v>5872</v>
      </c>
      <c r="C2772" s="517" t="s">
        <v>5845</v>
      </c>
      <c r="D2772" s="517" t="s">
        <v>5845</v>
      </c>
      <c r="E2772" s="517"/>
      <c r="F2772" s="438" t="s">
        <v>5846</v>
      </c>
      <c r="G2772" s="438" t="s">
        <v>5840</v>
      </c>
      <c r="H2772" s="427" t="s">
        <v>5163</v>
      </c>
      <c r="I2772" s="518">
        <v>3597.625</v>
      </c>
      <c r="J2772" s="381">
        <v>934.75</v>
      </c>
      <c r="K2772" s="519">
        <v>934.75</v>
      </c>
      <c r="L2772" s="369">
        <f t="shared" si="195"/>
        <v>186.95000000000002</v>
      </c>
      <c r="M2772" s="369" t="s">
        <v>6171</v>
      </c>
      <c r="N2772" s="432" t="s">
        <v>3785</v>
      </c>
      <c r="O2772" s="521" t="s">
        <v>5847</v>
      </c>
      <c r="P2772" s="438" t="s">
        <v>5530</v>
      </c>
      <c r="Q2772" s="481">
        <v>0.2</v>
      </c>
      <c r="R2772" s="427">
        <v>1900001375</v>
      </c>
      <c r="S2772" s="513" t="s">
        <v>3475</v>
      </c>
      <c r="T2772" s="2" t="s">
        <v>5914</v>
      </c>
      <c r="U2772" s="9" t="s">
        <v>3475</v>
      </c>
    </row>
    <row r="2773" spans="1:21" x14ac:dyDescent="0.35">
      <c r="A2773" s="435" t="s">
        <v>5160</v>
      </c>
      <c r="B2773" s="543" t="s">
        <v>5873</v>
      </c>
      <c r="C2773" s="517" t="s">
        <v>5845</v>
      </c>
      <c r="D2773" s="517" t="s">
        <v>5845</v>
      </c>
      <c r="E2773" s="517"/>
      <c r="F2773" s="438" t="s">
        <v>5846</v>
      </c>
      <c r="G2773" s="438" t="s">
        <v>5840</v>
      </c>
      <c r="H2773" s="427" t="s">
        <v>5163</v>
      </c>
      <c r="I2773" s="518">
        <v>902.6</v>
      </c>
      <c r="J2773" s="381">
        <v>234.4</v>
      </c>
      <c r="K2773" s="519">
        <v>234.4</v>
      </c>
      <c r="L2773" s="369">
        <f t="shared" si="195"/>
        <v>46.88</v>
      </c>
      <c r="M2773" s="369" t="s">
        <v>6171</v>
      </c>
      <c r="N2773" s="432" t="s">
        <v>3785</v>
      </c>
      <c r="O2773" s="521" t="s">
        <v>5847</v>
      </c>
      <c r="P2773" s="438" t="s">
        <v>5530</v>
      </c>
      <c r="Q2773" s="481">
        <v>0.2</v>
      </c>
      <c r="R2773" s="427">
        <v>1900001375</v>
      </c>
      <c r="S2773" s="513" t="s">
        <v>3475</v>
      </c>
      <c r="T2773" s="2" t="s">
        <v>5914</v>
      </c>
      <c r="U2773" s="9" t="s">
        <v>3475</v>
      </c>
    </row>
    <row r="2774" spans="1:21" x14ac:dyDescent="0.35">
      <c r="A2774" s="435" t="s">
        <v>5160</v>
      </c>
      <c r="B2774" s="543" t="s">
        <v>5873</v>
      </c>
      <c r="C2774" s="517" t="s">
        <v>5845</v>
      </c>
      <c r="D2774" s="517" t="s">
        <v>5845</v>
      </c>
      <c r="E2774" s="517"/>
      <c r="F2774" s="438" t="s">
        <v>5846</v>
      </c>
      <c r="G2774" s="438" t="s">
        <v>5840</v>
      </c>
      <c r="H2774" s="427" t="s">
        <v>5163</v>
      </c>
      <c r="I2774" s="518">
        <v>902.6</v>
      </c>
      <c r="J2774" s="381">
        <v>234.4</v>
      </c>
      <c r="K2774" s="519">
        <v>234.4</v>
      </c>
      <c r="L2774" s="369">
        <f t="shared" si="195"/>
        <v>46.88</v>
      </c>
      <c r="M2774" s="369" t="s">
        <v>6171</v>
      </c>
      <c r="N2774" s="432" t="s">
        <v>3785</v>
      </c>
      <c r="O2774" s="521" t="s">
        <v>5847</v>
      </c>
      <c r="P2774" s="438" t="s">
        <v>5530</v>
      </c>
      <c r="Q2774" s="481">
        <v>0.2</v>
      </c>
      <c r="R2774" s="427">
        <v>1900001375</v>
      </c>
      <c r="S2774" s="513" t="s">
        <v>3475</v>
      </c>
      <c r="T2774" s="2" t="s">
        <v>5914</v>
      </c>
      <c r="U2774" s="9" t="s">
        <v>3475</v>
      </c>
    </row>
    <row r="2775" spans="1:21" x14ac:dyDescent="0.35">
      <c r="A2775" s="435" t="s">
        <v>5160</v>
      </c>
      <c r="B2775" s="543" t="s">
        <v>5873</v>
      </c>
      <c r="C2775" s="517" t="s">
        <v>5845</v>
      </c>
      <c r="D2775" s="517" t="s">
        <v>5845</v>
      </c>
      <c r="E2775" s="517"/>
      <c r="F2775" s="438" t="s">
        <v>5846</v>
      </c>
      <c r="G2775" s="438" t="s">
        <v>5840</v>
      </c>
      <c r="H2775" s="427" t="s">
        <v>5163</v>
      </c>
      <c r="I2775" s="518">
        <v>902.6</v>
      </c>
      <c r="J2775" s="381">
        <v>234.4</v>
      </c>
      <c r="K2775" s="519">
        <v>234.4</v>
      </c>
      <c r="L2775" s="369">
        <f t="shared" si="195"/>
        <v>46.88</v>
      </c>
      <c r="M2775" s="369" t="s">
        <v>6171</v>
      </c>
      <c r="N2775" s="432" t="s">
        <v>3785</v>
      </c>
      <c r="O2775" s="521" t="s">
        <v>5847</v>
      </c>
      <c r="P2775" s="438" t="s">
        <v>5530</v>
      </c>
      <c r="Q2775" s="481">
        <v>0.2</v>
      </c>
      <c r="R2775" s="427">
        <v>1900001375</v>
      </c>
      <c r="S2775" s="513" t="s">
        <v>3475</v>
      </c>
      <c r="T2775" s="2" t="s">
        <v>5914</v>
      </c>
      <c r="U2775" s="9" t="s">
        <v>3475</v>
      </c>
    </row>
    <row r="2776" spans="1:21" x14ac:dyDescent="0.35">
      <c r="A2776" s="435" t="s">
        <v>5160</v>
      </c>
      <c r="B2776" s="543" t="s">
        <v>5873</v>
      </c>
      <c r="C2776" s="517" t="s">
        <v>5845</v>
      </c>
      <c r="D2776" s="517" t="s">
        <v>5845</v>
      </c>
      <c r="E2776" s="517"/>
      <c r="F2776" s="438" t="s">
        <v>5846</v>
      </c>
      <c r="G2776" s="438" t="s">
        <v>5840</v>
      </c>
      <c r="H2776" s="427" t="s">
        <v>5163</v>
      </c>
      <c r="I2776" s="518">
        <v>902.6</v>
      </c>
      <c r="J2776" s="381">
        <v>234.4</v>
      </c>
      <c r="K2776" s="519">
        <v>234.4</v>
      </c>
      <c r="L2776" s="369">
        <f t="shared" si="195"/>
        <v>46.88</v>
      </c>
      <c r="M2776" s="369" t="s">
        <v>6171</v>
      </c>
      <c r="N2776" s="432" t="s">
        <v>3785</v>
      </c>
      <c r="O2776" s="521" t="s">
        <v>5847</v>
      </c>
      <c r="P2776" s="438" t="s">
        <v>5530</v>
      </c>
      <c r="Q2776" s="481">
        <v>0.2</v>
      </c>
      <c r="R2776" s="427">
        <v>1900001375</v>
      </c>
      <c r="S2776" s="513" t="s">
        <v>3475</v>
      </c>
      <c r="T2776" s="2" t="s">
        <v>5914</v>
      </c>
      <c r="U2776" s="9" t="s">
        <v>3475</v>
      </c>
    </row>
    <row r="2777" spans="1:21" x14ac:dyDescent="0.35">
      <c r="A2777" s="435" t="s">
        <v>5160</v>
      </c>
      <c r="B2777" s="543" t="s">
        <v>5873</v>
      </c>
      <c r="C2777" s="517" t="s">
        <v>5845</v>
      </c>
      <c r="D2777" s="517" t="s">
        <v>5845</v>
      </c>
      <c r="E2777" s="517"/>
      <c r="F2777" s="438" t="s">
        <v>5846</v>
      </c>
      <c r="G2777" s="438" t="s">
        <v>5840</v>
      </c>
      <c r="H2777" s="427" t="s">
        <v>5163</v>
      </c>
      <c r="I2777" s="518">
        <v>902.6</v>
      </c>
      <c r="J2777" s="381">
        <v>234.4</v>
      </c>
      <c r="K2777" s="519">
        <v>234.4</v>
      </c>
      <c r="L2777" s="369">
        <f t="shared" si="195"/>
        <v>46.88</v>
      </c>
      <c r="M2777" s="369" t="s">
        <v>6171</v>
      </c>
      <c r="N2777" s="432" t="s">
        <v>3785</v>
      </c>
      <c r="O2777" s="521" t="s">
        <v>5847</v>
      </c>
      <c r="P2777" s="438" t="s">
        <v>5530</v>
      </c>
      <c r="Q2777" s="481">
        <v>0.2</v>
      </c>
      <c r="R2777" s="427">
        <v>1900001375</v>
      </c>
      <c r="S2777" s="513" t="s">
        <v>3475</v>
      </c>
      <c r="T2777" s="2" t="s">
        <v>5914</v>
      </c>
      <c r="U2777" s="9" t="s">
        <v>3475</v>
      </c>
    </row>
    <row r="2778" spans="1:21" x14ac:dyDescent="0.35">
      <c r="A2778" s="435" t="s">
        <v>5160</v>
      </c>
      <c r="B2778" s="427" t="s">
        <v>5874</v>
      </c>
      <c r="C2778" s="520" t="s">
        <v>5845</v>
      </c>
      <c r="D2778" s="517" t="s">
        <v>5845</v>
      </c>
      <c r="E2778" s="517" t="s">
        <v>2914</v>
      </c>
      <c r="F2778" s="438" t="s">
        <v>5846</v>
      </c>
      <c r="G2778" s="438" t="s">
        <v>5840</v>
      </c>
      <c r="H2778" s="427" t="s">
        <v>5163</v>
      </c>
      <c r="I2778" s="518">
        <v>38425.5</v>
      </c>
      <c r="J2778" s="381">
        <v>9983.5</v>
      </c>
      <c r="K2778" s="519">
        <v>9983.5</v>
      </c>
      <c r="L2778" s="369">
        <f t="shared" si="195"/>
        <v>1996.7</v>
      </c>
      <c r="M2778" s="369" t="s">
        <v>6171</v>
      </c>
      <c r="N2778" s="432" t="s">
        <v>3785</v>
      </c>
      <c r="O2778" s="521" t="s">
        <v>5847</v>
      </c>
      <c r="P2778" s="438" t="s">
        <v>5530</v>
      </c>
      <c r="Q2778" s="481">
        <v>0.2</v>
      </c>
      <c r="R2778" s="427">
        <v>1900001375</v>
      </c>
      <c r="S2778" s="513" t="s">
        <v>2504</v>
      </c>
      <c r="T2778" s="2" t="s">
        <v>5915</v>
      </c>
    </row>
    <row r="2779" spans="1:21" x14ac:dyDescent="0.35">
      <c r="A2779" s="435" t="s">
        <v>5160</v>
      </c>
      <c r="B2779" s="427" t="s">
        <v>5874</v>
      </c>
      <c r="C2779" s="520" t="s">
        <v>5845</v>
      </c>
      <c r="D2779" s="517" t="s">
        <v>5845</v>
      </c>
      <c r="E2779" s="517" t="s">
        <v>2916</v>
      </c>
      <c r="F2779" s="438" t="s">
        <v>5846</v>
      </c>
      <c r="G2779" s="438" t="s">
        <v>5840</v>
      </c>
      <c r="H2779" s="427" t="s">
        <v>5163</v>
      </c>
      <c r="I2779" s="518">
        <v>38425.5</v>
      </c>
      <c r="J2779" s="381">
        <v>9983.5</v>
      </c>
      <c r="K2779" s="519">
        <v>9983.5</v>
      </c>
      <c r="L2779" s="369">
        <f t="shared" si="195"/>
        <v>1996.7</v>
      </c>
      <c r="M2779" s="369" t="s">
        <v>6171</v>
      </c>
      <c r="N2779" s="432" t="s">
        <v>3785</v>
      </c>
      <c r="O2779" s="521" t="s">
        <v>5847</v>
      </c>
      <c r="P2779" s="438" t="s">
        <v>5530</v>
      </c>
      <c r="Q2779" s="481">
        <v>0.2</v>
      </c>
      <c r="R2779" s="427">
        <v>1900001375</v>
      </c>
      <c r="S2779" s="513" t="s">
        <v>2504</v>
      </c>
      <c r="T2779" s="2" t="s">
        <v>5915</v>
      </c>
    </row>
    <row r="2780" spans="1:21" x14ac:dyDescent="0.35">
      <c r="A2780" s="435" t="s">
        <v>5160</v>
      </c>
      <c r="B2780" s="543" t="s">
        <v>5875</v>
      </c>
      <c r="C2780" s="517" t="s">
        <v>5845</v>
      </c>
      <c r="D2780" s="517" t="s">
        <v>5845</v>
      </c>
      <c r="E2780" s="517"/>
      <c r="F2780" s="438" t="s">
        <v>5846</v>
      </c>
      <c r="G2780" s="438" t="s">
        <v>5840</v>
      </c>
      <c r="H2780" s="427" t="s">
        <v>5163</v>
      </c>
      <c r="I2780" s="518">
        <v>3702.125</v>
      </c>
      <c r="J2780" s="381">
        <v>961.875</v>
      </c>
      <c r="K2780" s="519">
        <v>961.875</v>
      </c>
      <c r="L2780" s="369">
        <f t="shared" si="195"/>
        <v>192.375</v>
      </c>
      <c r="M2780" s="369" t="s">
        <v>6171</v>
      </c>
      <c r="N2780" s="432" t="s">
        <v>3785</v>
      </c>
      <c r="O2780" s="521" t="s">
        <v>5847</v>
      </c>
      <c r="P2780" s="438" t="s">
        <v>5530</v>
      </c>
      <c r="Q2780" s="481">
        <v>0.2</v>
      </c>
      <c r="R2780" s="427">
        <v>1900001375</v>
      </c>
      <c r="S2780" s="513" t="s">
        <v>3475</v>
      </c>
      <c r="T2780" s="2" t="s">
        <v>5914</v>
      </c>
      <c r="U2780" s="513" t="s">
        <v>3475</v>
      </c>
    </row>
    <row r="2781" spans="1:21" x14ac:dyDescent="0.35">
      <c r="A2781" s="435" t="s">
        <v>5160</v>
      </c>
      <c r="B2781" s="543" t="s">
        <v>5875</v>
      </c>
      <c r="C2781" s="517" t="s">
        <v>5845</v>
      </c>
      <c r="D2781" s="517" t="s">
        <v>5845</v>
      </c>
      <c r="E2781" s="517"/>
      <c r="F2781" s="438" t="s">
        <v>5846</v>
      </c>
      <c r="G2781" s="438" t="s">
        <v>5840</v>
      </c>
      <c r="H2781" s="427" t="s">
        <v>5163</v>
      </c>
      <c r="I2781" s="518">
        <v>3702.125</v>
      </c>
      <c r="J2781" s="381">
        <v>961.875</v>
      </c>
      <c r="K2781" s="519">
        <v>961.875</v>
      </c>
      <c r="L2781" s="369">
        <f t="shared" si="195"/>
        <v>192.375</v>
      </c>
      <c r="M2781" s="369" t="s">
        <v>6171</v>
      </c>
      <c r="N2781" s="432" t="s">
        <v>3785</v>
      </c>
      <c r="O2781" s="521" t="s">
        <v>5847</v>
      </c>
      <c r="P2781" s="438" t="s">
        <v>5530</v>
      </c>
      <c r="Q2781" s="481">
        <v>0.2</v>
      </c>
      <c r="R2781" s="427">
        <v>1900001375</v>
      </c>
      <c r="S2781" s="513" t="s">
        <v>3475</v>
      </c>
      <c r="T2781" s="2" t="s">
        <v>5914</v>
      </c>
      <c r="U2781" s="513" t="s">
        <v>3475</v>
      </c>
    </row>
    <row r="2782" spans="1:21" x14ac:dyDescent="0.35">
      <c r="A2782" s="435" t="s">
        <v>5160</v>
      </c>
      <c r="B2782" s="543" t="s">
        <v>5875</v>
      </c>
      <c r="C2782" s="517" t="s">
        <v>5845</v>
      </c>
      <c r="D2782" s="517" t="s">
        <v>5845</v>
      </c>
      <c r="E2782" s="517"/>
      <c r="F2782" s="438" t="s">
        <v>5846</v>
      </c>
      <c r="G2782" s="438" t="s">
        <v>5840</v>
      </c>
      <c r="H2782" s="427" t="s">
        <v>5163</v>
      </c>
      <c r="I2782" s="518">
        <v>3702.125</v>
      </c>
      <c r="J2782" s="381">
        <v>961.875</v>
      </c>
      <c r="K2782" s="519">
        <v>961.875</v>
      </c>
      <c r="L2782" s="369">
        <f t="shared" si="195"/>
        <v>192.375</v>
      </c>
      <c r="M2782" s="369" t="s">
        <v>6171</v>
      </c>
      <c r="N2782" s="432" t="s">
        <v>3785</v>
      </c>
      <c r="O2782" s="521" t="s">
        <v>5847</v>
      </c>
      <c r="P2782" s="438" t="s">
        <v>5530</v>
      </c>
      <c r="Q2782" s="481">
        <v>0.2</v>
      </c>
      <c r="R2782" s="427">
        <v>1900001375</v>
      </c>
      <c r="S2782" s="513" t="s">
        <v>3475</v>
      </c>
      <c r="T2782" s="2" t="s">
        <v>5914</v>
      </c>
      <c r="U2782" s="513" t="s">
        <v>3475</v>
      </c>
    </row>
    <row r="2783" spans="1:21" x14ac:dyDescent="0.35">
      <c r="A2783" s="435" t="s">
        <v>5160</v>
      </c>
      <c r="B2783" s="543" t="s">
        <v>5875</v>
      </c>
      <c r="C2783" s="517" t="s">
        <v>5845</v>
      </c>
      <c r="D2783" s="517" t="s">
        <v>5845</v>
      </c>
      <c r="E2783" s="517"/>
      <c r="F2783" s="438" t="s">
        <v>5846</v>
      </c>
      <c r="G2783" s="438" t="s">
        <v>5840</v>
      </c>
      <c r="H2783" s="427" t="s">
        <v>5163</v>
      </c>
      <c r="I2783" s="518">
        <v>3702.125</v>
      </c>
      <c r="J2783" s="381">
        <v>961.875</v>
      </c>
      <c r="K2783" s="519">
        <v>961.875</v>
      </c>
      <c r="L2783" s="369">
        <f t="shared" si="195"/>
        <v>192.375</v>
      </c>
      <c r="M2783" s="369" t="s">
        <v>6171</v>
      </c>
      <c r="N2783" s="432" t="s">
        <v>3785</v>
      </c>
      <c r="O2783" s="521" t="s">
        <v>5847</v>
      </c>
      <c r="P2783" s="438" t="s">
        <v>5530</v>
      </c>
      <c r="Q2783" s="481">
        <v>0.2</v>
      </c>
      <c r="R2783" s="427">
        <v>1900001375</v>
      </c>
      <c r="S2783" s="513" t="s">
        <v>3475</v>
      </c>
      <c r="T2783" s="2" t="s">
        <v>5914</v>
      </c>
      <c r="U2783" s="513" t="s">
        <v>3475</v>
      </c>
    </row>
    <row r="2784" spans="1:21" x14ac:dyDescent="0.35">
      <c r="A2784" s="435" t="s">
        <v>5160</v>
      </c>
      <c r="B2784" s="543" t="s">
        <v>5875</v>
      </c>
      <c r="C2784" s="517" t="s">
        <v>5845</v>
      </c>
      <c r="D2784" s="517" t="s">
        <v>5845</v>
      </c>
      <c r="E2784" s="517"/>
      <c r="F2784" s="438" t="s">
        <v>5846</v>
      </c>
      <c r="G2784" s="438" t="s">
        <v>5840</v>
      </c>
      <c r="H2784" s="427" t="s">
        <v>5163</v>
      </c>
      <c r="I2784" s="518">
        <v>3702.125</v>
      </c>
      <c r="J2784" s="381">
        <v>961.875</v>
      </c>
      <c r="K2784" s="519">
        <v>961.875</v>
      </c>
      <c r="L2784" s="369">
        <f t="shared" si="195"/>
        <v>192.375</v>
      </c>
      <c r="M2784" s="369" t="s">
        <v>6171</v>
      </c>
      <c r="N2784" s="432" t="s">
        <v>3785</v>
      </c>
      <c r="O2784" s="521" t="s">
        <v>5847</v>
      </c>
      <c r="P2784" s="438" t="s">
        <v>5530</v>
      </c>
      <c r="Q2784" s="481">
        <v>0.2</v>
      </c>
      <c r="R2784" s="427">
        <v>1900001375</v>
      </c>
      <c r="S2784" s="513" t="s">
        <v>3475</v>
      </c>
      <c r="T2784" s="2" t="s">
        <v>5914</v>
      </c>
      <c r="U2784" s="513" t="s">
        <v>3475</v>
      </c>
    </row>
    <row r="2785" spans="1:21" x14ac:dyDescent="0.35">
      <c r="A2785" s="435" t="s">
        <v>5160</v>
      </c>
      <c r="B2785" s="543" t="s">
        <v>5875</v>
      </c>
      <c r="C2785" s="517" t="s">
        <v>5845</v>
      </c>
      <c r="D2785" s="517" t="s">
        <v>5845</v>
      </c>
      <c r="E2785" s="517"/>
      <c r="F2785" s="438" t="s">
        <v>5846</v>
      </c>
      <c r="G2785" s="438" t="s">
        <v>5840</v>
      </c>
      <c r="H2785" s="427" t="s">
        <v>5163</v>
      </c>
      <c r="I2785" s="518">
        <v>3702.125</v>
      </c>
      <c r="J2785" s="381">
        <v>961.875</v>
      </c>
      <c r="K2785" s="519">
        <v>961.875</v>
      </c>
      <c r="L2785" s="369">
        <f t="shared" si="195"/>
        <v>192.375</v>
      </c>
      <c r="M2785" s="369" t="s">
        <v>6171</v>
      </c>
      <c r="N2785" s="432" t="s">
        <v>3785</v>
      </c>
      <c r="O2785" s="521" t="s">
        <v>5847</v>
      </c>
      <c r="P2785" s="438" t="s">
        <v>5530</v>
      </c>
      <c r="Q2785" s="481">
        <v>0.2</v>
      </c>
      <c r="R2785" s="427">
        <v>1900001375</v>
      </c>
      <c r="S2785" s="513" t="s">
        <v>3475</v>
      </c>
      <c r="T2785" s="2" t="s">
        <v>5914</v>
      </c>
      <c r="U2785" s="513" t="s">
        <v>3475</v>
      </c>
    </row>
    <row r="2786" spans="1:21" x14ac:dyDescent="0.35">
      <c r="A2786" s="435" t="s">
        <v>5160</v>
      </c>
      <c r="B2786" s="543" t="s">
        <v>5875</v>
      </c>
      <c r="C2786" s="517" t="s">
        <v>5845</v>
      </c>
      <c r="D2786" s="517" t="s">
        <v>5845</v>
      </c>
      <c r="E2786" s="517"/>
      <c r="F2786" s="438" t="s">
        <v>5846</v>
      </c>
      <c r="G2786" s="438" t="s">
        <v>5840</v>
      </c>
      <c r="H2786" s="427" t="s">
        <v>5163</v>
      </c>
      <c r="I2786" s="518">
        <v>3702.125</v>
      </c>
      <c r="J2786" s="381">
        <v>961.875</v>
      </c>
      <c r="K2786" s="519">
        <v>961.875</v>
      </c>
      <c r="L2786" s="369">
        <f t="shared" si="195"/>
        <v>192.375</v>
      </c>
      <c r="M2786" s="369" t="s">
        <v>6171</v>
      </c>
      <c r="N2786" s="432" t="s">
        <v>3785</v>
      </c>
      <c r="O2786" s="521" t="s">
        <v>5847</v>
      </c>
      <c r="P2786" s="438" t="s">
        <v>5530</v>
      </c>
      <c r="Q2786" s="481">
        <v>0.2</v>
      </c>
      <c r="R2786" s="427">
        <v>1900001375</v>
      </c>
      <c r="S2786" s="513" t="s">
        <v>3475</v>
      </c>
      <c r="T2786" s="2" t="s">
        <v>5914</v>
      </c>
      <c r="U2786" s="513" t="s">
        <v>3475</v>
      </c>
    </row>
    <row r="2787" spans="1:21" x14ac:dyDescent="0.35">
      <c r="A2787" s="435" t="s">
        <v>5160</v>
      </c>
      <c r="B2787" s="543" t="s">
        <v>5875</v>
      </c>
      <c r="C2787" s="517" t="s">
        <v>5845</v>
      </c>
      <c r="D2787" s="517" t="s">
        <v>5845</v>
      </c>
      <c r="E2787" s="517"/>
      <c r="F2787" s="438" t="s">
        <v>5846</v>
      </c>
      <c r="G2787" s="438" t="s">
        <v>5840</v>
      </c>
      <c r="H2787" s="427" t="s">
        <v>5163</v>
      </c>
      <c r="I2787" s="518">
        <v>3702.125</v>
      </c>
      <c r="J2787" s="381">
        <v>961.875</v>
      </c>
      <c r="K2787" s="519">
        <v>961.875</v>
      </c>
      <c r="L2787" s="369">
        <f t="shared" si="195"/>
        <v>192.375</v>
      </c>
      <c r="M2787" s="369" t="s">
        <v>6171</v>
      </c>
      <c r="N2787" s="432" t="s">
        <v>3785</v>
      </c>
      <c r="O2787" s="521" t="s">
        <v>5847</v>
      </c>
      <c r="P2787" s="438" t="s">
        <v>5530</v>
      </c>
      <c r="Q2787" s="481">
        <v>0.2</v>
      </c>
      <c r="R2787" s="427">
        <v>1900001375</v>
      </c>
      <c r="S2787" s="513" t="s">
        <v>3475</v>
      </c>
      <c r="T2787" s="2" t="s">
        <v>5914</v>
      </c>
      <c r="U2787" s="513" t="s">
        <v>3475</v>
      </c>
    </row>
    <row r="2788" spans="1:21" x14ac:dyDescent="0.35">
      <c r="A2788" s="435" t="s">
        <v>5160</v>
      </c>
      <c r="B2788" s="543" t="s">
        <v>5875</v>
      </c>
      <c r="C2788" s="517" t="s">
        <v>5845</v>
      </c>
      <c r="D2788" s="517" t="s">
        <v>5845</v>
      </c>
      <c r="E2788" s="517"/>
      <c r="F2788" s="438" t="s">
        <v>5846</v>
      </c>
      <c r="G2788" s="438" t="s">
        <v>5840</v>
      </c>
      <c r="H2788" s="427" t="s">
        <v>5163</v>
      </c>
      <c r="I2788" s="518">
        <v>3702.125</v>
      </c>
      <c r="J2788" s="381">
        <v>961.875</v>
      </c>
      <c r="K2788" s="519">
        <v>961.875</v>
      </c>
      <c r="L2788" s="369">
        <f t="shared" si="195"/>
        <v>192.375</v>
      </c>
      <c r="M2788" s="369" t="s">
        <v>6171</v>
      </c>
      <c r="N2788" s="432" t="s">
        <v>3785</v>
      </c>
      <c r="O2788" s="521" t="s">
        <v>5847</v>
      </c>
      <c r="P2788" s="438" t="s">
        <v>5530</v>
      </c>
      <c r="Q2788" s="481">
        <v>0.2</v>
      </c>
      <c r="R2788" s="427">
        <v>1900001375</v>
      </c>
      <c r="S2788" s="513" t="s">
        <v>3475</v>
      </c>
      <c r="T2788" s="2" t="s">
        <v>5914</v>
      </c>
      <c r="U2788" s="513" t="s">
        <v>3475</v>
      </c>
    </row>
    <row r="2789" spans="1:21" x14ac:dyDescent="0.35">
      <c r="A2789" s="435" t="s">
        <v>5160</v>
      </c>
      <c r="B2789" s="543" t="s">
        <v>5875</v>
      </c>
      <c r="C2789" s="517" t="s">
        <v>5845</v>
      </c>
      <c r="D2789" s="517" t="s">
        <v>5845</v>
      </c>
      <c r="E2789" s="517"/>
      <c r="F2789" s="438" t="s">
        <v>5846</v>
      </c>
      <c r="G2789" s="438" t="s">
        <v>5840</v>
      </c>
      <c r="H2789" s="427" t="s">
        <v>5163</v>
      </c>
      <c r="I2789" s="518">
        <v>3702.125</v>
      </c>
      <c r="J2789" s="381">
        <v>961.875</v>
      </c>
      <c r="K2789" s="519">
        <v>961.875</v>
      </c>
      <c r="L2789" s="369">
        <f t="shared" si="195"/>
        <v>192.375</v>
      </c>
      <c r="M2789" s="369" t="s">
        <v>6171</v>
      </c>
      <c r="N2789" s="432" t="s">
        <v>3785</v>
      </c>
      <c r="O2789" s="521" t="s">
        <v>5847</v>
      </c>
      <c r="P2789" s="438" t="s">
        <v>5530</v>
      </c>
      <c r="Q2789" s="481">
        <v>0.2</v>
      </c>
      <c r="R2789" s="427">
        <v>1900001375</v>
      </c>
      <c r="S2789" s="513" t="s">
        <v>3475</v>
      </c>
      <c r="T2789" s="2" t="s">
        <v>5914</v>
      </c>
      <c r="U2789" s="513" t="s">
        <v>3475</v>
      </c>
    </row>
    <row r="2790" spans="1:21" x14ac:dyDescent="0.35">
      <c r="A2790" s="435" t="s">
        <v>5160</v>
      </c>
      <c r="B2790" s="543" t="s">
        <v>5875</v>
      </c>
      <c r="C2790" s="517" t="s">
        <v>5845</v>
      </c>
      <c r="D2790" s="517" t="s">
        <v>5845</v>
      </c>
      <c r="E2790" s="517"/>
      <c r="F2790" s="438" t="s">
        <v>5846</v>
      </c>
      <c r="G2790" s="438" t="s">
        <v>5840</v>
      </c>
      <c r="H2790" s="427" t="s">
        <v>5163</v>
      </c>
      <c r="I2790" s="518">
        <v>3702.125</v>
      </c>
      <c r="J2790" s="381">
        <v>961.875</v>
      </c>
      <c r="K2790" s="519">
        <v>961.875</v>
      </c>
      <c r="L2790" s="369">
        <f t="shared" si="195"/>
        <v>192.375</v>
      </c>
      <c r="M2790" s="369" t="s">
        <v>6171</v>
      </c>
      <c r="N2790" s="432" t="s">
        <v>3785</v>
      </c>
      <c r="O2790" s="521" t="s">
        <v>5847</v>
      </c>
      <c r="P2790" s="438" t="s">
        <v>5530</v>
      </c>
      <c r="Q2790" s="481">
        <v>0.2</v>
      </c>
      <c r="R2790" s="427">
        <v>1900001375</v>
      </c>
      <c r="S2790" s="513" t="s">
        <v>3475</v>
      </c>
      <c r="T2790" s="2" t="s">
        <v>5914</v>
      </c>
      <c r="U2790" s="513" t="s">
        <v>3475</v>
      </c>
    </row>
    <row r="2791" spans="1:21" x14ac:dyDescent="0.35">
      <c r="A2791" s="435" t="s">
        <v>5160</v>
      </c>
      <c r="B2791" s="543" t="s">
        <v>5875</v>
      </c>
      <c r="C2791" s="517" t="s">
        <v>5845</v>
      </c>
      <c r="D2791" s="517" t="s">
        <v>5845</v>
      </c>
      <c r="E2791" s="517"/>
      <c r="F2791" s="438" t="s">
        <v>5846</v>
      </c>
      <c r="G2791" s="438" t="s">
        <v>5840</v>
      </c>
      <c r="H2791" s="427" t="s">
        <v>5163</v>
      </c>
      <c r="I2791" s="518">
        <v>3702.125</v>
      </c>
      <c r="J2791" s="381">
        <v>961.875</v>
      </c>
      <c r="K2791" s="519">
        <v>961.875</v>
      </c>
      <c r="L2791" s="369">
        <f t="shared" si="195"/>
        <v>192.375</v>
      </c>
      <c r="M2791" s="369" t="s">
        <v>6171</v>
      </c>
      <c r="N2791" s="432" t="s">
        <v>3785</v>
      </c>
      <c r="O2791" s="521" t="s">
        <v>5847</v>
      </c>
      <c r="P2791" s="438" t="s">
        <v>5530</v>
      </c>
      <c r="Q2791" s="481">
        <v>0.2</v>
      </c>
      <c r="R2791" s="427">
        <v>1900001375</v>
      </c>
      <c r="S2791" s="513" t="s">
        <v>3475</v>
      </c>
      <c r="T2791" s="2" t="s">
        <v>5914</v>
      </c>
      <c r="U2791" s="513" t="s">
        <v>3475</v>
      </c>
    </row>
    <row r="2792" spans="1:21" x14ac:dyDescent="0.35">
      <c r="A2792" s="435" t="s">
        <v>5160</v>
      </c>
      <c r="B2792" s="543" t="s">
        <v>5875</v>
      </c>
      <c r="C2792" s="517" t="s">
        <v>5845</v>
      </c>
      <c r="D2792" s="517" t="s">
        <v>5845</v>
      </c>
      <c r="E2792" s="517"/>
      <c r="F2792" s="438" t="s">
        <v>5846</v>
      </c>
      <c r="G2792" s="438" t="s">
        <v>5840</v>
      </c>
      <c r="H2792" s="427" t="s">
        <v>5163</v>
      </c>
      <c r="I2792" s="518">
        <v>3702.125</v>
      </c>
      <c r="J2792" s="381">
        <v>961.875</v>
      </c>
      <c r="K2792" s="519">
        <v>961.875</v>
      </c>
      <c r="L2792" s="369">
        <f t="shared" si="195"/>
        <v>192.375</v>
      </c>
      <c r="M2792" s="369" t="s">
        <v>6171</v>
      </c>
      <c r="N2792" s="432" t="s">
        <v>3785</v>
      </c>
      <c r="O2792" s="521" t="s">
        <v>5847</v>
      </c>
      <c r="P2792" s="438" t="s">
        <v>5530</v>
      </c>
      <c r="Q2792" s="481">
        <v>0.2</v>
      </c>
      <c r="R2792" s="427">
        <v>1900001375</v>
      </c>
      <c r="S2792" s="513" t="s">
        <v>3475</v>
      </c>
      <c r="T2792" s="2" t="s">
        <v>5914</v>
      </c>
      <c r="U2792" s="513" t="s">
        <v>3475</v>
      </c>
    </row>
    <row r="2793" spans="1:21" x14ac:dyDescent="0.35">
      <c r="A2793" s="435" t="s">
        <v>5160</v>
      </c>
      <c r="B2793" s="543" t="s">
        <v>5875</v>
      </c>
      <c r="C2793" s="517" t="s">
        <v>5845</v>
      </c>
      <c r="D2793" s="517" t="s">
        <v>5845</v>
      </c>
      <c r="E2793" s="517"/>
      <c r="F2793" s="438" t="s">
        <v>5846</v>
      </c>
      <c r="G2793" s="438" t="s">
        <v>5840</v>
      </c>
      <c r="H2793" s="427" t="s">
        <v>5163</v>
      </c>
      <c r="I2793" s="518">
        <v>3702.125</v>
      </c>
      <c r="J2793" s="381">
        <v>961.875</v>
      </c>
      <c r="K2793" s="519">
        <v>961.875</v>
      </c>
      <c r="L2793" s="369">
        <f t="shared" si="195"/>
        <v>192.375</v>
      </c>
      <c r="M2793" s="369" t="s">
        <v>6171</v>
      </c>
      <c r="N2793" s="432" t="s">
        <v>3785</v>
      </c>
      <c r="O2793" s="521" t="s">
        <v>5847</v>
      </c>
      <c r="P2793" s="438" t="s">
        <v>5530</v>
      </c>
      <c r="Q2793" s="481">
        <v>0.2</v>
      </c>
      <c r="R2793" s="427">
        <v>1900001375</v>
      </c>
      <c r="S2793" s="513" t="s">
        <v>3475</v>
      </c>
      <c r="T2793" s="2" t="s">
        <v>5914</v>
      </c>
      <c r="U2793" s="513" t="s">
        <v>3475</v>
      </c>
    </row>
    <row r="2794" spans="1:21" x14ac:dyDescent="0.35">
      <c r="A2794" s="435" t="s">
        <v>5160</v>
      </c>
      <c r="B2794" s="543" t="s">
        <v>5875</v>
      </c>
      <c r="C2794" s="517" t="s">
        <v>5845</v>
      </c>
      <c r="D2794" s="517" t="s">
        <v>5845</v>
      </c>
      <c r="E2794" s="517"/>
      <c r="F2794" s="438" t="s">
        <v>5846</v>
      </c>
      <c r="G2794" s="438" t="s">
        <v>5840</v>
      </c>
      <c r="H2794" s="427" t="s">
        <v>5163</v>
      </c>
      <c r="I2794" s="518">
        <v>3702.125</v>
      </c>
      <c r="J2794" s="381">
        <v>961.875</v>
      </c>
      <c r="K2794" s="519">
        <v>961.875</v>
      </c>
      <c r="L2794" s="369">
        <f t="shared" si="195"/>
        <v>192.375</v>
      </c>
      <c r="M2794" s="369" t="s">
        <v>6171</v>
      </c>
      <c r="N2794" s="432" t="s">
        <v>3785</v>
      </c>
      <c r="O2794" s="521" t="s">
        <v>5847</v>
      </c>
      <c r="P2794" s="438" t="s">
        <v>5530</v>
      </c>
      <c r="Q2794" s="481">
        <v>0.2</v>
      </c>
      <c r="R2794" s="427">
        <v>1900001375</v>
      </c>
      <c r="S2794" s="513" t="s">
        <v>3475</v>
      </c>
      <c r="T2794" s="2" t="s">
        <v>5914</v>
      </c>
      <c r="U2794" s="513" t="s">
        <v>3475</v>
      </c>
    </row>
    <row r="2795" spans="1:21" x14ac:dyDescent="0.35">
      <c r="A2795" s="435" t="s">
        <v>5160</v>
      </c>
      <c r="B2795" s="543" t="s">
        <v>5875</v>
      </c>
      <c r="C2795" s="517" t="s">
        <v>5845</v>
      </c>
      <c r="D2795" s="517" t="s">
        <v>5845</v>
      </c>
      <c r="E2795" s="517"/>
      <c r="F2795" s="438" t="s">
        <v>5846</v>
      </c>
      <c r="G2795" s="438" t="s">
        <v>5840</v>
      </c>
      <c r="H2795" s="427" t="s">
        <v>5163</v>
      </c>
      <c r="I2795" s="518">
        <v>3702.125</v>
      </c>
      <c r="J2795" s="381">
        <v>961.875</v>
      </c>
      <c r="K2795" s="519">
        <v>961.875</v>
      </c>
      <c r="L2795" s="369">
        <f t="shared" si="195"/>
        <v>192.375</v>
      </c>
      <c r="M2795" s="369" t="s">
        <v>6171</v>
      </c>
      <c r="N2795" s="432" t="s">
        <v>3785</v>
      </c>
      <c r="O2795" s="521" t="s">
        <v>5847</v>
      </c>
      <c r="P2795" s="438" t="s">
        <v>5530</v>
      </c>
      <c r="Q2795" s="481">
        <v>0.2</v>
      </c>
      <c r="R2795" s="427">
        <v>1900001375</v>
      </c>
      <c r="S2795" s="513" t="s">
        <v>3475</v>
      </c>
      <c r="T2795" s="2" t="s">
        <v>5914</v>
      </c>
      <c r="U2795" s="513" t="s">
        <v>3475</v>
      </c>
    </row>
    <row r="2796" spans="1:21" x14ac:dyDescent="0.35">
      <c r="A2796" s="435" t="s">
        <v>5160</v>
      </c>
      <c r="B2796" s="543" t="s">
        <v>5876</v>
      </c>
      <c r="C2796" s="517" t="s">
        <v>5845</v>
      </c>
      <c r="D2796" s="517" t="s">
        <v>5845</v>
      </c>
      <c r="E2796" s="517"/>
      <c r="F2796" s="438" t="s">
        <v>5846</v>
      </c>
      <c r="G2796" s="438" t="s">
        <v>5840</v>
      </c>
      <c r="H2796" s="427" t="s">
        <v>5163</v>
      </c>
      <c r="I2796" s="518">
        <v>204.26</v>
      </c>
      <c r="J2796" s="381">
        <v>53.06</v>
      </c>
      <c r="K2796" s="519">
        <v>53.06</v>
      </c>
      <c r="L2796" s="369">
        <f t="shared" si="195"/>
        <v>10.612000000000002</v>
      </c>
      <c r="M2796" s="369" t="s">
        <v>6171</v>
      </c>
      <c r="N2796" s="432" t="s">
        <v>3785</v>
      </c>
      <c r="O2796" s="521" t="s">
        <v>5847</v>
      </c>
      <c r="P2796" s="438" t="s">
        <v>5530</v>
      </c>
      <c r="Q2796" s="481">
        <v>0.2</v>
      </c>
      <c r="R2796" s="427">
        <v>1900001375</v>
      </c>
      <c r="S2796" s="513" t="s">
        <v>3475</v>
      </c>
      <c r="T2796" s="2" t="s">
        <v>5914</v>
      </c>
      <c r="U2796" s="9" t="s">
        <v>3475</v>
      </c>
    </row>
    <row r="2797" spans="1:21" x14ac:dyDescent="0.35">
      <c r="A2797" s="435" t="s">
        <v>5160</v>
      </c>
      <c r="B2797" s="543" t="s">
        <v>5876</v>
      </c>
      <c r="C2797" s="517" t="s">
        <v>5845</v>
      </c>
      <c r="D2797" s="517" t="s">
        <v>5845</v>
      </c>
      <c r="E2797" s="517"/>
      <c r="F2797" s="438" t="s">
        <v>5846</v>
      </c>
      <c r="G2797" s="438" t="s">
        <v>5840</v>
      </c>
      <c r="H2797" s="427" t="s">
        <v>5163</v>
      </c>
      <c r="I2797" s="518">
        <v>204.26</v>
      </c>
      <c r="J2797" s="381">
        <v>53.06</v>
      </c>
      <c r="K2797" s="519">
        <v>53.06</v>
      </c>
      <c r="L2797" s="369">
        <f t="shared" si="195"/>
        <v>10.612000000000002</v>
      </c>
      <c r="M2797" s="369" t="s">
        <v>6171</v>
      </c>
      <c r="N2797" s="432" t="s">
        <v>3785</v>
      </c>
      <c r="O2797" s="521" t="s">
        <v>5847</v>
      </c>
      <c r="P2797" s="438" t="s">
        <v>5530</v>
      </c>
      <c r="Q2797" s="481">
        <v>0.2</v>
      </c>
      <c r="R2797" s="427">
        <v>1900001375</v>
      </c>
      <c r="S2797" s="513" t="s">
        <v>3475</v>
      </c>
      <c r="T2797" s="2" t="s">
        <v>5914</v>
      </c>
      <c r="U2797" s="9" t="s">
        <v>3475</v>
      </c>
    </row>
    <row r="2798" spans="1:21" x14ac:dyDescent="0.35">
      <c r="A2798" s="435" t="s">
        <v>5160</v>
      </c>
      <c r="B2798" s="543" t="s">
        <v>5876</v>
      </c>
      <c r="C2798" s="517" t="s">
        <v>5845</v>
      </c>
      <c r="D2798" s="517" t="s">
        <v>5845</v>
      </c>
      <c r="E2798" s="517"/>
      <c r="F2798" s="438" t="s">
        <v>5846</v>
      </c>
      <c r="G2798" s="438" t="s">
        <v>5840</v>
      </c>
      <c r="H2798" s="427" t="s">
        <v>5163</v>
      </c>
      <c r="I2798" s="518">
        <v>204.26</v>
      </c>
      <c r="J2798" s="381">
        <v>53.06</v>
      </c>
      <c r="K2798" s="519">
        <v>53.06</v>
      </c>
      <c r="L2798" s="369">
        <f t="shared" si="195"/>
        <v>10.612000000000002</v>
      </c>
      <c r="M2798" s="369" t="s">
        <v>6171</v>
      </c>
      <c r="N2798" s="432" t="s">
        <v>3785</v>
      </c>
      <c r="O2798" s="521" t="s">
        <v>5847</v>
      </c>
      <c r="P2798" s="438" t="s">
        <v>5530</v>
      </c>
      <c r="Q2798" s="481">
        <v>0.2</v>
      </c>
      <c r="R2798" s="427">
        <v>1900001375</v>
      </c>
      <c r="S2798" s="513" t="s">
        <v>3475</v>
      </c>
      <c r="T2798" s="2" t="s">
        <v>5914</v>
      </c>
      <c r="U2798" s="9" t="s">
        <v>3475</v>
      </c>
    </row>
    <row r="2799" spans="1:21" x14ac:dyDescent="0.35">
      <c r="A2799" s="435" t="s">
        <v>5160</v>
      </c>
      <c r="B2799" s="543" t="s">
        <v>5876</v>
      </c>
      <c r="C2799" s="517" t="s">
        <v>5845</v>
      </c>
      <c r="D2799" s="517" t="s">
        <v>5845</v>
      </c>
      <c r="E2799" s="517"/>
      <c r="F2799" s="438" t="s">
        <v>5846</v>
      </c>
      <c r="G2799" s="438" t="s">
        <v>5840</v>
      </c>
      <c r="H2799" s="427" t="s">
        <v>5163</v>
      </c>
      <c r="I2799" s="518">
        <v>204.26</v>
      </c>
      <c r="J2799" s="381">
        <v>53.06</v>
      </c>
      <c r="K2799" s="519">
        <v>53.06</v>
      </c>
      <c r="L2799" s="369">
        <f t="shared" si="195"/>
        <v>10.612000000000002</v>
      </c>
      <c r="M2799" s="369" t="s">
        <v>6171</v>
      </c>
      <c r="N2799" s="432" t="s">
        <v>3785</v>
      </c>
      <c r="O2799" s="521" t="s">
        <v>5847</v>
      </c>
      <c r="P2799" s="438" t="s">
        <v>5530</v>
      </c>
      <c r="Q2799" s="481">
        <v>0.2</v>
      </c>
      <c r="R2799" s="427">
        <v>1900001375</v>
      </c>
      <c r="S2799" s="513" t="s">
        <v>3475</v>
      </c>
      <c r="T2799" s="2" t="s">
        <v>5914</v>
      </c>
      <c r="U2799" s="9" t="s">
        <v>3475</v>
      </c>
    </row>
    <row r="2800" spans="1:21" x14ac:dyDescent="0.35">
      <c r="A2800" s="435" t="s">
        <v>5160</v>
      </c>
      <c r="B2800" s="543" t="s">
        <v>5876</v>
      </c>
      <c r="C2800" s="517" t="s">
        <v>5845</v>
      </c>
      <c r="D2800" s="517" t="s">
        <v>5845</v>
      </c>
      <c r="E2800" s="517"/>
      <c r="F2800" s="438" t="s">
        <v>5846</v>
      </c>
      <c r="G2800" s="438" t="s">
        <v>5840</v>
      </c>
      <c r="H2800" s="427" t="s">
        <v>5163</v>
      </c>
      <c r="I2800" s="518">
        <v>204.26</v>
      </c>
      <c r="J2800" s="381">
        <v>53.06</v>
      </c>
      <c r="K2800" s="519">
        <v>53.06</v>
      </c>
      <c r="L2800" s="369">
        <f t="shared" si="195"/>
        <v>10.612000000000002</v>
      </c>
      <c r="M2800" s="369" t="s">
        <v>6171</v>
      </c>
      <c r="N2800" s="432" t="s">
        <v>3785</v>
      </c>
      <c r="O2800" s="521" t="s">
        <v>5847</v>
      </c>
      <c r="P2800" s="438" t="s">
        <v>5530</v>
      </c>
      <c r="Q2800" s="481">
        <v>0.2</v>
      </c>
      <c r="R2800" s="427">
        <v>1900001375</v>
      </c>
      <c r="S2800" s="513" t="s">
        <v>3475</v>
      </c>
      <c r="T2800" s="2" t="s">
        <v>5914</v>
      </c>
      <c r="U2800" s="9" t="s">
        <v>3475</v>
      </c>
    </row>
    <row r="2801" spans="1:21" x14ac:dyDescent="0.35">
      <c r="A2801" s="435" t="s">
        <v>5160</v>
      </c>
      <c r="B2801" s="543" t="s">
        <v>5876</v>
      </c>
      <c r="C2801" s="517" t="s">
        <v>5845</v>
      </c>
      <c r="D2801" s="517" t="s">
        <v>5845</v>
      </c>
      <c r="E2801" s="517"/>
      <c r="F2801" s="438" t="s">
        <v>5846</v>
      </c>
      <c r="G2801" s="438" t="s">
        <v>5840</v>
      </c>
      <c r="H2801" s="427" t="s">
        <v>5163</v>
      </c>
      <c r="I2801" s="518">
        <v>204.26</v>
      </c>
      <c r="J2801" s="381">
        <v>53.06</v>
      </c>
      <c r="K2801" s="519">
        <v>53.06</v>
      </c>
      <c r="L2801" s="369">
        <f t="shared" si="195"/>
        <v>10.612000000000002</v>
      </c>
      <c r="M2801" s="369" t="s">
        <v>6171</v>
      </c>
      <c r="N2801" s="432" t="s">
        <v>3785</v>
      </c>
      <c r="O2801" s="521" t="s">
        <v>5847</v>
      </c>
      <c r="P2801" s="438" t="s">
        <v>5530</v>
      </c>
      <c r="Q2801" s="481">
        <v>0.2</v>
      </c>
      <c r="R2801" s="427">
        <v>1900001375</v>
      </c>
      <c r="S2801" s="513" t="s">
        <v>3475</v>
      </c>
      <c r="T2801" s="2" t="s">
        <v>5914</v>
      </c>
      <c r="U2801" s="9" t="s">
        <v>3475</v>
      </c>
    </row>
    <row r="2802" spans="1:21" x14ac:dyDescent="0.35">
      <c r="A2802" s="435" t="s">
        <v>5160</v>
      </c>
      <c r="B2802" s="543" t="s">
        <v>5876</v>
      </c>
      <c r="C2802" s="517" t="s">
        <v>5845</v>
      </c>
      <c r="D2802" s="517" t="s">
        <v>5845</v>
      </c>
      <c r="E2802" s="517"/>
      <c r="F2802" s="438" t="s">
        <v>5846</v>
      </c>
      <c r="G2802" s="438" t="s">
        <v>5840</v>
      </c>
      <c r="H2802" s="427" t="s">
        <v>5163</v>
      </c>
      <c r="I2802" s="518">
        <v>204.26</v>
      </c>
      <c r="J2802" s="381">
        <v>53.06</v>
      </c>
      <c r="K2802" s="519">
        <v>53.06</v>
      </c>
      <c r="L2802" s="369">
        <f t="shared" si="195"/>
        <v>10.612000000000002</v>
      </c>
      <c r="M2802" s="369" t="s">
        <v>6171</v>
      </c>
      <c r="N2802" s="432" t="s">
        <v>3785</v>
      </c>
      <c r="O2802" s="521" t="s">
        <v>5847</v>
      </c>
      <c r="P2802" s="438" t="s">
        <v>5530</v>
      </c>
      <c r="Q2802" s="481">
        <v>0.2</v>
      </c>
      <c r="R2802" s="427">
        <v>1900001375</v>
      </c>
      <c r="S2802" s="513" t="s">
        <v>3475</v>
      </c>
      <c r="T2802" s="2" t="s">
        <v>5914</v>
      </c>
      <c r="U2802" s="9" t="s">
        <v>3475</v>
      </c>
    </row>
    <row r="2803" spans="1:21" x14ac:dyDescent="0.35">
      <c r="A2803" s="435" t="s">
        <v>5160</v>
      </c>
      <c r="B2803" s="543" t="s">
        <v>5876</v>
      </c>
      <c r="C2803" s="517" t="s">
        <v>5845</v>
      </c>
      <c r="D2803" s="517" t="s">
        <v>5845</v>
      </c>
      <c r="E2803" s="517"/>
      <c r="F2803" s="438" t="s">
        <v>5846</v>
      </c>
      <c r="G2803" s="438" t="s">
        <v>5840</v>
      </c>
      <c r="H2803" s="427" t="s">
        <v>5163</v>
      </c>
      <c r="I2803" s="518">
        <v>204.26</v>
      </c>
      <c r="J2803" s="381">
        <v>53.06</v>
      </c>
      <c r="K2803" s="519">
        <v>53.06</v>
      </c>
      <c r="L2803" s="369">
        <f t="shared" si="195"/>
        <v>10.612000000000002</v>
      </c>
      <c r="M2803" s="369" t="s">
        <v>6171</v>
      </c>
      <c r="N2803" s="432" t="s">
        <v>3785</v>
      </c>
      <c r="O2803" s="521" t="s">
        <v>5847</v>
      </c>
      <c r="P2803" s="438" t="s">
        <v>5530</v>
      </c>
      <c r="Q2803" s="481">
        <v>0.2</v>
      </c>
      <c r="R2803" s="427">
        <v>1900001375</v>
      </c>
      <c r="S2803" s="513" t="s">
        <v>3475</v>
      </c>
      <c r="T2803" s="2" t="s">
        <v>5914</v>
      </c>
      <c r="U2803" s="9" t="s">
        <v>3475</v>
      </c>
    </row>
    <row r="2804" spans="1:21" x14ac:dyDescent="0.35">
      <c r="A2804" s="435" t="s">
        <v>5160</v>
      </c>
      <c r="B2804" s="543" t="s">
        <v>5876</v>
      </c>
      <c r="C2804" s="517" t="s">
        <v>5845</v>
      </c>
      <c r="D2804" s="517" t="s">
        <v>5845</v>
      </c>
      <c r="E2804" s="517"/>
      <c r="F2804" s="438" t="s">
        <v>5846</v>
      </c>
      <c r="G2804" s="438" t="s">
        <v>5840</v>
      </c>
      <c r="H2804" s="427" t="s">
        <v>5163</v>
      </c>
      <c r="I2804" s="518">
        <v>204.26</v>
      </c>
      <c r="J2804" s="381">
        <v>53.06</v>
      </c>
      <c r="K2804" s="519">
        <v>53.06</v>
      </c>
      <c r="L2804" s="369">
        <f t="shared" si="195"/>
        <v>10.612000000000002</v>
      </c>
      <c r="M2804" s="369" t="s">
        <v>6171</v>
      </c>
      <c r="N2804" s="432" t="s">
        <v>3785</v>
      </c>
      <c r="O2804" s="521" t="s">
        <v>5847</v>
      </c>
      <c r="P2804" s="438" t="s">
        <v>5530</v>
      </c>
      <c r="Q2804" s="481">
        <v>0.2</v>
      </c>
      <c r="R2804" s="427">
        <v>1900001375</v>
      </c>
      <c r="S2804" s="513" t="s">
        <v>3475</v>
      </c>
      <c r="T2804" s="2" t="s">
        <v>5914</v>
      </c>
      <c r="U2804" s="9" t="s">
        <v>3475</v>
      </c>
    </row>
    <row r="2805" spans="1:21" x14ac:dyDescent="0.35">
      <c r="A2805" s="435" t="s">
        <v>5160</v>
      </c>
      <c r="B2805" s="543" t="s">
        <v>5876</v>
      </c>
      <c r="C2805" s="517" t="s">
        <v>5845</v>
      </c>
      <c r="D2805" s="517" t="s">
        <v>5845</v>
      </c>
      <c r="E2805" s="517"/>
      <c r="F2805" s="438" t="s">
        <v>5846</v>
      </c>
      <c r="G2805" s="438" t="s">
        <v>5840</v>
      </c>
      <c r="H2805" s="427" t="s">
        <v>5163</v>
      </c>
      <c r="I2805" s="518">
        <v>204.26</v>
      </c>
      <c r="J2805" s="381">
        <v>53.06</v>
      </c>
      <c r="K2805" s="519">
        <v>53.06</v>
      </c>
      <c r="L2805" s="369">
        <f t="shared" si="195"/>
        <v>10.612000000000002</v>
      </c>
      <c r="M2805" s="369" t="s">
        <v>6171</v>
      </c>
      <c r="N2805" s="432" t="s">
        <v>3785</v>
      </c>
      <c r="O2805" s="521" t="s">
        <v>5847</v>
      </c>
      <c r="P2805" s="438" t="s">
        <v>5530</v>
      </c>
      <c r="Q2805" s="481">
        <v>0.2</v>
      </c>
      <c r="R2805" s="427">
        <v>1900001375</v>
      </c>
      <c r="S2805" s="513" t="s">
        <v>3475</v>
      </c>
      <c r="T2805" s="2" t="s">
        <v>5914</v>
      </c>
      <c r="U2805" s="9" t="s">
        <v>3475</v>
      </c>
    </row>
    <row r="2806" spans="1:21" x14ac:dyDescent="0.35">
      <c r="A2806" s="435" t="s">
        <v>5160</v>
      </c>
      <c r="B2806" s="543" t="s">
        <v>5876</v>
      </c>
      <c r="C2806" s="517" t="s">
        <v>5845</v>
      </c>
      <c r="D2806" s="517" t="s">
        <v>5845</v>
      </c>
      <c r="E2806" s="517"/>
      <c r="F2806" s="438" t="s">
        <v>5846</v>
      </c>
      <c r="G2806" s="438" t="s">
        <v>5840</v>
      </c>
      <c r="H2806" s="427" t="s">
        <v>5163</v>
      </c>
      <c r="I2806" s="518">
        <v>204.26</v>
      </c>
      <c r="J2806" s="381">
        <v>53.06</v>
      </c>
      <c r="K2806" s="519">
        <v>53.06</v>
      </c>
      <c r="L2806" s="369">
        <f t="shared" si="195"/>
        <v>10.612000000000002</v>
      </c>
      <c r="M2806" s="369" t="s">
        <v>6171</v>
      </c>
      <c r="N2806" s="432" t="s">
        <v>3785</v>
      </c>
      <c r="O2806" s="521" t="s">
        <v>5847</v>
      </c>
      <c r="P2806" s="438" t="s">
        <v>5530</v>
      </c>
      <c r="Q2806" s="481">
        <v>0.2</v>
      </c>
      <c r="R2806" s="427">
        <v>1900001375</v>
      </c>
      <c r="S2806" s="513" t="s">
        <v>3475</v>
      </c>
      <c r="T2806" s="2" t="s">
        <v>5914</v>
      </c>
      <c r="U2806" s="9" t="s">
        <v>3475</v>
      </c>
    </row>
    <row r="2807" spans="1:21" x14ac:dyDescent="0.35">
      <c r="A2807" s="435" t="s">
        <v>5160</v>
      </c>
      <c r="B2807" s="543" t="s">
        <v>5876</v>
      </c>
      <c r="C2807" s="517" t="s">
        <v>5845</v>
      </c>
      <c r="D2807" s="517" t="s">
        <v>5845</v>
      </c>
      <c r="E2807" s="517"/>
      <c r="F2807" s="438" t="s">
        <v>5846</v>
      </c>
      <c r="G2807" s="438" t="s">
        <v>5840</v>
      </c>
      <c r="H2807" s="427" t="s">
        <v>5163</v>
      </c>
      <c r="I2807" s="518">
        <v>204.26</v>
      </c>
      <c r="J2807" s="381">
        <v>53.06</v>
      </c>
      <c r="K2807" s="519">
        <v>53.06</v>
      </c>
      <c r="L2807" s="369">
        <f t="shared" si="195"/>
        <v>10.612000000000002</v>
      </c>
      <c r="M2807" s="369" t="s">
        <v>6171</v>
      </c>
      <c r="N2807" s="432" t="s">
        <v>3785</v>
      </c>
      <c r="O2807" s="521" t="s">
        <v>5847</v>
      </c>
      <c r="P2807" s="438" t="s">
        <v>5530</v>
      </c>
      <c r="Q2807" s="481">
        <v>0.2</v>
      </c>
      <c r="R2807" s="427">
        <v>1900001375</v>
      </c>
      <c r="S2807" s="513" t="s">
        <v>3475</v>
      </c>
      <c r="T2807" s="2" t="s">
        <v>5914</v>
      </c>
      <c r="U2807" s="9" t="s">
        <v>3475</v>
      </c>
    </row>
    <row r="2808" spans="1:21" x14ac:dyDescent="0.35">
      <c r="A2808" s="435" t="s">
        <v>5160</v>
      </c>
      <c r="B2808" s="543" t="s">
        <v>5876</v>
      </c>
      <c r="C2808" s="517" t="s">
        <v>5845</v>
      </c>
      <c r="D2808" s="517" t="s">
        <v>5845</v>
      </c>
      <c r="E2808" s="517"/>
      <c r="F2808" s="438" t="s">
        <v>5846</v>
      </c>
      <c r="G2808" s="438" t="s">
        <v>5840</v>
      </c>
      <c r="H2808" s="427" t="s">
        <v>5163</v>
      </c>
      <c r="I2808" s="518">
        <v>204.26</v>
      </c>
      <c r="J2808" s="381">
        <v>53.06</v>
      </c>
      <c r="K2808" s="519">
        <v>53.06</v>
      </c>
      <c r="L2808" s="369">
        <f t="shared" si="195"/>
        <v>10.612000000000002</v>
      </c>
      <c r="M2808" s="369" t="s">
        <v>6171</v>
      </c>
      <c r="N2808" s="432" t="s">
        <v>3785</v>
      </c>
      <c r="O2808" s="521" t="s">
        <v>5847</v>
      </c>
      <c r="P2808" s="438" t="s">
        <v>5530</v>
      </c>
      <c r="Q2808" s="481">
        <v>0.2</v>
      </c>
      <c r="R2808" s="427">
        <v>1900001375</v>
      </c>
      <c r="S2808" s="513" t="s">
        <v>3475</v>
      </c>
      <c r="T2808" s="2" t="s">
        <v>5914</v>
      </c>
      <c r="U2808" s="9" t="s">
        <v>3475</v>
      </c>
    </row>
    <row r="2809" spans="1:21" x14ac:dyDescent="0.35">
      <c r="A2809" s="435" t="s">
        <v>5160</v>
      </c>
      <c r="B2809" s="543" t="s">
        <v>5876</v>
      </c>
      <c r="C2809" s="517" t="s">
        <v>5845</v>
      </c>
      <c r="D2809" s="517" t="s">
        <v>5845</v>
      </c>
      <c r="E2809" s="517"/>
      <c r="F2809" s="438" t="s">
        <v>5846</v>
      </c>
      <c r="G2809" s="438" t="s">
        <v>5840</v>
      </c>
      <c r="H2809" s="427" t="s">
        <v>5163</v>
      </c>
      <c r="I2809" s="518">
        <v>204.26</v>
      </c>
      <c r="J2809" s="381">
        <v>53.06</v>
      </c>
      <c r="K2809" s="519">
        <v>53.06</v>
      </c>
      <c r="L2809" s="369">
        <f t="shared" si="195"/>
        <v>10.612000000000002</v>
      </c>
      <c r="M2809" s="369" t="s">
        <v>6171</v>
      </c>
      <c r="N2809" s="432" t="s">
        <v>3785</v>
      </c>
      <c r="O2809" s="521" t="s">
        <v>5847</v>
      </c>
      <c r="P2809" s="438" t="s">
        <v>5530</v>
      </c>
      <c r="Q2809" s="481">
        <v>0.2</v>
      </c>
      <c r="R2809" s="427">
        <v>1900001375</v>
      </c>
      <c r="S2809" s="513" t="s">
        <v>3475</v>
      </c>
      <c r="T2809" s="2" t="s">
        <v>5914</v>
      </c>
      <c r="U2809" s="9" t="s">
        <v>3475</v>
      </c>
    </row>
    <row r="2810" spans="1:21" x14ac:dyDescent="0.35">
      <c r="A2810" s="435" t="s">
        <v>5160</v>
      </c>
      <c r="B2810" s="543" t="s">
        <v>5876</v>
      </c>
      <c r="C2810" s="517" t="s">
        <v>5845</v>
      </c>
      <c r="D2810" s="517" t="s">
        <v>5845</v>
      </c>
      <c r="E2810" s="517"/>
      <c r="F2810" s="438" t="s">
        <v>5846</v>
      </c>
      <c r="G2810" s="438" t="s">
        <v>5840</v>
      </c>
      <c r="H2810" s="427" t="s">
        <v>5163</v>
      </c>
      <c r="I2810" s="518">
        <v>204.26</v>
      </c>
      <c r="J2810" s="381">
        <v>53.06</v>
      </c>
      <c r="K2810" s="519">
        <v>53.06</v>
      </c>
      <c r="L2810" s="369">
        <f t="shared" si="195"/>
        <v>10.612000000000002</v>
      </c>
      <c r="M2810" s="369" t="s">
        <v>6171</v>
      </c>
      <c r="N2810" s="432" t="s">
        <v>3785</v>
      </c>
      <c r="O2810" s="521" t="s">
        <v>5847</v>
      </c>
      <c r="P2810" s="438" t="s">
        <v>5530</v>
      </c>
      <c r="Q2810" s="481">
        <v>0.2</v>
      </c>
      <c r="R2810" s="427">
        <v>1900001375</v>
      </c>
      <c r="S2810" s="513" t="s">
        <v>3475</v>
      </c>
      <c r="T2810" s="2" t="s">
        <v>5914</v>
      </c>
      <c r="U2810" s="9" t="s">
        <v>3475</v>
      </c>
    </row>
    <row r="2811" spans="1:21" x14ac:dyDescent="0.35">
      <c r="A2811" s="435" t="s">
        <v>5160</v>
      </c>
      <c r="B2811" s="543" t="s">
        <v>5876</v>
      </c>
      <c r="C2811" s="517" t="s">
        <v>5845</v>
      </c>
      <c r="D2811" s="517" t="s">
        <v>5845</v>
      </c>
      <c r="E2811" s="517"/>
      <c r="F2811" s="438" t="s">
        <v>5846</v>
      </c>
      <c r="G2811" s="438" t="s">
        <v>5840</v>
      </c>
      <c r="H2811" s="427" t="s">
        <v>5163</v>
      </c>
      <c r="I2811" s="518">
        <v>204.26</v>
      </c>
      <c r="J2811" s="381">
        <v>53.06</v>
      </c>
      <c r="K2811" s="519">
        <v>53.06</v>
      </c>
      <c r="L2811" s="369">
        <f t="shared" si="195"/>
        <v>10.612000000000002</v>
      </c>
      <c r="M2811" s="369" t="s">
        <v>6171</v>
      </c>
      <c r="N2811" s="432" t="s">
        <v>3785</v>
      </c>
      <c r="O2811" s="521" t="s">
        <v>5847</v>
      </c>
      <c r="P2811" s="438" t="s">
        <v>5530</v>
      </c>
      <c r="Q2811" s="481">
        <v>0.2</v>
      </c>
      <c r="R2811" s="427">
        <v>1900001375</v>
      </c>
      <c r="S2811" s="513" t="s">
        <v>3475</v>
      </c>
      <c r="T2811" s="2" t="s">
        <v>5914</v>
      </c>
      <c r="U2811" s="9" t="s">
        <v>3475</v>
      </c>
    </row>
    <row r="2812" spans="1:21" x14ac:dyDescent="0.35">
      <c r="A2812" s="435" t="s">
        <v>5160</v>
      </c>
      <c r="B2812" s="543" t="s">
        <v>5876</v>
      </c>
      <c r="C2812" s="517" t="s">
        <v>5845</v>
      </c>
      <c r="D2812" s="517" t="s">
        <v>5845</v>
      </c>
      <c r="E2812" s="517"/>
      <c r="F2812" s="438" t="s">
        <v>5846</v>
      </c>
      <c r="G2812" s="438" t="s">
        <v>5840</v>
      </c>
      <c r="H2812" s="427" t="s">
        <v>5163</v>
      </c>
      <c r="I2812" s="518">
        <v>204.26</v>
      </c>
      <c r="J2812" s="381">
        <v>53.06</v>
      </c>
      <c r="K2812" s="519">
        <v>53.06</v>
      </c>
      <c r="L2812" s="369">
        <f t="shared" si="195"/>
        <v>10.612000000000002</v>
      </c>
      <c r="M2812" s="369" t="s">
        <v>6171</v>
      </c>
      <c r="N2812" s="432" t="s">
        <v>3785</v>
      </c>
      <c r="O2812" s="521" t="s">
        <v>5847</v>
      </c>
      <c r="P2812" s="438" t="s">
        <v>5530</v>
      </c>
      <c r="Q2812" s="481">
        <v>0.2</v>
      </c>
      <c r="R2812" s="427">
        <v>1900001375</v>
      </c>
      <c r="S2812" s="513" t="s">
        <v>3475</v>
      </c>
      <c r="T2812" s="2" t="s">
        <v>5914</v>
      </c>
      <c r="U2812" s="9" t="s">
        <v>3475</v>
      </c>
    </row>
    <row r="2813" spans="1:21" x14ac:dyDescent="0.35">
      <c r="A2813" s="435" t="s">
        <v>5160</v>
      </c>
      <c r="B2813" s="543" t="s">
        <v>5876</v>
      </c>
      <c r="C2813" s="517" t="s">
        <v>5845</v>
      </c>
      <c r="D2813" s="517" t="s">
        <v>5845</v>
      </c>
      <c r="E2813" s="517"/>
      <c r="F2813" s="438" t="s">
        <v>5846</v>
      </c>
      <c r="G2813" s="438" t="s">
        <v>5840</v>
      </c>
      <c r="H2813" s="427" t="s">
        <v>5163</v>
      </c>
      <c r="I2813" s="518">
        <v>204.26</v>
      </c>
      <c r="J2813" s="381">
        <v>53.06</v>
      </c>
      <c r="K2813" s="519">
        <v>53.06</v>
      </c>
      <c r="L2813" s="369">
        <f t="shared" si="195"/>
        <v>10.612000000000002</v>
      </c>
      <c r="M2813" s="369" t="s">
        <v>6171</v>
      </c>
      <c r="N2813" s="432" t="s">
        <v>3785</v>
      </c>
      <c r="O2813" s="521" t="s">
        <v>5847</v>
      </c>
      <c r="P2813" s="438" t="s">
        <v>5530</v>
      </c>
      <c r="Q2813" s="481">
        <v>0.2</v>
      </c>
      <c r="R2813" s="427">
        <v>1900001375</v>
      </c>
      <c r="S2813" s="513" t="s">
        <v>3475</v>
      </c>
      <c r="T2813" s="2" t="s">
        <v>5914</v>
      </c>
      <c r="U2813" s="9" t="s">
        <v>3475</v>
      </c>
    </row>
    <row r="2814" spans="1:21" x14ac:dyDescent="0.35">
      <c r="A2814" s="435" t="s">
        <v>5160</v>
      </c>
      <c r="B2814" s="543" t="s">
        <v>5876</v>
      </c>
      <c r="C2814" s="517" t="s">
        <v>5845</v>
      </c>
      <c r="D2814" s="517" t="s">
        <v>5845</v>
      </c>
      <c r="E2814" s="517"/>
      <c r="F2814" s="438" t="s">
        <v>5846</v>
      </c>
      <c r="G2814" s="438" t="s">
        <v>5840</v>
      </c>
      <c r="H2814" s="427" t="s">
        <v>5163</v>
      </c>
      <c r="I2814" s="518">
        <v>204.26</v>
      </c>
      <c r="J2814" s="381">
        <v>53.06</v>
      </c>
      <c r="K2814" s="519">
        <v>53.06</v>
      </c>
      <c r="L2814" s="369">
        <f t="shared" si="195"/>
        <v>10.612000000000002</v>
      </c>
      <c r="M2814" s="369" t="s">
        <v>6171</v>
      </c>
      <c r="N2814" s="432" t="s">
        <v>3785</v>
      </c>
      <c r="O2814" s="521" t="s">
        <v>5847</v>
      </c>
      <c r="P2814" s="438" t="s">
        <v>5530</v>
      </c>
      <c r="Q2814" s="481">
        <v>0.2</v>
      </c>
      <c r="R2814" s="427">
        <v>1900001375</v>
      </c>
      <c r="S2814" s="513" t="s">
        <v>3475</v>
      </c>
      <c r="T2814" s="2" t="s">
        <v>5914</v>
      </c>
      <c r="U2814" s="9" t="s">
        <v>3475</v>
      </c>
    </row>
    <row r="2815" spans="1:21" x14ac:dyDescent="0.35">
      <c r="A2815" s="435" t="s">
        <v>5160</v>
      </c>
      <c r="B2815" s="543" t="s">
        <v>5876</v>
      </c>
      <c r="C2815" s="517" t="s">
        <v>5845</v>
      </c>
      <c r="D2815" s="517" t="s">
        <v>5845</v>
      </c>
      <c r="E2815" s="517"/>
      <c r="F2815" s="438" t="s">
        <v>5846</v>
      </c>
      <c r="G2815" s="438" t="s">
        <v>5840</v>
      </c>
      <c r="H2815" s="427" t="s">
        <v>5163</v>
      </c>
      <c r="I2815" s="518">
        <v>204.26</v>
      </c>
      <c r="J2815" s="381">
        <v>53.06</v>
      </c>
      <c r="K2815" s="519">
        <v>53.06</v>
      </c>
      <c r="L2815" s="369">
        <f t="shared" si="195"/>
        <v>10.612000000000002</v>
      </c>
      <c r="M2815" s="369" t="s">
        <v>6171</v>
      </c>
      <c r="N2815" s="432" t="s">
        <v>3785</v>
      </c>
      <c r="O2815" s="521" t="s">
        <v>5847</v>
      </c>
      <c r="P2815" s="438" t="s">
        <v>5530</v>
      </c>
      <c r="Q2815" s="481">
        <v>0.2</v>
      </c>
      <c r="R2815" s="427">
        <v>1900001375</v>
      </c>
      <c r="S2815" s="513" t="s">
        <v>3475</v>
      </c>
      <c r="T2815" s="2" t="s">
        <v>5914</v>
      </c>
      <c r="U2815" s="9" t="s">
        <v>3475</v>
      </c>
    </row>
    <row r="2816" spans="1:21" x14ac:dyDescent="0.35">
      <c r="A2816" s="435" t="s">
        <v>5160</v>
      </c>
      <c r="B2816" s="543" t="s">
        <v>5876</v>
      </c>
      <c r="C2816" s="517" t="s">
        <v>5845</v>
      </c>
      <c r="D2816" s="517" t="s">
        <v>5845</v>
      </c>
      <c r="E2816" s="517"/>
      <c r="F2816" s="438" t="s">
        <v>5846</v>
      </c>
      <c r="G2816" s="438" t="s">
        <v>5840</v>
      </c>
      <c r="H2816" s="427" t="s">
        <v>5163</v>
      </c>
      <c r="I2816" s="518">
        <v>204.26</v>
      </c>
      <c r="J2816" s="381">
        <v>53.06</v>
      </c>
      <c r="K2816" s="519">
        <v>53.06</v>
      </c>
      <c r="L2816" s="369">
        <f t="shared" si="195"/>
        <v>10.612000000000002</v>
      </c>
      <c r="M2816" s="369" t="s">
        <v>6171</v>
      </c>
      <c r="N2816" s="432" t="s">
        <v>3785</v>
      </c>
      <c r="O2816" s="521" t="s">
        <v>5847</v>
      </c>
      <c r="P2816" s="438" t="s">
        <v>5530</v>
      </c>
      <c r="Q2816" s="481">
        <v>0.2</v>
      </c>
      <c r="R2816" s="427">
        <v>1900001375</v>
      </c>
      <c r="S2816" s="513" t="s">
        <v>3475</v>
      </c>
      <c r="T2816" s="2" t="s">
        <v>5914</v>
      </c>
      <c r="U2816" s="9" t="s">
        <v>3475</v>
      </c>
    </row>
    <row r="2817" spans="1:21" x14ac:dyDescent="0.35">
      <c r="A2817" s="435" t="s">
        <v>5160</v>
      </c>
      <c r="B2817" s="543" t="s">
        <v>5876</v>
      </c>
      <c r="C2817" s="517" t="s">
        <v>5845</v>
      </c>
      <c r="D2817" s="517" t="s">
        <v>5845</v>
      </c>
      <c r="E2817" s="517"/>
      <c r="F2817" s="438" t="s">
        <v>5846</v>
      </c>
      <c r="G2817" s="438" t="s">
        <v>5840</v>
      </c>
      <c r="H2817" s="427" t="s">
        <v>5163</v>
      </c>
      <c r="I2817" s="518">
        <v>204.26</v>
      </c>
      <c r="J2817" s="381">
        <v>53.06</v>
      </c>
      <c r="K2817" s="519">
        <v>53.06</v>
      </c>
      <c r="L2817" s="369">
        <f t="shared" si="195"/>
        <v>10.612000000000002</v>
      </c>
      <c r="M2817" s="369" t="s">
        <v>6171</v>
      </c>
      <c r="N2817" s="432" t="s">
        <v>3785</v>
      </c>
      <c r="O2817" s="521" t="s">
        <v>5847</v>
      </c>
      <c r="P2817" s="438" t="s">
        <v>5530</v>
      </c>
      <c r="Q2817" s="481">
        <v>0.2</v>
      </c>
      <c r="R2817" s="427">
        <v>1900001375</v>
      </c>
      <c r="S2817" s="513" t="s">
        <v>3475</v>
      </c>
      <c r="T2817" s="2" t="s">
        <v>5914</v>
      </c>
      <c r="U2817" s="9" t="s">
        <v>3475</v>
      </c>
    </row>
    <row r="2818" spans="1:21" x14ac:dyDescent="0.35">
      <c r="A2818" s="435" t="s">
        <v>5160</v>
      </c>
      <c r="B2818" s="543" t="s">
        <v>5876</v>
      </c>
      <c r="C2818" s="517" t="s">
        <v>5845</v>
      </c>
      <c r="D2818" s="517" t="s">
        <v>5845</v>
      </c>
      <c r="E2818" s="517"/>
      <c r="F2818" s="438" t="s">
        <v>5846</v>
      </c>
      <c r="G2818" s="438" t="s">
        <v>5840</v>
      </c>
      <c r="H2818" s="427" t="s">
        <v>5163</v>
      </c>
      <c r="I2818" s="518">
        <v>204.26</v>
      </c>
      <c r="J2818" s="381">
        <v>53.06</v>
      </c>
      <c r="K2818" s="519">
        <v>53.06</v>
      </c>
      <c r="L2818" s="369">
        <f t="shared" si="195"/>
        <v>10.612000000000002</v>
      </c>
      <c r="M2818" s="369" t="s">
        <v>6171</v>
      </c>
      <c r="N2818" s="432" t="s">
        <v>3785</v>
      </c>
      <c r="O2818" s="521" t="s">
        <v>5847</v>
      </c>
      <c r="P2818" s="438" t="s">
        <v>5530</v>
      </c>
      <c r="Q2818" s="481">
        <v>0.2</v>
      </c>
      <c r="R2818" s="427">
        <v>1900001375</v>
      </c>
      <c r="S2818" s="513" t="s">
        <v>3475</v>
      </c>
      <c r="T2818" s="2" t="s">
        <v>5914</v>
      </c>
      <c r="U2818" s="9" t="s">
        <v>3475</v>
      </c>
    </row>
    <row r="2819" spans="1:21" x14ac:dyDescent="0.35">
      <c r="A2819" s="435" t="s">
        <v>5160</v>
      </c>
      <c r="B2819" s="543" t="s">
        <v>5876</v>
      </c>
      <c r="C2819" s="517" t="s">
        <v>5845</v>
      </c>
      <c r="D2819" s="517" t="s">
        <v>5845</v>
      </c>
      <c r="E2819" s="517"/>
      <c r="F2819" s="438" t="s">
        <v>5846</v>
      </c>
      <c r="G2819" s="438" t="s">
        <v>5840</v>
      </c>
      <c r="H2819" s="427" t="s">
        <v>5163</v>
      </c>
      <c r="I2819" s="518">
        <v>204.26</v>
      </c>
      <c r="J2819" s="381">
        <v>53.06</v>
      </c>
      <c r="K2819" s="519">
        <v>53.06</v>
      </c>
      <c r="L2819" s="369">
        <f t="shared" si="195"/>
        <v>10.612000000000002</v>
      </c>
      <c r="M2819" s="369" t="s">
        <v>6171</v>
      </c>
      <c r="N2819" s="432" t="s">
        <v>3785</v>
      </c>
      <c r="O2819" s="521" t="s">
        <v>5847</v>
      </c>
      <c r="P2819" s="438" t="s">
        <v>5530</v>
      </c>
      <c r="Q2819" s="481">
        <v>0.2</v>
      </c>
      <c r="R2819" s="427">
        <v>1900001375</v>
      </c>
      <c r="S2819" s="513" t="s">
        <v>3475</v>
      </c>
      <c r="T2819" s="2" t="s">
        <v>5914</v>
      </c>
      <c r="U2819" s="9" t="s">
        <v>3475</v>
      </c>
    </row>
    <row r="2820" spans="1:21" x14ac:dyDescent="0.35">
      <c r="A2820" s="435" t="s">
        <v>5160</v>
      </c>
      <c r="B2820" s="543" t="s">
        <v>5876</v>
      </c>
      <c r="C2820" s="517" t="s">
        <v>5845</v>
      </c>
      <c r="D2820" s="517" t="s">
        <v>5845</v>
      </c>
      <c r="E2820" s="517"/>
      <c r="F2820" s="438" t="s">
        <v>5846</v>
      </c>
      <c r="G2820" s="438" t="s">
        <v>5840</v>
      </c>
      <c r="H2820" s="427" t="s">
        <v>5163</v>
      </c>
      <c r="I2820" s="518">
        <v>204.26</v>
      </c>
      <c r="J2820" s="381">
        <v>53.06</v>
      </c>
      <c r="K2820" s="519">
        <v>53.06</v>
      </c>
      <c r="L2820" s="369">
        <f t="shared" si="195"/>
        <v>10.612000000000002</v>
      </c>
      <c r="M2820" s="369" t="s">
        <v>6171</v>
      </c>
      <c r="N2820" s="432" t="s">
        <v>3785</v>
      </c>
      <c r="O2820" s="521" t="s">
        <v>5847</v>
      </c>
      <c r="P2820" s="438" t="s">
        <v>5530</v>
      </c>
      <c r="Q2820" s="481">
        <v>0.2</v>
      </c>
      <c r="R2820" s="427">
        <v>1900001375</v>
      </c>
      <c r="S2820" s="513" t="s">
        <v>3475</v>
      </c>
      <c r="T2820" s="2" t="s">
        <v>5914</v>
      </c>
      <c r="U2820" s="9" t="s">
        <v>3475</v>
      </c>
    </row>
    <row r="2821" spans="1:21" x14ac:dyDescent="0.35">
      <c r="A2821" s="435" t="s">
        <v>5160</v>
      </c>
      <c r="B2821" s="543" t="s">
        <v>5876</v>
      </c>
      <c r="C2821" s="517" t="s">
        <v>5845</v>
      </c>
      <c r="D2821" s="517" t="s">
        <v>5845</v>
      </c>
      <c r="E2821" s="517"/>
      <c r="F2821" s="438" t="s">
        <v>5846</v>
      </c>
      <c r="G2821" s="438" t="s">
        <v>5840</v>
      </c>
      <c r="H2821" s="427" t="s">
        <v>5163</v>
      </c>
      <c r="I2821" s="518">
        <v>204.26</v>
      </c>
      <c r="J2821" s="381">
        <v>53.06</v>
      </c>
      <c r="K2821" s="519">
        <v>53.06</v>
      </c>
      <c r="L2821" s="369">
        <f t="shared" ref="L2821:L2884" si="196">+K2821*Q2821</f>
        <v>10.612000000000002</v>
      </c>
      <c r="M2821" s="369" t="s">
        <v>6171</v>
      </c>
      <c r="N2821" s="432" t="s">
        <v>3785</v>
      </c>
      <c r="O2821" s="521" t="s">
        <v>5847</v>
      </c>
      <c r="P2821" s="438" t="s">
        <v>5530</v>
      </c>
      <c r="Q2821" s="481">
        <v>0.2</v>
      </c>
      <c r="R2821" s="427">
        <v>1900001375</v>
      </c>
      <c r="S2821" s="513" t="s">
        <v>3475</v>
      </c>
      <c r="T2821" s="2" t="s">
        <v>5914</v>
      </c>
      <c r="U2821" s="9" t="s">
        <v>3475</v>
      </c>
    </row>
    <row r="2822" spans="1:21" x14ac:dyDescent="0.35">
      <c r="A2822" s="435" t="s">
        <v>5160</v>
      </c>
      <c r="B2822" s="543" t="s">
        <v>5876</v>
      </c>
      <c r="C2822" s="517" t="s">
        <v>5845</v>
      </c>
      <c r="D2822" s="517" t="s">
        <v>5845</v>
      </c>
      <c r="E2822" s="517"/>
      <c r="F2822" s="438" t="s">
        <v>5846</v>
      </c>
      <c r="G2822" s="438" t="s">
        <v>5840</v>
      </c>
      <c r="H2822" s="427" t="s">
        <v>5163</v>
      </c>
      <c r="I2822" s="518">
        <v>204.26</v>
      </c>
      <c r="J2822" s="381">
        <v>53.06</v>
      </c>
      <c r="K2822" s="519">
        <v>53.06</v>
      </c>
      <c r="L2822" s="369">
        <f t="shared" si="196"/>
        <v>10.612000000000002</v>
      </c>
      <c r="M2822" s="369" t="s">
        <v>6171</v>
      </c>
      <c r="N2822" s="432" t="s">
        <v>3785</v>
      </c>
      <c r="O2822" s="521" t="s">
        <v>5847</v>
      </c>
      <c r="P2822" s="438" t="s">
        <v>5530</v>
      </c>
      <c r="Q2822" s="481">
        <v>0.2</v>
      </c>
      <c r="R2822" s="427">
        <v>1900001375</v>
      </c>
      <c r="S2822" s="513" t="s">
        <v>3475</v>
      </c>
      <c r="T2822" s="2" t="s">
        <v>5914</v>
      </c>
      <c r="U2822" s="9" t="s">
        <v>3475</v>
      </c>
    </row>
    <row r="2823" spans="1:21" x14ac:dyDescent="0.35">
      <c r="A2823" s="435" t="s">
        <v>5160</v>
      </c>
      <c r="B2823" s="543" t="s">
        <v>5876</v>
      </c>
      <c r="C2823" s="517" t="s">
        <v>5845</v>
      </c>
      <c r="D2823" s="517" t="s">
        <v>5845</v>
      </c>
      <c r="E2823" s="517"/>
      <c r="F2823" s="438" t="s">
        <v>5846</v>
      </c>
      <c r="G2823" s="438" t="s">
        <v>5840</v>
      </c>
      <c r="H2823" s="427" t="s">
        <v>5163</v>
      </c>
      <c r="I2823" s="518">
        <v>204.26</v>
      </c>
      <c r="J2823" s="381">
        <v>53.06</v>
      </c>
      <c r="K2823" s="519">
        <v>53.06</v>
      </c>
      <c r="L2823" s="369">
        <f t="shared" si="196"/>
        <v>10.612000000000002</v>
      </c>
      <c r="M2823" s="369" t="s">
        <v>6171</v>
      </c>
      <c r="N2823" s="432" t="s">
        <v>3785</v>
      </c>
      <c r="O2823" s="521" t="s">
        <v>5847</v>
      </c>
      <c r="P2823" s="438" t="s">
        <v>5530</v>
      </c>
      <c r="Q2823" s="481">
        <v>0.2</v>
      </c>
      <c r="R2823" s="427">
        <v>1900001375</v>
      </c>
      <c r="S2823" s="513" t="s">
        <v>3475</v>
      </c>
      <c r="T2823" s="2" t="s">
        <v>5914</v>
      </c>
      <c r="U2823" s="9" t="s">
        <v>3475</v>
      </c>
    </row>
    <row r="2824" spans="1:21" x14ac:dyDescent="0.35">
      <c r="A2824" s="435" t="s">
        <v>5160</v>
      </c>
      <c r="B2824" s="543" t="s">
        <v>5876</v>
      </c>
      <c r="C2824" s="517" t="s">
        <v>5845</v>
      </c>
      <c r="D2824" s="517" t="s">
        <v>5845</v>
      </c>
      <c r="E2824" s="517"/>
      <c r="F2824" s="438" t="s">
        <v>5846</v>
      </c>
      <c r="G2824" s="438" t="s">
        <v>5840</v>
      </c>
      <c r="H2824" s="427" t="s">
        <v>5163</v>
      </c>
      <c r="I2824" s="518">
        <v>204.26</v>
      </c>
      <c r="J2824" s="381">
        <v>53.06</v>
      </c>
      <c r="K2824" s="519">
        <v>53.06</v>
      </c>
      <c r="L2824" s="369">
        <f t="shared" si="196"/>
        <v>10.612000000000002</v>
      </c>
      <c r="M2824" s="369" t="s">
        <v>6171</v>
      </c>
      <c r="N2824" s="432" t="s">
        <v>3785</v>
      </c>
      <c r="O2824" s="521" t="s">
        <v>5847</v>
      </c>
      <c r="P2824" s="438" t="s">
        <v>5530</v>
      </c>
      <c r="Q2824" s="481">
        <v>0.2</v>
      </c>
      <c r="R2824" s="427">
        <v>1900001375</v>
      </c>
      <c r="S2824" s="513" t="s">
        <v>3475</v>
      </c>
      <c r="T2824" s="2" t="s">
        <v>5914</v>
      </c>
      <c r="U2824" s="9" t="s">
        <v>3475</v>
      </c>
    </row>
    <row r="2825" spans="1:21" x14ac:dyDescent="0.35">
      <c r="A2825" s="435" t="s">
        <v>5160</v>
      </c>
      <c r="B2825" s="543" t="s">
        <v>5876</v>
      </c>
      <c r="C2825" s="517" t="s">
        <v>5845</v>
      </c>
      <c r="D2825" s="517" t="s">
        <v>5845</v>
      </c>
      <c r="E2825" s="517"/>
      <c r="F2825" s="438" t="s">
        <v>5846</v>
      </c>
      <c r="G2825" s="438" t="s">
        <v>5840</v>
      </c>
      <c r="H2825" s="427" t="s">
        <v>5163</v>
      </c>
      <c r="I2825" s="518">
        <v>204.26</v>
      </c>
      <c r="J2825" s="381">
        <v>53.06</v>
      </c>
      <c r="K2825" s="519">
        <v>53.06</v>
      </c>
      <c r="L2825" s="369">
        <f t="shared" si="196"/>
        <v>10.612000000000002</v>
      </c>
      <c r="M2825" s="369" t="s">
        <v>6171</v>
      </c>
      <c r="N2825" s="432" t="s">
        <v>3785</v>
      </c>
      <c r="O2825" s="521" t="s">
        <v>5847</v>
      </c>
      <c r="P2825" s="438" t="s">
        <v>5530</v>
      </c>
      <c r="Q2825" s="481">
        <v>0.2</v>
      </c>
      <c r="R2825" s="427">
        <v>1900001375</v>
      </c>
      <c r="S2825" s="513" t="s">
        <v>3475</v>
      </c>
      <c r="T2825" s="2" t="s">
        <v>5914</v>
      </c>
      <c r="U2825" s="9" t="s">
        <v>3475</v>
      </c>
    </row>
    <row r="2826" spans="1:21" x14ac:dyDescent="0.35">
      <c r="A2826" s="435" t="s">
        <v>5160</v>
      </c>
      <c r="B2826" s="543" t="s">
        <v>5876</v>
      </c>
      <c r="C2826" s="517" t="s">
        <v>5845</v>
      </c>
      <c r="D2826" s="517" t="s">
        <v>5845</v>
      </c>
      <c r="E2826" s="517"/>
      <c r="F2826" s="438" t="s">
        <v>5846</v>
      </c>
      <c r="G2826" s="438" t="s">
        <v>5840</v>
      </c>
      <c r="H2826" s="427" t="s">
        <v>5163</v>
      </c>
      <c r="I2826" s="518">
        <v>204.26</v>
      </c>
      <c r="J2826" s="381">
        <v>53.06</v>
      </c>
      <c r="K2826" s="519">
        <v>53.06</v>
      </c>
      <c r="L2826" s="369">
        <f t="shared" si="196"/>
        <v>10.612000000000002</v>
      </c>
      <c r="M2826" s="369" t="s">
        <v>6171</v>
      </c>
      <c r="N2826" s="432" t="s">
        <v>3785</v>
      </c>
      <c r="O2826" s="521" t="s">
        <v>5847</v>
      </c>
      <c r="P2826" s="438" t="s">
        <v>5530</v>
      </c>
      <c r="Q2826" s="481">
        <v>0.2</v>
      </c>
      <c r="R2826" s="427">
        <v>1900001375</v>
      </c>
      <c r="S2826" s="513" t="s">
        <v>3475</v>
      </c>
      <c r="T2826" s="2" t="s">
        <v>5914</v>
      </c>
      <c r="U2826" s="9" t="s">
        <v>3475</v>
      </c>
    </row>
    <row r="2827" spans="1:21" x14ac:dyDescent="0.35">
      <c r="A2827" s="435" t="s">
        <v>5160</v>
      </c>
      <c r="B2827" s="543" t="s">
        <v>5876</v>
      </c>
      <c r="C2827" s="517" t="s">
        <v>5845</v>
      </c>
      <c r="D2827" s="517" t="s">
        <v>5845</v>
      </c>
      <c r="E2827" s="517"/>
      <c r="F2827" s="438" t="s">
        <v>5846</v>
      </c>
      <c r="G2827" s="438" t="s">
        <v>5840</v>
      </c>
      <c r="H2827" s="427" t="s">
        <v>5163</v>
      </c>
      <c r="I2827" s="518">
        <v>204.26</v>
      </c>
      <c r="J2827" s="381">
        <v>53.06</v>
      </c>
      <c r="K2827" s="519">
        <v>53.06</v>
      </c>
      <c r="L2827" s="369">
        <f t="shared" si="196"/>
        <v>10.612000000000002</v>
      </c>
      <c r="M2827" s="369" t="s">
        <v>6171</v>
      </c>
      <c r="N2827" s="432" t="s">
        <v>3785</v>
      </c>
      <c r="O2827" s="521" t="s">
        <v>5847</v>
      </c>
      <c r="P2827" s="438" t="s">
        <v>5530</v>
      </c>
      <c r="Q2827" s="481">
        <v>0.2</v>
      </c>
      <c r="R2827" s="427">
        <v>1900001375</v>
      </c>
      <c r="S2827" s="513" t="s">
        <v>3475</v>
      </c>
      <c r="T2827" s="2" t="s">
        <v>5914</v>
      </c>
      <c r="U2827" s="9" t="s">
        <v>3475</v>
      </c>
    </row>
    <row r="2828" spans="1:21" x14ac:dyDescent="0.35">
      <c r="A2828" s="435" t="s">
        <v>5160</v>
      </c>
      <c r="B2828" s="543" t="s">
        <v>5876</v>
      </c>
      <c r="C2828" s="517" t="s">
        <v>5845</v>
      </c>
      <c r="D2828" s="517" t="s">
        <v>5845</v>
      </c>
      <c r="E2828" s="517"/>
      <c r="F2828" s="438" t="s">
        <v>5846</v>
      </c>
      <c r="G2828" s="438" t="s">
        <v>5840</v>
      </c>
      <c r="H2828" s="427" t="s">
        <v>5163</v>
      </c>
      <c r="I2828" s="518">
        <v>204.26</v>
      </c>
      <c r="J2828" s="381">
        <v>53.06</v>
      </c>
      <c r="K2828" s="519">
        <v>53.06</v>
      </c>
      <c r="L2828" s="369">
        <f t="shared" si="196"/>
        <v>10.612000000000002</v>
      </c>
      <c r="M2828" s="369" t="s">
        <v>6171</v>
      </c>
      <c r="N2828" s="432" t="s">
        <v>3785</v>
      </c>
      <c r="O2828" s="521" t="s">
        <v>5847</v>
      </c>
      <c r="P2828" s="438" t="s">
        <v>5530</v>
      </c>
      <c r="Q2828" s="481">
        <v>0.2</v>
      </c>
      <c r="R2828" s="427">
        <v>1900001375</v>
      </c>
      <c r="S2828" s="513" t="s">
        <v>3475</v>
      </c>
      <c r="T2828" s="2" t="s">
        <v>5914</v>
      </c>
      <c r="U2828" s="9" t="s">
        <v>3475</v>
      </c>
    </row>
    <row r="2829" spans="1:21" x14ac:dyDescent="0.35">
      <c r="A2829" s="435" t="s">
        <v>5160</v>
      </c>
      <c r="B2829" s="543" t="s">
        <v>5876</v>
      </c>
      <c r="C2829" s="517" t="s">
        <v>5845</v>
      </c>
      <c r="D2829" s="517" t="s">
        <v>5845</v>
      </c>
      <c r="E2829" s="517"/>
      <c r="F2829" s="438" t="s">
        <v>5846</v>
      </c>
      <c r="G2829" s="438" t="s">
        <v>5840</v>
      </c>
      <c r="H2829" s="427" t="s">
        <v>5163</v>
      </c>
      <c r="I2829" s="518">
        <v>204.26</v>
      </c>
      <c r="J2829" s="381">
        <v>53.06</v>
      </c>
      <c r="K2829" s="519">
        <v>53.06</v>
      </c>
      <c r="L2829" s="369">
        <f t="shared" si="196"/>
        <v>10.612000000000002</v>
      </c>
      <c r="M2829" s="369" t="s">
        <v>6171</v>
      </c>
      <c r="N2829" s="432" t="s">
        <v>3785</v>
      </c>
      <c r="O2829" s="521" t="s">
        <v>5847</v>
      </c>
      <c r="P2829" s="438" t="s">
        <v>5530</v>
      </c>
      <c r="Q2829" s="481">
        <v>0.2</v>
      </c>
      <c r="R2829" s="427">
        <v>1900001375</v>
      </c>
      <c r="S2829" s="513" t="s">
        <v>3475</v>
      </c>
      <c r="T2829" s="2" t="s">
        <v>5914</v>
      </c>
      <c r="U2829" s="9" t="s">
        <v>3475</v>
      </c>
    </row>
    <row r="2830" spans="1:21" x14ac:dyDescent="0.35">
      <c r="A2830" s="435" t="s">
        <v>5160</v>
      </c>
      <c r="B2830" s="543" t="s">
        <v>5876</v>
      </c>
      <c r="C2830" s="517" t="s">
        <v>5845</v>
      </c>
      <c r="D2830" s="517" t="s">
        <v>5845</v>
      </c>
      <c r="E2830" s="517"/>
      <c r="F2830" s="438" t="s">
        <v>5846</v>
      </c>
      <c r="G2830" s="438" t="s">
        <v>5840</v>
      </c>
      <c r="H2830" s="427" t="s">
        <v>5163</v>
      </c>
      <c r="I2830" s="518">
        <v>204.26</v>
      </c>
      <c r="J2830" s="381">
        <v>53.06</v>
      </c>
      <c r="K2830" s="519">
        <v>53.06</v>
      </c>
      <c r="L2830" s="369">
        <f t="shared" si="196"/>
        <v>10.612000000000002</v>
      </c>
      <c r="M2830" s="369" t="s">
        <v>6171</v>
      </c>
      <c r="N2830" s="432" t="s">
        <v>3785</v>
      </c>
      <c r="O2830" s="521" t="s">
        <v>5847</v>
      </c>
      <c r="P2830" s="438" t="s">
        <v>5530</v>
      </c>
      <c r="Q2830" s="481">
        <v>0.2</v>
      </c>
      <c r="R2830" s="427">
        <v>1900001375</v>
      </c>
      <c r="S2830" s="513" t="s">
        <v>3475</v>
      </c>
      <c r="T2830" s="2" t="s">
        <v>5914</v>
      </c>
      <c r="U2830" s="9" t="s">
        <v>3475</v>
      </c>
    </row>
    <row r="2831" spans="1:21" x14ac:dyDescent="0.35">
      <c r="A2831" s="435" t="s">
        <v>5160</v>
      </c>
      <c r="B2831" s="543" t="s">
        <v>5876</v>
      </c>
      <c r="C2831" s="517" t="s">
        <v>5845</v>
      </c>
      <c r="D2831" s="517" t="s">
        <v>5845</v>
      </c>
      <c r="E2831" s="517"/>
      <c r="F2831" s="438" t="s">
        <v>5846</v>
      </c>
      <c r="G2831" s="438" t="s">
        <v>5840</v>
      </c>
      <c r="H2831" s="427" t="s">
        <v>5163</v>
      </c>
      <c r="I2831" s="518">
        <v>204.26</v>
      </c>
      <c r="J2831" s="381">
        <v>53.06</v>
      </c>
      <c r="K2831" s="519">
        <v>53.06</v>
      </c>
      <c r="L2831" s="369">
        <f t="shared" si="196"/>
        <v>10.612000000000002</v>
      </c>
      <c r="M2831" s="369" t="s">
        <v>6171</v>
      </c>
      <c r="N2831" s="432" t="s">
        <v>3785</v>
      </c>
      <c r="O2831" s="521" t="s">
        <v>5847</v>
      </c>
      <c r="P2831" s="438" t="s">
        <v>5530</v>
      </c>
      <c r="Q2831" s="481">
        <v>0.2</v>
      </c>
      <c r="R2831" s="427">
        <v>1900001375</v>
      </c>
      <c r="S2831" s="513" t="s">
        <v>3475</v>
      </c>
      <c r="T2831" s="2" t="s">
        <v>5914</v>
      </c>
      <c r="U2831" s="9" t="s">
        <v>3475</v>
      </c>
    </row>
    <row r="2832" spans="1:21" x14ac:dyDescent="0.35">
      <c r="A2832" s="435" t="s">
        <v>5160</v>
      </c>
      <c r="B2832" s="543" t="s">
        <v>5876</v>
      </c>
      <c r="C2832" s="517" t="s">
        <v>5845</v>
      </c>
      <c r="D2832" s="517" t="s">
        <v>5845</v>
      </c>
      <c r="E2832" s="517"/>
      <c r="F2832" s="438" t="s">
        <v>5846</v>
      </c>
      <c r="G2832" s="438" t="s">
        <v>5840</v>
      </c>
      <c r="H2832" s="427" t="s">
        <v>5163</v>
      </c>
      <c r="I2832" s="518">
        <v>204.26</v>
      </c>
      <c r="J2832" s="381">
        <v>53.06</v>
      </c>
      <c r="K2832" s="519">
        <v>53.06</v>
      </c>
      <c r="L2832" s="369">
        <f t="shared" si="196"/>
        <v>10.612000000000002</v>
      </c>
      <c r="M2832" s="369" t="s">
        <v>6171</v>
      </c>
      <c r="N2832" s="432" t="s">
        <v>3785</v>
      </c>
      <c r="O2832" s="521" t="s">
        <v>5847</v>
      </c>
      <c r="P2832" s="438" t="s">
        <v>5530</v>
      </c>
      <c r="Q2832" s="481">
        <v>0.2</v>
      </c>
      <c r="R2832" s="427">
        <v>1900001375</v>
      </c>
      <c r="S2832" s="513" t="s">
        <v>3475</v>
      </c>
      <c r="T2832" s="2" t="s">
        <v>5914</v>
      </c>
      <c r="U2832" s="9" t="s">
        <v>3475</v>
      </c>
    </row>
    <row r="2833" spans="1:21" x14ac:dyDescent="0.35">
      <c r="A2833" s="435" t="s">
        <v>5160</v>
      </c>
      <c r="B2833" s="543" t="s">
        <v>5876</v>
      </c>
      <c r="C2833" s="517" t="s">
        <v>5845</v>
      </c>
      <c r="D2833" s="517" t="s">
        <v>5845</v>
      </c>
      <c r="E2833" s="517"/>
      <c r="F2833" s="438" t="s">
        <v>5846</v>
      </c>
      <c r="G2833" s="438" t="s">
        <v>5840</v>
      </c>
      <c r="H2833" s="427" t="s">
        <v>5163</v>
      </c>
      <c r="I2833" s="518">
        <v>204.26</v>
      </c>
      <c r="J2833" s="381">
        <v>53.06</v>
      </c>
      <c r="K2833" s="519">
        <v>53.06</v>
      </c>
      <c r="L2833" s="369">
        <f t="shared" si="196"/>
        <v>10.612000000000002</v>
      </c>
      <c r="M2833" s="369" t="s">
        <v>6171</v>
      </c>
      <c r="N2833" s="432" t="s">
        <v>3785</v>
      </c>
      <c r="O2833" s="521" t="s">
        <v>5847</v>
      </c>
      <c r="P2833" s="438" t="s">
        <v>5530</v>
      </c>
      <c r="Q2833" s="481">
        <v>0.2</v>
      </c>
      <c r="R2833" s="427">
        <v>1900001375</v>
      </c>
      <c r="S2833" s="513" t="s">
        <v>3475</v>
      </c>
      <c r="T2833" s="2" t="s">
        <v>5914</v>
      </c>
      <c r="U2833" s="9" t="s">
        <v>3475</v>
      </c>
    </row>
    <row r="2834" spans="1:21" x14ac:dyDescent="0.35">
      <c r="A2834" s="435" t="s">
        <v>5160</v>
      </c>
      <c r="B2834" s="543" t="s">
        <v>5876</v>
      </c>
      <c r="C2834" s="517" t="s">
        <v>5845</v>
      </c>
      <c r="D2834" s="517" t="s">
        <v>5845</v>
      </c>
      <c r="E2834" s="517"/>
      <c r="F2834" s="438" t="s">
        <v>5846</v>
      </c>
      <c r="G2834" s="438" t="s">
        <v>5840</v>
      </c>
      <c r="H2834" s="427" t="s">
        <v>5163</v>
      </c>
      <c r="I2834" s="518">
        <v>204.26</v>
      </c>
      <c r="J2834" s="381">
        <v>53.06</v>
      </c>
      <c r="K2834" s="519">
        <v>53.06</v>
      </c>
      <c r="L2834" s="369">
        <f t="shared" si="196"/>
        <v>10.612000000000002</v>
      </c>
      <c r="M2834" s="369" t="s">
        <v>6171</v>
      </c>
      <c r="N2834" s="432" t="s">
        <v>3785</v>
      </c>
      <c r="O2834" s="521" t="s">
        <v>5847</v>
      </c>
      <c r="P2834" s="438" t="s">
        <v>5530</v>
      </c>
      <c r="Q2834" s="481">
        <v>0.2</v>
      </c>
      <c r="R2834" s="427">
        <v>1900001375</v>
      </c>
      <c r="S2834" s="513" t="s">
        <v>3475</v>
      </c>
      <c r="T2834" s="2" t="s">
        <v>5914</v>
      </c>
      <c r="U2834" s="9" t="s">
        <v>3475</v>
      </c>
    </row>
    <row r="2835" spans="1:21" x14ac:dyDescent="0.35">
      <c r="A2835" s="435" t="s">
        <v>5160</v>
      </c>
      <c r="B2835" s="543" t="s">
        <v>5876</v>
      </c>
      <c r="C2835" s="517" t="s">
        <v>5845</v>
      </c>
      <c r="D2835" s="517" t="s">
        <v>5845</v>
      </c>
      <c r="E2835" s="517"/>
      <c r="F2835" s="438" t="s">
        <v>5846</v>
      </c>
      <c r="G2835" s="438" t="s">
        <v>5840</v>
      </c>
      <c r="H2835" s="427" t="s">
        <v>5163</v>
      </c>
      <c r="I2835" s="518">
        <v>204.26</v>
      </c>
      <c r="J2835" s="381">
        <v>53.06</v>
      </c>
      <c r="K2835" s="519">
        <v>53.06</v>
      </c>
      <c r="L2835" s="369">
        <f t="shared" si="196"/>
        <v>10.612000000000002</v>
      </c>
      <c r="M2835" s="369" t="s">
        <v>6171</v>
      </c>
      <c r="N2835" s="432" t="s">
        <v>3785</v>
      </c>
      <c r="O2835" s="521" t="s">
        <v>5847</v>
      </c>
      <c r="P2835" s="438" t="s">
        <v>5530</v>
      </c>
      <c r="Q2835" s="481">
        <v>0.2</v>
      </c>
      <c r="R2835" s="427">
        <v>1900001375</v>
      </c>
      <c r="S2835" s="513" t="s">
        <v>3475</v>
      </c>
      <c r="T2835" s="2" t="s">
        <v>5914</v>
      </c>
      <c r="U2835" s="9" t="s">
        <v>3475</v>
      </c>
    </row>
    <row r="2836" spans="1:21" x14ac:dyDescent="0.35">
      <c r="A2836" s="435" t="s">
        <v>5160</v>
      </c>
      <c r="B2836" s="543" t="s">
        <v>5876</v>
      </c>
      <c r="C2836" s="517" t="s">
        <v>5845</v>
      </c>
      <c r="D2836" s="517" t="s">
        <v>5845</v>
      </c>
      <c r="E2836" s="517"/>
      <c r="F2836" s="438" t="s">
        <v>5846</v>
      </c>
      <c r="G2836" s="438" t="s">
        <v>5840</v>
      </c>
      <c r="H2836" s="427" t="s">
        <v>5163</v>
      </c>
      <c r="I2836" s="518">
        <v>204.26</v>
      </c>
      <c r="J2836" s="381">
        <v>53.06</v>
      </c>
      <c r="K2836" s="519">
        <v>53.06</v>
      </c>
      <c r="L2836" s="369">
        <f t="shared" si="196"/>
        <v>10.612000000000002</v>
      </c>
      <c r="M2836" s="369" t="s">
        <v>6171</v>
      </c>
      <c r="N2836" s="432" t="s">
        <v>3785</v>
      </c>
      <c r="O2836" s="521" t="s">
        <v>5847</v>
      </c>
      <c r="P2836" s="438" t="s">
        <v>5530</v>
      </c>
      <c r="Q2836" s="481">
        <v>0.2</v>
      </c>
      <c r="R2836" s="427">
        <v>1900001375</v>
      </c>
      <c r="S2836" s="513" t="s">
        <v>3475</v>
      </c>
      <c r="T2836" s="2" t="s">
        <v>5914</v>
      </c>
      <c r="U2836" s="9" t="s">
        <v>3475</v>
      </c>
    </row>
    <row r="2837" spans="1:21" x14ac:dyDescent="0.35">
      <c r="A2837" s="435" t="s">
        <v>5160</v>
      </c>
      <c r="B2837" s="543" t="s">
        <v>5876</v>
      </c>
      <c r="C2837" s="517" t="s">
        <v>5845</v>
      </c>
      <c r="D2837" s="517" t="s">
        <v>5845</v>
      </c>
      <c r="E2837" s="517"/>
      <c r="F2837" s="438" t="s">
        <v>5846</v>
      </c>
      <c r="G2837" s="438" t="s">
        <v>5840</v>
      </c>
      <c r="H2837" s="427" t="s">
        <v>5163</v>
      </c>
      <c r="I2837" s="518">
        <v>204.26</v>
      </c>
      <c r="J2837" s="381">
        <v>53.06</v>
      </c>
      <c r="K2837" s="519">
        <v>53.06</v>
      </c>
      <c r="L2837" s="369">
        <f t="shared" si="196"/>
        <v>10.612000000000002</v>
      </c>
      <c r="M2837" s="369" t="s">
        <v>6171</v>
      </c>
      <c r="N2837" s="432" t="s">
        <v>3785</v>
      </c>
      <c r="O2837" s="521" t="s">
        <v>5847</v>
      </c>
      <c r="P2837" s="438" t="s">
        <v>5530</v>
      </c>
      <c r="Q2837" s="481">
        <v>0.2</v>
      </c>
      <c r="R2837" s="427">
        <v>1900001375</v>
      </c>
      <c r="S2837" s="513" t="s">
        <v>3475</v>
      </c>
      <c r="T2837" s="2" t="s">
        <v>5914</v>
      </c>
      <c r="U2837" s="9" t="s">
        <v>3475</v>
      </c>
    </row>
    <row r="2838" spans="1:21" x14ac:dyDescent="0.35">
      <c r="A2838" s="435" t="s">
        <v>5160</v>
      </c>
      <c r="B2838" s="543" t="s">
        <v>5876</v>
      </c>
      <c r="C2838" s="517" t="s">
        <v>5845</v>
      </c>
      <c r="D2838" s="517" t="s">
        <v>5845</v>
      </c>
      <c r="E2838" s="517"/>
      <c r="F2838" s="438" t="s">
        <v>5846</v>
      </c>
      <c r="G2838" s="438" t="s">
        <v>5840</v>
      </c>
      <c r="H2838" s="427" t="s">
        <v>5163</v>
      </c>
      <c r="I2838" s="518">
        <v>204.26</v>
      </c>
      <c r="J2838" s="381">
        <v>53.06</v>
      </c>
      <c r="K2838" s="519">
        <v>53.06</v>
      </c>
      <c r="L2838" s="369">
        <f t="shared" si="196"/>
        <v>10.612000000000002</v>
      </c>
      <c r="M2838" s="369" t="s">
        <v>6171</v>
      </c>
      <c r="N2838" s="432" t="s">
        <v>3785</v>
      </c>
      <c r="O2838" s="521" t="s">
        <v>5847</v>
      </c>
      <c r="P2838" s="438" t="s">
        <v>5530</v>
      </c>
      <c r="Q2838" s="481">
        <v>0.2</v>
      </c>
      <c r="R2838" s="427">
        <v>1900001375</v>
      </c>
      <c r="S2838" s="513" t="s">
        <v>3475</v>
      </c>
      <c r="T2838" s="2" t="s">
        <v>5914</v>
      </c>
      <c r="U2838" s="9" t="s">
        <v>3475</v>
      </c>
    </row>
    <row r="2839" spans="1:21" x14ac:dyDescent="0.35">
      <c r="A2839" s="435" t="s">
        <v>5160</v>
      </c>
      <c r="B2839" s="543" t="s">
        <v>5876</v>
      </c>
      <c r="C2839" s="517" t="s">
        <v>5845</v>
      </c>
      <c r="D2839" s="517" t="s">
        <v>5845</v>
      </c>
      <c r="E2839" s="517"/>
      <c r="F2839" s="438" t="s">
        <v>5846</v>
      </c>
      <c r="G2839" s="438" t="s">
        <v>5840</v>
      </c>
      <c r="H2839" s="427" t="s">
        <v>5163</v>
      </c>
      <c r="I2839" s="518">
        <v>204.26</v>
      </c>
      <c r="J2839" s="381">
        <v>53.06</v>
      </c>
      <c r="K2839" s="519">
        <v>53.06</v>
      </c>
      <c r="L2839" s="369">
        <f t="shared" si="196"/>
        <v>10.612000000000002</v>
      </c>
      <c r="M2839" s="369" t="s">
        <v>6171</v>
      </c>
      <c r="N2839" s="432" t="s">
        <v>3785</v>
      </c>
      <c r="O2839" s="521" t="s">
        <v>5847</v>
      </c>
      <c r="P2839" s="438" t="s">
        <v>5530</v>
      </c>
      <c r="Q2839" s="481">
        <v>0.2</v>
      </c>
      <c r="R2839" s="427">
        <v>1900001375</v>
      </c>
      <c r="S2839" s="513" t="s">
        <v>3475</v>
      </c>
      <c r="T2839" s="2" t="s">
        <v>5914</v>
      </c>
      <c r="U2839" s="9" t="s">
        <v>3475</v>
      </c>
    </row>
    <row r="2840" spans="1:21" x14ac:dyDescent="0.35">
      <c r="A2840" s="435" t="s">
        <v>5160</v>
      </c>
      <c r="B2840" s="543" t="s">
        <v>5876</v>
      </c>
      <c r="C2840" s="517" t="s">
        <v>5845</v>
      </c>
      <c r="D2840" s="517" t="s">
        <v>5845</v>
      </c>
      <c r="E2840" s="517"/>
      <c r="F2840" s="438" t="s">
        <v>5846</v>
      </c>
      <c r="G2840" s="438" t="s">
        <v>5840</v>
      </c>
      <c r="H2840" s="427" t="s">
        <v>5163</v>
      </c>
      <c r="I2840" s="518">
        <v>204.26</v>
      </c>
      <c r="J2840" s="381">
        <v>53.06</v>
      </c>
      <c r="K2840" s="519">
        <v>53.06</v>
      </c>
      <c r="L2840" s="369">
        <f t="shared" si="196"/>
        <v>10.612000000000002</v>
      </c>
      <c r="M2840" s="369" t="s">
        <v>6171</v>
      </c>
      <c r="N2840" s="432" t="s">
        <v>3785</v>
      </c>
      <c r="O2840" s="521" t="s">
        <v>5847</v>
      </c>
      <c r="P2840" s="438" t="s">
        <v>5530</v>
      </c>
      <c r="Q2840" s="481">
        <v>0.2</v>
      </c>
      <c r="R2840" s="427">
        <v>1900001375</v>
      </c>
      <c r="S2840" s="513" t="s">
        <v>3475</v>
      </c>
      <c r="T2840" s="2" t="s">
        <v>5914</v>
      </c>
      <c r="U2840" s="9" t="s">
        <v>3475</v>
      </c>
    </row>
    <row r="2841" spans="1:21" x14ac:dyDescent="0.35">
      <c r="A2841" s="435" t="s">
        <v>5160</v>
      </c>
      <c r="B2841" s="543" t="s">
        <v>5876</v>
      </c>
      <c r="C2841" s="517" t="s">
        <v>5845</v>
      </c>
      <c r="D2841" s="517" t="s">
        <v>5845</v>
      </c>
      <c r="E2841" s="517"/>
      <c r="F2841" s="438" t="s">
        <v>5846</v>
      </c>
      <c r="G2841" s="438" t="s">
        <v>5840</v>
      </c>
      <c r="H2841" s="427" t="s">
        <v>5163</v>
      </c>
      <c r="I2841" s="518">
        <v>204.26</v>
      </c>
      <c r="J2841" s="381">
        <v>53.06</v>
      </c>
      <c r="K2841" s="519">
        <v>53.06</v>
      </c>
      <c r="L2841" s="369">
        <f t="shared" si="196"/>
        <v>10.612000000000002</v>
      </c>
      <c r="M2841" s="369" t="s">
        <v>6171</v>
      </c>
      <c r="N2841" s="432" t="s">
        <v>3785</v>
      </c>
      <c r="O2841" s="521" t="s">
        <v>5847</v>
      </c>
      <c r="P2841" s="438" t="s">
        <v>5530</v>
      </c>
      <c r="Q2841" s="481">
        <v>0.2</v>
      </c>
      <c r="R2841" s="427">
        <v>1900001375</v>
      </c>
      <c r="S2841" s="513" t="s">
        <v>3475</v>
      </c>
      <c r="T2841" s="2" t="s">
        <v>5914</v>
      </c>
      <c r="U2841" s="9" t="s">
        <v>3475</v>
      </c>
    </row>
    <row r="2842" spans="1:21" x14ac:dyDescent="0.35">
      <c r="A2842" s="435" t="s">
        <v>5160</v>
      </c>
      <c r="B2842" s="543" t="s">
        <v>5876</v>
      </c>
      <c r="C2842" s="517" t="s">
        <v>5845</v>
      </c>
      <c r="D2842" s="517" t="s">
        <v>5845</v>
      </c>
      <c r="E2842" s="517"/>
      <c r="F2842" s="438" t="s">
        <v>5846</v>
      </c>
      <c r="G2842" s="438" t="s">
        <v>5840</v>
      </c>
      <c r="H2842" s="427" t="s">
        <v>5163</v>
      </c>
      <c r="I2842" s="518">
        <v>204.26</v>
      </c>
      <c r="J2842" s="381">
        <v>53.06</v>
      </c>
      <c r="K2842" s="519">
        <v>53.06</v>
      </c>
      <c r="L2842" s="369">
        <f t="shared" si="196"/>
        <v>10.612000000000002</v>
      </c>
      <c r="M2842" s="369" t="s">
        <v>6171</v>
      </c>
      <c r="N2842" s="432" t="s">
        <v>3785</v>
      </c>
      <c r="O2842" s="521" t="s">
        <v>5847</v>
      </c>
      <c r="P2842" s="438" t="s">
        <v>5530</v>
      </c>
      <c r="Q2842" s="481">
        <v>0.2</v>
      </c>
      <c r="R2842" s="427">
        <v>1900001375</v>
      </c>
      <c r="S2842" s="513" t="s">
        <v>3475</v>
      </c>
      <c r="T2842" s="2" t="s">
        <v>5914</v>
      </c>
      <c r="U2842" s="9" t="s">
        <v>3475</v>
      </c>
    </row>
    <row r="2843" spans="1:21" x14ac:dyDescent="0.35">
      <c r="A2843" s="435" t="s">
        <v>5160</v>
      </c>
      <c r="B2843" s="543" t="s">
        <v>5876</v>
      </c>
      <c r="C2843" s="517" t="s">
        <v>5845</v>
      </c>
      <c r="D2843" s="517" t="s">
        <v>5845</v>
      </c>
      <c r="E2843" s="517"/>
      <c r="F2843" s="438" t="s">
        <v>5846</v>
      </c>
      <c r="G2843" s="438" t="s">
        <v>5840</v>
      </c>
      <c r="H2843" s="427" t="s">
        <v>5163</v>
      </c>
      <c r="I2843" s="518">
        <v>204.26</v>
      </c>
      <c r="J2843" s="381">
        <v>53.06</v>
      </c>
      <c r="K2843" s="519">
        <v>53.06</v>
      </c>
      <c r="L2843" s="369">
        <f t="shared" si="196"/>
        <v>10.612000000000002</v>
      </c>
      <c r="M2843" s="369" t="s">
        <v>6171</v>
      </c>
      <c r="N2843" s="432" t="s">
        <v>3785</v>
      </c>
      <c r="O2843" s="521" t="s">
        <v>5847</v>
      </c>
      <c r="P2843" s="438" t="s">
        <v>5530</v>
      </c>
      <c r="Q2843" s="481">
        <v>0.2</v>
      </c>
      <c r="R2843" s="427">
        <v>1900001375</v>
      </c>
      <c r="S2843" s="513" t="s">
        <v>3475</v>
      </c>
      <c r="T2843" s="2" t="s">
        <v>5914</v>
      </c>
      <c r="U2843" s="9" t="s">
        <v>3475</v>
      </c>
    </row>
    <row r="2844" spans="1:21" x14ac:dyDescent="0.35">
      <c r="A2844" s="435" t="s">
        <v>5160</v>
      </c>
      <c r="B2844" s="543" t="s">
        <v>5876</v>
      </c>
      <c r="C2844" s="517" t="s">
        <v>5845</v>
      </c>
      <c r="D2844" s="517" t="s">
        <v>5845</v>
      </c>
      <c r="E2844" s="517"/>
      <c r="F2844" s="438" t="s">
        <v>5846</v>
      </c>
      <c r="G2844" s="438" t="s">
        <v>5840</v>
      </c>
      <c r="H2844" s="427" t="s">
        <v>5163</v>
      </c>
      <c r="I2844" s="518">
        <v>204.26</v>
      </c>
      <c r="J2844" s="381">
        <v>53.06</v>
      </c>
      <c r="K2844" s="519">
        <v>53.06</v>
      </c>
      <c r="L2844" s="369">
        <f t="shared" si="196"/>
        <v>10.612000000000002</v>
      </c>
      <c r="M2844" s="369" t="s">
        <v>6171</v>
      </c>
      <c r="N2844" s="432" t="s">
        <v>3785</v>
      </c>
      <c r="O2844" s="521" t="s">
        <v>5847</v>
      </c>
      <c r="P2844" s="438" t="s">
        <v>5530</v>
      </c>
      <c r="Q2844" s="481">
        <v>0.2</v>
      </c>
      <c r="R2844" s="427">
        <v>1900001375</v>
      </c>
      <c r="S2844" s="513" t="s">
        <v>3475</v>
      </c>
      <c r="T2844" s="2" t="s">
        <v>5914</v>
      </c>
      <c r="U2844" s="9" t="s">
        <v>3475</v>
      </c>
    </row>
    <row r="2845" spans="1:21" x14ac:dyDescent="0.35">
      <c r="A2845" s="435" t="s">
        <v>5160</v>
      </c>
      <c r="B2845" s="543" t="s">
        <v>5876</v>
      </c>
      <c r="C2845" s="517" t="s">
        <v>5845</v>
      </c>
      <c r="D2845" s="517" t="s">
        <v>5845</v>
      </c>
      <c r="E2845" s="517"/>
      <c r="F2845" s="438" t="s">
        <v>5846</v>
      </c>
      <c r="G2845" s="438" t="s">
        <v>5840</v>
      </c>
      <c r="H2845" s="427" t="s">
        <v>5163</v>
      </c>
      <c r="I2845" s="518">
        <v>204.26</v>
      </c>
      <c r="J2845" s="381">
        <v>53.06</v>
      </c>
      <c r="K2845" s="519">
        <v>53.06</v>
      </c>
      <c r="L2845" s="369">
        <f t="shared" si="196"/>
        <v>10.612000000000002</v>
      </c>
      <c r="M2845" s="369" t="s">
        <v>6171</v>
      </c>
      <c r="N2845" s="432" t="s">
        <v>3785</v>
      </c>
      <c r="O2845" s="521" t="s">
        <v>5847</v>
      </c>
      <c r="P2845" s="438" t="s">
        <v>5530</v>
      </c>
      <c r="Q2845" s="481">
        <v>0.2</v>
      </c>
      <c r="R2845" s="427">
        <v>1900001375</v>
      </c>
      <c r="S2845" s="513" t="s">
        <v>3475</v>
      </c>
      <c r="T2845" s="2" t="s">
        <v>5914</v>
      </c>
      <c r="U2845" s="9" t="s">
        <v>3475</v>
      </c>
    </row>
    <row r="2846" spans="1:21" x14ac:dyDescent="0.35">
      <c r="A2846" s="435" t="s">
        <v>5160</v>
      </c>
      <c r="B2846" s="543" t="s">
        <v>5877</v>
      </c>
      <c r="C2846" s="517" t="s">
        <v>5845</v>
      </c>
      <c r="D2846" s="517" t="s">
        <v>5845</v>
      </c>
      <c r="E2846" s="517"/>
      <c r="F2846" s="438" t="s">
        <v>5846</v>
      </c>
      <c r="G2846" s="438" t="s">
        <v>5840</v>
      </c>
      <c r="H2846" s="427" t="s">
        <v>5163</v>
      </c>
      <c r="I2846" s="518">
        <v>2549</v>
      </c>
      <c r="J2846" s="381">
        <v>662</v>
      </c>
      <c r="K2846" s="519">
        <v>662</v>
      </c>
      <c r="L2846" s="369">
        <f t="shared" si="196"/>
        <v>132.4</v>
      </c>
      <c r="M2846" s="369" t="s">
        <v>6171</v>
      </c>
      <c r="N2846" s="432" t="s">
        <v>3785</v>
      </c>
      <c r="O2846" s="521" t="s">
        <v>5847</v>
      </c>
      <c r="P2846" s="438" t="s">
        <v>5530</v>
      </c>
      <c r="Q2846" s="481">
        <v>0.2</v>
      </c>
      <c r="R2846" s="427">
        <v>1900001375</v>
      </c>
      <c r="S2846" s="513" t="s">
        <v>3475</v>
      </c>
      <c r="T2846" s="2" t="s">
        <v>5914</v>
      </c>
      <c r="U2846" s="9" t="s">
        <v>3475</v>
      </c>
    </row>
    <row r="2847" spans="1:21" x14ac:dyDescent="0.35">
      <c r="A2847" s="435" t="s">
        <v>5160</v>
      </c>
      <c r="B2847" s="543" t="s">
        <v>5878</v>
      </c>
      <c r="C2847" s="517" t="s">
        <v>5845</v>
      </c>
      <c r="D2847" s="517" t="s">
        <v>5845</v>
      </c>
      <c r="E2847" s="517"/>
      <c r="F2847" s="438" t="s">
        <v>5846</v>
      </c>
      <c r="G2847" s="438" t="s">
        <v>5840</v>
      </c>
      <c r="H2847" s="427" t="s">
        <v>5163</v>
      </c>
      <c r="I2847" s="518">
        <v>11064</v>
      </c>
      <c r="J2847" s="381">
        <v>2874.5</v>
      </c>
      <c r="K2847" s="519">
        <v>2874.5</v>
      </c>
      <c r="L2847" s="369">
        <f t="shared" si="196"/>
        <v>574.9</v>
      </c>
      <c r="M2847" s="369" t="s">
        <v>6171</v>
      </c>
      <c r="N2847" s="432" t="s">
        <v>3785</v>
      </c>
      <c r="O2847" s="521" t="s">
        <v>5847</v>
      </c>
      <c r="P2847" s="438" t="s">
        <v>5530</v>
      </c>
      <c r="Q2847" s="481">
        <v>0.2</v>
      </c>
      <c r="R2847" s="427">
        <v>1900001375</v>
      </c>
      <c r="S2847" s="513" t="s">
        <v>3475</v>
      </c>
      <c r="T2847" s="2" t="s">
        <v>5914</v>
      </c>
      <c r="U2847" s="9" t="s">
        <v>3475</v>
      </c>
    </row>
    <row r="2848" spans="1:21" x14ac:dyDescent="0.35">
      <c r="A2848" s="435" t="s">
        <v>5160</v>
      </c>
      <c r="B2848" s="543" t="s">
        <v>5878</v>
      </c>
      <c r="C2848" s="517" t="s">
        <v>5845</v>
      </c>
      <c r="D2848" s="517" t="s">
        <v>5845</v>
      </c>
      <c r="E2848" s="517"/>
      <c r="F2848" s="438" t="s">
        <v>5846</v>
      </c>
      <c r="G2848" s="438" t="s">
        <v>5840</v>
      </c>
      <c r="H2848" s="427" t="s">
        <v>5163</v>
      </c>
      <c r="I2848" s="518">
        <v>11064</v>
      </c>
      <c r="J2848" s="381">
        <v>2874.5</v>
      </c>
      <c r="K2848" s="519">
        <v>2874.5</v>
      </c>
      <c r="L2848" s="369">
        <f t="shared" si="196"/>
        <v>574.9</v>
      </c>
      <c r="M2848" s="369" t="s">
        <v>6171</v>
      </c>
      <c r="N2848" s="432" t="s">
        <v>3785</v>
      </c>
      <c r="O2848" s="521" t="s">
        <v>5847</v>
      </c>
      <c r="P2848" s="438" t="s">
        <v>5530</v>
      </c>
      <c r="Q2848" s="481">
        <v>0.2</v>
      </c>
      <c r="R2848" s="427">
        <v>1900001375</v>
      </c>
      <c r="S2848" s="513" t="s">
        <v>3475</v>
      </c>
      <c r="T2848" s="2" t="s">
        <v>5914</v>
      </c>
      <c r="U2848" s="9" t="s">
        <v>3475</v>
      </c>
    </row>
    <row r="2849" spans="1:21" x14ac:dyDescent="0.35">
      <c r="A2849" s="435" t="s">
        <v>5160</v>
      </c>
      <c r="B2849" s="543" t="s">
        <v>5879</v>
      </c>
      <c r="C2849" s="517" t="s">
        <v>5845</v>
      </c>
      <c r="D2849" s="517" t="s">
        <v>5845</v>
      </c>
      <c r="E2849" s="517"/>
      <c r="F2849" s="438" t="s">
        <v>5846</v>
      </c>
      <c r="G2849" s="438" t="s">
        <v>5840</v>
      </c>
      <c r="H2849" s="427" t="s">
        <v>5163</v>
      </c>
      <c r="I2849" s="518">
        <v>225.52</v>
      </c>
      <c r="J2849" s="381">
        <v>58.6</v>
      </c>
      <c r="K2849" s="519">
        <v>58.6</v>
      </c>
      <c r="L2849" s="369">
        <f t="shared" si="196"/>
        <v>11.72</v>
      </c>
      <c r="M2849" s="369" t="s">
        <v>6171</v>
      </c>
      <c r="N2849" s="432" t="s">
        <v>3785</v>
      </c>
      <c r="O2849" s="521" t="s">
        <v>5847</v>
      </c>
      <c r="P2849" s="438" t="s">
        <v>5530</v>
      </c>
      <c r="Q2849" s="481">
        <v>0.2</v>
      </c>
      <c r="R2849" s="427">
        <v>1900001375</v>
      </c>
      <c r="S2849" s="513" t="s">
        <v>3475</v>
      </c>
      <c r="T2849" s="2" t="s">
        <v>5914</v>
      </c>
      <c r="U2849" s="9" t="s">
        <v>3475</v>
      </c>
    </row>
    <row r="2850" spans="1:21" x14ac:dyDescent="0.35">
      <c r="A2850" s="435" t="s">
        <v>5160</v>
      </c>
      <c r="B2850" s="543" t="s">
        <v>5879</v>
      </c>
      <c r="C2850" s="517" t="s">
        <v>5845</v>
      </c>
      <c r="D2850" s="517" t="s">
        <v>5845</v>
      </c>
      <c r="E2850" s="517"/>
      <c r="F2850" s="438" t="s">
        <v>5846</v>
      </c>
      <c r="G2850" s="438" t="s">
        <v>5840</v>
      </c>
      <c r="H2850" s="427" t="s">
        <v>5163</v>
      </c>
      <c r="I2850" s="518">
        <v>225.52</v>
      </c>
      <c r="J2850" s="381">
        <v>58.6</v>
      </c>
      <c r="K2850" s="519">
        <v>58.6</v>
      </c>
      <c r="L2850" s="369">
        <f t="shared" si="196"/>
        <v>11.72</v>
      </c>
      <c r="M2850" s="369" t="s">
        <v>6171</v>
      </c>
      <c r="N2850" s="432" t="s">
        <v>3785</v>
      </c>
      <c r="O2850" s="521" t="s">
        <v>5847</v>
      </c>
      <c r="P2850" s="438" t="s">
        <v>5530</v>
      </c>
      <c r="Q2850" s="481">
        <v>0.2</v>
      </c>
      <c r="R2850" s="427">
        <v>1900001375</v>
      </c>
      <c r="S2850" s="513" t="s">
        <v>3475</v>
      </c>
      <c r="T2850" s="2" t="s">
        <v>5914</v>
      </c>
      <c r="U2850" s="9" t="s">
        <v>3475</v>
      </c>
    </row>
    <row r="2851" spans="1:21" x14ac:dyDescent="0.35">
      <c r="A2851" s="435" t="s">
        <v>5160</v>
      </c>
      <c r="B2851" s="543" t="s">
        <v>5879</v>
      </c>
      <c r="C2851" s="517" t="s">
        <v>5845</v>
      </c>
      <c r="D2851" s="517" t="s">
        <v>5845</v>
      </c>
      <c r="E2851" s="517"/>
      <c r="F2851" s="438" t="s">
        <v>5846</v>
      </c>
      <c r="G2851" s="438" t="s">
        <v>5840</v>
      </c>
      <c r="H2851" s="427" t="s">
        <v>5163</v>
      </c>
      <c r="I2851" s="518">
        <v>225.52</v>
      </c>
      <c r="J2851" s="381">
        <v>58.6</v>
      </c>
      <c r="K2851" s="519">
        <v>58.6</v>
      </c>
      <c r="L2851" s="369">
        <f t="shared" si="196"/>
        <v>11.72</v>
      </c>
      <c r="M2851" s="369" t="s">
        <v>6171</v>
      </c>
      <c r="N2851" s="432" t="s">
        <v>3785</v>
      </c>
      <c r="O2851" s="521" t="s">
        <v>5847</v>
      </c>
      <c r="P2851" s="438" t="s">
        <v>5530</v>
      </c>
      <c r="Q2851" s="481">
        <v>0.2</v>
      </c>
      <c r="R2851" s="427">
        <v>1900001375</v>
      </c>
      <c r="S2851" s="513" t="s">
        <v>3475</v>
      </c>
      <c r="T2851" s="2" t="s">
        <v>5914</v>
      </c>
      <c r="U2851" s="9" t="s">
        <v>3475</v>
      </c>
    </row>
    <row r="2852" spans="1:21" x14ac:dyDescent="0.35">
      <c r="A2852" s="435" t="s">
        <v>5160</v>
      </c>
      <c r="B2852" s="543" t="s">
        <v>5879</v>
      </c>
      <c r="C2852" s="517" t="s">
        <v>5845</v>
      </c>
      <c r="D2852" s="517" t="s">
        <v>5845</v>
      </c>
      <c r="E2852" s="517"/>
      <c r="F2852" s="438" t="s">
        <v>5846</v>
      </c>
      <c r="G2852" s="438" t="s">
        <v>5840</v>
      </c>
      <c r="H2852" s="427" t="s">
        <v>5163</v>
      </c>
      <c r="I2852" s="518">
        <v>225.52</v>
      </c>
      <c r="J2852" s="381">
        <v>58.6</v>
      </c>
      <c r="K2852" s="519">
        <v>58.6</v>
      </c>
      <c r="L2852" s="369">
        <f t="shared" si="196"/>
        <v>11.72</v>
      </c>
      <c r="M2852" s="369" t="s">
        <v>6171</v>
      </c>
      <c r="N2852" s="432" t="s">
        <v>3785</v>
      </c>
      <c r="O2852" s="521" t="s">
        <v>5847</v>
      </c>
      <c r="P2852" s="438" t="s">
        <v>5530</v>
      </c>
      <c r="Q2852" s="481">
        <v>0.2</v>
      </c>
      <c r="R2852" s="427">
        <v>1900001375</v>
      </c>
      <c r="S2852" s="513" t="s">
        <v>3475</v>
      </c>
      <c r="T2852" s="2" t="s">
        <v>5914</v>
      </c>
      <c r="U2852" s="9" t="s">
        <v>3475</v>
      </c>
    </row>
    <row r="2853" spans="1:21" x14ac:dyDescent="0.35">
      <c r="A2853" s="435" t="s">
        <v>5160</v>
      </c>
      <c r="B2853" s="543" t="s">
        <v>5879</v>
      </c>
      <c r="C2853" s="517" t="s">
        <v>5845</v>
      </c>
      <c r="D2853" s="517" t="s">
        <v>5845</v>
      </c>
      <c r="E2853" s="517"/>
      <c r="F2853" s="438" t="s">
        <v>5846</v>
      </c>
      <c r="G2853" s="438" t="s">
        <v>5840</v>
      </c>
      <c r="H2853" s="427" t="s">
        <v>5163</v>
      </c>
      <c r="I2853" s="518">
        <v>225.52</v>
      </c>
      <c r="J2853" s="381">
        <v>58.6</v>
      </c>
      <c r="K2853" s="519">
        <v>58.6</v>
      </c>
      <c r="L2853" s="369">
        <f t="shared" si="196"/>
        <v>11.72</v>
      </c>
      <c r="M2853" s="369" t="s">
        <v>6171</v>
      </c>
      <c r="N2853" s="432" t="s">
        <v>3785</v>
      </c>
      <c r="O2853" s="521" t="s">
        <v>5847</v>
      </c>
      <c r="P2853" s="438" t="s">
        <v>5530</v>
      </c>
      <c r="Q2853" s="481">
        <v>0.2</v>
      </c>
      <c r="R2853" s="427">
        <v>1900001375</v>
      </c>
      <c r="S2853" s="513" t="s">
        <v>3475</v>
      </c>
      <c r="T2853" s="2" t="s">
        <v>5914</v>
      </c>
      <c r="U2853" s="9" t="s">
        <v>3475</v>
      </c>
    </row>
    <row r="2854" spans="1:21" x14ac:dyDescent="0.35">
      <c r="A2854" s="435" t="s">
        <v>5160</v>
      </c>
      <c r="B2854" s="543" t="s">
        <v>5879</v>
      </c>
      <c r="C2854" s="517" t="s">
        <v>5845</v>
      </c>
      <c r="D2854" s="517" t="s">
        <v>5845</v>
      </c>
      <c r="E2854" s="517"/>
      <c r="F2854" s="438" t="s">
        <v>5846</v>
      </c>
      <c r="G2854" s="438" t="s">
        <v>5840</v>
      </c>
      <c r="H2854" s="427" t="s">
        <v>5163</v>
      </c>
      <c r="I2854" s="518">
        <v>225.52</v>
      </c>
      <c r="J2854" s="381">
        <v>58.6</v>
      </c>
      <c r="K2854" s="519">
        <v>58.6</v>
      </c>
      <c r="L2854" s="369">
        <f t="shared" si="196"/>
        <v>11.72</v>
      </c>
      <c r="M2854" s="369" t="s">
        <v>6171</v>
      </c>
      <c r="N2854" s="432" t="s">
        <v>3785</v>
      </c>
      <c r="O2854" s="521" t="s">
        <v>5847</v>
      </c>
      <c r="P2854" s="438" t="s">
        <v>5530</v>
      </c>
      <c r="Q2854" s="481">
        <v>0.2</v>
      </c>
      <c r="R2854" s="427">
        <v>1900001375</v>
      </c>
      <c r="S2854" s="513" t="s">
        <v>3475</v>
      </c>
      <c r="T2854" s="2" t="s">
        <v>5914</v>
      </c>
      <c r="U2854" s="9" t="s">
        <v>3475</v>
      </c>
    </row>
    <row r="2855" spans="1:21" x14ac:dyDescent="0.35">
      <c r="A2855" s="435" t="s">
        <v>5160</v>
      </c>
      <c r="B2855" s="543" t="s">
        <v>5879</v>
      </c>
      <c r="C2855" s="517" t="s">
        <v>5845</v>
      </c>
      <c r="D2855" s="517" t="s">
        <v>5845</v>
      </c>
      <c r="E2855" s="517"/>
      <c r="F2855" s="438" t="s">
        <v>5846</v>
      </c>
      <c r="G2855" s="438" t="s">
        <v>5840</v>
      </c>
      <c r="H2855" s="427" t="s">
        <v>5163</v>
      </c>
      <c r="I2855" s="518">
        <v>225.52</v>
      </c>
      <c r="J2855" s="381">
        <v>58.6</v>
      </c>
      <c r="K2855" s="519">
        <v>58.6</v>
      </c>
      <c r="L2855" s="369">
        <f t="shared" si="196"/>
        <v>11.72</v>
      </c>
      <c r="M2855" s="369" t="s">
        <v>6171</v>
      </c>
      <c r="N2855" s="432" t="s">
        <v>3785</v>
      </c>
      <c r="O2855" s="521" t="s">
        <v>5847</v>
      </c>
      <c r="P2855" s="438" t="s">
        <v>5530</v>
      </c>
      <c r="Q2855" s="481">
        <v>0.2</v>
      </c>
      <c r="R2855" s="427">
        <v>1900001375</v>
      </c>
      <c r="S2855" s="513" t="s">
        <v>3475</v>
      </c>
      <c r="T2855" s="2" t="s">
        <v>5914</v>
      </c>
      <c r="U2855" s="9" t="s">
        <v>3475</v>
      </c>
    </row>
    <row r="2856" spans="1:21" x14ac:dyDescent="0.35">
      <c r="A2856" s="435" t="s">
        <v>5160</v>
      </c>
      <c r="B2856" s="543" t="s">
        <v>5879</v>
      </c>
      <c r="C2856" s="517" t="s">
        <v>5845</v>
      </c>
      <c r="D2856" s="517" t="s">
        <v>5845</v>
      </c>
      <c r="E2856" s="517"/>
      <c r="F2856" s="438" t="s">
        <v>5846</v>
      </c>
      <c r="G2856" s="438" t="s">
        <v>5840</v>
      </c>
      <c r="H2856" s="427" t="s">
        <v>5163</v>
      </c>
      <c r="I2856" s="518">
        <v>225.52</v>
      </c>
      <c r="J2856" s="381">
        <v>58.6</v>
      </c>
      <c r="K2856" s="519">
        <v>58.6</v>
      </c>
      <c r="L2856" s="369">
        <f t="shared" si="196"/>
        <v>11.72</v>
      </c>
      <c r="M2856" s="369" t="s">
        <v>6171</v>
      </c>
      <c r="N2856" s="432" t="s">
        <v>3785</v>
      </c>
      <c r="O2856" s="521" t="s">
        <v>5847</v>
      </c>
      <c r="P2856" s="438" t="s">
        <v>5530</v>
      </c>
      <c r="Q2856" s="481">
        <v>0.2</v>
      </c>
      <c r="R2856" s="427">
        <v>1900001375</v>
      </c>
      <c r="S2856" s="513" t="s">
        <v>3475</v>
      </c>
      <c r="T2856" s="2" t="s">
        <v>5914</v>
      </c>
      <c r="U2856" s="9" t="s">
        <v>3475</v>
      </c>
    </row>
    <row r="2857" spans="1:21" x14ac:dyDescent="0.35">
      <c r="A2857" s="435" t="s">
        <v>5160</v>
      </c>
      <c r="B2857" s="543" t="s">
        <v>5879</v>
      </c>
      <c r="C2857" s="517" t="s">
        <v>5845</v>
      </c>
      <c r="D2857" s="517" t="s">
        <v>5845</v>
      </c>
      <c r="E2857" s="517"/>
      <c r="F2857" s="438" t="s">
        <v>5846</v>
      </c>
      <c r="G2857" s="438" t="s">
        <v>5840</v>
      </c>
      <c r="H2857" s="427" t="s">
        <v>5163</v>
      </c>
      <c r="I2857" s="518">
        <v>225.52</v>
      </c>
      <c r="J2857" s="381">
        <v>58.6</v>
      </c>
      <c r="K2857" s="519">
        <v>58.6</v>
      </c>
      <c r="L2857" s="369">
        <f t="shared" si="196"/>
        <v>11.72</v>
      </c>
      <c r="M2857" s="369" t="s">
        <v>6171</v>
      </c>
      <c r="N2857" s="432" t="s">
        <v>3785</v>
      </c>
      <c r="O2857" s="521" t="s">
        <v>5847</v>
      </c>
      <c r="P2857" s="438" t="s">
        <v>5530</v>
      </c>
      <c r="Q2857" s="481">
        <v>0.2</v>
      </c>
      <c r="R2857" s="427">
        <v>1900001375</v>
      </c>
      <c r="S2857" s="513" t="s">
        <v>3475</v>
      </c>
      <c r="T2857" s="2" t="s">
        <v>5914</v>
      </c>
      <c r="U2857" s="9" t="s">
        <v>3475</v>
      </c>
    </row>
    <row r="2858" spans="1:21" x14ac:dyDescent="0.35">
      <c r="A2858" s="435" t="s">
        <v>5160</v>
      </c>
      <c r="B2858" s="543" t="s">
        <v>5879</v>
      </c>
      <c r="C2858" s="517" t="s">
        <v>5845</v>
      </c>
      <c r="D2858" s="517" t="s">
        <v>5845</v>
      </c>
      <c r="E2858" s="517"/>
      <c r="F2858" s="438" t="s">
        <v>5846</v>
      </c>
      <c r="G2858" s="438" t="s">
        <v>5840</v>
      </c>
      <c r="H2858" s="427" t="s">
        <v>5163</v>
      </c>
      <c r="I2858" s="518">
        <v>225.52</v>
      </c>
      <c r="J2858" s="381">
        <v>58.6</v>
      </c>
      <c r="K2858" s="519">
        <v>58.6</v>
      </c>
      <c r="L2858" s="369">
        <f t="shared" si="196"/>
        <v>11.72</v>
      </c>
      <c r="M2858" s="369" t="s">
        <v>6171</v>
      </c>
      <c r="N2858" s="432" t="s">
        <v>3785</v>
      </c>
      <c r="O2858" s="521" t="s">
        <v>5847</v>
      </c>
      <c r="P2858" s="438" t="s">
        <v>5530</v>
      </c>
      <c r="Q2858" s="481">
        <v>0.2</v>
      </c>
      <c r="R2858" s="427">
        <v>1900001375</v>
      </c>
      <c r="S2858" s="513" t="s">
        <v>3475</v>
      </c>
      <c r="T2858" s="2" t="s">
        <v>5914</v>
      </c>
      <c r="U2858" s="9" t="s">
        <v>3475</v>
      </c>
    </row>
    <row r="2859" spans="1:21" x14ac:dyDescent="0.35">
      <c r="A2859" s="435" t="s">
        <v>5160</v>
      </c>
      <c r="B2859" s="543" t="s">
        <v>5879</v>
      </c>
      <c r="C2859" s="517" t="s">
        <v>5845</v>
      </c>
      <c r="D2859" s="517" t="s">
        <v>5845</v>
      </c>
      <c r="E2859" s="517"/>
      <c r="F2859" s="438" t="s">
        <v>5846</v>
      </c>
      <c r="G2859" s="438" t="s">
        <v>5840</v>
      </c>
      <c r="H2859" s="427" t="s">
        <v>5163</v>
      </c>
      <c r="I2859" s="518">
        <v>225.52</v>
      </c>
      <c r="J2859" s="381">
        <v>58.6</v>
      </c>
      <c r="K2859" s="519">
        <v>58.6</v>
      </c>
      <c r="L2859" s="369">
        <f t="shared" si="196"/>
        <v>11.72</v>
      </c>
      <c r="M2859" s="369" t="s">
        <v>6171</v>
      </c>
      <c r="N2859" s="432" t="s">
        <v>3785</v>
      </c>
      <c r="O2859" s="521" t="s">
        <v>5847</v>
      </c>
      <c r="P2859" s="438" t="s">
        <v>5530</v>
      </c>
      <c r="Q2859" s="481">
        <v>0.2</v>
      </c>
      <c r="R2859" s="427">
        <v>1900001375</v>
      </c>
      <c r="S2859" s="513" t="s">
        <v>3475</v>
      </c>
      <c r="T2859" s="2" t="s">
        <v>5914</v>
      </c>
      <c r="U2859" s="9" t="s">
        <v>3475</v>
      </c>
    </row>
    <row r="2860" spans="1:21" x14ac:dyDescent="0.35">
      <c r="A2860" s="435" t="s">
        <v>5160</v>
      </c>
      <c r="B2860" s="543" t="s">
        <v>5879</v>
      </c>
      <c r="C2860" s="517" t="s">
        <v>5845</v>
      </c>
      <c r="D2860" s="517" t="s">
        <v>5845</v>
      </c>
      <c r="E2860" s="517"/>
      <c r="F2860" s="438" t="s">
        <v>5846</v>
      </c>
      <c r="G2860" s="438" t="s">
        <v>5840</v>
      </c>
      <c r="H2860" s="427" t="s">
        <v>5163</v>
      </c>
      <c r="I2860" s="518">
        <v>225.52</v>
      </c>
      <c r="J2860" s="381">
        <v>58.6</v>
      </c>
      <c r="K2860" s="519">
        <v>58.6</v>
      </c>
      <c r="L2860" s="369">
        <f t="shared" si="196"/>
        <v>11.72</v>
      </c>
      <c r="M2860" s="369" t="s">
        <v>6171</v>
      </c>
      <c r="N2860" s="432" t="s">
        <v>3785</v>
      </c>
      <c r="O2860" s="521" t="s">
        <v>5847</v>
      </c>
      <c r="P2860" s="438" t="s">
        <v>5530</v>
      </c>
      <c r="Q2860" s="481">
        <v>0.2</v>
      </c>
      <c r="R2860" s="427">
        <v>1900001375</v>
      </c>
      <c r="S2860" s="513" t="s">
        <v>3475</v>
      </c>
      <c r="T2860" s="2" t="s">
        <v>5914</v>
      </c>
      <c r="U2860" s="9" t="s">
        <v>3475</v>
      </c>
    </row>
    <row r="2861" spans="1:21" x14ac:dyDescent="0.35">
      <c r="A2861" s="435" t="s">
        <v>5160</v>
      </c>
      <c r="B2861" s="543" t="s">
        <v>5879</v>
      </c>
      <c r="C2861" s="517" t="s">
        <v>5845</v>
      </c>
      <c r="D2861" s="517" t="s">
        <v>5845</v>
      </c>
      <c r="E2861" s="517"/>
      <c r="F2861" s="438" t="s">
        <v>5846</v>
      </c>
      <c r="G2861" s="438" t="s">
        <v>5840</v>
      </c>
      <c r="H2861" s="427" t="s">
        <v>5163</v>
      </c>
      <c r="I2861" s="518">
        <v>225.52</v>
      </c>
      <c r="J2861" s="381">
        <v>58.6</v>
      </c>
      <c r="K2861" s="519">
        <v>58.6</v>
      </c>
      <c r="L2861" s="369">
        <f t="shared" si="196"/>
        <v>11.72</v>
      </c>
      <c r="M2861" s="369" t="s">
        <v>6171</v>
      </c>
      <c r="N2861" s="432" t="s">
        <v>3785</v>
      </c>
      <c r="O2861" s="521" t="s">
        <v>5847</v>
      </c>
      <c r="P2861" s="438" t="s">
        <v>5530</v>
      </c>
      <c r="Q2861" s="481">
        <v>0.2</v>
      </c>
      <c r="R2861" s="427">
        <v>1900001375</v>
      </c>
      <c r="S2861" s="513" t="s">
        <v>3475</v>
      </c>
      <c r="T2861" s="2" t="s">
        <v>5914</v>
      </c>
      <c r="U2861" s="9" t="s">
        <v>3475</v>
      </c>
    </row>
    <row r="2862" spans="1:21" x14ac:dyDescent="0.35">
      <c r="A2862" s="435" t="s">
        <v>5160</v>
      </c>
      <c r="B2862" s="543" t="s">
        <v>5879</v>
      </c>
      <c r="C2862" s="517" t="s">
        <v>5845</v>
      </c>
      <c r="D2862" s="517" t="s">
        <v>5845</v>
      </c>
      <c r="E2862" s="517"/>
      <c r="F2862" s="438" t="s">
        <v>5846</v>
      </c>
      <c r="G2862" s="438" t="s">
        <v>5840</v>
      </c>
      <c r="H2862" s="427" t="s">
        <v>5163</v>
      </c>
      <c r="I2862" s="518">
        <v>225.52</v>
      </c>
      <c r="J2862" s="381">
        <v>58.6</v>
      </c>
      <c r="K2862" s="519">
        <v>58.6</v>
      </c>
      <c r="L2862" s="369">
        <f t="shared" si="196"/>
        <v>11.72</v>
      </c>
      <c r="M2862" s="369" t="s">
        <v>6171</v>
      </c>
      <c r="N2862" s="432" t="s">
        <v>3785</v>
      </c>
      <c r="O2862" s="521" t="s">
        <v>5847</v>
      </c>
      <c r="P2862" s="438" t="s">
        <v>5530</v>
      </c>
      <c r="Q2862" s="481">
        <v>0.2</v>
      </c>
      <c r="R2862" s="427">
        <v>1900001375</v>
      </c>
      <c r="S2862" s="513" t="s">
        <v>3475</v>
      </c>
      <c r="T2862" s="2" t="s">
        <v>5914</v>
      </c>
      <c r="U2862" s="9" t="s">
        <v>3475</v>
      </c>
    </row>
    <row r="2863" spans="1:21" x14ac:dyDescent="0.35">
      <c r="A2863" s="435" t="s">
        <v>5160</v>
      </c>
      <c r="B2863" s="543" t="s">
        <v>5879</v>
      </c>
      <c r="C2863" s="517" t="s">
        <v>5845</v>
      </c>
      <c r="D2863" s="517" t="s">
        <v>5845</v>
      </c>
      <c r="E2863" s="517"/>
      <c r="F2863" s="438" t="s">
        <v>5846</v>
      </c>
      <c r="G2863" s="438" t="s">
        <v>5840</v>
      </c>
      <c r="H2863" s="427" t="s">
        <v>5163</v>
      </c>
      <c r="I2863" s="518">
        <v>225.52</v>
      </c>
      <c r="J2863" s="381">
        <v>58.6</v>
      </c>
      <c r="K2863" s="519">
        <v>58.6</v>
      </c>
      <c r="L2863" s="369">
        <f t="shared" si="196"/>
        <v>11.72</v>
      </c>
      <c r="M2863" s="369" t="s">
        <v>6171</v>
      </c>
      <c r="N2863" s="432" t="s">
        <v>3785</v>
      </c>
      <c r="O2863" s="521" t="s">
        <v>5847</v>
      </c>
      <c r="P2863" s="438" t="s">
        <v>5530</v>
      </c>
      <c r="Q2863" s="481">
        <v>0.2</v>
      </c>
      <c r="R2863" s="427">
        <v>1900001375</v>
      </c>
      <c r="S2863" s="513" t="s">
        <v>3475</v>
      </c>
      <c r="T2863" s="2" t="s">
        <v>5914</v>
      </c>
      <c r="U2863" s="9" t="s">
        <v>3475</v>
      </c>
    </row>
    <row r="2864" spans="1:21" x14ac:dyDescent="0.35">
      <c r="A2864" s="435" t="s">
        <v>5160</v>
      </c>
      <c r="B2864" s="543" t="s">
        <v>5879</v>
      </c>
      <c r="C2864" s="517" t="s">
        <v>5845</v>
      </c>
      <c r="D2864" s="517" t="s">
        <v>5845</v>
      </c>
      <c r="E2864" s="517"/>
      <c r="F2864" s="438" t="s">
        <v>5846</v>
      </c>
      <c r="G2864" s="438" t="s">
        <v>5840</v>
      </c>
      <c r="H2864" s="427" t="s">
        <v>5163</v>
      </c>
      <c r="I2864" s="518">
        <v>225.52</v>
      </c>
      <c r="J2864" s="381">
        <v>58.6</v>
      </c>
      <c r="K2864" s="519">
        <v>58.6</v>
      </c>
      <c r="L2864" s="369">
        <f t="shared" si="196"/>
        <v>11.72</v>
      </c>
      <c r="M2864" s="369" t="s">
        <v>6171</v>
      </c>
      <c r="N2864" s="432" t="s">
        <v>3785</v>
      </c>
      <c r="O2864" s="521" t="s">
        <v>5847</v>
      </c>
      <c r="P2864" s="438" t="s">
        <v>5530</v>
      </c>
      <c r="Q2864" s="481">
        <v>0.2</v>
      </c>
      <c r="R2864" s="427">
        <v>1900001375</v>
      </c>
      <c r="S2864" s="513" t="s">
        <v>3475</v>
      </c>
      <c r="T2864" s="2" t="s">
        <v>5914</v>
      </c>
      <c r="U2864" s="9" t="s">
        <v>3475</v>
      </c>
    </row>
    <row r="2865" spans="1:21" x14ac:dyDescent="0.35">
      <c r="A2865" s="435" t="s">
        <v>5160</v>
      </c>
      <c r="B2865" s="543" t="s">
        <v>5879</v>
      </c>
      <c r="C2865" s="517" t="s">
        <v>5845</v>
      </c>
      <c r="D2865" s="517" t="s">
        <v>5845</v>
      </c>
      <c r="E2865" s="517"/>
      <c r="F2865" s="438" t="s">
        <v>5846</v>
      </c>
      <c r="G2865" s="438" t="s">
        <v>5840</v>
      </c>
      <c r="H2865" s="427" t="s">
        <v>5163</v>
      </c>
      <c r="I2865" s="518">
        <v>225.52</v>
      </c>
      <c r="J2865" s="381">
        <v>58.6</v>
      </c>
      <c r="K2865" s="519">
        <v>58.6</v>
      </c>
      <c r="L2865" s="369">
        <f t="shared" si="196"/>
        <v>11.72</v>
      </c>
      <c r="M2865" s="369" t="s">
        <v>6171</v>
      </c>
      <c r="N2865" s="432" t="s">
        <v>3785</v>
      </c>
      <c r="O2865" s="521" t="s">
        <v>5847</v>
      </c>
      <c r="P2865" s="438" t="s">
        <v>5530</v>
      </c>
      <c r="Q2865" s="481">
        <v>0.2</v>
      </c>
      <c r="R2865" s="427">
        <v>1900001375</v>
      </c>
      <c r="S2865" s="513" t="s">
        <v>3475</v>
      </c>
      <c r="T2865" s="2" t="s">
        <v>5914</v>
      </c>
      <c r="U2865" s="9" t="s">
        <v>3475</v>
      </c>
    </row>
    <row r="2866" spans="1:21" x14ac:dyDescent="0.35">
      <c r="A2866" s="435" t="s">
        <v>5160</v>
      </c>
      <c r="B2866" s="543" t="s">
        <v>5879</v>
      </c>
      <c r="C2866" s="517" t="s">
        <v>5845</v>
      </c>
      <c r="D2866" s="517" t="s">
        <v>5845</v>
      </c>
      <c r="E2866" s="517"/>
      <c r="F2866" s="438" t="s">
        <v>5846</v>
      </c>
      <c r="G2866" s="438" t="s">
        <v>5840</v>
      </c>
      <c r="H2866" s="427" t="s">
        <v>5163</v>
      </c>
      <c r="I2866" s="518">
        <v>225.52</v>
      </c>
      <c r="J2866" s="381">
        <v>58.6</v>
      </c>
      <c r="K2866" s="519">
        <v>58.6</v>
      </c>
      <c r="L2866" s="369">
        <f t="shared" si="196"/>
        <v>11.72</v>
      </c>
      <c r="M2866" s="369" t="s">
        <v>6171</v>
      </c>
      <c r="N2866" s="432" t="s">
        <v>3785</v>
      </c>
      <c r="O2866" s="521" t="s">
        <v>5847</v>
      </c>
      <c r="P2866" s="438" t="s">
        <v>5530</v>
      </c>
      <c r="Q2866" s="481">
        <v>0.2</v>
      </c>
      <c r="R2866" s="427">
        <v>1900001375</v>
      </c>
      <c r="S2866" s="513" t="s">
        <v>3475</v>
      </c>
      <c r="T2866" s="2" t="s">
        <v>5914</v>
      </c>
      <c r="U2866" s="9" t="s">
        <v>3475</v>
      </c>
    </row>
    <row r="2867" spans="1:21" x14ac:dyDescent="0.35">
      <c r="A2867" s="435" t="s">
        <v>5160</v>
      </c>
      <c r="B2867" s="543" t="s">
        <v>5879</v>
      </c>
      <c r="C2867" s="517" t="s">
        <v>5845</v>
      </c>
      <c r="D2867" s="517" t="s">
        <v>5845</v>
      </c>
      <c r="E2867" s="517"/>
      <c r="F2867" s="438" t="s">
        <v>5846</v>
      </c>
      <c r="G2867" s="438" t="s">
        <v>5840</v>
      </c>
      <c r="H2867" s="427" t="s">
        <v>5163</v>
      </c>
      <c r="I2867" s="518">
        <v>225.52</v>
      </c>
      <c r="J2867" s="381">
        <v>58.6</v>
      </c>
      <c r="K2867" s="519">
        <v>58.6</v>
      </c>
      <c r="L2867" s="369">
        <f t="shared" si="196"/>
        <v>11.72</v>
      </c>
      <c r="M2867" s="369" t="s">
        <v>6171</v>
      </c>
      <c r="N2867" s="432" t="s">
        <v>3785</v>
      </c>
      <c r="O2867" s="521" t="s">
        <v>5847</v>
      </c>
      <c r="P2867" s="438" t="s">
        <v>5530</v>
      </c>
      <c r="Q2867" s="481">
        <v>0.2</v>
      </c>
      <c r="R2867" s="427">
        <v>1900001375</v>
      </c>
      <c r="S2867" s="513" t="s">
        <v>3475</v>
      </c>
      <c r="T2867" s="2" t="s">
        <v>5914</v>
      </c>
      <c r="U2867" s="9" t="s">
        <v>3475</v>
      </c>
    </row>
    <row r="2868" spans="1:21" x14ac:dyDescent="0.35">
      <c r="A2868" s="435" t="s">
        <v>5160</v>
      </c>
      <c r="B2868" s="543" t="s">
        <v>5879</v>
      </c>
      <c r="C2868" s="517" t="s">
        <v>5845</v>
      </c>
      <c r="D2868" s="517" t="s">
        <v>5845</v>
      </c>
      <c r="E2868" s="517"/>
      <c r="F2868" s="438" t="s">
        <v>5846</v>
      </c>
      <c r="G2868" s="438" t="s">
        <v>5840</v>
      </c>
      <c r="H2868" s="427" t="s">
        <v>5163</v>
      </c>
      <c r="I2868" s="518">
        <v>225.52</v>
      </c>
      <c r="J2868" s="381">
        <v>58.6</v>
      </c>
      <c r="K2868" s="519">
        <v>58.6</v>
      </c>
      <c r="L2868" s="369">
        <f t="shared" si="196"/>
        <v>11.72</v>
      </c>
      <c r="M2868" s="369" t="s">
        <v>6171</v>
      </c>
      <c r="N2868" s="432" t="s">
        <v>3785</v>
      </c>
      <c r="O2868" s="521" t="s">
        <v>5847</v>
      </c>
      <c r="P2868" s="438" t="s">
        <v>5530</v>
      </c>
      <c r="Q2868" s="481">
        <v>0.2</v>
      </c>
      <c r="R2868" s="427">
        <v>1900001375</v>
      </c>
      <c r="S2868" s="513" t="s">
        <v>3475</v>
      </c>
      <c r="T2868" s="2" t="s">
        <v>5914</v>
      </c>
      <c r="U2868" s="9" t="s">
        <v>3475</v>
      </c>
    </row>
    <row r="2869" spans="1:21" x14ac:dyDescent="0.35">
      <c r="A2869" s="435" t="s">
        <v>5160</v>
      </c>
      <c r="B2869" s="543" t="s">
        <v>5879</v>
      </c>
      <c r="C2869" s="517" t="s">
        <v>5845</v>
      </c>
      <c r="D2869" s="517" t="s">
        <v>5845</v>
      </c>
      <c r="E2869" s="517"/>
      <c r="F2869" s="438" t="s">
        <v>5846</v>
      </c>
      <c r="G2869" s="438" t="s">
        <v>5840</v>
      </c>
      <c r="H2869" s="427" t="s">
        <v>5163</v>
      </c>
      <c r="I2869" s="518">
        <v>225.52</v>
      </c>
      <c r="J2869" s="381">
        <v>58.6</v>
      </c>
      <c r="K2869" s="519">
        <v>58.6</v>
      </c>
      <c r="L2869" s="369">
        <f t="shared" si="196"/>
        <v>11.72</v>
      </c>
      <c r="M2869" s="369" t="s">
        <v>6171</v>
      </c>
      <c r="N2869" s="432" t="s">
        <v>3785</v>
      </c>
      <c r="O2869" s="521" t="s">
        <v>5847</v>
      </c>
      <c r="P2869" s="438" t="s">
        <v>5530</v>
      </c>
      <c r="Q2869" s="481">
        <v>0.2</v>
      </c>
      <c r="R2869" s="427">
        <v>1900001375</v>
      </c>
      <c r="S2869" s="513" t="s">
        <v>3475</v>
      </c>
      <c r="T2869" s="2" t="s">
        <v>5914</v>
      </c>
      <c r="U2869" s="9" t="s">
        <v>3475</v>
      </c>
    </row>
    <row r="2870" spans="1:21" x14ac:dyDescent="0.35">
      <c r="A2870" s="435" t="s">
        <v>5160</v>
      </c>
      <c r="B2870" s="543" t="s">
        <v>5879</v>
      </c>
      <c r="C2870" s="517" t="s">
        <v>5845</v>
      </c>
      <c r="D2870" s="517" t="s">
        <v>5845</v>
      </c>
      <c r="E2870" s="517"/>
      <c r="F2870" s="438" t="s">
        <v>5846</v>
      </c>
      <c r="G2870" s="438" t="s">
        <v>5840</v>
      </c>
      <c r="H2870" s="427" t="s">
        <v>5163</v>
      </c>
      <c r="I2870" s="518">
        <v>225.52</v>
      </c>
      <c r="J2870" s="381">
        <v>58.6</v>
      </c>
      <c r="K2870" s="519">
        <v>58.6</v>
      </c>
      <c r="L2870" s="369">
        <f t="shared" si="196"/>
        <v>11.72</v>
      </c>
      <c r="M2870" s="369" t="s">
        <v>6171</v>
      </c>
      <c r="N2870" s="432" t="s">
        <v>3785</v>
      </c>
      <c r="O2870" s="521" t="s">
        <v>5847</v>
      </c>
      <c r="P2870" s="438" t="s">
        <v>5530</v>
      </c>
      <c r="Q2870" s="481">
        <v>0.2</v>
      </c>
      <c r="R2870" s="427">
        <v>1900001375</v>
      </c>
      <c r="S2870" s="513" t="s">
        <v>3475</v>
      </c>
      <c r="T2870" s="2" t="s">
        <v>5914</v>
      </c>
      <c r="U2870" s="9" t="s">
        <v>3475</v>
      </c>
    </row>
    <row r="2871" spans="1:21" x14ac:dyDescent="0.35">
      <c r="A2871" s="435" t="s">
        <v>5160</v>
      </c>
      <c r="B2871" s="543" t="s">
        <v>5879</v>
      </c>
      <c r="C2871" s="517" t="s">
        <v>5845</v>
      </c>
      <c r="D2871" s="517" t="s">
        <v>5845</v>
      </c>
      <c r="E2871" s="517"/>
      <c r="F2871" s="438" t="s">
        <v>5846</v>
      </c>
      <c r="G2871" s="438" t="s">
        <v>5840</v>
      </c>
      <c r="H2871" s="427" t="s">
        <v>5163</v>
      </c>
      <c r="I2871" s="518">
        <v>225.52</v>
      </c>
      <c r="J2871" s="381">
        <v>58.6</v>
      </c>
      <c r="K2871" s="519">
        <v>58.6</v>
      </c>
      <c r="L2871" s="369">
        <f t="shared" si="196"/>
        <v>11.72</v>
      </c>
      <c r="M2871" s="369" t="s">
        <v>6171</v>
      </c>
      <c r="N2871" s="432" t="s">
        <v>3785</v>
      </c>
      <c r="O2871" s="521" t="s">
        <v>5847</v>
      </c>
      <c r="P2871" s="438" t="s">
        <v>5530</v>
      </c>
      <c r="Q2871" s="481">
        <v>0.2</v>
      </c>
      <c r="R2871" s="427">
        <v>1900001375</v>
      </c>
      <c r="S2871" s="513" t="s">
        <v>3475</v>
      </c>
      <c r="T2871" s="2" t="s">
        <v>5914</v>
      </c>
      <c r="U2871" s="9" t="s">
        <v>3475</v>
      </c>
    </row>
    <row r="2872" spans="1:21" x14ac:dyDescent="0.35">
      <c r="A2872" s="435" t="s">
        <v>5160</v>
      </c>
      <c r="B2872" s="543" t="s">
        <v>5879</v>
      </c>
      <c r="C2872" s="517" t="s">
        <v>5845</v>
      </c>
      <c r="D2872" s="517" t="s">
        <v>5845</v>
      </c>
      <c r="E2872" s="517"/>
      <c r="F2872" s="438" t="s">
        <v>5846</v>
      </c>
      <c r="G2872" s="438" t="s">
        <v>5840</v>
      </c>
      <c r="H2872" s="427" t="s">
        <v>5163</v>
      </c>
      <c r="I2872" s="518">
        <v>225.52</v>
      </c>
      <c r="J2872" s="381">
        <v>58.6</v>
      </c>
      <c r="K2872" s="519">
        <v>58.6</v>
      </c>
      <c r="L2872" s="369">
        <f t="shared" si="196"/>
        <v>11.72</v>
      </c>
      <c r="M2872" s="369" t="s">
        <v>6171</v>
      </c>
      <c r="N2872" s="432" t="s">
        <v>3785</v>
      </c>
      <c r="O2872" s="521" t="s">
        <v>5847</v>
      </c>
      <c r="P2872" s="438" t="s">
        <v>5530</v>
      </c>
      <c r="Q2872" s="481">
        <v>0.2</v>
      </c>
      <c r="R2872" s="427">
        <v>1900001375</v>
      </c>
      <c r="S2872" s="513" t="s">
        <v>3475</v>
      </c>
      <c r="T2872" s="2" t="s">
        <v>5914</v>
      </c>
      <c r="U2872" s="9" t="s">
        <v>3475</v>
      </c>
    </row>
    <row r="2873" spans="1:21" x14ac:dyDescent="0.35">
      <c r="A2873" s="435" t="s">
        <v>5160</v>
      </c>
      <c r="B2873" s="543" t="s">
        <v>5879</v>
      </c>
      <c r="C2873" s="517" t="s">
        <v>5845</v>
      </c>
      <c r="D2873" s="517" t="s">
        <v>5845</v>
      </c>
      <c r="E2873" s="517"/>
      <c r="F2873" s="438" t="s">
        <v>5846</v>
      </c>
      <c r="G2873" s="438" t="s">
        <v>5840</v>
      </c>
      <c r="H2873" s="427" t="s">
        <v>5163</v>
      </c>
      <c r="I2873" s="518">
        <v>225.52</v>
      </c>
      <c r="J2873" s="381">
        <v>58.6</v>
      </c>
      <c r="K2873" s="519">
        <v>58.6</v>
      </c>
      <c r="L2873" s="369">
        <f t="shared" si="196"/>
        <v>11.72</v>
      </c>
      <c r="M2873" s="369" t="s">
        <v>6171</v>
      </c>
      <c r="N2873" s="432" t="s">
        <v>3785</v>
      </c>
      <c r="O2873" s="521" t="s">
        <v>5847</v>
      </c>
      <c r="P2873" s="438" t="s">
        <v>5530</v>
      </c>
      <c r="Q2873" s="481">
        <v>0.2</v>
      </c>
      <c r="R2873" s="427">
        <v>1900001375</v>
      </c>
      <c r="S2873" s="513" t="s">
        <v>3475</v>
      </c>
      <c r="T2873" s="2" t="s">
        <v>5914</v>
      </c>
      <c r="U2873" s="9" t="s">
        <v>3475</v>
      </c>
    </row>
    <row r="2874" spans="1:21" x14ac:dyDescent="0.35">
      <c r="A2874" s="435" t="s">
        <v>5160</v>
      </c>
      <c r="B2874" s="543" t="s">
        <v>5879</v>
      </c>
      <c r="C2874" s="517" t="s">
        <v>5845</v>
      </c>
      <c r="D2874" s="517" t="s">
        <v>5845</v>
      </c>
      <c r="E2874" s="517"/>
      <c r="F2874" s="438" t="s">
        <v>5846</v>
      </c>
      <c r="G2874" s="438" t="s">
        <v>5840</v>
      </c>
      <c r="H2874" s="427" t="s">
        <v>5163</v>
      </c>
      <c r="I2874" s="518">
        <v>225.52</v>
      </c>
      <c r="J2874" s="381">
        <v>58.6</v>
      </c>
      <c r="K2874" s="519">
        <v>58.6</v>
      </c>
      <c r="L2874" s="369">
        <f t="shared" si="196"/>
        <v>11.72</v>
      </c>
      <c r="M2874" s="369" t="s">
        <v>6171</v>
      </c>
      <c r="N2874" s="432" t="s">
        <v>3785</v>
      </c>
      <c r="O2874" s="521" t="s">
        <v>5847</v>
      </c>
      <c r="P2874" s="438" t="s">
        <v>5530</v>
      </c>
      <c r="Q2874" s="481">
        <v>0.2</v>
      </c>
      <c r="R2874" s="427">
        <v>1900001375</v>
      </c>
      <c r="S2874" s="513" t="s">
        <v>3475</v>
      </c>
      <c r="T2874" s="2" t="s">
        <v>5914</v>
      </c>
      <c r="U2874" s="9" t="s">
        <v>3475</v>
      </c>
    </row>
    <row r="2875" spans="1:21" x14ac:dyDescent="0.35">
      <c r="A2875" s="435" t="s">
        <v>5160</v>
      </c>
      <c r="B2875" s="543" t="s">
        <v>5879</v>
      </c>
      <c r="C2875" s="517" t="s">
        <v>5845</v>
      </c>
      <c r="D2875" s="517" t="s">
        <v>5845</v>
      </c>
      <c r="E2875" s="517"/>
      <c r="F2875" s="438" t="s">
        <v>5846</v>
      </c>
      <c r="G2875" s="438" t="s">
        <v>5840</v>
      </c>
      <c r="H2875" s="427" t="s">
        <v>5163</v>
      </c>
      <c r="I2875" s="518">
        <v>225.52</v>
      </c>
      <c r="J2875" s="381">
        <v>58.6</v>
      </c>
      <c r="K2875" s="519">
        <v>58.6</v>
      </c>
      <c r="L2875" s="369">
        <f t="shared" si="196"/>
        <v>11.72</v>
      </c>
      <c r="M2875" s="369" t="s">
        <v>6171</v>
      </c>
      <c r="N2875" s="432" t="s">
        <v>3785</v>
      </c>
      <c r="O2875" s="521" t="s">
        <v>5847</v>
      </c>
      <c r="P2875" s="438" t="s">
        <v>5530</v>
      </c>
      <c r="Q2875" s="481">
        <v>0.2</v>
      </c>
      <c r="R2875" s="427">
        <v>1900001375</v>
      </c>
      <c r="S2875" s="513" t="s">
        <v>3475</v>
      </c>
      <c r="T2875" s="2" t="s">
        <v>5914</v>
      </c>
      <c r="U2875" s="9" t="s">
        <v>3475</v>
      </c>
    </row>
    <row r="2876" spans="1:21" x14ac:dyDescent="0.35">
      <c r="A2876" s="435" t="s">
        <v>5160</v>
      </c>
      <c r="B2876" s="543" t="s">
        <v>5879</v>
      </c>
      <c r="C2876" s="517" t="s">
        <v>5845</v>
      </c>
      <c r="D2876" s="517" t="s">
        <v>5845</v>
      </c>
      <c r="E2876" s="517"/>
      <c r="F2876" s="438" t="s">
        <v>5846</v>
      </c>
      <c r="G2876" s="438" t="s">
        <v>5840</v>
      </c>
      <c r="H2876" s="427" t="s">
        <v>5163</v>
      </c>
      <c r="I2876" s="518">
        <v>225.52</v>
      </c>
      <c r="J2876" s="381">
        <v>58.6</v>
      </c>
      <c r="K2876" s="519">
        <v>58.6</v>
      </c>
      <c r="L2876" s="369">
        <f t="shared" si="196"/>
        <v>11.72</v>
      </c>
      <c r="M2876" s="369" t="s">
        <v>6171</v>
      </c>
      <c r="N2876" s="432" t="s">
        <v>3785</v>
      </c>
      <c r="O2876" s="521" t="s">
        <v>5847</v>
      </c>
      <c r="P2876" s="438" t="s">
        <v>5530</v>
      </c>
      <c r="Q2876" s="481">
        <v>0.2</v>
      </c>
      <c r="R2876" s="427">
        <v>1900001375</v>
      </c>
      <c r="S2876" s="513" t="s">
        <v>3475</v>
      </c>
      <c r="T2876" s="2" t="s">
        <v>5914</v>
      </c>
      <c r="U2876" s="9" t="s">
        <v>3475</v>
      </c>
    </row>
    <row r="2877" spans="1:21" x14ac:dyDescent="0.35">
      <c r="A2877" s="435" t="s">
        <v>5160</v>
      </c>
      <c r="B2877" s="543" t="s">
        <v>5879</v>
      </c>
      <c r="C2877" s="517" t="s">
        <v>5845</v>
      </c>
      <c r="D2877" s="517" t="s">
        <v>5845</v>
      </c>
      <c r="E2877" s="517"/>
      <c r="F2877" s="438" t="s">
        <v>5846</v>
      </c>
      <c r="G2877" s="438" t="s">
        <v>5840</v>
      </c>
      <c r="H2877" s="427" t="s">
        <v>5163</v>
      </c>
      <c r="I2877" s="518">
        <v>225.52</v>
      </c>
      <c r="J2877" s="381">
        <v>58.6</v>
      </c>
      <c r="K2877" s="519">
        <v>58.6</v>
      </c>
      <c r="L2877" s="369">
        <f t="shared" si="196"/>
        <v>11.72</v>
      </c>
      <c r="M2877" s="369" t="s">
        <v>6171</v>
      </c>
      <c r="N2877" s="432" t="s">
        <v>3785</v>
      </c>
      <c r="O2877" s="521" t="s">
        <v>5847</v>
      </c>
      <c r="P2877" s="438" t="s">
        <v>5530</v>
      </c>
      <c r="Q2877" s="481">
        <v>0.2</v>
      </c>
      <c r="R2877" s="427">
        <v>1900001375</v>
      </c>
      <c r="S2877" s="513" t="s">
        <v>3475</v>
      </c>
      <c r="T2877" s="2" t="s">
        <v>5914</v>
      </c>
      <c r="U2877" s="9" t="s">
        <v>3475</v>
      </c>
    </row>
    <row r="2878" spans="1:21" x14ac:dyDescent="0.35">
      <c r="A2878" s="435" t="s">
        <v>5160</v>
      </c>
      <c r="B2878" s="543" t="s">
        <v>5879</v>
      </c>
      <c r="C2878" s="517" t="s">
        <v>5845</v>
      </c>
      <c r="D2878" s="517" t="s">
        <v>5845</v>
      </c>
      <c r="E2878" s="517"/>
      <c r="F2878" s="438" t="s">
        <v>5846</v>
      </c>
      <c r="G2878" s="438" t="s">
        <v>5840</v>
      </c>
      <c r="H2878" s="427" t="s">
        <v>5163</v>
      </c>
      <c r="I2878" s="518">
        <v>225.52</v>
      </c>
      <c r="J2878" s="381">
        <v>58.6</v>
      </c>
      <c r="K2878" s="519">
        <v>58.6</v>
      </c>
      <c r="L2878" s="369">
        <f t="shared" si="196"/>
        <v>11.72</v>
      </c>
      <c r="M2878" s="369" t="s">
        <v>6171</v>
      </c>
      <c r="N2878" s="432" t="s">
        <v>3785</v>
      </c>
      <c r="O2878" s="521" t="s">
        <v>5847</v>
      </c>
      <c r="P2878" s="438" t="s">
        <v>5530</v>
      </c>
      <c r="Q2878" s="481">
        <v>0.2</v>
      </c>
      <c r="R2878" s="427">
        <v>1900001375</v>
      </c>
      <c r="S2878" s="513" t="s">
        <v>3475</v>
      </c>
      <c r="T2878" s="2" t="s">
        <v>5914</v>
      </c>
      <c r="U2878" s="9" t="s">
        <v>3475</v>
      </c>
    </row>
    <row r="2879" spans="1:21" x14ac:dyDescent="0.35">
      <c r="A2879" s="435" t="s">
        <v>5160</v>
      </c>
      <c r="B2879" s="543" t="s">
        <v>5879</v>
      </c>
      <c r="C2879" s="517" t="s">
        <v>5845</v>
      </c>
      <c r="D2879" s="517" t="s">
        <v>5845</v>
      </c>
      <c r="E2879" s="517"/>
      <c r="F2879" s="438" t="s">
        <v>5846</v>
      </c>
      <c r="G2879" s="438" t="s">
        <v>5840</v>
      </c>
      <c r="H2879" s="427" t="s">
        <v>5163</v>
      </c>
      <c r="I2879" s="518">
        <v>225.52</v>
      </c>
      <c r="J2879" s="381">
        <v>58.6</v>
      </c>
      <c r="K2879" s="519">
        <v>58.6</v>
      </c>
      <c r="L2879" s="369">
        <f t="shared" si="196"/>
        <v>11.72</v>
      </c>
      <c r="M2879" s="369" t="s">
        <v>6171</v>
      </c>
      <c r="N2879" s="432" t="s">
        <v>3785</v>
      </c>
      <c r="O2879" s="521" t="s">
        <v>5847</v>
      </c>
      <c r="P2879" s="438" t="s">
        <v>5530</v>
      </c>
      <c r="Q2879" s="481">
        <v>0.2</v>
      </c>
      <c r="R2879" s="427">
        <v>1900001375</v>
      </c>
      <c r="S2879" s="513" t="s">
        <v>3475</v>
      </c>
      <c r="T2879" s="2" t="s">
        <v>5914</v>
      </c>
      <c r="U2879" s="9" t="s">
        <v>3475</v>
      </c>
    </row>
    <row r="2880" spans="1:21" x14ac:dyDescent="0.35">
      <c r="A2880" s="435" t="s">
        <v>5160</v>
      </c>
      <c r="B2880" s="543" t="s">
        <v>5879</v>
      </c>
      <c r="C2880" s="517" t="s">
        <v>5845</v>
      </c>
      <c r="D2880" s="517" t="s">
        <v>5845</v>
      </c>
      <c r="E2880" s="517"/>
      <c r="F2880" s="438" t="s">
        <v>5846</v>
      </c>
      <c r="G2880" s="438" t="s">
        <v>5840</v>
      </c>
      <c r="H2880" s="427" t="s">
        <v>5163</v>
      </c>
      <c r="I2880" s="518">
        <v>225.52</v>
      </c>
      <c r="J2880" s="381">
        <v>58.6</v>
      </c>
      <c r="K2880" s="519">
        <v>58.6</v>
      </c>
      <c r="L2880" s="369">
        <f t="shared" si="196"/>
        <v>11.72</v>
      </c>
      <c r="M2880" s="369" t="s">
        <v>6171</v>
      </c>
      <c r="N2880" s="432" t="s">
        <v>3785</v>
      </c>
      <c r="O2880" s="521" t="s">
        <v>5847</v>
      </c>
      <c r="P2880" s="438" t="s">
        <v>5530</v>
      </c>
      <c r="Q2880" s="481">
        <v>0.2</v>
      </c>
      <c r="R2880" s="427">
        <v>1900001375</v>
      </c>
      <c r="S2880" s="513" t="s">
        <v>3475</v>
      </c>
      <c r="T2880" s="2" t="s">
        <v>5914</v>
      </c>
      <c r="U2880" s="9" t="s">
        <v>3475</v>
      </c>
    </row>
    <row r="2881" spans="1:21" x14ac:dyDescent="0.35">
      <c r="A2881" s="435" t="s">
        <v>5160</v>
      </c>
      <c r="B2881" s="543" t="s">
        <v>5879</v>
      </c>
      <c r="C2881" s="517" t="s">
        <v>5845</v>
      </c>
      <c r="D2881" s="517" t="s">
        <v>5845</v>
      </c>
      <c r="E2881" s="517"/>
      <c r="F2881" s="438" t="s">
        <v>5846</v>
      </c>
      <c r="G2881" s="438" t="s">
        <v>5840</v>
      </c>
      <c r="H2881" s="427" t="s">
        <v>5163</v>
      </c>
      <c r="I2881" s="518">
        <v>225.52</v>
      </c>
      <c r="J2881" s="381">
        <v>58.6</v>
      </c>
      <c r="K2881" s="519">
        <v>58.6</v>
      </c>
      <c r="L2881" s="369">
        <f t="shared" si="196"/>
        <v>11.72</v>
      </c>
      <c r="M2881" s="369" t="s">
        <v>6171</v>
      </c>
      <c r="N2881" s="432" t="s">
        <v>3785</v>
      </c>
      <c r="O2881" s="521" t="s">
        <v>5847</v>
      </c>
      <c r="P2881" s="438" t="s">
        <v>5530</v>
      </c>
      <c r="Q2881" s="481">
        <v>0.2</v>
      </c>
      <c r="R2881" s="427">
        <v>1900001375</v>
      </c>
      <c r="S2881" s="513" t="s">
        <v>3475</v>
      </c>
      <c r="T2881" s="2" t="s">
        <v>5914</v>
      </c>
      <c r="U2881" s="9" t="s">
        <v>3475</v>
      </c>
    </row>
    <row r="2882" spans="1:21" x14ac:dyDescent="0.35">
      <c r="A2882" s="435" t="s">
        <v>5160</v>
      </c>
      <c r="B2882" s="543" t="s">
        <v>5879</v>
      </c>
      <c r="C2882" s="517" t="s">
        <v>5845</v>
      </c>
      <c r="D2882" s="517" t="s">
        <v>5845</v>
      </c>
      <c r="E2882" s="517"/>
      <c r="F2882" s="438" t="s">
        <v>5846</v>
      </c>
      <c r="G2882" s="438" t="s">
        <v>5840</v>
      </c>
      <c r="H2882" s="427" t="s">
        <v>5163</v>
      </c>
      <c r="I2882" s="518">
        <v>225.52</v>
      </c>
      <c r="J2882" s="381">
        <v>58.6</v>
      </c>
      <c r="K2882" s="519">
        <v>58.6</v>
      </c>
      <c r="L2882" s="369">
        <f t="shared" si="196"/>
        <v>11.72</v>
      </c>
      <c r="M2882" s="369" t="s">
        <v>6171</v>
      </c>
      <c r="N2882" s="432" t="s">
        <v>3785</v>
      </c>
      <c r="O2882" s="521" t="s">
        <v>5847</v>
      </c>
      <c r="P2882" s="438" t="s">
        <v>5530</v>
      </c>
      <c r="Q2882" s="481">
        <v>0.2</v>
      </c>
      <c r="R2882" s="427">
        <v>1900001375</v>
      </c>
      <c r="S2882" s="513" t="s">
        <v>3475</v>
      </c>
      <c r="T2882" s="2" t="s">
        <v>5914</v>
      </c>
      <c r="U2882" s="9" t="s">
        <v>3475</v>
      </c>
    </row>
    <row r="2883" spans="1:21" x14ac:dyDescent="0.35">
      <c r="A2883" s="435" t="s">
        <v>5160</v>
      </c>
      <c r="B2883" s="543" t="s">
        <v>5879</v>
      </c>
      <c r="C2883" s="517" t="s">
        <v>5845</v>
      </c>
      <c r="D2883" s="517" t="s">
        <v>5845</v>
      </c>
      <c r="E2883" s="517"/>
      <c r="F2883" s="438" t="s">
        <v>5846</v>
      </c>
      <c r="G2883" s="438" t="s">
        <v>5840</v>
      </c>
      <c r="H2883" s="427" t="s">
        <v>5163</v>
      </c>
      <c r="I2883" s="518">
        <v>225.52</v>
      </c>
      <c r="J2883" s="381">
        <v>58.6</v>
      </c>
      <c r="K2883" s="519">
        <v>58.6</v>
      </c>
      <c r="L2883" s="369">
        <f t="shared" si="196"/>
        <v>11.72</v>
      </c>
      <c r="M2883" s="369" t="s">
        <v>6171</v>
      </c>
      <c r="N2883" s="432" t="s">
        <v>3785</v>
      </c>
      <c r="O2883" s="521" t="s">
        <v>5847</v>
      </c>
      <c r="P2883" s="438" t="s">
        <v>5530</v>
      </c>
      <c r="Q2883" s="481">
        <v>0.2</v>
      </c>
      <c r="R2883" s="427">
        <v>1900001375</v>
      </c>
      <c r="S2883" s="513" t="s">
        <v>3475</v>
      </c>
      <c r="T2883" s="2" t="s">
        <v>5914</v>
      </c>
      <c r="U2883" s="9" t="s">
        <v>3475</v>
      </c>
    </row>
    <row r="2884" spans="1:21" x14ac:dyDescent="0.35">
      <c r="A2884" s="435" t="s">
        <v>5160</v>
      </c>
      <c r="B2884" s="543" t="s">
        <v>5879</v>
      </c>
      <c r="C2884" s="517" t="s">
        <v>5845</v>
      </c>
      <c r="D2884" s="517" t="s">
        <v>5845</v>
      </c>
      <c r="E2884" s="517"/>
      <c r="F2884" s="438" t="s">
        <v>5846</v>
      </c>
      <c r="G2884" s="438" t="s">
        <v>5840</v>
      </c>
      <c r="H2884" s="427" t="s">
        <v>5163</v>
      </c>
      <c r="I2884" s="518">
        <v>225.52</v>
      </c>
      <c r="J2884" s="381">
        <v>58.6</v>
      </c>
      <c r="K2884" s="519">
        <v>58.6</v>
      </c>
      <c r="L2884" s="369">
        <f t="shared" si="196"/>
        <v>11.72</v>
      </c>
      <c r="M2884" s="369" t="s">
        <v>6171</v>
      </c>
      <c r="N2884" s="432" t="s">
        <v>3785</v>
      </c>
      <c r="O2884" s="521" t="s">
        <v>5847</v>
      </c>
      <c r="P2884" s="438" t="s">
        <v>5530</v>
      </c>
      <c r="Q2884" s="481">
        <v>0.2</v>
      </c>
      <c r="R2884" s="427">
        <v>1900001375</v>
      </c>
      <c r="S2884" s="513" t="s">
        <v>3475</v>
      </c>
      <c r="T2884" s="2" t="s">
        <v>5914</v>
      </c>
      <c r="U2884" s="9" t="s">
        <v>3475</v>
      </c>
    </row>
    <row r="2885" spans="1:21" x14ac:dyDescent="0.35">
      <c r="A2885" s="435" t="s">
        <v>5160</v>
      </c>
      <c r="B2885" s="543" t="s">
        <v>5879</v>
      </c>
      <c r="C2885" s="517" t="s">
        <v>5845</v>
      </c>
      <c r="D2885" s="517" t="s">
        <v>5845</v>
      </c>
      <c r="E2885" s="517"/>
      <c r="F2885" s="438" t="s">
        <v>5846</v>
      </c>
      <c r="G2885" s="438" t="s">
        <v>5840</v>
      </c>
      <c r="H2885" s="427" t="s">
        <v>5163</v>
      </c>
      <c r="I2885" s="518">
        <v>225.52</v>
      </c>
      <c r="J2885" s="381">
        <v>58.6</v>
      </c>
      <c r="K2885" s="519">
        <v>58.6</v>
      </c>
      <c r="L2885" s="369">
        <f t="shared" ref="L2885:L2948" si="197">+K2885*Q2885</f>
        <v>11.72</v>
      </c>
      <c r="M2885" s="369" t="s">
        <v>6171</v>
      </c>
      <c r="N2885" s="432" t="s">
        <v>3785</v>
      </c>
      <c r="O2885" s="521" t="s">
        <v>5847</v>
      </c>
      <c r="P2885" s="438" t="s">
        <v>5530</v>
      </c>
      <c r="Q2885" s="481">
        <v>0.2</v>
      </c>
      <c r="R2885" s="427">
        <v>1900001375</v>
      </c>
      <c r="S2885" s="513" t="s">
        <v>3475</v>
      </c>
      <c r="T2885" s="2" t="s">
        <v>5914</v>
      </c>
      <c r="U2885" s="9" t="s">
        <v>3475</v>
      </c>
    </row>
    <row r="2886" spans="1:21" x14ac:dyDescent="0.35">
      <c r="A2886" s="435" t="s">
        <v>5160</v>
      </c>
      <c r="B2886" s="543" t="s">
        <v>5879</v>
      </c>
      <c r="C2886" s="517" t="s">
        <v>5845</v>
      </c>
      <c r="D2886" s="517" t="s">
        <v>5845</v>
      </c>
      <c r="E2886" s="517"/>
      <c r="F2886" s="438" t="s">
        <v>5846</v>
      </c>
      <c r="G2886" s="438" t="s">
        <v>5840</v>
      </c>
      <c r="H2886" s="427" t="s">
        <v>5163</v>
      </c>
      <c r="I2886" s="518">
        <v>225.52</v>
      </c>
      <c r="J2886" s="381">
        <v>58.6</v>
      </c>
      <c r="K2886" s="519">
        <v>58.6</v>
      </c>
      <c r="L2886" s="369">
        <f t="shared" si="197"/>
        <v>11.72</v>
      </c>
      <c r="M2886" s="369" t="s">
        <v>6171</v>
      </c>
      <c r="N2886" s="432" t="s">
        <v>3785</v>
      </c>
      <c r="O2886" s="521" t="s">
        <v>5847</v>
      </c>
      <c r="P2886" s="438" t="s">
        <v>5530</v>
      </c>
      <c r="Q2886" s="481">
        <v>0.2</v>
      </c>
      <c r="R2886" s="427">
        <v>1900001375</v>
      </c>
      <c r="S2886" s="513" t="s">
        <v>3475</v>
      </c>
      <c r="T2886" s="2" t="s">
        <v>5914</v>
      </c>
      <c r="U2886" s="9" t="s">
        <v>3475</v>
      </c>
    </row>
    <row r="2887" spans="1:21" x14ac:dyDescent="0.35">
      <c r="A2887" s="435" t="s">
        <v>5160</v>
      </c>
      <c r="B2887" s="543" t="s">
        <v>5879</v>
      </c>
      <c r="C2887" s="517" t="s">
        <v>5845</v>
      </c>
      <c r="D2887" s="517" t="s">
        <v>5845</v>
      </c>
      <c r="E2887" s="517"/>
      <c r="F2887" s="438" t="s">
        <v>5846</v>
      </c>
      <c r="G2887" s="438" t="s">
        <v>5840</v>
      </c>
      <c r="H2887" s="427" t="s">
        <v>5163</v>
      </c>
      <c r="I2887" s="518">
        <v>225.52</v>
      </c>
      <c r="J2887" s="381">
        <v>58.6</v>
      </c>
      <c r="K2887" s="519">
        <v>58.6</v>
      </c>
      <c r="L2887" s="369">
        <f t="shared" si="197"/>
        <v>11.72</v>
      </c>
      <c r="M2887" s="369" t="s">
        <v>6171</v>
      </c>
      <c r="N2887" s="432" t="s">
        <v>3785</v>
      </c>
      <c r="O2887" s="521" t="s">
        <v>5847</v>
      </c>
      <c r="P2887" s="438" t="s">
        <v>5530</v>
      </c>
      <c r="Q2887" s="481">
        <v>0.2</v>
      </c>
      <c r="R2887" s="427">
        <v>1900001375</v>
      </c>
      <c r="S2887" s="513" t="s">
        <v>3475</v>
      </c>
      <c r="T2887" s="2" t="s">
        <v>5914</v>
      </c>
      <c r="U2887" s="9" t="s">
        <v>3475</v>
      </c>
    </row>
    <row r="2888" spans="1:21" x14ac:dyDescent="0.35">
      <c r="A2888" s="435" t="s">
        <v>5160</v>
      </c>
      <c r="B2888" s="543" t="s">
        <v>5879</v>
      </c>
      <c r="C2888" s="517" t="s">
        <v>5845</v>
      </c>
      <c r="D2888" s="517" t="s">
        <v>5845</v>
      </c>
      <c r="E2888" s="517"/>
      <c r="F2888" s="438" t="s">
        <v>5846</v>
      </c>
      <c r="G2888" s="438" t="s">
        <v>5840</v>
      </c>
      <c r="H2888" s="427" t="s">
        <v>5163</v>
      </c>
      <c r="I2888" s="518">
        <v>225.52</v>
      </c>
      <c r="J2888" s="381">
        <v>58.6</v>
      </c>
      <c r="K2888" s="519">
        <v>58.6</v>
      </c>
      <c r="L2888" s="369">
        <f t="shared" si="197"/>
        <v>11.72</v>
      </c>
      <c r="M2888" s="369" t="s">
        <v>6171</v>
      </c>
      <c r="N2888" s="432" t="s">
        <v>3785</v>
      </c>
      <c r="O2888" s="521" t="s">
        <v>5847</v>
      </c>
      <c r="P2888" s="438" t="s">
        <v>5530</v>
      </c>
      <c r="Q2888" s="481">
        <v>0.2</v>
      </c>
      <c r="R2888" s="427">
        <v>1900001375</v>
      </c>
      <c r="S2888" s="513" t="s">
        <v>3475</v>
      </c>
      <c r="T2888" s="2" t="s">
        <v>5914</v>
      </c>
      <c r="U2888" s="9" t="s">
        <v>3475</v>
      </c>
    </row>
    <row r="2889" spans="1:21" x14ac:dyDescent="0.35">
      <c r="A2889" s="435" t="s">
        <v>5160</v>
      </c>
      <c r="B2889" s="543" t="s">
        <v>5879</v>
      </c>
      <c r="C2889" s="517" t="s">
        <v>5845</v>
      </c>
      <c r="D2889" s="517" t="s">
        <v>5845</v>
      </c>
      <c r="E2889" s="517"/>
      <c r="F2889" s="438" t="s">
        <v>5846</v>
      </c>
      <c r="G2889" s="438" t="s">
        <v>5840</v>
      </c>
      <c r="H2889" s="427" t="s">
        <v>5163</v>
      </c>
      <c r="I2889" s="518">
        <v>225.52</v>
      </c>
      <c r="J2889" s="381">
        <v>58.6</v>
      </c>
      <c r="K2889" s="519">
        <v>58.6</v>
      </c>
      <c r="L2889" s="369">
        <f t="shared" si="197"/>
        <v>11.72</v>
      </c>
      <c r="M2889" s="369" t="s">
        <v>6171</v>
      </c>
      <c r="N2889" s="432" t="s">
        <v>3785</v>
      </c>
      <c r="O2889" s="521" t="s">
        <v>5847</v>
      </c>
      <c r="P2889" s="438" t="s">
        <v>5530</v>
      </c>
      <c r="Q2889" s="481">
        <v>0.2</v>
      </c>
      <c r="R2889" s="427">
        <v>1900001375</v>
      </c>
      <c r="S2889" s="513" t="s">
        <v>3475</v>
      </c>
      <c r="T2889" s="2" t="s">
        <v>5914</v>
      </c>
      <c r="U2889" s="9" t="s">
        <v>3475</v>
      </c>
    </row>
    <row r="2890" spans="1:21" x14ac:dyDescent="0.35">
      <c r="A2890" s="435" t="s">
        <v>5160</v>
      </c>
      <c r="B2890" s="543" t="s">
        <v>5879</v>
      </c>
      <c r="C2890" s="517" t="s">
        <v>5845</v>
      </c>
      <c r="D2890" s="517" t="s">
        <v>5845</v>
      </c>
      <c r="E2890" s="517"/>
      <c r="F2890" s="438" t="s">
        <v>5846</v>
      </c>
      <c r="G2890" s="438" t="s">
        <v>5840</v>
      </c>
      <c r="H2890" s="427" t="s">
        <v>5163</v>
      </c>
      <c r="I2890" s="518">
        <v>225.52</v>
      </c>
      <c r="J2890" s="381">
        <v>58.6</v>
      </c>
      <c r="K2890" s="519">
        <v>58.6</v>
      </c>
      <c r="L2890" s="369">
        <f t="shared" si="197"/>
        <v>11.72</v>
      </c>
      <c r="M2890" s="369" t="s">
        <v>6171</v>
      </c>
      <c r="N2890" s="432" t="s">
        <v>3785</v>
      </c>
      <c r="O2890" s="521" t="s">
        <v>5847</v>
      </c>
      <c r="P2890" s="438" t="s">
        <v>5530</v>
      </c>
      <c r="Q2890" s="481">
        <v>0.2</v>
      </c>
      <c r="R2890" s="427">
        <v>1900001375</v>
      </c>
      <c r="S2890" s="513" t="s">
        <v>3475</v>
      </c>
      <c r="T2890" s="2" t="s">
        <v>5914</v>
      </c>
      <c r="U2890" s="9" t="s">
        <v>3475</v>
      </c>
    </row>
    <row r="2891" spans="1:21" x14ac:dyDescent="0.35">
      <c r="A2891" s="435" t="s">
        <v>5160</v>
      </c>
      <c r="B2891" s="543" t="s">
        <v>5879</v>
      </c>
      <c r="C2891" s="517" t="s">
        <v>5845</v>
      </c>
      <c r="D2891" s="517" t="s">
        <v>5845</v>
      </c>
      <c r="E2891" s="517"/>
      <c r="F2891" s="438" t="s">
        <v>5846</v>
      </c>
      <c r="G2891" s="438" t="s">
        <v>5840</v>
      </c>
      <c r="H2891" s="427" t="s">
        <v>5163</v>
      </c>
      <c r="I2891" s="518">
        <v>225.52</v>
      </c>
      <c r="J2891" s="381">
        <v>58.6</v>
      </c>
      <c r="K2891" s="519">
        <v>58.6</v>
      </c>
      <c r="L2891" s="369">
        <f t="shared" si="197"/>
        <v>11.72</v>
      </c>
      <c r="M2891" s="369" t="s">
        <v>6171</v>
      </c>
      <c r="N2891" s="432" t="s">
        <v>3785</v>
      </c>
      <c r="O2891" s="521" t="s">
        <v>5847</v>
      </c>
      <c r="P2891" s="438" t="s">
        <v>5530</v>
      </c>
      <c r="Q2891" s="481">
        <v>0.2</v>
      </c>
      <c r="R2891" s="427">
        <v>1900001375</v>
      </c>
      <c r="S2891" s="513" t="s">
        <v>3475</v>
      </c>
      <c r="T2891" s="2" t="s">
        <v>5914</v>
      </c>
      <c r="U2891" s="9" t="s">
        <v>3475</v>
      </c>
    </row>
    <row r="2892" spans="1:21" x14ac:dyDescent="0.35">
      <c r="A2892" s="435" t="s">
        <v>5160</v>
      </c>
      <c r="B2892" s="543" t="s">
        <v>5879</v>
      </c>
      <c r="C2892" s="517" t="s">
        <v>5845</v>
      </c>
      <c r="D2892" s="517" t="s">
        <v>5845</v>
      </c>
      <c r="E2892" s="517"/>
      <c r="F2892" s="438" t="s">
        <v>5846</v>
      </c>
      <c r="G2892" s="438" t="s">
        <v>5840</v>
      </c>
      <c r="H2892" s="427" t="s">
        <v>5163</v>
      </c>
      <c r="I2892" s="518">
        <v>225.52</v>
      </c>
      <c r="J2892" s="381">
        <v>58.6</v>
      </c>
      <c r="K2892" s="519">
        <v>58.6</v>
      </c>
      <c r="L2892" s="369">
        <f t="shared" si="197"/>
        <v>11.72</v>
      </c>
      <c r="M2892" s="369" t="s">
        <v>6171</v>
      </c>
      <c r="N2892" s="432" t="s">
        <v>3785</v>
      </c>
      <c r="O2892" s="521" t="s">
        <v>5847</v>
      </c>
      <c r="P2892" s="438" t="s">
        <v>5530</v>
      </c>
      <c r="Q2892" s="481">
        <v>0.2</v>
      </c>
      <c r="R2892" s="427">
        <v>1900001375</v>
      </c>
      <c r="S2892" s="513" t="s">
        <v>3475</v>
      </c>
      <c r="T2892" s="2" t="s">
        <v>5914</v>
      </c>
      <c r="U2892" s="9" t="s">
        <v>3475</v>
      </c>
    </row>
    <row r="2893" spans="1:21" x14ac:dyDescent="0.35">
      <c r="A2893" s="435" t="s">
        <v>5160</v>
      </c>
      <c r="B2893" s="543" t="s">
        <v>5879</v>
      </c>
      <c r="C2893" s="517" t="s">
        <v>5845</v>
      </c>
      <c r="D2893" s="517" t="s">
        <v>5845</v>
      </c>
      <c r="E2893" s="517"/>
      <c r="F2893" s="438" t="s">
        <v>5846</v>
      </c>
      <c r="G2893" s="438" t="s">
        <v>5840</v>
      </c>
      <c r="H2893" s="427" t="s">
        <v>5163</v>
      </c>
      <c r="I2893" s="518">
        <v>225.52</v>
      </c>
      <c r="J2893" s="381">
        <v>58.6</v>
      </c>
      <c r="K2893" s="519">
        <v>58.6</v>
      </c>
      <c r="L2893" s="369">
        <f t="shared" si="197"/>
        <v>11.72</v>
      </c>
      <c r="M2893" s="369" t="s">
        <v>6171</v>
      </c>
      <c r="N2893" s="432" t="s">
        <v>3785</v>
      </c>
      <c r="O2893" s="521" t="s">
        <v>5847</v>
      </c>
      <c r="P2893" s="438" t="s">
        <v>5530</v>
      </c>
      <c r="Q2893" s="481">
        <v>0.2</v>
      </c>
      <c r="R2893" s="427">
        <v>1900001375</v>
      </c>
      <c r="S2893" s="513" t="s">
        <v>3475</v>
      </c>
      <c r="T2893" s="2" t="s">
        <v>5914</v>
      </c>
      <c r="U2893" s="9" t="s">
        <v>3475</v>
      </c>
    </row>
    <row r="2894" spans="1:21" x14ac:dyDescent="0.35">
      <c r="A2894" s="435" t="s">
        <v>5160</v>
      </c>
      <c r="B2894" s="543" t="s">
        <v>5879</v>
      </c>
      <c r="C2894" s="517" t="s">
        <v>5845</v>
      </c>
      <c r="D2894" s="517" t="s">
        <v>5845</v>
      </c>
      <c r="E2894" s="517"/>
      <c r="F2894" s="438" t="s">
        <v>5846</v>
      </c>
      <c r="G2894" s="438" t="s">
        <v>5840</v>
      </c>
      <c r="H2894" s="427" t="s">
        <v>5163</v>
      </c>
      <c r="I2894" s="518">
        <v>225.52</v>
      </c>
      <c r="J2894" s="381">
        <v>58.6</v>
      </c>
      <c r="K2894" s="519">
        <v>58.6</v>
      </c>
      <c r="L2894" s="369">
        <f t="shared" si="197"/>
        <v>11.72</v>
      </c>
      <c r="M2894" s="369" t="s">
        <v>6171</v>
      </c>
      <c r="N2894" s="432" t="s">
        <v>3785</v>
      </c>
      <c r="O2894" s="521" t="s">
        <v>5847</v>
      </c>
      <c r="P2894" s="438" t="s">
        <v>5530</v>
      </c>
      <c r="Q2894" s="481">
        <v>0.2</v>
      </c>
      <c r="R2894" s="427">
        <v>1900001375</v>
      </c>
      <c r="S2894" s="513" t="s">
        <v>3475</v>
      </c>
      <c r="T2894" s="2" t="s">
        <v>5914</v>
      </c>
      <c r="U2894" s="9" t="s">
        <v>3475</v>
      </c>
    </row>
    <row r="2895" spans="1:21" x14ac:dyDescent="0.35">
      <c r="A2895" s="435" t="s">
        <v>5160</v>
      </c>
      <c r="B2895" s="543" t="s">
        <v>5879</v>
      </c>
      <c r="C2895" s="517" t="s">
        <v>5845</v>
      </c>
      <c r="D2895" s="517" t="s">
        <v>5845</v>
      </c>
      <c r="E2895" s="517"/>
      <c r="F2895" s="438" t="s">
        <v>5846</v>
      </c>
      <c r="G2895" s="438" t="s">
        <v>5840</v>
      </c>
      <c r="H2895" s="427" t="s">
        <v>5163</v>
      </c>
      <c r="I2895" s="518">
        <v>225.52</v>
      </c>
      <c r="J2895" s="381">
        <v>58.6</v>
      </c>
      <c r="K2895" s="519">
        <v>58.6</v>
      </c>
      <c r="L2895" s="369">
        <f t="shared" si="197"/>
        <v>11.72</v>
      </c>
      <c r="M2895" s="369" t="s">
        <v>6171</v>
      </c>
      <c r="N2895" s="432" t="s">
        <v>3785</v>
      </c>
      <c r="O2895" s="521" t="s">
        <v>5847</v>
      </c>
      <c r="P2895" s="438" t="s">
        <v>5530</v>
      </c>
      <c r="Q2895" s="481">
        <v>0.2</v>
      </c>
      <c r="R2895" s="427">
        <v>1900001375</v>
      </c>
      <c r="S2895" s="513" t="s">
        <v>3475</v>
      </c>
      <c r="T2895" s="2" t="s">
        <v>5914</v>
      </c>
      <c r="U2895" s="9" t="s">
        <v>3475</v>
      </c>
    </row>
    <row r="2896" spans="1:21" x14ac:dyDescent="0.35">
      <c r="A2896" s="435" t="s">
        <v>5160</v>
      </c>
      <c r="B2896" s="543" t="s">
        <v>5879</v>
      </c>
      <c r="C2896" s="517" t="s">
        <v>5845</v>
      </c>
      <c r="D2896" s="517" t="s">
        <v>5845</v>
      </c>
      <c r="E2896" s="517"/>
      <c r="F2896" s="438" t="s">
        <v>5846</v>
      </c>
      <c r="G2896" s="438" t="s">
        <v>5840</v>
      </c>
      <c r="H2896" s="427" t="s">
        <v>5163</v>
      </c>
      <c r="I2896" s="518">
        <v>225.52</v>
      </c>
      <c r="J2896" s="381">
        <v>58.6</v>
      </c>
      <c r="K2896" s="519">
        <v>58.6</v>
      </c>
      <c r="L2896" s="369">
        <f t="shared" si="197"/>
        <v>11.72</v>
      </c>
      <c r="M2896" s="369" t="s">
        <v>6171</v>
      </c>
      <c r="N2896" s="432" t="s">
        <v>3785</v>
      </c>
      <c r="O2896" s="521" t="s">
        <v>5847</v>
      </c>
      <c r="P2896" s="438" t="s">
        <v>5530</v>
      </c>
      <c r="Q2896" s="481">
        <v>0.2</v>
      </c>
      <c r="R2896" s="427">
        <v>1900001375</v>
      </c>
      <c r="S2896" s="513" t="s">
        <v>3475</v>
      </c>
      <c r="T2896" s="2" t="s">
        <v>5914</v>
      </c>
      <c r="U2896" s="9" t="s">
        <v>3475</v>
      </c>
    </row>
    <row r="2897" spans="1:21" x14ac:dyDescent="0.35">
      <c r="A2897" s="435" t="s">
        <v>5160</v>
      </c>
      <c r="B2897" s="543" t="s">
        <v>5879</v>
      </c>
      <c r="C2897" s="517" t="s">
        <v>5845</v>
      </c>
      <c r="D2897" s="517" t="s">
        <v>5845</v>
      </c>
      <c r="E2897" s="517"/>
      <c r="F2897" s="438" t="s">
        <v>5846</v>
      </c>
      <c r="G2897" s="438" t="s">
        <v>5840</v>
      </c>
      <c r="H2897" s="427" t="s">
        <v>5163</v>
      </c>
      <c r="I2897" s="518">
        <v>225.52</v>
      </c>
      <c r="J2897" s="381">
        <v>58.6</v>
      </c>
      <c r="K2897" s="519">
        <v>58.6</v>
      </c>
      <c r="L2897" s="369">
        <f t="shared" si="197"/>
        <v>11.72</v>
      </c>
      <c r="M2897" s="369" t="s">
        <v>6171</v>
      </c>
      <c r="N2897" s="432" t="s">
        <v>3785</v>
      </c>
      <c r="O2897" s="521" t="s">
        <v>5847</v>
      </c>
      <c r="P2897" s="438" t="s">
        <v>5530</v>
      </c>
      <c r="Q2897" s="481">
        <v>0.2</v>
      </c>
      <c r="R2897" s="427">
        <v>1900001375</v>
      </c>
      <c r="S2897" s="513" t="s">
        <v>3475</v>
      </c>
      <c r="T2897" s="2" t="s">
        <v>5914</v>
      </c>
      <c r="U2897" s="9" t="s">
        <v>3475</v>
      </c>
    </row>
    <row r="2898" spans="1:21" x14ac:dyDescent="0.35">
      <c r="A2898" s="435" t="s">
        <v>5160</v>
      </c>
      <c r="B2898" s="543" t="s">
        <v>5879</v>
      </c>
      <c r="C2898" s="517" t="s">
        <v>5845</v>
      </c>
      <c r="D2898" s="517" t="s">
        <v>5845</v>
      </c>
      <c r="E2898" s="517"/>
      <c r="F2898" s="438" t="s">
        <v>5846</v>
      </c>
      <c r="G2898" s="438" t="s">
        <v>5840</v>
      </c>
      <c r="H2898" s="427" t="s">
        <v>5163</v>
      </c>
      <c r="I2898" s="518">
        <v>225.52</v>
      </c>
      <c r="J2898" s="381">
        <v>58.6</v>
      </c>
      <c r="K2898" s="519">
        <v>58.6</v>
      </c>
      <c r="L2898" s="369">
        <f t="shared" si="197"/>
        <v>11.72</v>
      </c>
      <c r="M2898" s="369" t="s">
        <v>6171</v>
      </c>
      <c r="N2898" s="432" t="s">
        <v>3785</v>
      </c>
      <c r="O2898" s="521" t="s">
        <v>5847</v>
      </c>
      <c r="P2898" s="438" t="s">
        <v>5530</v>
      </c>
      <c r="Q2898" s="481">
        <v>0.2</v>
      </c>
      <c r="R2898" s="427">
        <v>1900001375</v>
      </c>
      <c r="S2898" s="513" t="s">
        <v>3475</v>
      </c>
      <c r="T2898" s="2" t="s">
        <v>5914</v>
      </c>
      <c r="U2898" s="9" t="s">
        <v>3475</v>
      </c>
    </row>
    <row r="2899" spans="1:21" x14ac:dyDescent="0.35">
      <c r="A2899" s="435" t="s">
        <v>5160</v>
      </c>
      <c r="B2899" s="543" t="s">
        <v>5880</v>
      </c>
      <c r="C2899" s="517" t="s">
        <v>5845</v>
      </c>
      <c r="D2899" s="517" t="s">
        <v>5845</v>
      </c>
      <c r="E2899" s="517"/>
      <c r="F2899" s="438" t="s">
        <v>5846</v>
      </c>
      <c r="G2899" s="438" t="s">
        <v>5840</v>
      </c>
      <c r="H2899" s="427" t="s">
        <v>5163</v>
      </c>
      <c r="I2899" s="518">
        <v>226</v>
      </c>
      <c r="J2899" s="381">
        <v>59</v>
      </c>
      <c r="K2899" s="519">
        <v>59</v>
      </c>
      <c r="L2899" s="369">
        <f t="shared" si="197"/>
        <v>11.8</v>
      </c>
      <c r="M2899" s="369" t="s">
        <v>6171</v>
      </c>
      <c r="N2899" s="432" t="s">
        <v>3785</v>
      </c>
      <c r="O2899" s="521" t="s">
        <v>5847</v>
      </c>
      <c r="P2899" s="438" t="s">
        <v>5530</v>
      </c>
      <c r="Q2899" s="481">
        <v>0.2</v>
      </c>
      <c r="R2899" s="427">
        <v>1900001375</v>
      </c>
      <c r="S2899" s="513" t="s">
        <v>3475</v>
      </c>
      <c r="T2899" s="2" t="s">
        <v>5914</v>
      </c>
      <c r="U2899" s="9" t="s">
        <v>3475</v>
      </c>
    </row>
    <row r="2900" spans="1:21" x14ac:dyDescent="0.35">
      <c r="A2900" s="435" t="s">
        <v>5160</v>
      </c>
      <c r="B2900" s="543" t="s">
        <v>5881</v>
      </c>
      <c r="C2900" s="517" t="s">
        <v>5845</v>
      </c>
      <c r="D2900" s="517" t="s">
        <v>5845</v>
      </c>
      <c r="E2900" s="517"/>
      <c r="F2900" s="438" t="s">
        <v>5846</v>
      </c>
      <c r="G2900" s="438" t="s">
        <v>5840</v>
      </c>
      <c r="H2900" s="427" t="s">
        <v>5163</v>
      </c>
      <c r="I2900" s="518">
        <v>1915</v>
      </c>
      <c r="J2900" s="381">
        <v>498</v>
      </c>
      <c r="K2900" s="519">
        <v>498</v>
      </c>
      <c r="L2900" s="369">
        <f t="shared" si="197"/>
        <v>99.600000000000009</v>
      </c>
      <c r="M2900" s="369" t="s">
        <v>6171</v>
      </c>
      <c r="N2900" s="432" t="s">
        <v>3785</v>
      </c>
      <c r="O2900" s="521" t="s">
        <v>5847</v>
      </c>
      <c r="P2900" s="438" t="s">
        <v>5530</v>
      </c>
      <c r="Q2900" s="481">
        <v>0.2</v>
      </c>
      <c r="R2900" s="427">
        <v>1900001375</v>
      </c>
      <c r="S2900" s="513" t="s">
        <v>3475</v>
      </c>
      <c r="T2900" s="2" t="s">
        <v>5914</v>
      </c>
      <c r="U2900" s="9" t="s">
        <v>3475</v>
      </c>
    </row>
    <row r="2901" spans="1:21" x14ac:dyDescent="0.35">
      <c r="A2901" s="435" t="s">
        <v>5160</v>
      </c>
      <c r="B2901" s="543" t="s">
        <v>5882</v>
      </c>
      <c r="C2901" s="517" t="s">
        <v>5845</v>
      </c>
      <c r="D2901" s="517" t="s">
        <v>5845</v>
      </c>
      <c r="E2901" s="517"/>
      <c r="F2901" s="438" t="s">
        <v>5846</v>
      </c>
      <c r="G2901" s="438" t="s">
        <v>5840</v>
      </c>
      <c r="H2901" s="427" t="s">
        <v>5163</v>
      </c>
      <c r="I2901" s="518">
        <v>6089</v>
      </c>
      <c r="J2901" s="381">
        <v>1582</v>
      </c>
      <c r="K2901" s="519">
        <v>1582</v>
      </c>
      <c r="L2901" s="369">
        <f t="shared" si="197"/>
        <v>316.40000000000003</v>
      </c>
      <c r="M2901" s="369" t="s">
        <v>6171</v>
      </c>
      <c r="N2901" s="432" t="s">
        <v>3785</v>
      </c>
      <c r="O2901" s="521" t="s">
        <v>5847</v>
      </c>
      <c r="P2901" s="438" t="s">
        <v>5530</v>
      </c>
      <c r="Q2901" s="481">
        <v>0.2</v>
      </c>
      <c r="R2901" s="427">
        <v>1900001375</v>
      </c>
      <c r="S2901" s="513" t="s">
        <v>3475</v>
      </c>
      <c r="T2901" s="2" t="s">
        <v>5914</v>
      </c>
      <c r="U2901" s="9" t="s">
        <v>3475</v>
      </c>
    </row>
    <row r="2902" spans="1:21" x14ac:dyDescent="0.35">
      <c r="A2902" s="435" t="s">
        <v>5160</v>
      </c>
      <c r="B2902" s="543" t="s">
        <v>5882</v>
      </c>
      <c r="C2902" s="517" t="s">
        <v>5845</v>
      </c>
      <c r="D2902" s="517" t="s">
        <v>5845</v>
      </c>
      <c r="E2902" s="517"/>
      <c r="F2902" s="438" t="s">
        <v>5846</v>
      </c>
      <c r="G2902" s="438" t="s">
        <v>5840</v>
      </c>
      <c r="H2902" s="427" t="s">
        <v>5163</v>
      </c>
      <c r="I2902" s="518">
        <v>6089</v>
      </c>
      <c r="J2902" s="381">
        <v>1582</v>
      </c>
      <c r="K2902" s="519">
        <v>1582</v>
      </c>
      <c r="L2902" s="369">
        <f t="shared" si="197"/>
        <v>316.40000000000003</v>
      </c>
      <c r="M2902" s="369" t="s">
        <v>6171</v>
      </c>
      <c r="N2902" s="432" t="s">
        <v>3785</v>
      </c>
      <c r="O2902" s="521" t="s">
        <v>5847</v>
      </c>
      <c r="P2902" s="438" t="s">
        <v>5530</v>
      </c>
      <c r="Q2902" s="481">
        <v>0.2</v>
      </c>
      <c r="R2902" s="427">
        <v>1900001375</v>
      </c>
      <c r="S2902" s="513" t="s">
        <v>3475</v>
      </c>
      <c r="T2902" s="2" t="s">
        <v>5914</v>
      </c>
      <c r="U2902" s="9" t="s">
        <v>3475</v>
      </c>
    </row>
    <row r="2903" spans="1:21" x14ac:dyDescent="0.35">
      <c r="A2903" s="435" t="s">
        <v>5160</v>
      </c>
      <c r="B2903" s="427" t="s">
        <v>5883</v>
      </c>
      <c r="C2903" s="520" t="s">
        <v>5845</v>
      </c>
      <c r="D2903" s="517" t="s">
        <v>5845</v>
      </c>
      <c r="E2903" s="517" t="s">
        <v>2319</v>
      </c>
      <c r="F2903" s="438" t="s">
        <v>5846</v>
      </c>
      <c r="G2903" s="435" t="s">
        <v>5278</v>
      </c>
      <c r="H2903" s="427" t="s">
        <v>5163</v>
      </c>
      <c r="I2903" s="518">
        <v>85.12</v>
      </c>
      <c r="J2903" s="381">
        <v>22.12</v>
      </c>
      <c r="K2903" s="519">
        <v>22.12</v>
      </c>
      <c r="L2903" s="369">
        <f t="shared" si="197"/>
        <v>4.4240000000000004</v>
      </c>
      <c r="M2903" s="369" t="s">
        <v>6171</v>
      </c>
      <c r="N2903" s="432" t="s">
        <v>3785</v>
      </c>
      <c r="O2903" s="521" t="s">
        <v>5847</v>
      </c>
      <c r="P2903" s="438" t="s">
        <v>5530</v>
      </c>
      <c r="Q2903" s="481">
        <v>0.2</v>
      </c>
      <c r="R2903" s="427">
        <v>1900001375</v>
      </c>
      <c r="S2903" s="513" t="s">
        <v>1233</v>
      </c>
      <c r="T2903" s="2" t="s">
        <v>5915</v>
      </c>
    </row>
    <row r="2904" spans="1:21" x14ac:dyDescent="0.35">
      <c r="A2904" s="435" t="s">
        <v>5160</v>
      </c>
      <c r="B2904" s="427" t="s">
        <v>5883</v>
      </c>
      <c r="C2904" s="520" t="s">
        <v>5845</v>
      </c>
      <c r="D2904" s="517" t="s">
        <v>5845</v>
      </c>
      <c r="E2904" s="517" t="s">
        <v>2321</v>
      </c>
      <c r="F2904" s="438" t="s">
        <v>5846</v>
      </c>
      <c r="G2904" s="435" t="s">
        <v>5278</v>
      </c>
      <c r="H2904" s="427" t="s">
        <v>5163</v>
      </c>
      <c r="I2904" s="518">
        <v>85.12</v>
      </c>
      <c r="J2904" s="381">
        <v>22.12</v>
      </c>
      <c r="K2904" s="519">
        <v>22.12</v>
      </c>
      <c r="L2904" s="369">
        <f t="shared" si="197"/>
        <v>4.4240000000000004</v>
      </c>
      <c r="M2904" s="369" t="s">
        <v>6171</v>
      </c>
      <c r="N2904" s="432" t="s">
        <v>3785</v>
      </c>
      <c r="O2904" s="521" t="s">
        <v>5847</v>
      </c>
      <c r="P2904" s="438" t="s">
        <v>5530</v>
      </c>
      <c r="Q2904" s="481">
        <v>0.2</v>
      </c>
      <c r="R2904" s="427">
        <v>1900001375</v>
      </c>
      <c r="S2904" s="513" t="s">
        <v>1206</v>
      </c>
      <c r="T2904" s="2" t="s">
        <v>5915</v>
      </c>
    </row>
    <row r="2905" spans="1:21" x14ac:dyDescent="0.35">
      <c r="A2905" s="435" t="s">
        <v>5160</v>
      </c>
      <c r="B2905" s="427" t="s">
        <v>5883</v>
      </c>
      <c r="C2905" s="520" t="s">
        <v>5845</v>
      </c>
      <c r="D2905" s="517" t="s">
        <v>5845</v>
      </c>
      <c r="E2905" s="517" t="s">
        <v>2323</v>
      </c>
      <c r="F2905" s="438" t="s">
        <v>5846</v>
      </c>
      <c r="G2905" s="435" t="s">
        <v>5278</v>
      </c>
      <c r="H2905" s="427" t="s">
        <v>5163</v>
      </c>
      <c r="I2905" s="518">
        <v>85.12</v>
      </c>
      <c r="J2905" s="381">
        <v>22.12</v>
      </c>
      <c r="K2905" s="519">
        <v>22.12</v>
      </c>
      <c r="L2905" s="369">
        <f t="shared" si="197"/>
        <v>4.4240000000000004</v>
      </c>
      <c r="M2905" s="369" t="s">
        <v>6171</v>
      </c>
      <c r="N2905" s="432" t="s">
        <v>3785</v>
      </c>
      <c r="O2905" s="521" t="s">
        <v>5847</v>
      </c>
      <c r="P2905" s="438" t="s">
        <v>5530</v>
      </c>
      <c r="Q2905" s="481">
        <v>0.2</v>
      </c>
      <c r="R2905" s="427">
        <v>1900001375</v>
      </c>
      <c r="S2905" s="513" t="s">
        <v>103</v>
      </c>
      <c r="T2905" s="2" t="s">
        <v>5915</v>
      </c>
    </row>
    <row r="2906" spans="1:21" x14ac:dyDescent="0.35">
      <c r="A2906" s="435" t="s">
        <v>5160</v>
      </c>
      <c r="B2906" s="427" t="s">
        <v>5883</v>
      </c>
      <c r="C2906" s="520" t="s">
        <v>5845</v>
      </c>
      <c r="D2906" s="517" t="s">
        <v>5845</v>
      </c>
      <c r="E2906" s="517" t="s">
        <v>2325</v>
      </c>
      <c r="F2906" s="438" t="s">
        <v>5846</v>
      </c>
      <c r="G2906" s="435" t="s">
        <v>5278</v>
      </c>
      <c r="H2906" s="427" t="s">
        <v>5163</v>
      </c>
      <c r="I2906" s="518">
        <v>85.12</v>
      </c>
      <c r="J2906" s="381">
        <v>22.12</v>
      </c>
      <c r="K2906" s="519">
        <v>22.12</v>
      </c>
      <c r="L2906" s="369">
        <f t="shared" si="197"/>
        <v>4.4240000000000004</v>
      </c>
      <c r="M2906" s="369" t="s">
        <v>6171</v>
      </c>
      <c r="N2906" s="432" t="s">
        <v>3785</v>
      </c>
      <c r="O2906" s="521" t="s">
        <v>5847</v>
      </c>
      <c r="P2906" s="438" t="s">
        <v>5530</v>
      </c>
      <c r="Q2906" s="481">
        <v>0.2</v>
      </c>
      <c r="R2906" s="427">
        <v>1900001375</v>
      </c>
      <c r="S2906" s="513" t="s">
        <v>469</v>
      </c>
      <c r="T2906" s="2" t="s">
        <v>5915</v>
      </c>
    </row>
    <row r="2907" spans="1:21" x14ac:dyDescent="0.35">
      <c r="A2907" s="435" t="s">
        <v>5160</v>
      </c>
      <c r="B2907" s="427" t="s">
        <v>5883</v>
      </c>
      <c r="C2907" s="520" t="s">
        <v>5845</v>
      </c>
      <c r="D2907" s="517" t="s">
        <v>5845</v>
      </c>
      <c r="E2907" s="517" t="s">
        <v>2327</v>
      </c>
      <c r="F2907" s="438" t="s">
        <v>5846</v>
      </c>
      <c r="G2907" s="435" t="s">
        <v>5278</v>
      </c>
      <c r="H2907" s="427" t="s">
        <v>5163</v>
      </c>
      <c r="I2907" s="518">
        <v>85.12</v>
      </c>
      <c r="J2907" s="381">
        <v>22.12</v>
      </c>
      <c r="K2907" s="519">
        <v>22.12</v>
      </c>
      <c r="L2907" s="369">
        <f t="shared" si="197"/>
        <v>4.4240000000000004</v>
      </c>
      <c r="M2907" s="369" t="s">
        <v>6171</v>
      </c>
      <c r="N2907" s="432" t="s">
        <v>3785</v>
      </c>
      <c r="O2907" s="521" t="s">
        <v>5847</v>
      </c>
      <c r="P2907" s="438" t="s">
        <v>5530</v>
      </c>
      <c r="Q2907" s="481">
        <v>0.2</v>
      </c>
      <c r="R2907" s="427">
        <v>1900001375</v>
      </c>
      <c r="S2907" s="513" t="s">
        <v>1220</v>
      </c>
      <c r="T2907" s="2" t="s">
        <v>5915</v>
      </c>
    </row>
    <row r="2908" spans="1:21" x14ac:dyDescent="0.35">
      <c r="A2908" s="435" t="s">
        <v>5160</v>
      </c>
      <c r="B2908" s="427" t="s">
        <v>5883</v>
      </c>
      <c r="C2908" s="520" t="s">
        <v>5845</v>
      </c>
      <c r="D2908" s="517" t="s">
        <v>5845</v>
      </c>
      <c r="E2908" s="517" t="s">
        <v>2330</v>
      </c>
      <c r="F2908" s="438" t="s">
        <v>5846</v>
      </c>
      <c r="G2908" s="435" t="s">
        <v>5278</v>
      </c>
      <c r="H2908" s="427" t="s">
        <v>5163</v>
      </c>
      <c r="I2908" s="518">
        <v>85.12</v>
      </c>
      <c r="J2908" s="381">
        <v>22.12</v>
      </c>
      <c r="K2908" s="519">
        <v>22.12</v>
      </c>
      <c r="L2908" s="369">
        <f t="shared" si="197"/>
        <v>4.4240000000000004</v>
      </c>
      <c r="M2908" s="369" t="s">
        <v>6171</v>
      </c>
      <c r="N2908" s="432" t="s">
        <v>3785</v>
      </c>
      <c r="O2908" s="521" t="s">
        <v>5847</v>
      </c>
      <c r="P2908" s="438" t="s">
        <v>5530</v>
      </c>
      <c r="Q2908" s="481">
        <v>0.2</v>
      </c>
      <c r="R2908" s="427">
        <v>1900001375</v>
      </c>
      <c r="S2908" s="513" t="s">
        <v>2329</v>
      </c>
      <c r="T2908" s="2" t="s">
        <v>5915</v>
      </c>
    </row>
    <row r="2909" spans="1:21" x14ac:dyDescent="0.35">
      <c r="A2909" s="435" t="s">
        <v>5160</v>
      </c>
      <c r="B2909" s="427" t="s">
        <v>5883</v>
      </c>
      <c r="C2909" s="520" t="s">
        <v>5845</v>
      </c>
      <c r="D2909" s="517" t="s">
        <v>5845</v>
      </c>
      <c r="E2909" s="517" t="s">
        <v>2332</v>
      </c>
      <c r="F2909" s="438" t="s">
        <v>5846</v>
      </c>
      <c r="G2909" s="435" t="s">
        <v>5278</v>
      </c>
      <c r="H2909" s="427" t="s">
        <v>5163</v>
      </c>
      <c r="I2909" s="518">
        <v>85.12</v>
      </c>
      <c r="J2909" s="381">
        <v>22.12</v>
      </c>
      <c r="K2909" s="519">
        <v>22.12</v>
      </c>
      <c r="L2909" s="369">
        <f t="shared" si="197"/>
        <v>4.4240000000000004</v>
      </c>
      <c r="M2909" s="369" t="s">
        <v>6171</v>
      </c>
      <c r="N2909" s="432" t="s">
        <v>3785</v>
      </c>
      <c r="O2909" s="521" t="s">
        <v>5847</v>
      </c>
      <c r="P2909" s="438" t="s">
        <v>5530</v>
      </c>
      <c r="Q2909" s="481">
        <v>0.2</v>
      </c>
      <c r="R2909" s="427">
        <v>1900001375</v>
      </c>
      <c r="S2909" s="513" t="s">
        <v>557</v>
      </c>
      <c r="T2909" s="2" t="s">
        <v>5915</v>
      </c>
    </row>
    <row r="2910" spans="1:21" x14ac:dyDescent="0.35">
      <c r="A2910" s="435" t="s">
        <v>5160</v>
      </c>
      <c r="B2910" s="427" t="s">
        <v>5883</v>
      </c>
      <c r="C2910" s="520" t="s">
        <v>5845</v>
      </c>
      <c r="D2910" s="517" t="s">
        <v>5845</v>
      </c>
      <c r="E2910" s="517" t="s">
        <v>2334</v>
      </c>
      <c r="F2910" s="438" t="s">
        <v>5846</v>
      </c>
      <c r="G2910" s="435" t="s">
        <v>5278</v>
      </c>
      <c r="H2910" s="427" t="s">
        <v>5163</v>
      </c>
      <c r="I2910" s="518">
        <v>85.12</v>
      </c>
      <c r="J2910" s="381">
        <v>22.12</v>
      </c>
      <c r="K2910" s="519">
        <v>22.12</v>
      </c>
      <c r="L2910" s="369">
        <f t="shared" si="197"/>
        <v>4.4240000000000004</v>
      </c>
      <c r="M2910" s="369" t="s">
        <v>6171</v>
      </c>
      <c r="N2910" s="432" t="s">
        <v>3785</v>
      </c>
      <c r="O2910" s="521" t="s">
        <v>5847</v>
      </c>
      <c r="P2910" s="438" t="s">
        <v>5530</v>
      </c>
      <c r="Q2910" s="481">
        <v>0.2</v>
      </c>
      <c r="R2910" s="427">
        <v>1900001375</v>
      </c>
      <c r="S2910" s="513" t="s">
        <v>672</v>
      </c>
      <c r="T2910" s="2" t="s">
        <v>5915</v>
      </c>
    </row>
    <row r="2911" spans="1:21" x14ac:dyDescent="0.35">
      <c r="A2911" s="435" t="s">
        <v>5160</v>
      </c>
      <c r="B2911" s="427" t="s">
        <v>5883</v>
      </c>
      <c r="C2911" s="520" t="s">
        <v>5845</v>
      </c>
      <c r="D2911" s="517" t="s">
        <v>5845</v>
      </c>
      <c r="E2911" s="517" t="s">
        <v>2336</v>
      </c>
      <c r="F2911" s="438" t="s">
        <v>5846</v>
      </c>
      <c r="G2911" s="435" t="s">
        <v>5278</v>
      </c>
      <c r="H2911" s="427" t="s">
        <v>5163</v>
      </c>
      <c r="I2911" s="518">
        <v>85.12</v>
      </c>
      <c r="J2911" s="381">
        <v>22.12</v>
      </c>
      <c r="K2911" s="519">
        <v>22.12</v>
      </c>
      <c r="L2911" s="369">
        <f t="shared" si="197"/>
        <v>4.4240000000000004</v>
      </c>
      <c r="M2911" s="369" t="s">
        <v>6171</v>
      </c>
      <c r="N2911" s="432" t="s">
        <v>3785</v>
      </c>
      <c r="O2911" s="521" t="s">
        <v>5847</v>
      </c>
      <c r="P2911" s="438" t="s">
        <v>5530</v>
      </c>
      <c r="Q2911" s="481">
        <v>0.2</v>
      </c>
      <c r="R2911" s="427">
        <v>1900001375</v>
      </c>
      <c r="S2911" s="513" t="s">
        <v>1263</v>
      </c>
      <c r="T2911" s="2" t="s">
        <v>5915</v>
      </c>
    </row>
    <row r="2912" spans="1:21" x14ac:dyDescent="0.35">
      <c r="A2912" s="435" t="s">
        <v>5160</v>
      </c>
      <c r="B2912" s="427" t="s">
        <v>5883</v>
      </c>
      <c r="C2912" s="520" t="s">
        <v>5845</v>
      </c>
      <c r="D2912" s="517" t="s">
        <v>5845</v>
      </c>
      <c r="E2912" s="517" t="s">
        <v>2339</v>
      </c>
      <c r="F2912" s="438" t="s">
        <v>5846</v>
      </c>
      <c r="G2912" s="435" t="s">
        <v>5278</v>
      </c>
      <c r="H2912" s="427" t="s">
        <v>5163</v>
      </c>
      <c r="I2912" s="518">
        <v>85.12</v>
      </c>
      <c r="J2912" s="381">
        <v>22.12</v>
      </c>
      <c r="K2912" s="519">
        <v>22.12</v>
      </c>
      <c r="L2912" s="369">
        <f t="shared" si="197"/>
        <v>4.4240000000000004</v>
      </c>
      <c r="M2912" s="369" t="s">
        <v>6171</v>
      </c>
      <c r="N2912" s="432" t="s">
        <v>3785</v>
      </c>
      <c r="O2912" s="521" t="s">
        <v>5847</v>
      </c>
      <c r="P2912" s="438" t="s">
        <v>5530</v>
      </c>
      <c r="Q2912" s="481">
        <v>0.2</v>
      </c>
      <c r="R2912" s="427">
        <v>1900001375</v>
      </c>
      <c r="S2912" s="513" t="s">
        <v>2338</v>
      </c>
      <c r="T2912" s="2" t="s">
        <v>5915</v>
      </c>
    </row>
    <row r="2913" spans="1:20" x14ac:dyDescent="0.35">
      <c r="A2913" s="435" t="s">
        <v>5160</v>
      </c>
      <c r="B2913" s="427" t="s">
        <v>5883</v>
      </c>
      <c r="C2913" s="520" t="s">
        <v>5845</v>
      </c>
      <c r="D2913" s="517" t="s">
        <v>5845</v>
      </c>
      <c r="E2913" s="517" t="s">
        <v>2341</v>
      </c>
      <c r="F2913" s="438" t="s">
        <v>5846</v>
      </c>
      <c r="G2913" s="435" t="s">
        <v>5278</v>
      </c>
      <c r="H2913" s="427" t="s">
        <v>5163</v>
      </c>
      <c r="I2913" s="518">
        <v>85.12</v>
      </c>
      <c r="J2913" s="381">
        <v>22.12</v>
      </c>
      <c r="K2913" s="519">
        <v>22.12</v>
      </c>
      <c r="L2913" s="369">
        <f t="shared" si="197"/>
        <v>4.4240000000000004</v>
      </c>
      <c r="M2913" s="369" t="s">
        <v>6171</v>
      </c>
      <c r="N2913" s="432" t="s">
        <v>3785</v>
      </c>
      <c r="O2913" s="521" t="s">
        <v>5847</v>
      </c>
      <c r="P2913" s="438" t="s">
        <v>5530</v>
      </c>
      <c r="Q2913" s="481">
        <v>0.2</v>
      </c>
      <c r="R2913" s="427">
        <v>1900001375</v>
      </c>
      <c r="S2913" s="513" t="s">
        <v>516</v>
      </c>
      <c r="T2913" s="2" t="s">
        <v>5915</v>
      </c>
    </row>
    <row r="2914" spans="1:20" x14ac:dyDescent="0.35">
      <c r="A2914" s="435" t="s">
        <v>5160</v>
      </c>
      <c r="B2914" s="427" t="s">
        <v>5883</v>
      </c>
      <c r="C2914" s="520" t="s">
        <v>5845</v>
      </c>
      <c r="D2914" s="517" t="s">
        <v>5845</v>
      </c>
      <c r="E2914" s="517" t="s">
        <v>2344</v>
      </c>
      <c r="F2914" s="438" t="s">
        <v>5846</v>
      </c>
      <c r="G2914" s="435" t="s">
        <v>5278</v>
      </c>
      <c r="H2914" s="427" t="s">
        <v>5163</v>
      </c>
      <c r="I2914" s="518">
        <v>85.12</v>
      </c>
      <c r="J2914" s="381">
        <v>22.12</v>
      </c>
      <c r="K2914" s="519">
        <v>22.12</v>
      </c>
      <c r="L2914" s="369">
        <f t="shared" si="197"/>
        <v>4.4240000000000004</v>
      </c>
      <c r="M2914" s="369" t="s">
        <v>6171</v>
      </c>
      <c r="N2914" s="432" t="s">
        <v>3785</v>
      </c>
      <c r="O2914" s="521" t="s">
        <v>5847</v>
      </c>
      <c r="P2914" s="438" t="s">
        <v>5530</v>
      </c>
      <c r="Q2914" s="481">
        <v>0.2</v>
      </c>
      <c r="R2914" s="427">
        <v>1900001375</v>
      </c>
      <c r="S2914" s="513" t="s">
        <v>2343</v>
      </c>
      <c r="T2914" s="2" t="s">
        <v>5915</v>
      </c>
    </row>
    <row r="2915" spans="1:20" x14ac:dyDescent="0.35">
      <c r="A2915" s="435" t="s">
        <v>5160</v>
      </c>
      <c r="B2915" s="427" t="s">
        <v>5883</v>
      </c>
      <c r="C2915" s="520" t="s">
        <v>5845</v>
      </c>
      <c r="D2915" s="517" t="s">
        <v>5845</v>
      </c>
      <c r="E2915" s="517" t="s">
        <v>2347</v>
      </c>
      <c r="F2915" s="438" t="s">
        <v>5846</v>
      </c>
      <c r="G2915" s="435" t="s">
        <v>5278</v>
      </c>
      <c r="H2915" s="427" t="s">
        <v>5163</v>
      </c>
      <c r="I2915" s="518">
        <v>85.12</v>
      </c>
      <c r="J2915" s="381">
        <v>22.12</v>
      </c>
      <c r="K2915" s="519">
        <v>22.12</v>
      </c>
      <c r="L2915" s="369">
        <f t="shared" si="197"/>
        <v>4.4240000000000004</v>
      </c>
      <c r="M2915" s="369" t="s">
        <v>6171</v>
      </c>
      <c r="N2915" s="432" t="s">
        <v>3785</v>
      </c>
      <c r="O2915" s="521" t="s">
        <v>5847</v>
      </c>
      <c r="P2915" s="438" t="s">
        <v>5530</v>
      </c>
      <c r="Q2915" s="481">
        <v>0.2</v>
      </c>
      <c r="R2915" s="427">
        <v>1900001375</v>
      </c>
      <c r="S2915" s="513" t="s">
        <v>2346</v>
      </c>
      <c r="T2915" s="2" t="s">
        <v>5915</v>
      </c>
    </row>
    <row r="2916" spans="1:20" x14ac:dyDescent="0.35">
      <c r="A2916" s="435" t="s">
        <v>5160</v>
      </c>
      <c r="B2916" s="427" t="s">
        <v>5883</v>
      </c>
      <c r="C2916" s="520" t="s">
        <v>5845</v>
      </c>
      <c r="D2916" s="517" t="s">
        <v>5845</v>
      </c>
      <c r="E2916" s="517" t="s">
        <v>2349</v>
      </c>
      <c r="F2916" s="438" t="s">
        <v>5846</v>
      </c>
      <c r="G2916" s="435" t="s">
        <v>5278</v>
      </c>
      <c r="H2916" s="427" t="s">
        <v>5163</v>
      </c>
      <c r="I2916" s="518">
        <v>85.12</v>
      </c>
      <c r="J2916" s="381">
        <v>22.12</v>
      </c>
      <c r="K2916" s="519">
        <v>22.12</v>
      </c>
      <c r="L2916" s="369">
        <f t="shared" si="197"/>
        <v>4.4240000000000004</v>
      </c>
      <c r="M2916" s="369" t="s">
        <v>6171</v>
      </c>
      <c r="N2916" s="432" t="s">
        <v>3785</v>
      </c>
      <c r="O2916" s="521" t="s">
        <v>5847</v>
      </c>
      <c r="P2916" s="438" t="s">
        <v>5530</v>
      </c>
      <c r="Q2916" s="481">
        <v>0.2</v>
      </c>
      <c r="R2916" s="427">
        <v>1900001375</v>
      </c>
      <c r="S2916" s="513" t="s">
        <v>1276</v>
      </c>
      <c r="T2916" s="2" t="s">
        <v>5915</v>
      </c>
    </row>
    <row r="2917" spans="1:20" x14ac:dyDescent="0.35">
      <c r="A2917" s="435" t="s">
        <v>5160</v>
      </c>
      <c r="B2917" s="427" t="s">
        <v>5883</v>
      </c>
      <c r="C2917" s="520" t="s">
        <v>5845</v>
      </c>
      <c r="D2917" s="517" t="s">
        <v>5845</v>
      </c>
      <c r="E2917" s="517" t="s">
        <v>2351</v>
      </c>
      <c r="F2917" s="438" t="s">
        <v>5846</v>
      </c>
      <c r="G2917" s="435" t="s">
        <v>5278</v>
      </c>
      <c r="H2917" s="427" t="s">
        <v>5163</v>
      </c>
      <c r="I2917" s="518">
        <v>85.12</v>
      </c>
      <c r="J2917" s="381">
        <v>22.12</v>
      </c>
      <c r="K2917" s="519">
        <v>22.12</v>
      </c>
      <c r="L2917" s="369">
        <f t="shared" si="197"/>
        <v>4.4240000000000004</v>
      </c>
      <c r="M2917" s="369" t="s">
        <v>6171</v>
      </c>
      <c r="N2917" s="432" t="s">
        <v>3785</v>
      </c>
      <c r="O2917" s="521" t="s">
        <v>5847</v>
      </c>
      <c r="P2917" s="438" t="s">
        <v>5530</v>
      </c>
      <c r="Q2917" s="481">
        <v>0.2</v>
      </c>
      <c r="R2917" s="427">
        <v>1900001375</v>
      </c>
      <c r="S2917" s="513" t="s">
        <v>1273</v>
      </c>
      <c r="T2917" s="2" t="s">
        <v>5915</v>
      </c>
    </row>
    <row r="2918" spans="1:20" x14ac:dyDescent="0.35">
      <c r="A2918" s="435" t="s">
        <v>5160</v>
      </c>
      <c r="B2918" s="427" t="s">
        <v>5883</v>
      </c>
      <c r="C2918" s="520" t="s">
        <v>5845</v>
      </c>
      <c r="D2918" s="517" t="s">
        <v>5845</v>
      </c>
      <c r="E2918" s="517" t="s">
        <v>2359</v>
      </c>
      <c r="F2918" s="438" t="s">
        <v>5846</v>
      </c>
      <c r="G2918" s="435" t="s">
        <v>5278</v>
      </c>
      <c r="H2918" s="427" t="s">
        <v>5163</v>
      </c>
      <c r="I2918" s="518">
        <v>85.12</v>
      </c>
      <c r="J2918" s="381">
        <v>22.12</v>
      </c>
      <c r="K2918" s="519">
        <v>22.12</v>
      </c>
      <c r="L2918" s="369">
        <f t="shared" si="197"/>
        <v>4.4240000000000004</v>
      </c>
      <c r="M2918" s="369" t="s">
        <v>6171</v>
      </c>
      <c r="N2918" s="432" t="s">
        <v>3785</v>
      </c>
      <c r="O2918" s="521" t="s">
        <v>5847</v>
      </c>
      <c r="P2918" s="438" t="s">
        <v>5530</v>
      </c>
      <c r="Q2918" s="481">
        <v>0.2</v>
      </c>
      <c r="R2918" s="427">
        <v>1900001375</v>
      </c>
      <c r="S2918" s="513" t="s">
        <v>1256</v>
      </c>
      <c r="T2918" s="2" t="s">
        <v>5915</v>
      </c>
    </row>
    <row r="2919" spans="1:20" x14ac:dyDescent="0.35">
      <c r="A2919" s="435" t="s">
        <v>5160</v>
      </c>
      <c r="B2919" s="427" t="s">
        <v>5883</v>
      </c>
      <c r="C2919" s="520" t="s">
        <v>5845</v>
      </c>
      <c r="D2919" s="517" t="s">
        <v>5845</v>
      </c>
      <c r="E2919" s="517" t="s">
        <v>2362</v>
      </c>
      <c r="F2919" s="438" t="s">
        <v>5846</v>
      </c>
      <c r="G2919" s="435" t="s">
        <v>5278</v>
      </c>
      <c r="H2919" s="427" t="s">
        <v>5163</v>
      </c>
      <c r="I2919" s="518">
        <v>85.12</v>
      </c>
      <c r="J2919" s="381">
        <v>22.12</v>
      </c>
      <c r="K2919" s="519">
        <v>22.12</v>
      </c>
      <c r="L2919" s="369">
        <f t="shared" si="197"/>
        <v>4.4240000000000004</v>
      </c>
      <c r="M2919" s="369" t="s">
        <v>6171</v>
      </c>
      <c r="N2919" s="432" t="s">
        <v>3785</v>
      </c>
      <c r="O2919" s="521" t="s">
        <v>5847</v>
      </c>
      <c r="P2919" s="438" t="s">
        <v>5530</v>
      </c>
      <c r="Q2919" s="481">
        <v>0.2</v>
      </c>
      <c r="R2919" s="427">
        <v>1900001375</v>
      </c>
      <c r="S2919" s="513" t="s">
        <v>1285</v>
      </c>
      <c r="T2919" s="2" t="s">
        <v>5915</v>
      </c>
    </row>
    <row r="2920" spans="1:20" x14ac:dyDescent="0.35">
      <c r="A2920" s="435" t="s">
        <v>5160</v>
      </c>
      <c r="B2920" s="427" t="s">
        <v>5883</v>
      </c>
      <c r="C2920" s="520" t="s">
        <v>5845</v>
      </c>
      <c r="D2920" s="517" t="s">
        <v>5845</v>
      </c>
      <c r="E2920" s="517" t="s">
        <v>2363</v>
      </c>
      <c r="F2920" s="438" t="s">
        <v>5846</v>
      </c>
      <c r="G2920" s="435" t="s">
        <v>5278</v>
      </c>
      <c r="H2920" s="427" t="s">
        <v>5163</v>
      </c>
      <c r="I2920" s="518">
        <v>85.12</v>
      </c>
      <c r="J2920" s="381">
        <v>22.12</v>
      </c>
      <c r="K2920" s="519">
        <v>22.12</v>
      </c>
      <c r="L2920" s="369">
        <f t="shared" si="197"/>
        <v>4.4240000000000004</v>
      </c>
      <c r="M2920" s="369" t="s">
        <v>6171</v>
      </c>
      <c r="N2920" s="432" t="s">
        <v>3785</v>
      </c>
      <c r="O2920" s="521" t="s">
        <v>5847</v>
      </c>
      <c r="P2920" s="438" t="s">
        <v>5530</v>
      </c>
      <c r="Q2920" s="481">
        <v>0.2</v>
      </c>
      <c r="R2920" s="427">
        <v>1900001375</v>
      </c>
      <c r="S2920" s="513" t="s">
        <v>1287</v>
      </c>
      <c r="T2920" s="2" t="s">
        <v>5915</v>
      </c>
    </row>
    <row r="2921" spans="1:20" x14ac:dyDescent="0.35">
      <c r="A2921" s="435" t="s">
        <v>5160</v>
      </c>
      <c r="B2921" s="427" t="s">
        <v>5883</v>
      </c>
      <c r="C2921" s="520" t="s">
        <v>5845</v>
      </c>
      <c r="D2921" s="517" t="s">
        <v>5845</v>
      </c>
      <c r="E2921" s="517" t="s">
        <v>2364</v>
      </c>
      <c r="F2921" s="438" t="s">
        <v>5846</v>
      </c>
      <c r="G2921" s="435" t="s">
        <v>5278</v>
      </c>
      <c r="H2921" s="427" t="s">
        <v>5163</v>
      </c>
      <c r="I2921" s="518">
        <v>85.12</v>
      </c>
      <c r="J2921" s="381">
        <v>22.12</v>
      </c>
      <c r="K2921" s="519">
        <v>22.12</v>
      </c>
      <c r="L2921" s="369">
        <f t="shared" si="197"/>
        <v>4.4240000000000004</v>
      </c>
      <c r="M2921" s="369" t="s">
        <v>6171</v>
      </c>
      <c r="N2921" s="432" t="s">
        <v>3785</v>
      </c>
      <c r="O2921" s="521" t="s">
        <v>5847</v>
      </c>
      <c r="P2921" s="438" t="s">
        <v>5530</v>
      </c>
      <c r="Q2921" s="481">
        <v>0.2</v>
      </c>
      <c r="R2921" s="427">
        <v>1900001375</v>
      </c>
      <c r="S2921" s="513" t="s">
        <v>357</v>
      </c>
      <c r="T2921" s="2" t="s">
        <v>5915</v>
      </c>
    </row>
    <row r="2922" spans="1:20" x14ac:dyDescent="0.35">
      <c r="A2922" s="435" t="s">
        <v>5160</v>
      </c>
      <c r="B2922" s="427" t="s">
        <v>5883</v>
      </c>
      <c r="C2922" s="520" t="s">
        <v>5845</v>
      </c>
      <c r="D2922" s="517" t="s">
        <v>5845</v>
      </c>
      <c r="E2922" s="517" t="s">
        <v>2365</v>
      </c>
      <c r="F2922" s="438" t="s">
        <v>5846</v>
      </c>
      <c r="G2922" s="435" t="s">
        <v>5278</v>
      </c>
      <c r="H2922" s="427" t="s">
        <v>5163</v>
      </c>
      <c r="I2922" s="518">
        <v>85.12</v>
      </c>
      <c r="J2922" s="381">
        <v>22.12</v>
      </c>
      <c r="K2922" s="519">
        <v>22.12</v>
      </c>
      <c r="L2922" s="369">
        <f t="shared" si="197"/>
        <v>4.4240000000000004</v>
      </c>
      <c r="M2922" s="369" t="s">
        <v>6171</v>
      </c>
      <c r="N2922" s="432" t="s">
        <v>3785</v>
      </c>
      <c r="O2922" s="521" t="s">
        <v>5847</v>
      </c>
      <c r="P2922" s="438" t="s">
        <v>5530</v>
      </c>
      <c r="Q2922" s="481">
        <v>0.2</v>
      </c>
      <c r="R2922" s="427">
        <v>1900001375</v>
      </c>
      <c r="S2922" s="513" t="s">
        <v>1293</v>
      </c>
      <c r="T2922" s="2" t="s">
        <v>5915</v>
      </c>
    </row>
    <row r="2923" spans="1:20" x14ac:dyDescent="0.35">
      <c r="A2923" s="435" t="s">
        <v>5160</v>
      </c>
      <c r="B2923" s="427" t="s">
        <v>5883</v>
      </c>
      <c r="C2923" s="520" t="s">
        <v>5845</v>
      </c>
      <c r="D2923" s="517" t="s">
        <v>5845</v>
      </c>
      <c r="E2923" s="517" t="s">
        <v>2371</v>
      </c>
      <c r="F2923" s="438" t="s">
        <v>5846</v>
      </c>
      <c r="G2923" s="435" t="s">
        <v>5278</v>
      </c>
      <c r="H2923" s="427" t="s">
        <v>5163</v>
      </c>
      <c r="I2923" s="518">
        <v>85.12</v>
      </c>
      <c r="J2923" s="381">
        <v>22.12</v>
      </c>
      <c r="K2923" s="519">
        <v>22.12</v>
      </c>
      <c r="L2923" s="369">
        <f t="shared" si="197"/>
        <v>4.4240000000000004</v>
      </c>
      <c r="M2923" s="369" t="s">
        <v>6171</v>
      </c>
      <c r="N2923" s="432" t="s">
        <v>3785</v>
      </c>
      <c r="O2923" s="521" t="s">
        <v>5847</v>
      </c>
      <c r="P2923" s="438" t="s">
        <v>5530</v>
      </c>
      <c r="Q2923" s="481">
        <v>0.2</v>
      </c>
      <c r="R2923" s="427">
        <v>1900001375</v>
      </c>
      <c r="S2923" s="513" t="s">
        <v>2370</v>
      </c>
      <c r="T2923" s="2" t="s">
        <v>5915</v>
      </c>
    </row>
    <row r="2924" spans="1:20" x14ac:dyDescent="0.35">
      <c r="A2924" s="435" t="s">
        <v>5160</v>
      </c>
      <c r="B2924" s="427" t="s">
        <v>5883</v>
      </c>
      <c r="C2924" s="520" t="s">
        <v>5845</v>
      </c>
      <c r="D2924" s="517" t="s">
        <v>5845</v>
      </c>
      <c r="E2924" s="517" t="s">
        <v>2373</v>
      </c>
      <c r="F2924" s="438" t="s">
        <v>5846</v>
      </c>
      <c r="G2924" s="435" t="s">
        <v>5278</v>
      </c>
      <c r="H2924" s="427" t="s">
        <v>5163</v>
      </c>
      <c r="I2924" s="518">
        <v>85.12</v>
      </c>
      <c r="J2924" s="381">
        <v>22.12</v>
      </c>
      <c r="K2924" s="519">
        <v>22.12</v>
      </c>
      <c r="L2924" s="369">
        <f t="shared" si="197"/>
        <v>4.4240000000000004</v>
      </c>
      <c r="M2924" s="369" t="s">
        <v>6171</v>
      </c>
      <c r="N2924" s="432" t="s">
        <v>3785</v>
      </c>
      <c r="O2924" s="521" t="s">
        <v>5847</v>
      </c>
      <c r="P2924" s="438" t="s">
        <v>5530</v>
      </c>
      <c r="Q2924" s="481">
        <v>0.2</v>
      </c>
      <c r="R2924" s="427">
        <v>1900001375</v>
      </c>
      <c r="S2924" s="513" t="s">
        <v>490</v>
      </c>
      <c r="T2924" s="2" t="s">
        <v>5915</v>
      </c>
    </row>
    <row r="2925" spans="1:20" x14ac:dyDescent="0.35">
      <c r="A2925" s="435" t="s">
        <v>5160</v>
      </c>
      <c r="B2925" s="427" t="s">
        <v>5883</v>
      </c>
      <c r="C2925" s="520" t="s">
        <v>5845</v>
      </c>
      <c r="D2925" s="517" t="s">
        <v>5845</v>
      </c>
      <c r="E2925" s="517" t="s">
        <v>2375</v>
      </c>
      <c r="F2925" s="438" t="s">
        <v>5846</v>
      </c>
      <c r="G2925" s="435" t="s">
        <v>5278</v>
      </c>
      <c r="H2925" s="427" t="s">
        <v>5163</v>
      </c>
      <c r="I2925" s="518">
        <v>85.12</v>
      </c>
      <c r="J2925" s="381">
        <v>22.12</v>
      </c>
      <c r="K2925" s="519">
        <v>22.12</v>
      </c>
      <c r="L2925" s="369">
        <f t="shared" si="197"/>
        <v>4.4240000000000004</v>
      </c>
      <c r="M2925" s="369" t="s">
        <v>6171</v>
      </c>
      <c r="N2925" s="432" t="s">
        <v>3785</v>
      </c>
      <c r="O2925" s="521" t="s">
        <v>5847</v>
      </c>
      <c r="P2925" s="438" t="s">
        <v>5530</v>
      </c>
      <c r="Q2925" s="481">
        <v>0.2</v>
      </c>
      <c r="R2925" s="427">
        <v>1900001375</v>
      </c>
      <c r="S2925" s="513" t="s">
        <v>677</v>
      </c>
      <c r="T2925" s="2" t="s">
        <v>5915</v>
      </c>
    </row>
    <row r="2926" spans="1:20" x14ac:dyDescent="0.35">
      <c r="A2926" s="435" t="s">
        <v>5160</v>
      </c>
      <c r="B2926" s="427" t="s">
        <v>5883</v>
      </c>
      <c r="C2926" s="520" t="s">
        <v>5845</v>
      </c>
      <c r="D2926" s="517" t="s">
        <v>5845</v>
      </c>
      <c r="E2926" s="517" t="s">
        <v>2383</v>
      </c>
      <c r="F2926" s="438" t="s">
        <v>5846</v>
      </c>
      <c r="G2926" s="435" t="s">
        <v>5278</v>
      </c>
      <c r="H2926" s="427" t="s">
        <v>5163</v>
      </c>
      <c r="I2926" s="518">
        <v>85.12</v>
      </c>
      <c r="J2926" s="381">
        <v>22.12</v>
      </c>
      <c r="K2926" s="519">
        <v>22.12</v>
      </c>
      <c r="L2926" s="369">
        <f t="shared" si="197"/>
        <v>4.4240000000000004</v>
      </c>
      <c r="M2926" s="369" t="s">
        <v>6171</v>
      </c>
      <c r="N2926" s="432" t="s">
        <v>3785</v>
      </c>
      <c r="O2926" s="521" t="s">
        <v>5847</v>
      </c>
      <c r="P2926" s="438" t="s">
        <v>5530</v>
      </c>
      <c r="Q2926" s="481">
        <v>0.2</v>
      </c>
      <c r="R2926" s="427">
        <v>1900001375</v>
      </c>
      <c r="S2926" s="513" t="s">
        <v>1308</v>
      </c>
      <c r="T2926" s="2" t="s">
        <v>5915</v>
      </c>
    </row>
    <row r="2927" spans="1:20" x14ac:dyDescent="0.35">
      <c r="A2927" s="435" t="s">
        <v>5160</v>
      </c>
      <c r="B2927" s="427" t="s">
        <v>5883</v>
      </c>
      <c r="C2927" s="520" t="s">
        <v>5845</v>
      </c>
      <c r="D2927" s="517" t="s">
        <v>5845</v>
      </c>
      <c r="E2927" s="517" t="s">
        <v>2385</v>
      </c>
      <c r="F2927" s="438" t="s">
        <v>5846</v>
      </c>
      <c r="G2927" s="435" t="s">
        <v>5278</v>
      </c>
      <c r="H2927" s="427" t="s">
        <v>5163</v>
      </c>
      <c r="I2927" s="518">
        <v>85.12</v>
      </c>
      <c r="J2927" s="381">
        <v>22.12</v>
      </c>
      <c r="K2927" s="519">
        <v>22.12</v>
      </c>
      <c r="L2927" s="369">
        <f t="shared" si="197"/>
        <v>4.4240000000000004</v>
      </c>
      <c r="M2927" s="369" t="s">
        <v>6171</v>
      </c>
      <c r="N2927" s="432" t="s">
        <v>3785</v>
      </c>
      <c r="O2927" s="521" t="s">
        <v>5847</v>
      </c>
      <c r="P2927" s="438" t="s">
        <v>5530</v>
      </c>
      <c r="Q2927" s="481">
        <v>0.2</v>
      </c>
      <c r="R2927" s="427">
        <v>1900001375</v>
      </c>
      <c r="S2927" s="513" t="s">
        <v>1319</v>
      </c>
      <c r="T2927" s="2" t="s">
        <v>5915</v>
      </c>
    </row>
    <row r="2928" spans="1:20" x14ac:dyDescent="0.35">
      <c r="A2928" s="435" t="s">
        <v>5160</v>
      </c>
      <c r="B2928" s="427" t="s">
        <v>5883</v>
      </c>
      <c r="C2928" s="520" t="s">
        <v>5845</v>
      </c>
      <c r="D2928" s="517" t="s">
        <v>5845</v>
      </c>
      <c r="E2928" s="517" t="s">
        <v>2387</v>
      </c>
      <c r="F2928" s="438" t="s">
        <v>5846</v>
      </c>
      <c r="G2928" s="435" t="s">
        <v>5278</v>
      </c>
      <c r="H2928" s="427" t="s">
        <v>5163</v>
      </c>
      <c r="I2928" s="518">
        <v>85.12</v>
      </c>
      <c r="J2928" s="381">
        <v>22.12</v>
      </c>
      <c r="K2928" s="519">
        <v>22.12</v>
      </c>
      <c r="L2928" s="369">
        <f t="shared" si="197"/>
        <v>4.4240000000000004</v>
      </c>
      <c r="M2928" s="369" t="s">
        <v>6171</v>
      </c>
      <c r="N2928" s="432" t="s">
        <v>3785</v>
      </c>
      <c r="O2928" s="521" t="s">
        <v>5847</v>
      </c>
      <c r="P2928" s="438" t="s">
        <v>5530</v>
      </c>
      <c r="Q2928" s="481">
        <v>0.2</v>
      </c>
      <c r="R2928" s="427">
        <v>1900001375</v>
      </c>
      <c r="S2928" s="513" t="s">
        <v>1317</v>
      </c>
      <c r="T2928" s="2" t="s">
        <v>5915</v>
      </c>
    </row>
    <row r="2929" spans="1:20" x14ac:dyDescent="0.35">
      <c r="A2929" s="435" t="s">
        <v>5160</v>
      </c>
      <c r="B2929" s="427" t="s">
        <v>5883</v>
      </c>
      <c r="C2929" s="520" t="s">
        <v>5845</v>
      </c>
      <c r="D2929" s="517" t="s">
        <v>5845</v>
      </c>
      <c r="E2929" s="517" t="s">
        <v>2390</v>
      </c>
      <c r="F2929" s="438" t="s">
        <v>5846</v>
      </c>
      <c r="G2929" s="435" t="s">
        <v>5278</v>
      </c>
      <c r="H2929" s="427" t="s">
        <v>5163</v>
      </c>
      <c r="I2929" s="518">
        <v>85.12</v>
      </c>
      <c r="J2929" s="381">
        <v>22.12</v>
      </c>
      <c r="K2929" s="519">
        <v>22.12</v>
      </c>
      <c r="L2929" s="369">
        <f t="shared" si="197"/>
        <v>4.4240000000000004</v>
      </c>
      <c r="M2929" s="369" t="s">
        <v>6171</v>
      </c>
      <c r="N2929" s="432" t="s">
        <v>3785</v>
      </c>
      <c r="O2929" s="521" t="s">
        <v>5847</v>
      </c>
      <c r="P2929" s="438" t="s">
        <v>5530</v>
      </c>
      <c r="Q2929" s="481">
        <v>0.2</v>
      </c>
      <c r="R2929" s="427">
        <v>1900001375</v>
      </c>
      <c r="S2929" s="513" t="s">
        <v>2389</v>
      </c>
      <c r="T2929" s="2" t="s">
        <v>5915</v>
      </c>
    </row>
    <row r="2930" spans="1:20" x14ac:dyDescent="0.35">
      <c r="A2930" s="435" t="s">
        <v>5160</v>
      </c>
      <c r="B2930" s="427" t="s">
        <v>5883</v>
      </c>
      <c r="C2930" s="520" t="s">
        <v>5845</v>
      </c>
      <c r="D2930" s="517" t="s">
        <v>5845</v>
      </c>
      <c r="E2930" s="517" t="s">
        <v>2392</v>
      </c>
      <c r="F2930" s="438" t="s">
        <v>5846</v>
      </c>
      <c r="G2930" s="435" t="s">
        <v>5278</v>
      </c>
      <c r="H2930" s="427" t="s">
        <v>5163</v>
      </c>
      <c r="I2930" s="518">
        <v>85.12</v>
      </c>
      <c r="J2930" s="381">
        <v>22.12</v>
      </c>
      <c r="K2930" s="519">
        <v>22.12</v>
      </c>
      <c r="L2930" s="369">
        <f t="shared" si="197"/>
        <v>4.4240000000000004</v>
      </c>
      <c r="M2930" s="369" t="s">
        <v>6171</v>
      </c>
      <c r="N2930" s="432" t="s">
        <v>3785</v>
      </c>
      <c r="O2930" s="521" t="s">
        <v>5847</v>
      </c>
      <c r="P2930" s="438" t="s">
        <v>5530</v>
      </c>
      <c r="Q2930" s="481">
        <v>0.2</v>
      </c>
      <c r="R2930" s="427">
        <v>1900001375</v>
      </c>
      <c r="S2930" s="513" t="s">
        <v>693</v>
      </c>
      <c r="T2930" s="2" t="s">
        <v>5915</v>
      </c>
    </row>
    <row r="2931" spans="1:20" x14ac:dyDescent="0.35">
      <c r="A2931" s="435" t="s">
        <v>5160</v>
      </c>
      <c r="B2931" s="427" t="s">
        <v>5883</v>
      </c>
      <c r="C2931" s="520" t="s">
        <v>5845</v>
      </c>
      <c r="D2931" s="517" t="s">
        <v>5845</v>
      </c>
      <c r="E2931" s="517" t="s">
        <v>2393</v>
      </c>
      <c r="F2931" s="438" t="s">
        <v>5846</v>
      </c>
      <c r="G2931" s="435" t="s">
        <v>5278</v>
      </c>
      <c r="H2931" s="427" t="s">
        <v>5163</v>
      </c>
      <c r="I2931" s="518">
        <v>85.12</v>
      </c>
      <c r="J2931" s="381">
        <v>22.12</v>
      </c>
      <c r="K2931" s="519">
        <v>22.12</v>
      </c>
      <c r="L2931" s="369">
        <f t="shared" si="197"/>
        <v>4.4240000000000004</v>
      </c>
      <c r="M2931" s="369" t="s">
        <v>6171</v>
      </c>
      <c r="N2931" s="432" t="s">
        <v>3785</v>
      </c>
      <c r="O2931" s="521" t="s">
        <v>5847</v>
      </c>
      <c r="P2931" s="438" t="s">
        <v>5530</v>
      </c>
      <c r="Q2931" s="481">
        <v>0.2</v>
      </c>
      <c r="R2931" s="427">
        <v>1900001375</v>
      </c>
      <c r="S2931" s="513" t="s">
        <v>1345</v>
      </c>
      <c r="T2931" s="2" t="s">
        <v>5915</v>
      </c>
    </row>
    <row r="2932" spans="1:20" x14ac:dyDescent="0.35">
      <c r="A2932" s="435" t="s">
        <v>5160</v>
      </c>
      <c r="B2932" s="427" t="s">
        <v>5883</v>
      </c>
      <c r="C2932" s="520" t="s">
        <v>5845</v>
      </c>
      <c r="D2932" s="517" t="s">
        <v>5845</v>
      </c>
      <c r="E2932" s="517" t="s">
        <v>2397</v>
      </c>
      <c r="F2932" s="438" t="s">
        <v>5846</v>
      </c>
      <c r="G2932" s="435" t="s">
        <v>5278</v>
      </c>
      <c r="H2932" s="427" t="s">
        <v>5163</v>
      </c>
      <c r="I2932" s="518">
        <v>85.12</v>
      </c>
      <c r="J2932" s="381">
        <v>22.12</v>
      </c>
      <c r="K2932" s="519">
        <v>22.12</v>
      </c>
      <c r="L2932" s="369">
        <f t="shared" si="197"/>
        <v>4.4240000000000004</v>
      </c>
      <c r="M2932" s="369" t="s">
        <v>6171</v>
      </c>
      <c r="N2932" s="432" t="s">
        <v>3785</v>
      </c>
      <c r="O2932" s="521" t="s">
        <v>5847</v>
      </c>
      <c r="P2932" s="438" t="s">
        <v>5530</v>
      </c>
      <c r="Q2932" s="481">
        <v>0.2</v>
      </c>
      <c r="R2932" s="427">
        <v>1900001375</v>
      </c>
      <c r="S2932" s="513" t="s">
        <v>1325</v>
      </c>
      <c r="T2932" s="2" t="s">
        <v>5915</v>
      </c>
    </row>
    <row r="2933" spans="1:20" x14ac:dyDescent="0.35">
      <c r="A2933" s="435" t="s">
        <v>5160</v>
      </c>
      <c r="B2933" s="427" t="s">
        <v>5883</v>
      </c>
      <c r="C2933" s="520" t="s">
        <v>5845</v>
      </c>
      <c r="D2933" s="517" t="s">
        <v>5845</v>
      </c>
      <c r="E2933" s="517" t="s">
        <v>2399</v>
      </c>
      <c r="F2933" s="438" t="s">
        <v>5846</v>
      </c>
      <c r="G2933" s="435" t="s">
        <v>5278</v>
      </c>
      <c r="H2933" s="427" t="s">
        <v>5163</v>
      </c>
      <c r="I2933" s="518">
        <v>85.12</v>
      </c>
      <c r="J2933" s="381">
        <v>22.12</v>
      </c>
      <c r="K2933" s="519">
        <v>22.12</v>
      </c>
      <c r="L2933" s="369">
        <f t="shared" si="197"/>
        <v>4.4240000000000004</v>
      </c>
      <c r="M2933" s="369" t="s">
        <v>6171</v>
      </c>
      <c r="N2933" s="432" t="s">
        <v>3785</v>
      </c>
      <c r="O2933" s="521" t="s">
        <v>5847</v>
      </c>
      <c r="P2933" s="438" t="s">
        <v>5530</v>
      </c>
      <c r="Q2933" s="481">
        <v>0.2</v>
      </c>
      <c r="R2933" s="427">
        <v>1900001375</v>
      </c>
      <c r="S2933" s="513" t="s">
        <v>2398</v>
      </c>
      <c r="T2933" s="2" t="s">
        <v>5915</v>
      </c>
    </row>
    <row r="2934" spans="1:20" x14ac:dyDescent="0.35">
      <c r="A2934" s="435" t="s">
        <v>5160</v>
      </c>
      <c r="B2934" s="427" t="s">
        <v>5883</v>
      </c>
      <c r="C2934" s="520" t="s">
        <v>5845</v>
      </c>
      <c r="D2934" s="517" t="s">
        <v>5845</v>
      </c>
      <c r="E2934" s="517" t="s">
        <v>2400</v>
      </c>
      <c r="F2934" s="438" t="s">
        <v>5846</v>
      </c>
      <c r="G2934" s="435" t="s">
        <v>5278</v>
      </c>
      <c r="H2934" s="427" t="s">
        <v>5163</v>
      </c>
      <c r="I2934" s="518">
        <v>85.12</v>
      </c>
      <c r="J2934" s="381">
        <v>22.12</v>
      </c>
      <c r="K2934" s="519">
        <v>22.12</v>
      </c>
      <c r="L2934" s="369">
        <f t="shared" si="197"/>
        <v>4.4240000000000004</v>
      </c>
      <c r="M2934" s="369" t="s">
        <v>6171</v>
      </c>
      <c r="N2934" s="432" t="s">
        <v>3785</v>
      </c>
      <c r="O2934" s="521" t="s">
        <v>5847</v>
      </c>
      <c r="P2934" s="438" t="s">
        <v>5530</v>
      </c>
      <c r="Q2934" s="481">
        <v>0.2</v>
      </c>
      <c r="R2934" s="427">
        <v>1900001375</v>
      </c>
      <c r="S2934" s="513" t="s">
        <v>1330</v>
      </c>
      <c r="T2934" s="2" t="s">
        <v>5915</v>
      </c>
    </row>
    <row r="2935" spans="1:20" x14ac:dyDescent="0.35">
      <c r="A2935" s="435" t="s">
        <v>5160</v>
      </c>
      <c r="B2935" s="427" t="s">
        <v>5883</v>
      </c>
      <c r="C2935" s="520" t="s">
        <v>5845</v>
      </c>
      <c r="D2935" s="517" t="s">
        <v>5845</v>
      </c>
      <c r="E2935" s="517" t="s">
        <v>2401</v>
      </c>
      <c r="F2935" s="438" t="s">
        <v>5846</v>
      </c>
      <c r="G2935" s="435" t="s">
        <v>5278</v>
      </c>
      <c r="H2935" s="427" t="s">
        <v>5163</v>
      </c>
      <c r="I2935" s="518">
        <v>85.12</v>
      </c>
      <c r="J2935" s="381">
        <v>22.12</v>
      </c>
      <c r="K2935" s="519">
        <v>22.12</v>
      </c>
      <c r="L2935" s="369">
        <f t="shared" si="197"/>
        <v>4.4240000000000004</v>
      </c>
      <c r="M2935" s="369" t="s">
        <v>6171</v>
      </c>
      <c r="N2935" s="432" t="s">
        <v>3785</v>
      </c>
      <c r="O2935" s="521" t="s">
        <v>5847</v>
      </c>
      <c r="P2935" s="438" t="s">
        <v>5530</v>
      </c>
      <c r="Q2935" s="481">
        <v>0.2</v>
      </c>
      <c r="R2935" s="427">
        <v>1900001375</v>
      </c>
      <c r="S2935" s="513" t="s">
        <v>1334</v>
      </c>
      <c r="T2935" s="2" t="s">
        <v>5915</v>
      </c>
    </row>
    <row r="2936" spans="1:20" x14ac:dyDescent="0.35">
      <c r="A2936" s="435" t="s">
        <v>5160</v>
      </c>
      <c r="B2936" s="427" t="s">
        <v>5883</v>
      </c>
      <c r="C2936" s="520" t="s">
        <v>5845</v>
      </c>
      <c r="D2936" s="517" t="s">
        <v>5845</v>
      </c>
      <c r="E2936" s="517" t="s">
        <v>2402</v>
      </c>
      <c r="F2936" s="438" t="s">
        <v>5846</v>
      </c>
      <c r="G2936" s="435" t="s">
        <v>5278</v>
      </c>
      <c r="H2936" s="427" t="s">
        <v>5163</v>
      </c>
      <c r="I2936" s="518">
        <v>85.12</v>
      </c>
      <c r="J2936" s="381">
        <v>22.12</v>
      </c>
      <c r="K2936" s="519">
        <v>22.12</v>
      </c>
      <c r="L2936" s="369">
        <f t="shared" si="197"/>
        <v>4.4240000000000004</v>
      </c>
      <c r="M2936" s="369" t="s">
        <v>6171</v>
      </c>
      <c r="N2936" s="432" t="s">
        <v>3785</v>
      </c>
      <c r="O2936" s="521" t="s">
        <v>5847</v>
      </c>
      <c r="P2936" s="438" t="s">
        <v>5530</v>
      </c>
      <c r="Q2936" s="481">
        <v>0.2</v>
      </c>
      <c r="R2936" s="427">
        <v>1900001375</v>
      </c>
      <c r="S2936" s="513" t="s">
        <v>495</v>
      </c>
      <c r="T2936" s="2" t="s">
        <v>5915</v>
      </c>
    </row>
    <row r="2937" spans="1:20" x14ac:dyDescent="0.35">
      <c r="A2937" s="435" t="s">
        <v>5160</v>
      </c>
      <c r="B2937" s="427" t="s">
        <v>5883</v>
      </c>
      <c r="C2937" s="520" t="s">
        <v>5845</v>
      </c>
      <c r="D2937" s="517" t="s">
        <v>5845</v>
      </c>
      <c r="E2937" s="517" t="s">
        <v>2405</v>
      </c>
      <c r="F2937" s="438" t="s">
        <v>5846</v>
      </c>
      <c r="G2937" s="435" t="s">
        <v>5278</v>
      </c>
      <c r="H2937" s="427" t="s">
        <v>5163</v>
      </c>
      <c r="I2937" s="518">
        <v>85.12</v>
      </c>
      <c r="J2937" s="381">
        <v>22.12</v>
      </c>
      <c r="K2937" s="519">
        <v>22.12</v>
      </c>
      <c r="L2937" s="369">
        <f t="shared" si="197"/>
        <v>4.4240000000000004</v>
      </c>
      <c r="M2937" s="369" t="s">
        <v>6171</v>
      </c>
      <c r="N2937" s="432" t="s">
        <v>3785</v>
      </c>
      <c r="O2937" s="521" t="s">
        <v>5847</v>
      </c>
      <c r="P2937" s="438" t="s">
        <v>5530</v>
      </c>
      <c r="Q2937" s="481">
        <v>0.2</v>
      </c>
      <c r="R2937" s="427">
        <v>1900001375</v>
      </c>
      <c r="S2937" s="513" t="s">
        <v>2404</v>
      </c>
      <c r="T2937" s="2" t="s">
        <v>5915</v>
      </c>
    </row>
    <row r="2938" spans="1:20" x14ac:dyDescent="0.35">
      <c r="A2938" s="435" t="s">
        <v>5160</v>
      </c>
      <c r="B2938" s="427" t="s">
        <v>5883</v>
      </c>
      <c r="C2938" s="520" t="s">
        <v>5845</v>
      </c>
      <c r="D2938" s="517" t="s">
        <v>5845</v>
      </c>
      <c r="E2938" s="517" t="s">
        <v>2409</v>
      </c>
      <c r="F2938" s="438" t="s">
        <v>5846</v>
      </c>
      <c r="G2938" s="435" t="s">
        <v>5278</v>
      </c>
      <c r="H2938" s="427" t="s">
        <v>5163</v>
      </c>
      <c r="I2938" s="518">
        <v>85.12</v>
      </c>
      <c r="J2938" s="381">
        <v>22.12</v>
      </c>
      <c r="K2938" s="519">
        <v>22.12</v>
      </c>
      <c r="L2938" s="369">
        <f t="shared" si="197"/>
        <v>4.4240000000000004</v>
      </c>
      <c r="M2938" s="369" t="s">
        <v>6171</v>
      </c>
      <c r="N2938" s="432" t="s">
        <v>3785</v>
      </c>
      <c r="O2938" s="521" t="s">
        <v>5847</v>
      </c>
      <c r="P2938" s="438" t="s">
        <v>5530</v>
      </c>
      <c r="Q2938" s="481">
        <v>0.2</v>
      </c>
      <c r="R2938" s="427">
        <v>1900001375</v>
      </c>
      <c r="S2938" s="513" t="s">
        <v>67</v>
      </c>
      <c r="T2938" s="2" t="s">
        <v>5915</v>
      </c>
    </row>
    <row r="2939" spans="1:20" x14ac:dyDescent="0.35">
      <c r="A2939" s="435" t="s">
        <v>5160</v>
      </c>
      <c r="B2939" s="427" t="s">
        <v>5883</v>
      </c>
      <c r="C2939" s="520" t="s">
        <v>5845</v>
      </c>
      <c r="D2939" s="517" t="s">
        <v>5845</v>
      </c>
      <c r="E2939" s="517" t="s">
        <v>2411</v>
      </c>
      <c r="F2939" s="438" t="s">
        <v>5846</v>
      </c>
      <c r="G2939" s="435" t="s">
        <v>5278</v>
      </c>
      <c r="H2939" s="427" t="s">
        <v>5163</v>
      </c>
      <c r="I2939" s="518">
        <v>85.12</v>
      </c>
      <c r="J2939" s="381">
        <v>22.12</v>
      </c>
      <c r="K2939" s="519">
        <v>22.12</v>
      </c>
      <c r="L2939" s="369">
        <f t="shared" si="197"/>
        <v>4.4240000000000004</v>
      </c>
      <c r="M2939" s="369" t="s">
        <v>6171</v>
      </c>
      <c r="N2939" s="432" t="s">
        <v>3785</v>
      </c>
      <c r="O2939" s="521" t="s">
        <v>5847</v>
      </c>
      <c r="P2939" s="438" t="s">
        <v>5530</v>
      </c>
      <c r="Q2939" s="481">
        <v>0.2</v>
      </c>
      <c r="R2939" s="427">
        <v>1900001375</v>
      </c>
      <c r="S2939" s="513" t="s">
        <v>1354</v>
      </c>
      <c r="T2939" s="2" t="s">
        <v>5915</v>
      </c>
    </row>
    <row r="2940" spans="1:20" x14ac:dyDescent="0.35">
      <c r="A2940" s="435" t="s">
        <v>5160</v>
      </c>
      <c r="B2940" s="427" t="s">
        <v>5883</v>
      </c>
      <c r="C2940" s="520" t="s">
        <v>5845</v>
      </c>
      <c r="D2940" s="517" t="s">
        <v>5845</v>
      </c>
      <c r="E2940" s="517" t="s">
        <v>2412</v>
      </c>
      <c r="F2940" s="438" t="s">
        <v>5846</v>
      </c>
      <c r="G2940" s="435" t="s">
        <v>5278</v>
      </c>
      <c r="H2940" s="427" t="s">
        <v>5163</v>
      </c>
      <c r="I2940" s="518">
        <v>85.12</v>
      </c>
      <c r="J2940" s="381">
        <v>22.12</v>
      </c>
      <c r="K2940" s="519">
        <v>22.12</v>
      </c>
      <c r="L2940" s="369">
        <f t="shared" si="197"/>
        <v>4.4240000000000004</v>
      </c>
      <c r="M2940" s="369" t="s">
        <v>6171</v>
      </c>
      <c r="N2940" s="432" t="s">
        <v>3785</v>
      </c>
      <c r="O2940" s="521" t="s">
        <v>5847</v>
      </c>
      <c r="P2940" s="438" t="s">
        <v>5530</v>
      </c>
      <c r="Q2940" s="481">
        <v>0.2</v>
      </c>
      <c r="R2940" s="427">
        <v>1900001375</v>
      </c>
      <c r="S2940" s="513" t="s">
        <v>1362</v>
      </c>
      <c r="T2940" s="2" t="s">
        <v>5915</v>
      </c>
    </row>
    <row r="2941" spans="1:20" x14ac:dyDescent="0.35">
      <c r="A2941" s="435" t="s">
        <v>5160</v>
      </c>
      <c r="B2941" s="427" t="s">
        <v>5883</v>
      </c>
      <c r="C2941" s="520" t="s">
        <v>5845</v>
      </c>
      <c r="D2941" s="517" t="s">
        <v>5845</v>
      </c>
      <c r="E2941" s="517" t="s">
        <v>2414</v>
      </c>
      <c r="F2941" s="438" t="s">
        <v>5846</v>
      </c>
      <c r="G2941" s="435" t="s">
        <v>5278</v>
      </c>
      <c r="H2941" s="427" t="s">
        <v>5163</v>
      </c>
      <c r="I2941" s="518">
        <v>85.12</v>
      </c>
      <c r="J2941" s="381">
        <v>22.12</v>
      </c>
      <c r="K2941" s="519">
        <v>22.12</v>
      </c>
      <c r="L2941" s="369">
        <f t="shared" si="197"/>
        <v>4.4240000000000004</v>
      </c>
      <c r="M2941" s="369" t="s">
        <v>6171</v>
      </c>
      <c r="N2941" s="432" t="s">
        <v>3785</v>
      </c>
      <c r="O2941" s="521" t="s">
        <v>5847</v>
      </c>
      <c r="P2941" s="438" t="s">
        <v>5530</v>
      </c>
      <c r="Q2941" s="481">
        <v>0.2</v>
      </c>
      <c r="R2941" s="427">
        <v>1900001375</v>
      </c>
      <c r="S2941" s="513" t="s">
        <v>1365</v>
      </c>
      <c r="T2941" s="2" t="s">
        <v>5915</v>
      </c>
    </row>
    <row r="2942" spans="1:20" x14ac:dyDescent="0.35">
      <c r="A2942" s="435" t="s">
        <v>5160</v>
      </c>
      <c r="B2942" s="427" t="s">
        <v>5883</v>
      </c>
      <c r="C2942" s="520" t="s">
        <v>5845</v>
      </c>
      <c r="D2942" s="517" t="s">
        <v>5845</v>
      </c>
      <c r="E2942" s="517" t="s">
        <v>2416</v>
      </c>
      <c r="F2942" s="438" t="s">
        <v>5846</v>
      </c>
      <c r="G2942" s="435" t="s">
        <v>5278</v>
      </c>
      <c r="H2942" s="427" t="s">
        <v>5163</v>
      </c>
      <c r="I2942" s="518">
        <v>85.12</v>
      </c>
      <c r="J2942" s="381">
        <v>22.12</v>
      </c>
      <c r="K2942" s="519">
        <v>22.12</v>
      </c>
      <c r="L2942" s="369">
        <f t="shared" si="197"/>
        <v>4.4240000000000004</v>
      </c>
      <c r="M2942" s="369" t="s">
        <v>6171</v>
      </c>
      <c r="N2942" s="432" t="s">
        <v>3785</v>
      </c>
      <c r="O2942" s="521" t="s">
        <v>5847</v>
      </c>
      <c r="P2942" s="438" t="s">
        <v>5530</v>
      </c>
      <c r="Q2942" s="481">
        <v>0.2</v>
      </c>
      <c r="R2942" s="427">
        <v>1900001375</v>
      </c>
      <c r="S2942" s="513" t="s">
        <v>1367</v>
      </c>
      <c r="T2942" s="2" t="s">
        <v>5915</v>
      </c>
    </row>
    <row r="2943" spans="1:20" x14ac:dyDescent="0.35">
      <c r="A2943" s="435" t="s">
        <v>5160</v>
      </c>
      <c r="B2943" s="427" t="s">
        <v>5883</v>
      </c>
      <c r="C2943" s="520" t="s">
        <v>5845</v>
      </c>
      <c r="D2943" s="517" t="s">
        <v>5845</v>
      </c>
      <c r="E2943" s="517" t="s">
        <v>2418</v>
      </c>
      <c r="F2943" s="438" t="s">
        <v>5846</v>
      </c>
      <c r="G2943" s="435" t="s">
        <v>5278</v>
      </c>
      <c r="H2943" s="427" t="s">
        <v>5163</v>
      </c>
      <c r="I2943" s="518">
        <v>85.12</v>
      </c>
      <c r="J2943" s="381">
        <v>22.12</v>
      </c>
      <c r="K2943" s="519">
        <v>22.12</v>
      </c>
      <c r="L2943" s="369">
        <f t="shared" si="197"/>
        <v>4.4240000000000004</v>
      </c>
      <c r="M2943" s="369" t="s">
        <v>6171</v>
      </c>
      <c r="N2943" s="432" t="s">
        <v>3785</v>
      </c>
      <c r="O2943" s="521" t="s">
        <v>5847</v>
      </c>
      <c r="P2943" s="438" t="s">
        <v>5530</v>
      </c>
      <c r="Q2943" s="481">
        <v>0.2</v>
      </c>
      <c r="R2943" s="427">
        <v>1900001375</v>
      </c>
      <c r="S2943" s="513" t="s">
        <v>1369</v>
      </c>
      <c r="T2943" s="2" t="s">
        <v>5915</v>
      </c>
    </row>
    <row r="2944" spans="1:20" x14ac:dyDescent="0.35">
      <c r="A2944" s="435" t="s">
        <v>5160</v>
      </c>
      <c r="B2944" s="427" t="s">
        <v>5883</v>
      </c>
      <c r="C2944" s="520" t="s">
        <v>5845</v>
      </c>
      <c r="D2944" s="517" t="s">
        <v>5845</v>
      </c>
      <c r="E2944" s="517" t="s">
        <v>2420</v>
      </c>
      <c r="F2944" s="438" t="s">
        <v>5846</v>
      </c>
      <c r="G2944" s="435" t="s">
        <v>5278</v>
      </c>
      <c r="H2944" s="427" t="s">
        <v>5163</v>
      </c>
      <c r="I2944" s="518">
        <v>85.12</v>
      </c>
      <c r="J2944" s="381">
        <v>22.12</v>
      </c>
      <c r="K2944" s="519">
        <v>22.12</v>
      </c>
      <c r="L2944" s="369">
        <f t="shared" si="197"/>
        <v>4.4240000000000004</v>
      </c>
      <c r="M2944" s="369" t="s">
        <v>6171</v>
      </c>
      <c r="N2944" s="432" t="s">
        <v>3785</v>
      </c>
      <c r="O2944" s="521" t="s">
        <v>5847</v>
      </c>
      <c r="P2944" s="438" t="s">
        <v>5530</v>
      </c>
      <c r="Q2944" s="481">
        <v>0.2</v>
      </c>
      <c r="R2944" s="427">
        <v>1900001375</v>
      </c>
      <c r="S2944" s="513" t="s">
        <v>1371</v>
      </c>
      <c r="T2944" s="2" t="s">
        <v>5915</v>
      </c>
    </row>
    <row r="2945" spans="1:21" x14ac:dyDescent="0.35">
      <c r="A2945" s="435" t="s">
        <v>5160</v>
      </c>
      <c r="B2945" s="427" t="s">
        <v>5883</v>
      </c>
      <c r="C2945" s="520" t="s">
        <v>5845</v>
      </c>
      <c r="D2945" s="517" t="s">
        <v>5845</v>
      </c>
      <c r="E2945" s="517" t="s">
        <v>2422</v>
      </c>
      <c r="F2945" s="438" t="s">
        <v>5846</v>
      </c>
      <c r="G2945" s="435" t="s">
        <v>5278</v>
      </c>
      <c r="H2945" s="427" t="s">
        <v>5163</v>
      </c>
      <c r="I2945" s="518">
        <v>85.12</v>
      </c>
      <c r="J2945" s="381">
        <v>22.12</v>
      </c>
      <c r="K2945" s="519">
        <v>22.12</v>
      </c>
      <c r="L2945" s="369">
        <f t="shared" si="197"/>
        <v>4.4240000000000004</v>
      </c>
      <c r="M2945" s="369" t="s">
        <v>6171</v>
      </c>
      <c r="N2945" s="432" t="s">
        <v>3785</v>
      </c>
      <c r="O2945" s="521" t="s">
        <v>5847</v>
      </c>
      <c r="P2945" s="438" t="s">
        <v>5530</v>
      </c>
      <c r="Q2945" s="481">
        <v>0.2</v>
      </c>
      <c r="R2945" s="427">
        <v>1900001375</v>
      </c>
      <c r="S2945" s="513" t="s">
        <v>402</v>
      </c>
      <c r="T2945" s="2" t="s">
        <v>5915</v>
      </c>
    </row>
    <row r="2946" spans="1:21" x14ac:dyDescent="0.35">
      <c r="A2946" s="435" t="s">
        <v>5160</v>
      </c>
      <c r="B2946" s="427" t="s">
        <v>5883</v>
      </c>
      <c r="C2946" s="520" t="s">
        <v>5845</v>
      </c>
      <c r="D2946" s="517" t="s">
        <v>5845</v>
      </c>
      <c r="E2946" s="517" t="s">
        <v>2424</v>
      </c>
      <c r="F2946" s="438" t="s">
        <v>5846</v>
      </c>
      <c r="G2946" s="435" t="s">
        <v>5278</v>
      </c>
      <c r="H2946" s="427" t="s">
        <v>5163</v>
      </c>
      <c r="I2946" s="518">
        <v>85.12</v>
      </c>
      <c r="J2946" s="381">
        <v>22.12</v>
      </c>
      <c r="K2946" s="519">
        <v>22.12</v>
      </c>
      <c r="L2946" s="369">
        <f t="shared" si="197"/>
        <v>4.4240000000000004</v>
      </c>
      <c r="M2946" s="369" t="s">
        <v>6171</v>
      </c>
      <c r="N2946" s="432" t="s">
        <v>3785</v>
      </c>
      <c r="O2946" s="521" t="s">
        <v>5847</v>
      </c>
      <c r="P2946" s="438" t="s">
        <v>5530</v>
      </c>
      <c r="Q2946" s="481">
        <v>0.2</v>
      </c>
      <c r="R2946" s="427">
        <v>1900001375</v>
      </c>
      <c r="S2946" s="513" t="s">
        <v>1893</v>
      </c>
      <c r="T2946" s="2" t="s">
        <v>5915</v>
      </c>
    </row>
    <row r="2947" spans="1:21" x14ac:dyDescent="0.35">
      <c r="A2947" s="435" t="s">
        <v>5160</v>
      </c>
      <c r="B2947" s="427" t="s">
        <v>5883</v>
      </c>
      <c r="C2947" s="520" t="s">
        <v>5845</v>
      </c>
      <c r="D2947" s="517" t="s">
        <v>5845</v>
      </c>
      <c r="E2947" s="517" t="s">
        <v>2437</v>
      </c>
      <c r="F2947" s="438" t="s">
        <v>5846</v>
      </c>
      <c r="G2947" s="435" t="s">
        <v>5278</v>
      </c>
      <c r="H2947" s="427" t="s">
        <v>5163</v>
      </c>
      <c r="I2947" s="518">
        <v>85.12</v>
      </c>
      <c r="J2947" s="381">
        <v>22.12</v>
      </c>
      <c r="K2947" s="519">
        <v>22.12</v>
      </c>
      <c r="L2947" s="369">
        <f t="shared" si="197"/>
        <v>4.4240000000000004</v>
      </c>
      <c r="M2947" s="369" t="s">
        <v>6171</v>
      </c>
      <c r="N2947" s="432" t="s">
        <v>3785</v>
      </c>
      <c r="O2947" s="521" t="s">
        <v>5847</v>
      </c>
      <c r="P2947" s="438" t="s">
        <v>5530</v>
      </c>
      <c r="Q2947" s="481">
        <v>0.2</v>
      </c>
      <c r="R2947" s="427">
        <v>1900001375</v>
      </c>
      <c r="S2947" s="513" t="s">
        <v>2427</v>
      </c>
      <c r="T2947" s="2" t="s">
        <v>5915</v>
      </c>
    </row>
    <row r="2948" spans="1:21" x14ac:dyDescent="0.35">
      <c r="A2948" s="435" t="s">
        <v>5160</v>
      </c>
      <c r="B2948" s="427" t="s">
        <v>5883</v>
      </c>
      <c r="C2948" s="520" t="s">
        <v>5845</v>
      </c>
      <c r="D2948" s="517" t="s">
        <v>5845</v>
      </c>
      <c r="E2948" s="517" t="s">
        <v>2438</v>
      </c>
      <c r="F2948" s="438" t="s">
        <v>5846</v>
      </c>
      <c r="G2948" s="435" t="s">
        <v>5278</v>
      </c>
      <c r="H2948" s="427" t="s">
        <v>5163</v>
      </c>
      <c r="I2948" s="518">
        <v>85.12</v>
      </c>
      <c r="J2948" s="381">
        <v>22.12</v>
      </c>
      <c r="K2948" s="519">
        <v>22.12</v>
      </c>
      <c r="L2948" s="369">
        <f t="shared" si="197"/>
        <v>4.4240000000000004</v>
      </c>
      <c r="M2948" s="369" t="s">
        <v>6171</v>
      </c>
      <c r="N2948" s="432" t="s">
        <v>3785</v>
      </c>
      <c r="O2948" s="521" t="s">
        <v>5847</v>
      </c>
      <c r="P2948" s="438" t="s">
        <v>5530</v>
      </c>
      <c r="Q2948" s="481">
        <v>0.2</v>
      </c>
      <c r="R2948" s="427">
        <v>1900001375</v>
      </c>
      <c r="S2948" s="513" t="s">
        <v>2427</v>
      </c>
      <c r="T2948" s="2" t="s">
        <v>5915</v>
      </c>
      <c r="U2948" s="9" t="s">
        <v>6117</v>
      </c>
    </row>
    <row r="2949" spans="1:21" x14ac:dyDescent="0.35">
      <c r="A2949" s="435" t="s">
        <v>5160</v>
      </c>
      <c r="B2949" s="427" t="s">
        <v>5883</v>
      </c>
      <c r="C2949" s="520" t="s">
        <v>5845</v>
      </c>
      <c r="D2949" s="517" t="s">
        <v>5845</v>
      </c>
      <c r="E2949" s="517" t="s">
        <v>2439</v>
      </c>
      <c r="F2949" s="438" t="s">
        <v>5846</v>
      </c>
      <c r="G2949" s="435" t="s">
        <v>5278</v>
      </c>
      <c r="H2949" s="427" t="s">
        <v>5163</v>
      </c>
      <c r="I2949" s="518">
        <v>85.12</v>
      </c>
      <c r="J2949" s="381">
        <v>22.12</v>
      </c>
      <c r="K2949" s="519">
        <v>22.12</v>
      </c>
      <c r="L2949" s="369">
        <f t="shared" ref="L2949:L3006" si="198">+K2949*Q2949</f>
        <v>4.4240000000000004</v>
      </c>
      <c r="M2949" s="369" t="s">
        <v>6171</v>
      </c>
      <c r="N2949" s="432" t="s">
        <v>3785</v>
      </c>
      <c r="O2949" s="521" t="s">
        <v>5847</v>
      </c>
      <c r="P2949" s="438" t="s">
        <v>5530</v>
      </c>
      <c r="Q2949" s="481">
        <v>0.2</v>
      </c>
      <c r="R2949" s="427">
        <v>1900001375</v>
      </c>
      <c r="S2949" s="513" t="s">
        <v>2427</v>
      </c>
      <c r="T2949" s="2" t="s">
        <v>5915</v>
      </c>
      <c r="U2949" s="9" t="s">
        <v>6108</v>
      </c>
    </row>
    <row r="2950" spans="1:21" x14ac:dyDescent="0.35">
      <c r="A2950" s="435" t="s">
        <v>5160</v>
      </c>
      <c r="B2950" s="427" t="s">
        <v>5883</v>
      </c>
      <c r="C2950" s="520" t="s">
        <v>5845</v>
      </c>
      <c r="D2950" s="517" t="s">
        <v>5845</v>
      </c>
      <c r="E2950" s="517" t="s">
        <v>2440</v>
      </c>
      <c r="F2950" s="438" t="s">
        <v>5846</v>
      </c>
      <c r="G2950" s="435" t="s">
        <v>5278</v>
      </c>
      <c r="H2950" s="427" t="s">
        <v>5163</v>
      </c>
      <c r="I2950" s="518">
        <v>85.12</v>
      </c>
      <c r="J2950" s="381">
        <v>22.12</v>
      </c>
      <c r="K2950" s="519">
        <v>22.12</v>
      </c>
      <c r="L2950" s="369">
        <f t="shared" si="198"/>
        <v>4.4240000000000004</v>
      </c>
      <c r="M2950" s="369" t="s">
        <v>6171</v>
      </c>
      <c r="N2950" s="432" t="s">
        <v>3785</v>
      </c>
      <c r="O2950" s="521" t="s">
        <v>5847</v>
      </c>
      <c r="P2950" s="438" t="s">
        <v>5530</v>
      </c>
      <c r="Q2950" s="481">
        <v>0.2</v>
      </c>
      <c r="R2950" s="427">
        <v>1900001375</v>
      </c>
      <c r="S2950" s="513" t="s">
        <v>2427</v>
      </c>
      <c r="T2950" s="2" t="s">
        <v>5915</v>
      </c>
    </row>
    <row r="2951" spans="1:21" x14ac:dyDescent="0.35">
      <c r="A2951" s="435" t="s">
        <v>5160</v>
      </c>
      <c r="B2951" s="427" t="s">
        <v>5883</v>
      </c>
      <c r="C2951" s="520" t="s">
        <v>5845</v>
      </c>
      <c r="D2951" s="517" t="s">
        <v>5845</v>
      </c>
      <c r="E2951" s="517" t="s">
        <v>2441</v>
      </c>
      <c r="F2951" s="438" t="s">
        <v>5846</v>
      </c>
      <c r="G2951" s="435" t="s">
        <v>5278</v>
      </c>
      <c r="H2951" s="427" t="s">
        <v>5163</v>
      </c>
      <c r="I2951" s="518">
        <v>85.12</v>
      </c>
      <c r="J2951" s="381">
        <v>22.12</v>
      </c>
      <c r="K2951" s="519">
        <v>22.12</v>
      </c>
      <c r="L2951" s="369">
        <f t="shared" si="198"/>
        <v>4.4240000000000004</v>
      </c>
      <c r="M2951" s="369" t="s">
        <v>6171</v>
      </c>
      <c r="N2951" s="432" t="s">
        <v>3785</v>
      </c>
      <c r="O2951" s="521" t="s">
        <v>5847</v>
      </c>
      <c r="P2951" s="438" t="s">
        <v>5530</v>
      </c>
      <c r="Q2951" s="481">
        <v>0.2</v>
      </c>
      <c r="R2951" s="427">
        <v>1900001375</v>
      </c>
      <c r="S2951" s="513" t="s">
        <v>2427</v>
      </c>
      <c r="T2951" s="2" t="s">
        <v>5915</v>
      </c>
    </row>
    <row r="2952" spans="1:21" x14ac:dyDescent="0.35">
      <c r="A2952" s="435" t="s">
        <v>5160</v>
      </c>
      <c r="B2952" s="427" t="s">
        <v>5883</v>
      </c>
      <c r="C2952" s="520" t="s">
        <v>5845</v>
      </c>
      <c r="D2952" s="517" t="s">
        <v>5845</v>
      </c>
      <c r="E2952" s="517" t="s">
        <v>2442</v>
      </c>
      <c r="F2952" s="438" t="s">
        <v>5846</v>
      </c>
      <c r="G2952" s="435" t="s">
        <v>5278</v>
      </c>
      <c r="H2952" s="427" t="s">
        <v>5163</v>
      </c>
      <c r="I2952" s="518">
        <v>85.12</v>
      </c>
      <c r="J2952" s="381">
        <v>22.12</v>
      </c>
      <c r="K2952" s="519">
        <v>22.12</v>
      </c>
      <c r="L2952" s="369">
        <f t="shared" si="198"/>
        <v>4.4240000000000004</v>
      </c>
      <c r="M2952" s="369" t="s">
        <v>6171</v>
      </c>
      <c r="N2952" s="432" t="s">
        <v>3785</v>
      </c>
      <c r="O2952" s="521" t="s">
        <v>5847</v>
      </c>
      <c r="P2952" s="438" t="s">
        <v>5530</v>
      </c>
      <c r="Q2952" s="481">
        <v>0.2</v>
      </c>
      <c r="R2952" s="427">
        <v>1900001375</v>
      </c>
      <c r="S2952" s="513" t="s">
        <v>2427</v>
      </c>
      <c r="T2952" s="2" t="s">
        <v>5915</v>
      </c>
      <c r="U2952" s="9" t="s">
        <v>6060</v>
      </c>
    </row>
    <row r="2953" spans="1:21" x14ac:dyDescent="0.35">
      <c r="A2953" s="435" t="s">
        <v>5160</v>
      </c>
      <c r="B2953" s="427" t="s">
        <v>5884</v>
      </c>
      <c r="C2953" s="520" t="s">
        <v>5845</v>
      </c>
      <c r="D2953" s="517" t="s">
        <v>5845</v>
      </c>
      <c r="E2953" s="517" t="s">
        <v>3488</v>
      </c>
      <c r="F2953" s="438" t="s">
        <v>5846</v>
      </c>
      <c r="G2953" s="435" t="s">
        <v>5278</v>
      </c>
      <c r="H2953" s="427" t="s">
        <v>5163</v>
      </c>
      <c r="I2953" s="518">
        <v>238.26666666666668</v>
      </c>
      <c r="J2953" s="381">
        <v>61.93333333333333</v>
      </c>
      <c r="K2953" s="519">
        <v>61.93333333333333</v>
      </c>
      <c r="L2953" s="369">
        <f t="shared" si="198"/>
        <v>12.386666666666667</v>
      </c>
      <c r="M2953" s="369" t="s">
        <v>6171</v>
      </c>
      <c r="N2953" s="432" t="s">
        <v>3785</v>
      </c>
      <c r="O2953" s="521" t="s">
        <v>5847</v>
      </c>
      <c r="P2953" s="438" t="s">
        <v>5530</v>
      </c>
      <c r="Q2953" s="481">
        <v>0.2</v>
      </c>
      <c r="R2953" s="427">
        <v>1900001375</v>
      </c>
      <c r="S2953" s="513" t="s">
        <v>2268</v>
      </c>
      <c r="T2953" s="2" t="s">
        <v>5915</v>
      </c>
    </row>
    <row r="2954" spans="1:21" x14ac:dyDescent="0.35">
      <c r="A2954" s="435" t="s">
        <v>5160</v>
      </c>
      <c r="B2954" s="543" t="s">
        <v>5884</v>
      </c>
      <c r="C2954" s="517" t="s">
        <v>5845</v>
      </c>
      <c r="D2954" s="517" t="s">
        <v>5845</v>
      </c>
      <c r="E2954" s="517"/>
      <c r="F2954" s="438" t="s">
        <v>5846</v>
      </c>
      <c r="G2954" s="435" t="s">
        <v>5278</v>
      </c>
      <c r="H2954" s="427" t="s">
        <v>5163</v>
      </c>
      <c r="I2954" s="518">
        <v>238.26666666666668</v>
      </c>
      <c r="J2954" s="381">
        <v>61.93333333333333</v>
      </c>
      <c r="K2954" s="519">
        <v>61.93333333333333</v>
      </c>
      <c r="L2954" s="369">
        <f t="shared" si="198"/>
        <v>12.386666666666667</v>
      </c>
      <c r="M2954" s="369" t="s">
        <v>6171</v>
      </c>
      <c r="N2954" s="432" t="s">
        <v>3785</v>
      </c>
      <c r="O2954" s="521" t="s">
        <v>5847</v>
      </c>
      <c r="P2954" s="438" t="s">
        <v>5530</v>
      </c>
      <c r="Q2954" s="481">
        <v>0.2</v>
      </c>
      <c r="R2954" s="427">
        <v>1900001375</v>
      </c>
      <c r="S2954" s="513" t="s">
        <v>3475</v>
      </c>
      <c r="T2954" s="2" t="s">
        <v>5914</v>
      </c>
      <c r="U2954" s="9" t="s">
        <v>3475</v>
      </c>
    </row>
    <row r="2955" spans="1:21" x14ac:dyDescent="0.35">
      <c r="A2955" s="435" t="s">
        <v>5160</v>
      </c>
      <c r="B2955" s="543" t="s">
        <v>5884</v>
      </c>
      <c r="C2955" s="517" t="s">
        <v>5845</v>
      </c>
      <c r="D2955" s="517" t="s">
        <v>5845</v>
      </c>
      <c r="E2955" s="517"/>
      <c r="F2955" s="438" t="s">
        <v>5846</v>
      </c>
      <c r="G2955" s="435" t="s">
        <v>5278</v>
      </c>
      <c r="H2955" s="427" t="s">
        <v>5163</v>
      </c>
      <c r="I2955" s="518">
        <v>238.26666666666668</v>
      </c>
      <c r="J2955" s="381">
        <v>61.93333333333333</v>
      </c>
      <c r="K2955" s="519">
        <v>61.93333333333333</v>
      </c>
      <c r="L2955" s="369">
        <f t="shared" si="198"/>
        <v>12.386666666666667</v>
      </c>
      <c r="M2955" s="369" t="s">
        <v>6171</v>
      </c>
      <c r="N2955" s="432" t="s">
        <v>3785</v>
      </c>
      <c r="O2955" s="521" t="s">
        <v>5847</v>
      </c>
      <c r="P2955" s="438" t="s">
        <v>5530</v>
      </c>
      <c r="Q2955" s="481">
        <v>0.2</v>
      </c>
      <c r="R2955" s="427">
        <v>1900001375</v>
      </c>
      <c r="S2955" s="513" t="s">
        <v>3475</v>
      </c>
      <c r="T2955" s="2" t="s">
        <v>5914</v>
      </c>
      <c r="U2955" s="9" t="s">
        <v>3475</v>
      </c>
    </row>
    <row r="2956" spans="1:21" x14ac:dyDescent="0.35">
      <c r="A2956" s="435" t="s">
        <v>5160</v>
      </c>
      <c r="B2956" s="543" t="s">
        <v>5884</v>
      </c>
      <c r="C2956" s="517" t="s">
        <v>5845</v>
      </c>
      <c r="D2956" s="517" t="s">
        <v>5845</v>
      </c>
      <c r="E2956" s="517"/>
      <c r="F2956" s="438" t="s">
        <v>5846</v>
      </c>
      <c r="G2956" s="435" t="s">
        <v>5278</v>
      </c>
      <c r="H2956" s="427" t="s">
        <v>5163</v>
      </c>
      <c r="I2956" s="518">
        <v>238.26666666666668</v>
      </c>
      <c r="J2956" s="381">
        <v>61.93333333333333</v>
      </c>
      <c r="K2956" s="519">
        <v>61.93333333333333</v>
      </c>
      <c r="L2956" s="369">
        <f t="shared" si="198"/>
        <v>12.386666666666667</v>
      </c>
      <c r="M2956" s="369" t="s">
        <v>6171</v>
      </c>
      <c r="N2956" s="432" t="s">
        <v>3785</v>
      </c>
      <c r="O2956" s="521" t="s">
        <v>5847</v>
      </c>
      <c r="P2956" s="438" t="s">
        <v>5530</v>
      </c>
      <c r="Q2956" s="481">
        <v>0.2</v>
      </c>
      <c r="R2956" s="427">
        <v>1900001375</v>
      </c>
      <c r="S2956" s="513" t="s">
        <v>3475</v>
      </c>
      <c r="T2956" s="2" t="s">
        <v>5914</v>
      </c>
      <c r="U2956" s="9" t="s">
        <v>3475</v>
      </c>
    </row>
    <row r="2957" spans="1:21" x14ac:dyDescent="0.35">
      <c r="A2957" s="435" t="s">
        <v>5160</v>
      </c>
      <c r="B2957" s="543" t="s">
        <v>5884</v>
      </c>
      <c r="C2957" s="517" t="s">
        <v>5845</v>
      </c>
      <c r="D2957" s="517" t="s">
        <v>5845</v>
      </c>
      <c r="E2957" s="517"/>
      <c r="F2957" s="438" t="s">
        <v>5846</v>
      </c>
      <c r="G2957" s="435" t="s">
        <v>5278</v>
      </c>
      <c r="H2957" s="427" t="s">
        <v>5163</v>
      </c>
      <c r="I2957" s="518">
        <v>238.26666666666668</v>
      </c>
      <c r="J2957" s="381">
        <v>61.93333333333333</v>
      </c>
      <c r="K2957" s="519">
        <v>61.93333333333333</v>
      </c>
      <c r="L2957" s="369">
        <f t="shared" si="198"/>
        <v>12.386666666666667</v>
      </c>
      <c r="M2957" s="369" t="s">
        <v>6171</v>
      </c>
      <c r="N2957" s="432" t="s">
        <v>3785</v>
      </c>
      <c r="O2957" s="521" t="s">
        <v>5847</v>
      </c>
      <c r="P2957" s="438" t="s">
        <v>5530</v>
      </c>
      <c r="Q2957" s="481">
        <v>0.2</v>
      </c>
      <c r="R2957" s="427">
        <v>1900001375</v>
      </c>
      <c r="S2957" s="513" t="s">
        <v>3475</v>
      </c>
      <c r="T2957" s="2" t="s">
        <v>5914</v>
      </c>
      <c r="U2957" s="9" t="s">
        <v>3475</v>
      </c>
    </row>
    <row r="2958" spans="1:21" x14ac:dyDescent="0.35">
      <c r="A2958" s="435" t="s">
        <v>5160</v>
      </c>
      <c r="B2958" s="543" t="s">
        <v>5884</v>
      </c>
      <c r="C2958" s="517" t="s">
        <v>5845</v>
      </c>
      <c r="D2958" s="517" t="s">
        <v>5845</v>
      </c>
      <c r="E2958" s="517"/>
      <c r="F2958" s="438" t="s">
        <v>5846</v>
      </c>
      <c r="G2958" s="435" t="s">
        <v>5278</v>
      </c>
      <c r="H2958" s="427" t="s">
        <v>5163</v>
      </c>
      <c r="I2958" s="518">
        <v>238.26666666666668</v>
      </c>
      <c r="J2958" s="381">
        <v>61.93333333333333</v>
      </c>
      <c r="K2958" s="519">
        <v>61.93333333333333</v>
      </c>
      <c r="L2958" s="369">
        <f t="shared" si="198"/>
        <v>12.386666666666667</v>
      </c>
      <c r="M2958" s="369" t="s">
        <v>6171</v>
      </c>
      <c r="N2958" s="432" t="s">
        <v>3785</v>
      </c>
      <c r="O2958" s="521" t="s">
        <v>5847</v>
      </c>
      <c r="P2958" s="438" t="s">
        <v>5530</v>
      </c>
      <c r="Q2958" s="481">
        <v>0.2</v>
      </c>
      <c r="R2958" s="427">
        <v>1900001375</v>
      </c>
      <c r="S2958" s="513" t="s">
        <v>3475</v>
      </c>
      <c r="T2958" s="2" t="s">
        <v>5914</v>
      </c>
      <c r="U2958" s="9" t="s">
        <v>3475</v>
      </c>
    </row>
    <row r="2959" spans="1:21" x14ac:dyDescent="0.35">
      <c r="A2959" s="435" t="s">
        <v>5160</v>
      </c>
      <c r="B2959" s="543" t="s">
        <v>5884</v>
      </c>
      <c r="C2959" s="517" t="s">
        <v>5845</v>
      </c>
      <c r="D2959" s="517" t="s">
        <v>5845</v>
      </c>
      <c r="E2959" s="517"/>
      <c r="F2959" s="438" t="s">
        <v>5846</v>
      </c>
      <c r="G2959" s="435" t="s">
        <v>5278</v>
      </c>
      <c r="H2959" s="427" t="s">
        <v>5163</v>
      </c>
      <c r="I2959" s="518">
        <v>238.26666666666668</v>
      </c>
      <c r="J2959" s="381">
        <v>61.93333333333333</v>
      </c>
      <c r="K2959" s="519">
        <v>61.93333333333333</v>
      </c>
      <c r="L2959" s="369">
        <f t="shared" si="198"/>
        <v>12.386666666666667</v>
      </c>
      <c r="M2959" s="369" t="s">
        <v>6171</v>
      </c>
      <c r="N2959" s="432" t="s">
        <v>3785</v>
      </c>
      <c r="O2959" s="521" t="s">
        <v>5847</v>
      </c>
      <c r="P2959" s="438" t="s">
        <v>5530</v>
      </c>
      <c r="Q2959" s="481">
        <v>0.2</v>
      </c>
      <c r="R2959" s="427">
        <v>1900001375</v>
      </c>
      <c r="S2959" s="513" t="s">
        <v>3475</v>
      </c>
      <c r="T2959" s="2" t="s">
        <v>5914</v>
      </c>
      <c r="U2959" s="9" t="s">
        <v>3475</v>
      </c>
    </row>
    <row r="2960" spans="1:21" x14ac:dyDescent="0.35">
      <c r="A2960" s="435" t="s">
        <v>5160</v>
      </c>
      <c r="B2960" s="543" t="s">
        <v>5884</v>
      </c>
      <c r="C2960" s="517" t="s">
        <v>5845</v>
      </c>
      <c r="D2960" s="517" t="s">
        <v>5845</v>
      </c>
      <c r="E2960" s="517"/>
      <c r="F2960" s="438" t="s">
        <v>5846</v>
      </c>
      <c r="G2960" s="435" t="s">
        <v>5278</v>
      </c>
      <c r="H2960" s="427" t="s">
        <v>5163</v>
      </c>
      <c r="I2960" s="518">
        <v>238.26666666666668</v>
      </c>
      <c r="J2960" s="381">
        <v>61.93333333333333</v>
      </c>
      <c r="K2960" s="519">
        <v>61.93333333333333</v>
      </c>
      <c r="L2960" s="369">
        <f t="shared" si="198"/>
        <v>12.386666666666667</v>
      </c>
      <c r="M2960" s="369" t="s">
        <v>6171</v>
      </c>
      <c r="N2960" s="432" t="s">
        <v>3785</v>
      </c>
      <c r="O2960" s="521" t="s">
        <v>5847</v>
      </c>
      <c r="P2960" s="438" t="s">
        <v>5530</v>
      </c>
      <c r="Q2960" s="481">
        <v>0.2</v>
      </c>
      <c r="R2960" s="427">
        <v>1900001375</v>
      </c>
      <c r="S2960" s="513" t="s">
        <v>3475</v>
      </c>
      <c r="T2960" s="2" t="s">
        <v>5914</v>
      </c>
      <c r="U2960" s="9" t="s">
        <v>3475</v>
      </c>
    </row>
    <row r="2961" spans="1:21" x14ac:dyDescent="0.35">
      <c r="A2961" s="435" t="s">
        <v>5160</v>
      </c>
      <c r="B2961" s="543" t="s">
        <v>5884</v>
      </c>
      <c r="C2961" s="517" t="s">
        <v>5845</v>
      </c>
      <c r="D2961" s="517" t="s">
        <v>5845</v>
      </c>
      <c r="E2961" s="517"/>
      <c r="F2961" s="438" t="s">
        <v>5846</v>
      </c>
      <c r="G2961" s="435" t="s">
        <v>5278</v>
      </c>
      <c r="H2961" s="427" t="s">
        <v>5163</v>
      </c>
      <c r="I2961" s="518">
        <v>238.26666666666668</v>
      </c>
      <c r="J2961" s="381">
        <v>61.93333333333333</v>
      </c>
      <c r="K2961" s="519">
        <v>61.93333333333333</v>
      </c>
      <c r="L2961" s="369">
        <f t="shared" si="198"/>
        <v>12.386666666666667</v>
      </c>
      <c r="M2961" s="369" t="s">
        <v>6171</v>
      </c>
      <c r="N2961" s="432" t="s">
        <v>3785</v>
      </c>
      <c r="O2961" s="521" t="s">
        <v>5847</v>
      </c>
      <c r="P2961" s="438" t="s">
        <v>5530</v>
      </c>
      <c r="Q2961" s="481">
        <v>0.2</v>
      </c>
      <c r="R2961" s="427">
        <v>1900001375</v>
      </c>
      <c r="S2961" s="513" t="s">
        <v>3475</v>
      </c>
      <c r="T2961" s="2" t="s">
        <v>5914</v>
      </c>
      <c r="U2961" s="9" t="s">
        <v>3475</v>
      </c>
    </row>
    <row r="2962" spans="1:21" x14ac:dyDescent="0.35">
      <c r="A2962" s="435" t="s">
        <v>5160</v>
      </c>
      <c r="B2962" s="543" t="s">
        <v>5884</v>
      </c>
      <c r="C2962" s="517" t="s">
        <v>5845</v>
      </c>
      <c r="D2962" s="517" t="s">
        <v>5845</v>
      </c>
      <c r="E2962" s="517"/>
      <c r="F2962" s="438" t="s">
        <v>5846</v>
      </c>
      <c r="G2962" s="435" t="s">
        <v>5278</v>
      </c>
      <c r="H2962" s="427" t="s">
        <v>5163</v>
      </c>
      <c r="I2962" s="518">
        <v>238.26666666666668</v>
      </c>
      <c r="J2962" s="381">
        <v>61.93333333333333</v>
      </c>
      <c r="K2962" s="519">
        <v>61.93333333333333</v>
      </c>
      <c r="L2962" s="369">
        <f t="shared" si="198"/>
        <v>12.386666666666667</v>
      </c>
      <c r="M2962" s="369" t="s">
        <v>6171</v>
      </c>
      <c r="N2962" s="432" t="s">
        <v>3785</v>
      </c>
      <c r="O2962" s="521" t="s">
        <v>5847</v>
      </c>
      <c r="P2962" s="438" t="s">
        <v>5530</v>
      </c>
      <c r="Q2962" s="481">
        <v>0.2</v>
      </c>
      <c r="R2962" s="427">
        <v>1900001375</v>
      </c>
      <c r="S2962" s="513" t="s">
        <v>3475</v>
      </c>
      <c r="T2962" s="2" t="s">
        <v>5914</v>
      </c>
      <c r="U2962" s="9" t="s">
        <v>3475</v>
      </c>
    </row>
    <row r="2963" spans="1:21" x14ac:dyDescent="0.35">
      <c r="A2963" s="435" t="s">
        <v>5160</v>
      </c>
      <c r="B2963" s="543" t="s">
        <v>5884</v>
      </c>
      <c r="C2963" s="517" t="s">
        <v>5845</v>
      </c>
      <c r="D2963" s="517" t="s">
        <v>5845</v>
      </c>
      <c r="E2963" s="517"/>
      <c r="F2963" s="438" t="s">
        <v>5846</v>
      </c>
      <c r="G2963" s="435" t="s">
        <v>5278</v>
      </c>
      <c r="H2963" s="427" t="s">
        <v>5163</v>
      </c>
      <c r="I2963" s="518">
        <v>238.26666666666668</v>
      </c>
      <c r="J2963" s="381">
        <v>61.93333333333333</v>
      </c>
      <c r="K2963" s="519">
        <v>61.93333333333333</v>
      </c>
      <c r="L2963" s="369">
        <f t="shared" si="198"/>
        <v>12.386666666666667</v>
      </c>
      <c r="M2963" s="369" t="s">
        <v>6171</v>
      </c>
      <c r="N2963" s="432" t="s">
        <v>3785</v>
      </c>
      <c r="O2963" s="521" t="s">
        <v>5847</v>
      </c>
      <c r="P2963" s="438" t="s">
        <v>5530</v>
      </c>
      <c r="Q2963" s="481">
        <v>0.2</v>
      </c>
      <c r="R2963" s="427">
        <v>1900001375</v>
      </c>
      <c r="S2963" s="513" t="s">
        <v>3475</v>
      </c>
      <c r="T2963" s="2" t="s">
        <v>5914</v>
      </c>
      <c r="U2963" s="9" t="s">
        <v>3475</v>
      </c>
    </row>
    <row r="2964" spans="1:21" x14ac:dyDescent="0.35">
      <c r="A2964" s="435" t="s">
        <v>5160</v>
      </c>
      <c r="B2964" s="543" t="s">
        <v>5884</v>
      </c>
      <c r="C2964" s="517" t="s">
        <v>5845</v>
      </c>
      <c r="D2964" s="517" t="s">
        <v>5845</v>
      </c>
      <c r="E2964" s="517"/>
      <c r="F2964" s="438" t="s">
        <v>5846</v>
      </c>
      <c r="G2964" s="435" t="s">
        <v>5278</v>
      </c>
      <c r="H2964" s="427" t="s">
        <v>5163</v>
      </c>
      <c r="I2964" s="518">
        <v>238.26666666666668</v>
      </c>
      <c r="J2964" s="381">
        <v>61.93333333333333</v>
      </c>
      <c r="K2964" s="519">
        <v>61.93333333333333</v>
      </c>
      <c r="L2964" s="369">
        <f t="shared" si="198"/>
        <v>12.386666666666667</v>
      </c>
      <c r="M2964" s="369" t="s">
        <v>6171</v>
      </c>
      <c r="N2964" s="432" t="s">
        <v>3785</v>
      </c>
      <c r="O2964" s="521" t="s">
        <v>5847</v>
      </c>
      <c r="P2964" s="438" t="s">
        <v>5530</v>
      </c>
      <c r="Q2964" s="481">
        <v>0.2</v>
      </c>
      <c r="R2964" s="427">
        <v>1900001375</v>
      </c>
      <c r="S2964" s="513" t="s">
        <v>3475</v>
      </c>
      <c r="T2964" s="2" t="s">
        <v>5914</v>
      </c>
      <c r="U2964" s="9" t="s">
        <v>3475</v>
      </c>
    </row>
    <row r="2965" spans="1:21" x14ac:dyDescent="0.35">
      <c r="A2965" s="435" t="s">
        <v>5160</v>
      </c>
      <c r="B2965" s="543" t="s">
        <v>5884</v>
      </c>
      <c r="C2965" s="517" t="s">
        <v>5845</v>
      </c>
      <c r="D2965" s="517" t="s">
        <v>5845</v>
      </c>
      <c r="E2965" s="517"/>
      <c r="F2965" s="438" t="s">
        <v>5846</v>
      </c>
      <c r="G2965" s="435" t="s">
        <v>5278</v>
      </c>
      <c r="H2965" s="427" t="s">
        <v>5163</v>
      </c>
      <c r="I2965" s="518">
        <v>238.26666666666668</v>
      </c>
      <c r="J2965" s="381">
        <v>61.93333333333333</v>
      </c>
      <c r="K2965" s="519">
        <v>61.93333333333333</v>
      </c>
      <c r="L2965" s="369">
        <f t="shared" si="198"/>
        <v>12.386666666666667</v>
      </c>
      <c r="M2965" s="369" t="s">
        <v>6171</v>
      </c>
      <c r="N2965" s="432" t="s">
        <v>3785</v>
      </c>
      <c r="O2965" s="521" t="s">
        <v>5847</v>
      </c>
      <c r="P2965" s="438" t="s">
        <v>5530</v>
      </c>
      <c r="Q2965" s="481">
        <v>0.2</v>
      </c>
      <c r="R2965" s="427">
        <v>1900001375</v>
      </c>
      <c r="S2965" s="513" t="s">
        <v>3475</v>
      </c>
      <c r="T2965" s="2" t="s">
        <v>5914</v>
      </c>
      <c r="U2965" s="9" t="s">
        <v>3475</v>
      </c>
    </row>
    <row r="2966" spans="1:21" x14ac:dyDescent="0.35">
      <c r="A2966" s="435" t="s">
        <v>5160</v>
      </c>
      <c r="B2966" s="543" t="s">
        <v>5884</v>
      </c>
      <c r="C2966" s="517" t="s">
        <v>5845</v>
      </c>
      <c r="D2966" s="517" t="s">
        <v>5845</v>
      </c>
      <c r="E2966" s="517"/>
      <c r="F2966" s="438" t="s">
        <v>5846</v>
      </c>
      <c r="G2966" s="435" t="s">
        <v>5278</v>
      </c>
      <c r="H2966" s="427" t="s">
        <v>5163</v>
      </c>
      <c r="I2966" s="518">
        <v>238.26666666666668</v>
      </c>
      <c r="J2966" s="381">
        <v>61.93333333333333</v>
      </c>
      <c r="K2966" s="519">
        <v>61.93333333333333</v>
      </c>
      <c r="L2966" s="369">
        <f t="shared" si="198"/>
        <v>12.386666666666667</v>
      </c>
      <c r="M2966" s="369" t="s">
        <v>6171</v>
      </c>
      <c r="N2966" s="432" t="s">
        <v>3785</v>
      </c>
      <c r="O2966" s="521" t="s">
        <v>5847</v>
      </c>
      <c r="P2966" s="438" t="s">
        <v>5530</v>
      </c>
      <c r="Q2966" s="481">
        <v>0.2</v>
      </c>
      <c r="R2966" s="427">
        <v>1900001375</v>
      </c>
      <c r="S2966" s="513" t="s">
        <v>3475</v>
      </c>
      <c r="T2966" s="2" t="s">
        <v>5914</v>
      </c>
      <c r="U2966" s="9" t="s">
        <v>3475</v>
      </c>
    </row>
    <row r="2967" spans="1:21" x14ac:dyDescent="0.35">
      <c r="A2967" s="435" t="s">
        <v>5160</v>
      </c>
      <c r="B2967" s="543" t="s">
        <v>5884</v>
      </c>
      <c r="C2967" s="517" t="s">
        <v>5845</v>
      </c>
      <c r="D2967" s="517" t="s">
        <v>5845</v>
      </c>
      <c r="E2967" s="517"/>
      <c r="F2967" s="438" t="s">
        <v>5846</v>
      </c>
      <c r="G2967" s="435" t="s">
        <v>5278</v>
      </c>
      <c r="H2967" s="427" t="s">
        <v>5163</v>
      </c>
      <c r="I2967" s="518">
        <v>238.26666666666668</v>
      </c>
      <c r="J2967" s="381">
        <v>61.93333333333333</v>
      </c>
      <c r="K2967" s="519">
        <v>61.93333333333333</v>
      </c>
      <c r="L2967" s="369">
        <f t="shared" si="198"/>
        <v>12.386666666666667</v>
      </c>
      <c r="M2967" s="369" t="s">
        <v>6171</v>
      </c>
      <c r="N2967" s="432" t="s">
        <v>3785</v>
      </c>
      <c r="O2967" s="521" t="s">
        <v>5847</v>
      </c>
      <c r="P2967" s="438" t="s">
        <v>5530</v>
      </c>
      <c r="Q2967" s="481">
        <v>0.2</v>
      </c>
      <c r="R2967" s="427">
        <v>1900001375</v>
      </c>
      <c r="S2967" s="513" t="s">
        <v>3475</v>
      </c>
      <c r="T2967" s="2" t="s">
        <v>5914</v>
      </c>
      <c r="U2967" s="9" t="s">
        <v>3475</v>
      </c>
    </row>
    <row r="2968" spans="1:21" x14ac:dyDescent="0.35">
      <c r="A2968" s="435" t="s">
        <v>5160</v>
      </c>
      <c r="B2968" s="427" t="s">
        <v>5885</v>
      </c>
      <c r="C2968" s="517" t="s">
        <v>5845</v>
      </c>
      <c r="D2968" s="517" t="s">
        <v>5845</v>
      </c>
      <c r="E2968" s="517"/>
      <c r="F2968" s="438" t="s">
        <v>5846</v>
      </c>
      <c r="G2968" s="435" t="s">
        <v>5840</v>
      </c>
      <c r="H2968" s="427" t="s">
        <v>5163</v>
      </c>
      <c r="I2968" s="518">
        <v>30634</v>
      </c>
      <c r="J2968" s="381">
        <v>7959</v>
      </c>
      <c r="K2968" s="519">
        <v>7959</v>
      </c>
      <c r="L2968" s="369">
        <f t="shared" si="198"/>
        <v>1591.8000000000002</v>
      </c>
      <c r="M2968" s="369" t="s">
        <v>6171</v>
      </c>
      <c r="N2968" s="432" t="s">
        <v>3785</v>
      </c>
      <c r="O2968" s="521" t="s">
        <v>5847</v>
      </c>
      <c r="P2968" s="438" t="s">
        <v>5530</v>
      </c>
      <c r="Q2968" s="481">
        <v>0.2</v>
      </c>
      <c r="R2968" s="427">
        <v>1900001375</v>
      </c>
      <c r="S2968" s="513" t="s">
        <v>3475</v>
      </c>
      <c r="T2968" s="2" t="s">
        <v>5914</v>
      </c>
      <c r="U2968" s="9" t="s">
        <v>3475</v>
      </c>
    </row>
    <row r="2969" spans="1:21" x14ac:dyDescent="0.35">
      <c r="A2969" s="435" t="s">
        <v>5160</v>
      </c>
      <c r="B2969" s="427" t="s">
        <v>5886</v>
      </c>
      <c r="C2969" s="517" t="s">
        <v>5845</v>
      </c>
      <c r="D2969" s="517" t="s">
        <v>5845</v>
      </c>
      <c r="E2969" s="517"/>
      <c r="F2969" s="438" t="s">
        <v>5846</v>
      </c>
      <c r="G2969" s="435" t="s">
        <v>5840</v>
      </c>
      <c r="H2969" s="427" t="s">
        <v>5163</v>
      </c>
      <c r="I2969" s="518">
        <v>204</v>
      </c>
      <c r="J2969" s="381">
        <v>53</v>
      </c>
      <c r="K2969" s="519">
        <v>53</v>
      </c>
      <c r="L2969" s="369">
        <f t="shared" si="198"/>
        <v>10.600000000000001</v>
      </c>
      <c r="M2969" s="369" t="s">
        <v>6171</v>
      </c>
      <c r="N2969" s="432" t="s">
        <v>3785</v>
      </c>
      <c r="O2969" s="521" t="s">
        <v>5847</v>
      </c>
      <c r="P2969" s="438" t="s">
        <v>5530</v>
      </c>
      <c r="Q2969" s="481">
        <v>0.2</v>
      </c>
      <c r="R2969" s="427">
        <v>1900001375</v>
      </c>
      <c r="S2969" s="513" t="s">
        <v>3475</v>
      </c>
      <c r="T2969" s="2" t="s">
        <v>5914</v>
      </c>
      <c r="U2969" s="9" t="s">
        <v>3475</v>
      </c>
    </row>
    <row r="2970" spans="1:21" x14ac:dyDescent="0.35">
      <c r="A2970" s="435" t="s">
        <v>5160</v>
      </c>
      <c r="B2970" s="543" t="s">
        <v>5887</v>
      </c>
      <c r="C2970" s="517" t="s">
        <v>5845</v>
      </c>
      <c r="D2970" s="517" t="s">
        <v>5845</v>
      </c>
      <c r="E2970" s="517"/>
      <c r="F2970" s="438" t="s">
        <v>5846</v>
      </c>
      <c r="G2970" s="435" t="s">
        <v>5278</v>
      </c>
      <c r="H2970" s="427" t="s">
        <v>5163</v>
      </c>
      <c r="I2970" s="518">
        <v>102.1</v>
      </c>
      <c r="J2970" s="381">
        <v>26.5</v>
      </c>
      <c r="K2970" s="519">
        <v>26.5</v>
      </c>
      <c r="L2970" s="369">
        <f t="shared" si="198"/>
        <v>5.3000000000000007</v>
      </c>
      <c r="M2970" s="369" t="s">
        <v>6171</v>
      </c>
      <c r="N2970" s="432" t="s">
        <v>3785</v>
      </c>
      <c r="O2970" s="521" t="s">
        <v>5847</v>
      </c>
      <c r="P2970" s="438" t="s">
        <v>5530</v>
      </c>
      <c r="Q2970" s="481">
        <v>0.2</v>
      </c>
      <c r="R2970" s="427">
        <v>1900001375</v>
      </c>
      <c r="S2970" s="513" t="s">
        <v>3475</v>
      </c>
      <c r="T2970" s="2" t="s">
        <v>5914</v>
      </c>
      <c r="U2970" s="9" t="s">
        <v>3475</v>
      </c>
    </row>
    <row r="2971" spans="1:21" x14ac:dyDescent="0.35">
      <c r="A2971" s="435" t="s">
        <v>5160</v>
      </c>
      <c r="B2971" s="543" t="s">
        <v>5887</v>
      </c>
      <c r="C2971" s="517" t="s">
        <v>5845</v>
      </c>
      <c r="D2971" s="517" t="s">
        <v>5845</v>
      </c>
      <c r="E2971" s="517"/>
      <c r="F2971" s="438" t="s">
        <v>5846</v>
      </c>
      <c r="G2971" s="435" t="s">
        <v>5278</v>
      </c>
      <c r="H2971" s="427" t="s">
        <v>5163</v>
      </c>
      <c r="I2971" s="518">
        <v>102.1</v>
      </c>
      <c r="J2971" s="381">
        <v>26.5</v>
      </c>
      <c r="K2971" s="519">
        <v>26.5</v>
      </c>
      <c r="L2971" s="369">
        <f t="shared" si="198"/>
        <v>5.3000000000000007</v>
      </c>
      <c r="M2971" s="369" t="s">
        <v>6171</v>
      </c>
      <c r="N2971" s="432" t="s">
        <v>3785</v>
      </c>
      <c r="O2971" s="521" t="s">
        <v>5847</v>
      </c>
      <c r="P2971" s="438" t="s">
        <v>5530</v>
      </c>
      <c r="Q2971" s="481">
        <v>0.2</v>
      </c>
      <c r="R2971" s="427">
        <v>1900001375</v>
      </c>
      <c r="S2971" s="513" t="s">
        <v>3475</v>
      </c>
      <c r="T2971" s="2" t="s">
        <v>5914</v>
      </c>
      <c r="U2971" s="9" t="s">
        <v>3475</v>
      </c>
    </row>
    <row r="2972" spans="1:21" x14ac:dyDescent="0.35">
      <c r="A2972" s="435" t="s">
        <v>5160</v>
      </c>
      <c r="B2972" s="543" t="s">
        <v>5887</v>
      </c>
      <c r="C2972" s="517" t="s">
        <v>5845</v>
      </c>
      <c r="D2972" s="517" t="s">
        <v>5845</v>
      </c>
      <c r="E2972" s="517"/>
      <c r="F2972" s="438" t="s">
        <v>5846</v>
      </c>
      <c r="G2972" s="435" t="s">
        <v>5278</v>
      </c>
      <c r="H2972" s="427" t="s">
        <v>5163</v>
      </c>
      <c r="I2972" s="518">
        <v>102.1</v>
      </c>
      <c r="J2972" s="381">
        <v>26.5</v>
      </c>
      <c r="K2972" s="519">
        <v>26.5</v>
      </c>
      <c r="L2972" s="369">
        <f t="shared" si="198"/>
        <v>5.3000000000000007</v>
      </c>
      <c r="M2972" s="369" t="s">
        <v>6171</v>
      </c>
      <c r="N2972" s="432" t="s">
        <v>3785</v>
      </c>
      <c r="O2972" s="521" t="s">
        <v>5847</v>
      </c>
      <c r="P2972" s="438" t="s">
        <v>5530</v>
      </c>
      <c r="Q2972" s="481">
        <v>0.2</v>
      </c>
      <c r="R2972" s="427">
        <v>1900001375</v>
      </c>
      <c r="S2972" s="513" t="s">
        <v>3475</v>
      </c>
      <c r="T2972" s="2" t="s">
        <v>5914</v>
      </c>
      <c r="U2972" s="9" t="s">
        <v>3475</v>
      </c>
    </row>
    <row r="2973" spans="1:21" x14ac:dyDescent="0.35">
      <c r="A2973" s="435" t="s">
        <v>5160</v>
      </c>
      <c r="B2973" s="543" t="s">
        <v>5887</v>
      </c>
      <c r="C2973" s="517" t="s">
        <v>5845</v>
      </c>
      <c r="D2973" s="517" t="s">
        <v>5845</v>
      </c>
      <c r="E2973" s="517"/>
      <c r="F2973" s="438" t="s">
        <v>5846</v>
      </c>
      <c r="G2973" s="435" t="s">
        <v>5278</v>
      </c>
      <c r="H2973" s="427" t="s">
        <v>5163</v>
      </c>
      <c r="I2973" s="518">
        <v>102.1</v>
      </c>
      <c r="J2973" s="381">
        <v>26.5</v>
      </c>
      <c r="K2973" s="519">
        <v>26.5</v>
      </c>
      <c r="L2973" s="369">
        <f t="shared" si="198"/>
        <v>5.3000000000000007</v>
      </c>
      <c r="M2973" s="369" t="s">
        <v>6171</v>
      </c>
      <c r="N2973" s="432" t="s">
        <v>3785</v>
      </c>
      <c r="O2973" s="521" t="s">
        <v>5847</v>
      </c>
      <c r="P2973" s="438" t="s">
        <v>5530</v>
      </c>
      <c r="Q2973" s="481">
        <v>0.2</v>
      </c>
      <c r="R2973" s="427">
        <v>1900001375</v>
      </c>
      <c r="S2973" s="513" t="s">
        <v>3475</v>
      </c>
      <c r="T2973" s="2" t="s">
        <v>5914</v>
      </c>
      <c r="U2973" s="9" t="s">
        <v>3475</v>
      </c>
    </row>
    <row r="2974" spans="1:21" x14ac:dyDescent="0.35">
      <c r="A2974" s="435" t="s">
        <v>5160</v>
      </c>
      <c r="B2974" s="543" t="s">
        <v>5887</v>
      </c>
      <c r="C2974" s="517" t="s">
        <v>5845</v>
      </c>
      <c r="D2974" s="517" t="s">
        <v>5845</v>
      </c>
      <c r="E2974" s="517"/>
      <c r="F2974" s="438" t="s">
        <v>5846</v>
      </c>
      <c r="G2974" s="435" t="s">
        <v>5278</v>
      </c>
      <c r="H2974" s="427" t="s">
        <v>5163</v>
      </c>
      <c r="I2974" s="518">
        <v>102.1</v>
      </c>
      <c r="J2974" s="381">
        <v>26.5</v>
      </c>
      <c r="K2974" s="519">
        <v>26.5</v>
      </c>
      <c r="L2974" s="369">
        <f t="shared" si="198"/>
        <v>5.3000000000000007</v>
      </c>
      <c r="M2974" s="369" t="s">
        <v>6171</v>
      </c>
      <c r="N2974" s="432" t="s">
        <v>3785</v>
      </c>
      <c r="O2974" s="521" t="s">
        <v>5847</v>
      </c>
      <c r="P2974" s="438" t="s">
        <v>5530</v>
      </c>
      <c r="Q2974" s="481">
        <v>0.2</v>
      </c>
      <c r="R2974" s="427">
        <v>1900001375</v>
      </c>
      <c r="S2974" s="513" t="s">
        <v>3475</v>
      </c>
      <c r="T2974" s="2" t="s">
        <v>5914</v>
      </c>
      <c r="U2974" s="9" t="s">
        <v>3475</v>
      </c>
    </row>
    <row r="2975" spans="1:21" x14ac:dyDescent="0.35">
      <c r="A2975" s="435" t="s">
        <v>5160</v>
      </c>
      <c r="B2975" s="543" t="s">
        <v>5887</v>
      </c>
      <c r="C2975" s="517" t="s">
        <v>5845</v>
      </c>
      <c r="D2975" s="517" t="s">
        <v>5845</v>
      </c>
      <c r="E2975" s="517"/>
      <c r="F2975" s="438" t="s">
        <v>5846</v>
      </c>
      <c r="G2975" s="435" t="s">
        <v>5278</v>
      </c>
      <c r="H2975" s="427" t="s">
        <v>5163</v>
      </c>
      <c r="I2975" s="518">
        <v>102.1</v>
      </c>
      <c r="J2975" s="381">
        <v>26.5</v>
      </c>
      <c r="K2975" s="519">
        <v>26.5</v>
      </c>
      <c r="L2975" s="369">
        <f t="shared" si="198"/>
        <v>5.3000000000000007</v>
      </c>
      <c r="M2975" s="369" t="s">
        <v>6171</v>
      </c>
      <c r="N2975" s="432" t="s">
        <v>3785</v>
      </c>
      <c r="O2975" s="521" t="s">
        <v>5847</v>
      </c>
      <c r="P2975" s="438" t="s">
        <v>5530</v>
      </c>
      <c r="Q2975" s="481">
        <v>0.2</v>
      </c>
      <c r="R2975" s="427">
        <v>1900001375</v>
      </c>
      <c r="S2975" s="513" t="s">
        <v>3475</v>
      </c>
      <c r="T2975" s="2" t="s">
        <v>5914</v>
      </c>
      <c r="U2975" s="9" t="s">
        <v>3475</v>
      </c>
    </row>
    <row r="2976" spans="1:21" x14ac:dyDescent="0.35">
      <c r="A2976" s="435" t="s">
        <v>5160</v>
      </c>
      <c r="B2976" s="543" t="s">
        <v>5887</v>
      </c>
      <c r="C2976" s="517" t="s">
        <v>5845</v>
      </c>
      <c r="D2976" s="517" t="s">
        <v>5845</v>
      </c>
      <c r="E2976" s="517"/>
      <c r="F2976" s="438" t="s">
        <v>5846</v>
      </c>
      <c r="G2976" s="435" t="s">
        <v>5278</v>
      </c>
      <c r="H2976" s="427" t="s">
        <v>5163</v>
      </c>
      <c r="I2976" s="518">
        <v>102.1</v>
      </c>
      <c r="J2976" s="381">
        <v>26.5</v>
      </c>
      <c r="K2976" s="519">
        <v>26.5</v>
      </c>
      <c r="L2976" s="369">
        <f t="shared" si="198"/>
        <v>5.3000000000000007</v>
      </c>
      <c r="M2976" s="369" t="s">
        <v>6171</v>
      </c>
      <c r="N2976" s="432" t="s">
        <v>3785</v>
      </c>
      <c r="O2976" s="521" t="s">
        <v>5847</v>
      </c>
      <c r="P2976" s="438" t="s">
        <v>5530</v>
      </c>
      <c r="Q2976" s="481">
        <v>0.2</v>
      </c>
      <c r="R2976" s="427">
        <v>1900001375</v>
      </c>
      <c r="S2976" s="513" t="s">
        <v>3475</v>
      </c>
      <c r="T2976" s="2" t="s">
        <v>5914</v>
      </c>
      <c r="U2976" s="9" t="s">
        <v>3475</v>
      </c>
    </row>
    <row r="2977" spans="1:21" x14ac:dyDescent="0.35">
      <c r="A2977" s="435" t="s">
        <v>5160</v>
      </c>
      <c r="B2977" s="543" t="s">
        <v>5887</v>
      </c>
      <c r="C2977" s="517" t="s">
        <v>5845</v>
      </c>
      <c r="D2977" s="517" t="s">
        <v>5845</v>
      </c>
      <c r="E2977" s="517"/>
      <c r="F2977" s="438" t="s">
        <v>5846</v>
      </c>
      <c r="G2977" s="435" t="s">
        <v>5278</v>
      </c>
      <c r="H2977" s="427" t="s">
        <v>5163</v>
      </c>
      <c r="I2977" s="518">
        <v>102.1</v>
      </c>
      <c r="J2977" s="381">
        <v>26.5</v>
      </c>
      <c r="K2977" s="519">
        <v>26.5</v>
      </c>
      <c r="L2977" s="369">
        <f t="shared" si="198"/>
        <v>5.3000000000000007</v>
      </c>
      <c r="M2977" s="369" t="s">
        <v>6171</v>
      </c>
      <c r="N2977" s="432" t="s">
        <v>3785</v>
      </c>
      <c r="O2977" s="521" t="s">
        <v>5847</v>
      </c>
      <c r="P2977" s="438" t="s">
        <v>5530</v>
      </c>
      <c r="Q2977" s="481">
        <v>0.2</v>
      </c>
      <c r="R2977" s="427">
        <v>1900001375</v>
      </c>
      <c r="S2977" s="513" t="s">
        <v>3475</v>
      </c>
      <c r="T2977" s="2" t="s">
        <v>5914</v>
      </c>
      <c r="U2977" s="9" t="s">
        <v>3475</v>
      </c>
    </row>
    <row r="2978" spans="1:21" x14ac:dyDescent="0.35">
      <c r="A2978" s="435" t="s">
        <v>5160</v>
      </c>
      <c r="B2978" s="543" t="s">
        <v>5887</v>
      </c>
      <c r="C2978" s="517" t="s">
        <v>5845</v>
      </c>
      <c r="D2978" s="517" t="s">
        <v>5845</v>
      </c>
      <c r="E2978" s="517"/>
      <c r="F2978" s="438" t="s">
        <v>5846</v>
      </c>
      <c r="G2978" s="435" t="s">
        <v>5278</v>
      </c>
      <c r="H2978" s="427" t="s">
        <v>5163</v>
      </c>
      <c r="I2978" s="518">
        <v>102.1</v>
      </c>
      <c r="J2978" s="381">
        <v>26.5</v>
      </c>
      <c r="K2978" s="519">
        <v>26.5</v>
      </c>
      <c r="L2978" s="369">
        <f t="shared" si="198"/>
        <v>5.3000000000000007</v>
      </c>
      <c r="M2978" s="369" t="s">
        <v>6171</v>
      </c>
      <c r="N2978" s="432" t="s">
        <v>3785</v>
      </c>
      <c r="O2978" s="521" t="s">
        <v>5847</v>
      </c>
      <c r="P2978" s="438" t="s">
        <v>5530</v>
      </c>
      <c r="Q2978" s="481">
        <v>0.2</v>
      </c>
      <c r="R2978" s="427">
        <v>1900001375</v>
      </c>
      <c r="S2978" s="513" t="s">
        <v>3475</v>
      </c>
      <c r="T2978" s="2" t="s">
        <v>5914</v>
      </c>
      <c r="U2978" s="9" t="s">
        <v>3475</v>
      </c>
    </row>
    <row r="2979" spans="1:21" x14ac:dyDescent="0.35">
      <c r="A2979" s="435" t="s">
        <v>5160</v>
      </c>
      <c r="B2979" s="543" t="s">
        <v>5887</v>
      </c>
      <c r="C2979" s="517" t="s">
        <v>5845</v>
      </c>
      <c r="D2979" s="517" t="s">
        <v>5845</v>
      </c>
      <c r="E2979" s="517"/>
      <c r="F2979" s="438" t="s">
        <v>5846</v>
      </c>
      <c r="G2979" s="435" t="s">
        <v>5278</v>
      </c>
      <c r="H2979" s="427" t="s">
        <v>5163</v>
      </c>
      <c r="I2979" s="518">
        <v>102.1</v>
      </c>
      <c r="J2979" s="381">
        <v>26.5</v>
      </c>
      <c r="K2979" s="519">
        <v>26.5</v>
      </c>
      <c r="L2979" s="369">
        <f t="shared" si="198"/>
        <v>5.3000000000000007</v>
      </c>
      <c r="M2979" s="369" t="s">
        <v>6171</v>
      </c>
      <c r="N2979" s="432" t="s">
        <v>3785</v>
      </c>
      <c r="O2979" s="521" t="s">
        <v>5847</v>
      </c>
      <c r="P2979" s="438" t="s">
        <v>5530</v>
      </c>
      <c r="Q2979" s="481">
        <v>0.2</v>
      </c>
      <c r="R2979" s="427">
        <v>1900001375</v>
      </c>
      <c r="S2979" s="513" t="s">
        <v>3475</v>
      </c>
      <c r="T2979" s="2" t="s">
        <v>5914</v>
      </c>
      <c r="U2979" s="9" t="s">
        <v>3475</v>
      </c>
    </row>
    <row r="2980" spans="1:21" x14ac:dyDescent="0.35">
      <c r="A2980" s="435" t="s">
        <v>5160</v>
      </c>
      <c r="B2980" s="543" t="s">
        <v>5888</v>
      </c>
      <c r="C2980" s="517" t="s">
        <v>5845</v>
      </c>
      <c r="D2980" s="517" t="s">
        <v>5845</v>
      </c>
      <c r="E2980" s="517"/>
      <c r="F2980" s="438" t="s">
        <v>5846</v>
      </c>
      <c r="G2980" s="438" t="s">
        <v>5840</v>
      </c>
      <c r="H2980" s="427" t="s">
        <v>5163</v>
      </c>
      <c r="I2980" s="518">
        <v>3688</v>
      </c>
      <c r="J2980" s="381">
        <v>958</v>
      </c>
      <c r="K2980" s="519">
        <v>958</v>
      </c>
      <c r="L2980" s="369">
        <f t="shared" si="198"/>
        <v>191.60000000000002</v>
      </c>
      <c r="M2980" s="369" t="s">
        <v>6171</v>
      </c>
      <c r="N2980" s="432" t="s">
        <v>3785</v>
      </c>
      <c r="O2980" s="521" t="s">
        <v>5847</v>
      </c>
      <c r="P2980" s="438" t="s">
        <v>5530</v>
      </c>
      <c r="Q2980" s="481">
        <v>0.2</v>
      </c>
      <c r="R2980" s="427">
        <v>1900001375</v>
      </c>
      <c r="S2980" s="513" t="s">
        <v>3475</v>
      </c>
      <c r="T2980" s="2" t="s">
        <v>5914</v>
      </c>
      <c r="U2980" s="9" t="s">
        <v>3475</v>
      </c>
    </row>
    <row r="2981" spans="1:21" x14ac:dyDescent="0.35">
      <c r="A2981" s="435" t="s">
        <v>5165</v>
      </c>
      <c r="B2981" s="543" t="s">
        <v>5889</v>
      </c>
      <c r="C2981" s="517" t="s">
        <v>5845</v>
      </c>
      <c r="D2981" s="517" t="s">
        <v>5845</v>
      </c>
      <c r="E2981" s="517"/>
      <c r="F2981" s="438">
        <v>61919</v>
      </c>
      <c r="G2981" s="438" t="s">
        <v>5840</v>
      </c>
      <c r="H2981" s="427" t="s">
        <v>5163</v>
      </c>
      <c r="I2981" s="514">
        <v>1325.21</v>
      </c>
      <c r="J2981" s="427">
        <v>344.31</v>
      </c>
      <c r="K2981" s="427">
        <v>344.31</v>
      </c>
      <c r="L2981" s="369">
        <f t="shared" si="198"/>
        <v>68.862000000000009</v>
      </c>
      <c r="M2981" s="369" t="s">
        <v>6171</v>
      </c>
      <c r="N2981" s="432" t="s">
        <v>3785</v>
      </c>
      <c r="O2981" s="521" t="s">
        <v>5847</v>
      </c>
      <c r="P2981" s="438" t="s">
        <v>5530</v>
      </c>
      <c r="Q2981" s="481">
        <v>0.2</v>
      </c>
      <c r="R2981" s="427">
        <v>1900001345</v>
      </c>
      <c r="S2981" s="513" t="s">
        <v>3475</v>
      </c>
      <c r="T2981" s="2" t="s">
        <v>5914</v>
      </c>
      <c r="U2981" s="9" t="s">
        <v>3475</v>
      </c>
    </row>
    <row r="2982" spans="1:21" x14ac:dyDescent="0.35">
      <c r="A2982" s="435" t="s">
        <v>5165</v>
      </c>
      <c r="B2982" s="543" t="s">
        <v>5890</v>
      </c>
      <c r="C2982" s="517" t="s">
        <v>5845</v>
      </c>
      <c r="D2982" s="517" t="s">
        <v>5845</v>
      </c>
      <c r="E2982" s="517"/>
      <c r="F2982" s="438">
        <v>61919</v>
      </c>
      <c r="G2982" s="438" t="s">
        <v>5840</v>
      </c>
      <c r="H2982" s="427" t="s">
        <v>5163</v>
      </c>
      <c r="I2982" s="514">
        <v>5074.55</v>
      </c>
      <c r="J2982" s="514">
        <v>1318.44</v>
      </c>
      <c r="K2982" s="514">
        <v>1318.44</v>
      </c>
      <c r="L2982" s="369">
        <f t="shared" si="198"/>
        <v>263.68800000000005</v>
      </c>
      <c r="M2982" s="369" t="s">
        <v>6171</v>
      </c>
      <c r="N2982" s="432" t="s">
        <v>3785</v>
      </c>
      <c r="O2982" s="521" t="s">
        <v>5847</v>
      </c>
      <c r="P2982" s="438" t="s">
        <v>5530</v>
      </c>
      <c r="Q2982" s="481">
        <v>0.2</v>
      </c>
      <c r="R2982" s="427">
        <v>1900001345</v>
      </c>
      <c r="S2982" s="513" t="s">
        <v>3475</v>
      </c>
      <c r="T2982" s="2" t="s">
        <v>5914</v>
      </c>
      <c r="U2982" s="9" t="s">
        <v>3475</v>
      </c>
    </row>
    <row r="2983" spans="1:21" x14ac:dyDescent="0.35">
      <c r="A2983" s="435" t="s">
        <v>5165</v>
      </c>
      <c r="B2983" s="543" t="s">
        <v>5891</v>
      </c>
      <c r="C2983" s="517" t="s">
        <v>5845</v>
      </c>
      <c r="D2983" s="517" t="s">
        <v>5845</v>
      </c>
      <c r="E2983" s="517"/>
      <c r="F2983" s="438">
        <v>61919</v>
      </c>
      <c r="G2983" s="438" t="s">
        <v>5840</v>
      </c>
      <c r="H2983" s="427" t="s">
        <v>5163</v>
      </c>
      <c r="I2983" s="514">
        <v>14851.68</v>
      </c>
      <c r="J2983" s="514">
        <v>3858.7000000000003</v>
      </c>
      <c r="K2983" s="514">
        <v>3858.7000000000003</v>
      </c>
      <c r="L2983" s="369">
        <f t="shared" si="198"/>
        <v>771.74000000000012</v>
      </c>
      <c r="M2983" s="369" t="s">
        <v>6171</v>
      </c>
      <c r="N2983" s="432" t="s">
        <v>3785</v>
      </c>
      <c r="O2983" s="521" t="s">
        <v>5847</v>
      </c>
      <c r="P2983" s="438" t="s">
        <v>5530</v>
      </c>
      <c r="Q2983" s="481">
        <v>0.2</v>
      </c>
      <c r="R2983" s="427">
        <v>1900001345</v>
      </c>
      <c r="S2983" s="513" t="s">
        <v>3475</v>
      </c>
      <c r="T2983" s="2" t="s">
        <v>5914</v>
      </c>
      <c r="U2983" s="9" t="s">
        <v>3475</v>
      </c>
    </row>
    <row r="2984" spans="1:21" x14ac:dyDescent="0.35">
      <c r="A2984" s="435" t="s">
        <v>5165</v>
      </c>
      <c r="B2984" s="543" t="s">
        <v>5892</v>
      </c>
      <c r="C2984" s="517" t="s">
        <v>5845</v>
      </c>
      <c r="D2984" s="517" t="s">
        <v>5845</v>
      </c>
      <c r="E2984" s="517"/>
      <c r="F2984" s="438">
        <v>61919</v>
      </c>
      <c r="G2984" s="438" t="s">
        <v>5840</v>
      </c>
      <c r="H2984" s="427" t="s">
        <v>5163</v>
      </c>
      <c r="I2984" s="514">
        <v>14878.05</v>
      </c>
      <c r="J2984" s="514">
        <v>3865.55</v>
      </c>
      <c r="K2984" s="514">
        <v>3865.55</v>
      </c>
      <c r="L2984" s="369">
        <f t="shared" si="198"/>
        <v>773.11000000000013</v>
      </c>
      <c r="M2984" s="369" t="s">
        <v>6171</v>
      </c>
      <c r="N2984" s="432" t="s">
        <v>3785</v>
      </c>
      <c r="O2984" s="521" t="s">
        <v>5847</v>
      </c>
      <c r="P2984" s="438" t="s">
        <v>5530</v>
      </c>
      <c r="Q2984" s="481">
        <v>0.2</v>
      </c>
      <c r="R2984" s="427">
        <v>1900001345</v>
      </c>
      <c r="S2984" s="513" t="s">
        <v>3475</v>
      </c>
      <c r="T2984" s="2" t="s">
        <v>5914</v>
      </c>
      <c r="U2984" s="9" t="s">
        <v>3475</v>
      </c>
    </row>
    <row r="2985" spans="1:21" x14ac:dyDescent="0.35">
      <c r="A2985" s="435" t="s">
        <v>5165</v>
      </c>
      <c r="B2985" s="543" t="s">
        <v>5893</v>
      </c>
      <c r="C2985" s="517" t="s">
        <v>5845</v>
      </c>
      <c r="D2985" s="517" t="s">
        <v>5845</v>
      </c>
      <c r="E2985" s="517"/>
      <c r="F2985" s="438">
        <v>61919</v>
      </c>
      <c r="G2985" s="438" t="s">
        <v>5840</v>
      </c>
      <c r="H2985" s="427" t="s">
        <v>5163</v>
      </c>
      <c r="I2985" s="514">
        <v>14753.29</v>
      </c>
      <c r="J2985" s="514">
        <v>3833.1400000000003</v>
      </c>
      <c r="K2985" s="514">
        <v>3833.1400000000003</v>
      </c>
      <c r="L2985" s="369">
        <f t="shared" si="198"/>
        <v>766.62800000000016</v>
      </c>
      <c r="M2985" s="369" t="s">
        <v>6171</v>
      </c>
      <c r="N2985" s="432" t="s">
        <v>3785</v>
      </c>
      <c r="O2985" s="521" t="s">
        <v>5847</v>
      </c>
      <c r="P2985" s="438" t="s">
        <v>5530</v>
      </c>
      <c r="Q2985" s="481">
        <v>0.2</v>
      </c>
      <c r="R2985" s="427">
        <v>1900001345</v>
      </c>
      <c r="S2985" s="513" t="s">
        <v>3475</v>
      </c>
      <c r="T2985" s="2" t="s">
        <v>5914</v>
      </c>
      <c r="U2985" s="9" t="s">
        <v>3475</v>
      </c>
    </row>
    <row r="2986" spans="1:21" x14ac:dyDescent="0.35">
      <c r="A2986" s="435" t="s">
        <v>5165</v>
      </c>
      <c r="B2986" s="543" t="s">
        <v>5894</v>
      </c>
      <c r="C2986" s="517" t="s">
        <v>5845</v>
      </c>
      <c r="D2986" s="517" t="s">
        <v>5845</v>
      </c>
      <c r="E2986" s="517"/>
      <c r="F2986" s="438">
        <v>61919</v>
      </c>
      <c r="G2986" s="438" t="s">
        <v>5840</v>
      </c>
      <c r="H2986" s="427" t="s">
        <v>5163</v>
      </c>
      <c r="I2986" s="514">
        <v>23000.720000000001</v>
      </c>
      <c r="J2986" s="514">
        <v>5975.96</v>
      </c>
      <c r="K2986" s="514">
        <v>5975.96</v>
      </c>
      <c r="L2986" s="369">
        <f t="shared" si="198"/>
        <v>1195.192</v>
      </c>
      <c r="M2986" s="369" t="s">
        <v>6171</v>
      </c>
      <c r="N2986" s="432" t="s">
        <v>3785</v>
      </c>
      <c r="O2986" s="521" t="s">
        <v>5847</v>
      </c>
      <c r="P2986" s="438" t="s">
        <v>5530</v>
      </c>
      <c r="Q2986" s="481">
        <v>0.2</v>
      </c>
      <c r="R2986" s="427">
        <v>1900001345</v>
      </c>
      <c r="S2986" s="513" t="s">
        <v>3475</v>
      </c>
      <c r="T2986" s="2" t="s">
        <v>5914</v>
      </c>
      <c r="U2986" s="9" t="s">
        <v>3475</v>
      </c>
    </row>
    <row r="2987" spans="1:21" x14ac:dyDescent="0.35">
      <c r="A2987" s="435" t="s">
        <v>5165</v>
      </c>
      <c r="B2987" s="543" t="s">
        <v>5894</v>
      </c>
      <c r="C2987" s="517" t="s">
        <v>5845</v>
      </c>
      <c r="D2987" s="517" t="s">
        <v>5845</v>
      </c>
      <c r="E2987" s="517"/>
      <c r="F2987" s="438">
        <v>61919</v>
      </c>
      <c r="G2987" s="438" t="s">
        <v>5840</v>
      </c>
      <c r="H2987" s="427" t="s">
        <v>5163</v>
      </c>
      <c r="I2987" s="514">
        <v>22069.739999999998</v>
      </c>
      <c r="J2987" s="514">
        <v>5734.07</v>
      </c>
      <c r="K2987" s="514">
        <v>5734.07</v>
      </c>
      <c r="L2987" s="369">
        <f t="shared" si="198"/>
        <v>1146.8140000000001</v>
      </c>
      <c r="M2987" s="369" t="s">
        <v>6171</v>
      </c>
      <c r="N2987" s="432" t="s">
        <v>3785</v>
      </c>
      <c r="O2987" s="521" t="s">
        <v>5847</v>
      </c>
      <c r="P2987" s="438" t="s">
        <v>5530</v>
      </c>
      <c r="Q2987" s="481">
        <v>0.2</v>
      </c>
      <c r="R2987" s="427">
        <v>1900001345</v>
      </c>
      <c r="S2987" s="513" t="s">
        <v>3475</v>
      </c>
      <c r="T2987" s="2" t="s">
        <v>5914</v>
      </c>
      <c r="U2987" s="9" t="s">
        <v>3475</v>
      </c>
    </row>
    <row r="2988" spans="1:21" x14ac:dyDescent="0.35">
      <c r="A2988" s="435" t="s">
        <v>5165</v>
      </c>
      <c r="B2988" s="543" t="s">
        <v>5895</v>
      </c>
      <c r="C2988" s="517" t="s">
        <v>5845</v>
      </c>
      <c r="D2988" s="517" t="s">
        <v>5845</v>
      </c>
      <c r="E2988" s="517"/>
      <c r="F2988" s="438">
        <v>61919</v>
      </c>
      <c r="G2988" s="438" t="s">
        <v>5840</v>
      </c>
      <c r="H2988" s="427" t="s">
        <v>5163</v>
      </c>
      <c r="I2988" s="427">
        <v>509.67999999999995</v>
      </c>
      <c r="J2988" s="427">
        <v>132.41999999999999</v>
      </c>
      <c r="K2988" s="427">
        <v>132.41999999999999</v>
      </c>
      <c r="L2988" s="369">
        <f t="shared" si="198"/>
        <v>26.483999999999998</v>
      </c>
      <c r="M2988" s="369" t="s">
        <v>6171</v>
      </c>
      <c r="N2988" s="432" t="s">
        <v>3785</v>
      </c>
      <c r="O2988" s="521" t="s">
        <v>5847</v>
      </c>
      <c r="P2988" s="438" t="s">
        <v>5530</v>
      </c>
      <c r="Q2988" s="481">
        <v>0.2</v>
      </c>
      <c r="R2988" s="427">
        <v>1900001345</v>
      </c>
      <c r="S2988" s="513" t="s">
        <v>3475</v>
      </c>
      <c r="T2988" s="2" t="s">
        <v>5914</v>
      </c>
      <c r="U2988" s="9" t="s">
        <v>3475</v>
      </c>
    </row>
    <row r="2989" spans="1:21" x14ac:dyDescent="0.35">
      <c r="A2989" s="435" t="s">
        <v>5165</v>
      </c>
      <c r="B2989" s="543" t="s">
        <v>5896</v>
      </c>
      <c r="C2989" s="517" t="s">
        <v>5845</v>
      </c>
      <c r="D2989" s="517" t="s">
        <v>5845</v>
      </c>
      <c r="E2989" s="517"/>
      <c r="F2989" s="438">
        <v>61919</v>
      </c>
      <c r="G2989" s="438" t="s">
        <v>5840</v>
      </c>
      <c r="H2989" s="427" t="s">
        <v>5163</v>
      </c>
      <c r="I2989" s="427">
        <v>498.04</v>
      </c>
      <c r="J2989" s="427">
        <v>129.4</v>
      </c>
      <c r="K2989" s="427">
        <v>129.4</v>
      </c>
      <c r="L2989" s="369">
        <f t="shared" si="198"/>
        <v>25.880000000000003</v>
      </c>
      <c r="M2989" s="369" t="s">
        <v>6171</v>
      </c>
      <c r="N2989" s="432" t="s">
        <v>3785</v>
      </c>
      <c r="O2989" s="521" t="s">
        <v>5847</v>
      </c>
      <c r="P2989" s="438" t="s">
        <v>5530</v>
      </c>
      <c r="Q2989" s="481">
        <v>0.2</v>
      </c>
      <c r="R2989" s="427">
        <v>1900001345</v>
      </c>
      <c r="S2989" s="513" t="s">
        <v>3475</v>
      </c>
      <c r="T2989" s="2" t="s">
        <v>5914</v>
      </c>
      <c r="U2989" s="9" t="s">
        <v>3475</v>
      </c>
    </row>
    <row r="2990" spans="1:21" x14ac:dyDescent="0.35">
      <c r="A2990" s="435" t="s">
        <v>5165</v>
      </c>
      <c r="B2990" s="543" t="s">
        <v>5897</v>
      </c>
      <c r="C2990" s="517" t="s">
        <v>5845</v>
      </c>
      <c r="D2990" s="517" t="s">
        <v>5845</v>
      </c>
      <c r="E2990" s="517"/>
      <c r="F2990" s="438">
        <v>61919</v>
      </c>
      <c r="G2990" s="438" t="s">
        <v>5840</v>
      </c>
      <c r="H2990" s="427" t="s">
        <v>5163</v>
      </c>
      <c r="I2990" s="427">
        <v>501.13</v>
      </c>
      <c r="J2990" s="427">
        <v>130.19999999999999</v>
      </c>
      <c r="K2990" s="427">
        <v>130.19999999999999</v>
      </c>
      <c r="L2990" s="369">
        <f t="shared" si="198"/>
        <v>26.04</v>
      </c>
      <c r="M2990" s="369" t="s">
        <v>6171</v>
      </c>
      <c r="N2990" s="432" t="s">
        <v>3785</v>
      </c>
      <c r="O2990" s="521" t="s">
        <v>5847</v>
      </c>
      <c r="P2990" s="438" t="s">
        <v>5530</v>
      </c>
      <c r="Q2990" s="481">
        <v>0.2</v>
      </c>
      <c r="R2990" s="427">
        <v>1900001345</v>
      </c>
      <c r="S2990" s="513" t="s">
        <v>3475</v>
      </c>
      <c r="T2990" s="2" t="s">
        <v>5914</v>
      </c>
      <c r="U2990" s="9" t="s">
        <v>3475</v>
      </c>
    </row>
    <row r="2991" spans="1:21" x14ac:dyDescent="0.35">
      <c r="A2991" s="435" t="s">
        <v>5165</v>
      </c>
      <c r="B2991" s="543" t="s">
        <v>5898</v>
      </c>
      <c r="C2991" s="517" t="s">
        <v>5845</v>
      </c>
      <c r="D2991" s="517" t="s">
        <v>5845</v>
      </c>
      <c r="E2991" s="517"/>
      <c r="F2991" s="438">
        <v>61919</v>
      </c>
      <c r="G2991" s="438" t="s">
        <v>5840</v>
      </c>
      <c r="H2991" s="427" t="s">
        <v>5163</v>
      </c>
      <c r="I2991" s="427">
        <v>501.13</v>
      </c>
      <c r="J2991" s="427">
        <v>130.19999999999999</v>
      </c>
      <c r="K2991" s="427">
        <v>130.19999999999999</v>
      </c>
      <c r="L2991" s="369">
        <f t="shared" si="198"/>
        <v>26.04</v>
      </c>
      <c r="M2991" s="369" t="s">
        <v>6171</v>
      </c>
      <c r="N2991" s="432" t="s">
        <v>3785</v>
      </c>
      <c r="O2991" s="521" t="s">
        <v>5847</v>
      </c>
      <c r="P2991" s="438" t="s">
        <v>5530</v>
      </c>
      <c r="Q2991" s="481">
        <v>0.2</v>
      </c>
      <c r="R2991" s="427">
        <v>1900001345</v>
      </c>
      <c r="S2991" s="513" t="s">
        <v>3475</v>
      </c>
      <c r="T2991" s="2" t="s">
        <v>5914</v>
      </c>
      <c r="U2991" s="9" t="s">
        <v>3475</v>
      </c>
    </row>
    <row r="2992" spans="1:21" x14ac:dyDescent="0.35">
      <c r="A2992" s="435" t="s">
        <v>5165</v>
      </c>
      <c r="B2992" s="543" t="s">
        <v>5899</v>
      </c>
      <c r="C2992" s="517" t="s">
        <v>5845</v>
      </c>
      <c r="D2992" s="517" t="s">
        <v>5845</v>
      </c>
      <c r="E2992" s="517"/>
      <c r="F2992" s="438">
        <v>61919</v>
      </c>
      <c r="G2992" s="438" t="s">
        <v>5840</v>
      </c>
      <c r="H2992" s="427" t="s">
        <v>5163</v>
      </c>
      <c r="I2992" s="427">
        <v>634.22</v>
      </c>
      <c r="J2992" s="427">
        <v>164.78</v>
      </c>
      <c r="K2992" s="427">
        <v>164.78</v>
      </c>
      <c r="L2992" s="369">
        <f t="shared" si="198"/>
        <v>32.956000000000003</v>
      </c>
      <c r="M2992" s="369" t="s">
        <v>6171</v>
      </c>
      <c r="N2992" s="432" t="s">
        <v>3785</v>
      </c>
      <c r="O2992" s="521" t="s">
        <v>5847</v>
      </c>
      <c r="P2992" s="438" t="s">
        <v>5530</v>
      </c>
      <c r="Q2992" s="481">
        <v>0.2</v>
      </c>
      <c r="R2992" s="427">
        <v>1900001345</v>
      </c>
      <c r="S2992" s="513" t="s">
        <v>3475</v>
      </c>
      <c r="T2992" s="2" t="s">
        <v>5914</v>
      </c>
      <c r="U2992" s="9" t="s">
        <v>3475</v>
      </c>
    </row>
    <row r="2993" spans="1:21" x14ac:dyDescent="0.35">
      <c r="A2993" s="435" t="s">
        <v>5165</v>
      </c>
      <c r="B2993" s="543" t="s">
        <v>5900</v>
      </c>
      <c r="C2993" s="517" t="s">
        <v>5845</v>
      </c>
      <c r="D2993" s="517" t="s">
        <v>5845</v>
      </c>
      <c r="E2993" s="517"/>
      <c r="F2993" s="438">
        <v>61919</v>
      </c>
      <c r="G2993" s="438" t="s">
        <v>5840</v>
      </c>
      <c r="H2993" s="427" t="s">
        <v>5163</v>
      </c>
      <c r="I2993" s="427">
        <v>13.670000000000002</v>
      </c>
      <c r="J2993" s="427">
        <v>3.55</v>
      </c>
      <c r="K2993" s="427">
        <v>3.55</v>
      </c>
      <c r="L2993" s="369">
        <f t="shared" si="198"/>
        <v>0.71</v>
      </c>
      <c r="M2993" s="369" t="s">
        <v>6171</v>
      </c>
      <c r="N2993" s="432" t="s">
        <v>3785</v>
      </c>
      <c r="O2993" s="521" t="s">
        <v>5847</v>
      </c>
      <c r="P2993" s="438" t="s">
        <v>5530</v>
      </c>
      <c r="Q2993" s="481">
        <v>0.2</v>
      </c>
      <c r="R2993" s="427">
        <v>1900001345</v>
      </c>
      <c r="S2993" s="513" t="s">
        <v>3475</v>
      </c>
      <c r="T2993" s="2" t="s">
        <v>5914</v>
      </c>
      <c r="U2993" s="9" t="s">
        <v>3475</v>
      </c>
    </row>
    <row r="2994" spans="1:21" x14ac:dyDescent="0.35">
      <c r="A2994" s="435" t="s">
        <v>5165</v>
      </c>
      <c r="B2994" s="543" t="s">
        <v>5901</v>
      </c>
      <c r="C2994" s="517" t="s">
        <v>5845</v>
      </c>
      <c r="D2994" s="517" t="s">
        <v>5845</v>
      </c>
      <c r="E2994" s="517"/>
      <c r="F2994" s="438">
        <v>61919</v>
      </c>
      <c r="G2994" s="438" t="s">
        <v>5840</v>
      </c>
      <c r="H2994" s="427" t="s">
        <v>5163</v>
      </c>
      <c r="I2994" s="427">
        <v>47.120000000000005</v>
      </c>
      <c r="J2994" s="427">
        <v>12.24</v>
      </c>
      <c r="K2994" s="427">
        <v>12.24</v>
      </c>
      <c r="L2994" s="369">
        <f t="shared" si="198"/>
        <v>2.4480000000000004</v>
      </c>
      <c r="M2994" s="369" t="s">
        <v>6171</v>
      </c>
      <c r="N2994" s="432" t="s">
        <v>3785</v>
      </c>
      <c r="O2994" s="521" t="s">
        <v>5847</v>
      </c>
      <c r="P2994" s="438" t="s">
        <v>5530</v>
      </c>
      <c r="Q2994" s="481">
        <v>0.2</v>
      </c>
      <c r="R2994" s="427">
        <v>1900001345</v>
      </c>
      <c r="S2994" s="513" t="s">
        <v>3475</v>
      </c>
      <c r="T2994" s="2" t="s">
        <v>5914</v>
      </c>
      <c r="U2994" s="9" t="s">
        <v>3475</v>
      </c>
    </row>
    <row r="2995" spans="1:21" x14ac:dyDescent="0.35">
      <c r="A2995" s="435" t="s">
        <v>5165</v>
      </c>
      <c r="B2995" s="543" t="s">
        <v>5902</v>
      </c>
      <c r="C2995" s="517" t="s">
        <v>5845</v>
      </c>
      <c r="D2995" s="517" t="s">
        <v>5845</v>
      </c>
      <c r="E2995" s="517"/>
      <c r="F2995" s="438">
        <v>61919</v>
      </c>
      <c r="G2995" s="438" t="s">
        <v>5840</v>
      </c>
      <c r="H2995" s="427" t="s">
        <v>5163</v>
      </c>
      <c r="I2995" s="514">
        <v>1510.3200000000002</v>
      </c>
      <c r="J2995" s="427">
        <v>392.4</v>
      </c>
      <c r="K2995" s="427">
        <v>392.4</v>
      </c>
      <c r="L2995" s="369">
        <f t="shared" si="198"/>
        <v>78.48</v>
      </c>
      <c r="M2995" s="369" t="s">
        <v>6171</v>
      </c>
      <c r="N2995" s="432" t="s">
        <v>3785</v>
      </c>
      <c r="O2995" s="521" t="s">
        <v>5847</v>
      </c>
      <c r="P2995" s="438" t="s">
        <v>5530</v>
      </c>
      <c r="Q2995" s="481">
        <v>0.2</v>
      </c>
      <c r="R2995" s="427">
        <v>1900001345</v>
      </c>
      <c r="S2995" s="513" t="s">
        <v>3475</v>
      </c>
      <c r="T2995" s="2" t="s">
        <v>5914</v>
      </c>
      <c r="U2995" s="9" t="s">
        <v>3475</v>
      </c>
    </row>
    <row r="2996" spans="1:21" x14ac:dyDescent="0.35">
      <c r="A2996" s="435" t="s">
        <v>5165</v>
      </c>
      <c r="B2996" s="543" t="s">
        <v>5903</v>
      </c>
      <c r="C2996" s="517" t="s">
        <v>5845</v>
      </c>
      <c r="D2996" s="517" t="s">
        <v>5845</v>
      </c>
      <c r="E2996" s="517"/>
      <c r="F2996" s="438">
        <v>61919</v>
      </c>
      <c r="G2996" s="438" t="s">
        <v>5840</v>
      </c>
      <c r="H2996" s="427" t="s">
        <v>5163</v>
      </c>
      <c r="I2996" s="427">
        <v>14.84</v>
      </c>
      <c r="J2996" s="427">
        <v>3.8499999999999996</v>
      </c>
      <c r="K2996" s="427">
        <v>3.8499999999999996</v>
      </c>
      <c r="L2996" s="369">
        <f t="shared" si="198"/>
        <v>0.77</v>
      </c>
      <c r="M2996" s="369" t="s">
        <v>6171</v>
      </c>
      <c r="N2996" s="432" t="s">
        <v>3785</v>
      </c>
      <c r="O2996" s="521" t="s">
        <v>5847</v>
      </c>
      <c r="P2996" s="438" t="s">
        <v>5530</v>
      </c>
      <c r="Q2996" s="481">
        <v>0.2</v>
      </c>
      <c r="R2996" s="427">
        <v>1900001345</v>
      </c>
      <c r="S2996" s="513" t="s">
        <v>3475</v>
      </c>
      <c r="T2996" s="2" t="s">
        <v>5914</v>
      </c>
      <c r="U2996" s="9" t="s">
        <v>3475</v>
      </c>
    </row>
    <row r="2997" spans="1:21" x14ac:dyDescent="0.35">
      <c r="A2997" s="435" t="s">
        <v>5165</v>
      </c>
      <c r="B2997" s="543" t="s">
        <v>5904</v>
      </c>
      <c r="C2997" s="517" t="s">
        <v>5845</v>
      </c>
      <c r="D2997" s="517" t="s">
        <v>5845</v>
      </c>
      <c r="E2997" s="517"/>
      <c r="F2997" s="438">
        <v>61919</v>
      </c>
      <c r="G2997" s="438" t="s">
        <v>5840</v>
      </c>
      <c r="H2997" s="427" t="s">
        <v>5163</v>
      </c>
      <c r="I2997" s="427">
        <v>112.45</v>
      </c>
      <c r="J2997" s="427">
        <v>29.21</v>
      </c>
      <c r="K2997" s="427">
        <v>29.21</v>
      </c>
      <c r="L2997" s="369">
        <f t="shared" si="198"/>
        <v>5.8420000000000005</v>
      </c>
      <c r="M2997" s="369" t="s">
        <v>6171</v>
      </c>
      <c r="N2997" s="432" t="s">
        <v>3785</v>
      </c>
      <c r="O2997" s="521" t="s">
        <v>5847</v>
      </c>
      <c r="P2997" s="438" t="s">
        <v>5530</v>
      </c>
      <c r="Q2997" s="481">
        <v>0.2</v>
      </c>
      <c r="R2997" s="427">
        <v>1900001345</v>
      </c>
      <c r="S2997" s="513" t="s">
        <v>3475</v>
      </c>
      <c r="T2997" s="2" t="s">
        <v>5914</v>
      </c>
      <c r="U2997" s="9" t="s">
        <v>3475</v>
      </c>
    </row>
    <row r="2998" spans="1:21" x14ac:dyDescent="0.35">
      <c r="A2998" s="435" t="s">
        <v>5165</v>
      </c>
      <c r="B2998" s="543" t="s">
        <v>5905</v>
      </c>
      <c r="C2998" s="517" t="s">
        <v>5845</v>
      </c>
      <c r="D2998" s="517" t="s">
        <v>5845</v>
      </c>
      <c r="E2998" s="517"/>
      <c r="F2998" s="438">
        <v>61919</v>
      </c>
      <c r="G2998" s="438" t="s">
        <v>5840</v>
      </c>
      <c r="H2998" s="427" t="s">
        <v>5163</v>
      </c>
      <c r="I2998" s="427">
        <v>53.76</v>
      </c>
      <c r="J2998" s="427">
        <v>13.97</v>
      </c>
      <c r="K2998" s="427">
        <v>13.97</v>
      </c>
      <c r="L2998" s="369">
        <f t="shared" si="198"/>
        <v>2.7940000000000005</v>
      </c>
      <c r="M2998" s="369" t="s">
        <v>6171</v>
      </c>
      <c r="N2998" s="432" t="s">
        <v>3785</v>
      </c>
      <c r="O2998" s="521" t="s">
        <v>5847</v>
      </c>
      <c r="P2998" s="438" t="s">
        <v>5530</v>
      </c>
      <c r="Q2998" s="481">
        <v>0.2</v>
      </c>
      <c r="R2998" s="427">
        <v>1900001345</v>
      </c>
      <c r="S2998" s="513" t="s">
        <v>3475</v>
      </c>
      <c r="T2998" s="2" t="s">
        <v>5914</v>
      </c>
      <c r="U2998" s="9" t="s">
        <v>3475</v>
      </c>
    </row>
    <row r="2999" spans="1:21" x14ac:dyDescent="0.35">
      <c r="A2999" s="435" t="s">
        <v>5165</v>
      </c>
      <c r="B2999" s="543" t="s">
        <v>5906</v>
      </c>
      <c r="C2999" s="517" t="s">
        <v>5845</v>
      </c>
      <c r="D2999" s="517" t="s">
        <v>5845</v>
      </c>
      <c r="E2999" s="517"/>
      <c r="F2999" s="438">
        <v>61919</v>
      </c>
      <c r="G2999" s="438" t="s">
        <v>5840</v>
      </c>
      <c r="H2999" s="427" t="s">
        <v>5163</v>
      </c>
      <c r="I2999" s="427">
        <v>189.99</v>
      </c>
      <c r="J2999" s="427">
        <v>49.36</v>
      </c>
      <c r="K2999" s="427">
        <v>49.36</v>
      </c>
      <c r="L2999" s="369">
        <f t="shared" si="198"/>
        <v>9.8719999999999999</v>
      </c>
      <c r="M2999" s="369" t="s">
        <v>6171</v>
      </c>
      <c r="N2999" s="432" t="s">
        <v>3785</v>
      </c>
      <c r="O2999" s="521" t="s">
        <v>5847</v>
      </c>
      <c r="P2999" s="438" t="s">
        <v>5530</v>
      </c>
      <c r="Q2999" s="481">
        <v>0.2</v>
      </c>
      <c r="R2999" s="427">
        <v>1900001345</v>
      </c>
      <c r="S2999" s="513" t="s">
        <v>3475</v>
      </c>
      <c r="T2999" s="2" t="s">
        <v>5914</v>
      </c>
      <c r="U2999" s="9" t="s">
        <v>3475</v>
      </c>
    </row>
    <row r="3000" spans="1:21" x14ac:dyDescent="0.35">
      <c r="A3000" s="435" t="s">
        <v>5165</v>
      </c>
      <c r="B3000" s="543" t="s">
        <v>5907</v>
      </c>
      <c r="C3000" s="517" t="s">
        <v>5845</v>
      </c>
      <c r="D3000" s="517" t="s">
        <v>5845</v>
      </c>
      <c r="E3000" s="517"/>
      <c r="F3000" s="438">
        <v>61919</v>
      </c>
      <c r="G3000" s="438" t="s">
        <v>5840</v>
      </c>
      <c r="H3000" s="427" t="s">
        <v>5163</v>
      </c>
      <c r="I3000" s="427">
        <v>425.78</v>
      </c>
      <c r="J3000" s="427">
        <v>110.62</v>
      </c>
      <c r="K3000" s="427">
        <v>110.62</v>
      </c>
      <c r="L3000" s="369">
        <f t="shared" si="198"/>
        <v>22.124000000000002</v>
      </c>
      <c r="M3000" s="369" t="s">
        <v>6171</v>
      </c>
      <c r="N3000" s="432" t="s">
        <v>3785</v>
      </c>
      <c r="O3000" s="521" t="s">
        <v>5847</v>
      </c>
      <c r="P3000" s="438" t="s">
        <v>5530</v>
      </c>
      <c r="Q3000" s="481">
        <v>0.2</v>
      </c>
      <c r="R3000" s="427">
        <v>1900001345</v>
      </c>
      <c r="S3000" s="513" t="s">
        <v>3475</v>
      </c>
      <c r="T3000" s="2" t="s">
        <v>5914</v>
      </c>
      <c r="U3000" s="9" t="s">
        <v>3475</v>
      </c>
    </row>
    <row r="3001" spans="1:21" x14ac:dyDescent="0.35">
      <c r="A3001" s="435" t="s">
        <v>5165</v>
      </c>
      <c r="B3001" s="543" t="s">
        <v>5908</v>
      </c>
      <c r="C3001" s="517" t="s">
        <v>5845</v>
      </c>
      <c r="D3001" s="517" t="s">
        <v>5845</v>
      </c>
      <c r="E3001" s="517"/>
      <c r="F3001" s="438">
        <v>61919</v>
      </c>
      <c r="G3001" s="438" t="s">
        <v>5840</v>
      </c>
      <c r="H3001" s="427" t="s">
        <v>5163</v>
      </c>
      <c r="I3001" s="514">
        <v>2290.7599999999998</v>
      </c>
      <c r="J3001" s="427">
        <v>595.17000000000007</v>
      </c>
      <c r="K3001" s="427">
        <v>595.17000000000007</v>
      </c>
      <c r="L3001" s="369">
        <f t="shared" si="198"/>
        <v>119.03400000000002</v>
      </c>
      <c r="M3001" s="369" t="s">
        <v>6171</v>
      </c>
      <c r="N3001" s="432" t="s">
        <v>3785</v>
      </c>
      <c r="O3001" s="521" t="s">
        <v>5847</v>
      </c>
      <c r="P3001" s="438" t="s">
        <v>5530</v>
      </c>
      <c r="Q3001" s="481">
        <v>0.2</v>
      </c>
      <c r="R3001" s="427">
        <v>1900001345</v>
      </c>
      <c r="S3001" s="513" t="s">
        <v>3475</v>
      </c>
      <c r="T3001" s="2" t="s">
        <v>5914</v>
      </c>
      <c r="U3001" s="9" t="s">
        <v>3475</v>
      </c>
    </row>
    <row r="3002" spans="1:21" x14ac:dyDescent="0.35">
      <c r="A3002" s="435" t="s">
        <v>5165</v>
      </c>
      <c r="B3002" s="543" t="s">
        <v>5909</v>
      </c>
      <c r="C3002" s="517" t="s">
        <v>5845</v>
      </c>
      <c r="D3002" s="517" t="s">
        <v>5845</v>
      </c>
      <c r="E3002" s="517"/>
      <c r="F3002" s="438">
        <v>61919</v>
      </c>
      <c r="G3002" s="438" t="s">
        <v>5840</v>
      </c>
      <c r="H3002" s="427" t="s">
        <v>5163</v>
      </c>
      <c r="I3002" s="514">
        <v>10600.657499999999</v>
      </c>
      <c r="J3002" s="514">
        <v>2754.2200000000003</v>
      </c>
      <c r="K3002" s="514">
        <v>2754.2200000000003</v>
      </c>
      <c r="L3002" s="369">
        <f t="shared" si="198"/>
        <v>550.84400000000005</v>
      </c>
      <c r="M3002" s="369" t="s">
        <v>6171</v>
      </c>
      <c r="N3002" s="432" t="s">
        <v>3785</v>
      </c>
      <c r="O3002" s="521" t="s">
        <v>5847</v>
      </c>
      <c r="P3002" s="438" t="s">
        <v>5530</v>
      </c>
      <c r="Q3002" s="481">
        <v>0.2</v>
      </c>
      <c r="R3002" s="427">
        <v>1900001345</v>
      </c>
      <c r="S3002" s="513" t="s">
        <v>3475</v>
      </c>
      <c r="T3002" s="2" t="s">
        <v>5914</v>
      </c>
      <c r="U3002" s="9" t="s">
        <v>3475</v>
      </c>
    </row>
    <row r="3003" spans="1:21" x14ac:dyDescent="0.35">
      <c r="A3003" s="435" t="s">
        <v>5165</v>
      </c>
      <c r="B3003" s="543" t="s">
        <v>5909</v>
      </c>
      <c r="C3003" s="517" t="s">
        <v>5845</v>
      </c>
      <c r="D3003" s="517" t="s">
        <v>5845</v>
      </c>
      <c r="E3003" s="517"/>
      <c r="F3003" s="438">
        <v>61919</v>
      </c>
      <c r="G3003" s="438" t="s">
        <v>5840</v>
      </c>
      <c r="H3003" s="427" t="s">
        <v>5163</v>
      </c>
      <c r="I3003" s="514">
        <v>10600.657499999999</v>
      </c>
      <c r="J3003" s="514">
        <v>2754.2200000000003</v>
      </c>
      <c r="K3003" s="514">
        <v>2754.2200000000003</v>
      </c>
      <c r="L3003" s="369">
        <f t="shared" si="198"/>
        <v>550.84400000000005</v>
      </c>
      <c r="M3003" s="369" t="s">
        <v>6171</v>
      </c>
      <c r="N3003" s="432" t="s">
        <v>3785</v>
      </c>
      <c r="O3003" s="521" t="s">
        <v>5847</v>
      </c>
      <c r="P3003" s="438" t="s">
        <v>5530</v>
      </c>
      <c r="Q3003" s="481">
        <v>0.2</v>
      </c>
      <c r="R3003" s="427">
        <v>1900001345</v>
      </c>
      <c r="S3003" s="513" t="s">
        <v>3475</v>
      </c>
      <c r="T3003" s="2" t="s">
        <v>5914</v>
      </c>
      <c r="U3003" s="9" t="s">
        <v>3475</v>
      </c>
    </row>
    <row r="3004" spans="1:21" x14ac:dyDescent="0.35">
      <c r="A3004" s="435" t="s">
        <v>5165</v>
      </c>
      <c r="B3004" s="543" t="s">
        <v>5909</v>
      </c>
      <c r="C3004" s="517" t="s">
        <v>5845</v>
      </c>
      <c r="D3004" s="517" t="s">
        <v>5845</v>
      </c>
      <c r="E3004" s="517"/>
      <c r="F3004" s="438">
        <v>61919</v>
      </c>
      <c r="G3004" s="438" t="s">
        <v>5840</v>
      </c>
      <c r="H3004" s="427" t="s">
        <v>5163</v>
      </c>
      <c r="I3004" s="514">
        <v>10600.657499999999</v>
      </c>
      <c r="J3004" s="514">
        <v>2754.2200000000003</v>
      </c>
      <c r="K3004" s="514">
        <v>2754.2200000000003</v>
      </c>
      <c r="L3004" s="369">
        <f t="shared" si="198"/>
        <v>550.84400000000005</v>
      </c>
      <c r="M3004" s="369" t="s">
        <v>6171</v>
      </c>
      <c r="N3004" s="432" t="s">
        <v>3785</v>
      </c>
      <c r="O3004" s="521" t="s">
        <v>5847</v>
      </c>
      <c r="P3004" s="438" t="s">
        <v>5530</v>
      </c>
      <c r="Q3004" s="481">
        <v>0.2</v>
      </c>
      <c r="R3004" s="427">
        <v>1900001345</v>
      </c>
      <c r="S3004" s="513" t="s">
        <v>3475</v>
      </c>
      <c r="T3004" s="2" t="s">
        <v>5914</v>
      </c>
      <c r="U3004" s="9" t="s">
        <v>3475</v>
      </c>
    </row>
    <row r="3005" spans="1:21" x14ac:dyDescent="0.35">
      <c r="A3005" s="435" t="s">
        <v>5165</v>
      </c>
      <c r="B3005" s="543" t="s">
        <v>5909</v>
      </c>
      <c r="C3005" s="517" t="s">
        <v>5845</v>
      </c>
      <c r="D3005" s="517" t="s">
        <v>5845</v>
      </c>
      <c r="E3005" s="517"/>
      <c r="F3005" s="438">
        <v>61919</v>
      </c>
      <c r="G3005" s="438" t="s">
        <v>5840</v>
      </c>
      <c r="H3005" s="427" t="s">
        <v>5163</v>
      </c>
      <c r="I3005" s="514">
        <v>10600.657499999999</v>
      </c>
      <c r="J3005" s="514">
        <v>2754.2200000000003</v>
      </c>
      <c r="K3005" s="514">
        <v>2754.2200000000003</v>
      </c>
      <c r="L3005" s="369">
        <f t="shared" si="198"/>
        <v>550.84400000000005</v>
      </c>
      <c r="M3005" s="369" t="s">
        <v>6171</v>
      </c>
      <c r="N3005" s="432" t="s">
        <v>3785</v>
      </c>
      <c r="O3005" s="521" t="s">
        <v>5847</v>
      </c>
      <c r="P3005" s="438" t="s">
        <v>5530</v>
      </c>
      <c r="Q3005" s="481">
        <v>0.2</v>
      </c>
      <c r="R3005" s="427">
        <v>1900001345</v>
      </c>
      <c r="S3005" s="513" t="s">
        <v>3475</v>
      </c>
      <c r="T3005" s="2" t="s">
        <v>5914</v>
      </c>
      <c r="U3005" s="9" t="s">
        <v>3475</v>
      </c>
    </row>
    <row r="3006" spans="1:21" x14ac:dyDescent="0.35">
      <c r="A3006" s="435" t="s">
        <v>5171</v>
      </c>
      <c r="B3006" s="432" t="s">
        <v>5910</v>
      </c>
      <c r="C3006" s="522" t="s">
        <v>5911</v>
      </c>
      <c r="D3006" s="522" t="s">
        <v>5911</v>
      </c>
      <c r="E3006" s="522"/>
      <c r="F3006" s="523" t="s">
        <v>5912</v>
      </c>
      <c r="G3006" s="499" t="s">
        <v>5840</v>
      </c>
      <c r="H3006" s="432" t="s">
        <v>5163</v>
      </c>
      <c r="I3006" s="369">
        <v>22618.75</v>
      </c>
      <c r="J3006" s="377">
        <v>5876.71</v>
      </c>
      <c r="K3006" s="369">
        <v>5876.71</v>
      </c>
      <c r="L3006" s="369">
        <f t="shared" si="198"/>
        <v>1175.3420000000001</v>
      </c>
      <c r="M3006" s="369" t="s">
        <v>6171</v>
      </c>
      <c r="N3006" s="432" t="s">
        <v>3785</v>
      </c>
      <c r="O3006" s="432" t="s">
        <v>5913</v>
      </c>
      <c r="P3006" s="438" t="s">
        <v>5530</v>
      </c>
      <c r="Q3006" s="481">
        <v>0.2</v>
      </c>
      <c r="R3006" s="427">
        <v>1700001425</v>
      </c>
      <c r="S3006" s="513" t="s">
        <v>3475</v>
      </c>
      <c r="T3006" s="2" t="s">
        <v>5914</v>
      </c>
      <c r="U3006" s="9" t="s">
        <v>3475</v>
      </c>
    </row>
    <row r="3007" spans="1:21" hidden="1" x14ac:dyDescent="0.35">
      <c r="A3007" s="830"/>
      <c r="B3007" s="432" t="s">
        <v>6271</v>
      </c>
      <c r="C3007" s="522">
        <v>45931</v>
      </c>
      <c r="D3007" s="832"/>
      <c r="E3007" s="8" t="s">
        <v>6268</v>
      </c>
      <c r="F3007" s="833"/>
      <c r="G3007" s="453" t="s">
        <v>1486</v>
      </c>
      <c r="H3007" s="362" t="s">
        <v>4757</v>
      </c>
      <c r="I3007" s="834"/>
      <c r="J3007" s="835"/>
      <c r="K3007" s="834"/>
      <c r="L3007" s="834"/>
      <c r="M3007" s="834"/>
      <c r="N3007" s="432" t="s">
        <v>3785</v>
      </c>
      <c r="O3007" s="831"/>
      <c r="P3007" s="836"/>
      <c r="Q3007" s="837"/>
      <c r="R3007" s="839"/>
      <c r="S3007" s="513" t="s">
        <v>1031</v>
      </c>
      <c r="T3007" s="838"/>
    </row>
    <row r="3008" spans="1:21" hidden="1" x14ac:dyDescent="0.35">
      <c r="A3008" s="830"/>
      <c r="B3008" s="432" t="s">
        <v>6271</v>
      </c>
      <c r="C3008" s="522">
        <v>45931</v>
      </c>
      <c r="D3008" s="832"/>
      <c r="E3008" s="8" t="s">
        <v>6267</v>
      </c>
      <c r="F3008" s="833"/>
      <c r="G3008" s="453" t="s">
        <v>1486</v>
      </c>
      <c r="H3008" s="362" t="s">
        <v>4757</v>
      </c>
      <c r="I3008" s="834"/>
      <c r="J3008" s="835"/>
      <c r="K3008" s="834"/>
      <c r="L3008" s="834"/>
      <c r="M3008" s="834"/>
      <c r="N3008" s="432" t="s">
        <v>3785</v>
      </c>
      <c r="O3008" s="831"/>
      <c r="P3008" s="836"/>
      <c r="Q3008" s="837"/>
      <c r="R3008" s="839"/>
      <c r="S3008" s="513" t="s">
        <v>1038</v>
      </c>
      <c r="T3008" s="838"/>
    </row>
    <row r="3009" spans="2:19" hidden="1" x14ac:dyDescent="0.35">
      <c r="B3009" s="432" t="s">
        <v>6271</v>
      </c>
      <c r="C3009" s="522">
        <v>45931</v>
      </c>
      <c r="E3009" s="8" t="s">
        <v>6269</v>
      </c>
      <c r="G3009" s="453" t="s">
        <v>1486</v>
      </c>
      <c r="H3009" s="362" t="s">
        <v>4757</v>
      </c>
      <c r="N3009" s="432" t="s">
        <v>3785</v>
      </c>
      <c r="R3009" s="840"/>
      <c r="S3009" s="2" t="s">
        <v>1035</v>
      </c>
    </row>
    <row r="3010" spans="2:19" hidden="1" x14ac:dyDescent="0.35">
      <c r="B3010" s="432" t="s">
        <v>6271</v>
      </c>
      <c r="C3010" s="522">
        <v>45931</v>
      </c>
      <c r="E3010" s="8" t="s">
        <v>6270</v>
      </c>
      <c r="G3010" s="453" t="s">
        <v>1486</v>
      </c>
      <c r="H3010" s="362" t="s">
        <v>4757</v>
      </c>
      <c r="N3010" s="432" t="s">
        <v>3785</v>
      </c>
      <c r="R3010" s="840"/>
      <c r="S3010" s="2" t="s">
        <v>6272</v>
      </c>
    </row>
    <row r="3020" spans="2:19" x14ac:dyDescent="0.35">
      <c r="N3020" s="444"/>
    </row>
  </sheetData>
  <autoFilter ref="A1:U3010" xr:uid="{B8B958D6-90E1-45B4-BDFE-5034DE07E461}">
    <filterColumn colId="6">
      <filters>
        <filter val="COMMUNICATION EQUIPMENT"/>
        <filter val="PHONE"/>
        <filter val="TELECOMMUNICATION EQUIPMENTS"/>
      </filters>
    </filterColumn>
  </autoFilter>
  <conditionalFormatting sqref="E248">
    <cfRule type="duplicateValues" dxfId="171" priority="209"/>
    <cfRule type="duplicateValues" dxfId="170" priority="210"/>
    <cfRule type="duplicateValues" dxfId="169" priority="211"/>
    <cfRule type="duplicateValues" dxfId="168" priority="212"/>
  </conditionalFormatting>
  <conditionalFormatting sqref="E281">
    <cfRule type="duplicateValues" dxfId="167" priority="227"/>
    <cfRule type="duplicateValues" dxfId="166" priority="228"/>
    <cfRule type="duplicateValues" dxfId="165" priority="229"/>
  </conditionalFormatting>
  <conditionalFormatting sqref="E307">
    <cfRule type="duplicateValues" dxfId="164" priority="242"/>
    <cfRule type="duplicateValues" dxfId="163" priority="243"/>
    <cfRule type="duplicateValues" dxfId="162" priority="244"/>
  </conditionalFormatting>
  <conditionalFormatting sqref="E623">
    <cfRule type="duplicateValues" dxfId="161" priority="236"/>
    <cfRule type="duplicateValues" dxfId="160" priority="237"/>
    <cfRule type="duplicateValues" dxfId="159" priority="238"/>
  </conditionalFormatting>
  <conditionalFormatting sqref="E664">
    <cfRule type="duplicateValues" dxfId="158" priority="224"/>
    <cfRule type="duplicateValues" dxfId="157" priority="225"/>
    <cfRule type="duplicateValues" dxfId="156" priority="226"/>
  </conditionalFormatting>
  <conditionalFormatting sqref="E665:E666">
    <cfRule type="duplicateValues" dxfId="155" priority="221"/>
    <cfRule type="duplicateValues" dxfId="154" priority="222"/>
    <cfRule type="duplicateValues" dxfId="153" priority="223"/>
  </conditionalFormatting>
  <conditionalFormatting sqref="E1096">
    <cfRule type="duplicateValues" dxfId="152" priority="217"/>
    <cfRule type="duplicateValues" dxfId="151" priority="218"/>
    <cfRule type="duplicateValues" dxfId="150" priority="219"/>
    <cfRule type="duplicateValues" dxfId="149" priority="220"/>
  </conditionalFormatting>
  <conditionalFormatting sqref="E1277">
    <cfRule type="duplicateValues" dxfId="148" priority="186"/>
    <cfRule type="duplicateValues" dxfId="147" priority="187"/>
    <cfRule type="duplicateValues" dxfId="146" priority="188"/>
    <cfRule type="duplicateValues" dxfId="145" priority="189"/>
    <cfRule type="duplicateValues" dxfId="144" priority="190"/>
  </conditionalFormatting>
  <conditionalFormatting sqref="E1286">
    <cfRule type="duplicateValues" dxfId="143" priority="239"/>
    <cfRule type="duplicateValues" dxfId="142" priority="240"/>
    <cfRule type="duplicateValues" dxfId="141" priority="241"/>
  </conditionalFormatting>
  <conditionalFormatting sqref="E3011:E1048576 E1278:E1285 E1097:E1160 E282:E306 E669:E686 E624:E663 E1:E87 E249:E280 E308:E359 E1035:E1095 E1287:E1404 E597:E611 E1162:E1276 E1407:E1573 E361:E372 E531:E594 E375:E528 E614:E615 E618:E622 E110:E129 E138:E139 E90:E106 E141:E247 E691:E1012 E689 E1575:E2251 E1014:E1033 E2265:E3006">
    <cfRule type="duplicateValues" dxfId="140" priority="245"/>
  </conditionalFormatting>
  <conditionalFormatting sqref="E1552:E1573 E1287:E1404 E1051:E1095 E1097:E1160 E1162:E1167 E1278:E1285 E1575:E1683 E1178:E1276 E1407:E1550">
    <cfRule type="duplicateValues" dxfId="139" priority="8586"/>
    <cfRule type="duplicateValues" dxfId="138" priority="8587"/>
  </conditionalFormatting>
  <conditionalFormatting sqref="E1552:E1573 E1575:E1683">
    <cfRule type="duplicateValues" dxfId="137" priority="8590"/>
    <cfRule type="duplicateValues" dxfId="136" priority="8591"/>
  </conditionalFormatting>
  <conditionalFormatting sqref="E2096 E2423:E2433 E1917:E1924 E2098:E2135 E1972:E2025 E2032:E2090 E1927:E1970 E1684:E1817 E1820:E1864 E1866:E1914 E2141:E2251 E2265:E2290">
    <cfRule type="duplicateValues" dxfId="135" priority="8665"/>
  </conditionalFormatting>
  <conditionalFormatting sqref="E2434:E3006">
    <cfRule type="duplicateValues" dxfId="134" priority="8664"/>
  </conditionalFormatting>
  <conditionalFormatting sqref="E3011:E1048576 E1035:E1050 E691:E708 E318 E572:E594 E425:E528 E1:E58 E69:E70 E77:E87 E181:E190 E308:E316 E710:E1012 E282:E306 E656:E663 E669:E686 E624:E654 E193:E247 E249:E280 E320:E359 E597:E611 E361:E372 E531:E570 E375:E417 E614:E615 E618:E622 E110:E129 E138:E139 E90:E106 E141:E178 E689 E1014:E1033">
    <cfRule type="duplicateValues" dxfId="133" priority="255"/>
  </conditionalFormatting>
  <conditionalFormatting sqref="S1277">
    <cfRule type="duplicateValues" dxfId="132" priority="185"/>
  </conditionalFormatting>
  <conditionalFormatting sqref="E1034">
    <cfRule type="duplicateValues" dxfId="131" priority="183"/>
  </conditionalFormatting>
  <conditionalFormatting sqref="E1034">
    <cfRule type="duplicateValues" dxfId="130" priority="184"/>
  </conditionalFormatting>
  <conditionalFormatting sqref="E667:E668">
    <cfRule type="duplicateValues" dxfId="129" priority="174"/>
  </conditionalFormatting>
  <conditionalFormatting sqref="E667:E668">
    <cfRule type="duplicateValues" dxfId="128" priority="173"/>
  </conditionalFormatting>
  <conditionalFormatting sqref="E1574">
    <cfRule type="duplicateValues" dxfId="127" priority="163"/>
  </conditionalFormatting>
  <conditionalFormatting sqref="E1574">
    <cfRule type="duplicateValues" dxfId="126" priority="164"/>
  </conditionalFormatting>
  <conditionalFormatting sqref="E1574">
    <cfRule type="duplicateValues" dxfId="125" priority="169"/>
  </conditionalFormatting>
  <conditionalFormatting sqref="E1574">
    <cfRule type="duplicateValues" dxfId="124" priority="165"/>
  </conditionalFormatting>
  <conditionalFormatting sqref="E1574">
    <cfRule type="duplicateValues" dxfId="123" priority="167"/>
  </conditionalFormatting>
  <conditionalFormatting sqref="E1574">
    <cfRule type="duplicateValues" dxfId="122" priority="168"/>
  </conditionalFormatting>
  <conditionalFormatting sqref="E1574">
    <cfRule type="duplicateValues" dxfId="121" priority="166"/>
  </conditionalFormatting>
  <conditionalFormatting sqref="E1574">
    <cfRule type="duplicateValues" dxfId="120" priority="170"/>
  </conditionalFormatting>
  <conditionalFormatting sqref="E1574">
    <cfRule type="duplicateValues" dxfId="119" priority="171"/>
  </conditionalFormatting>
  <conditionalFormatting sqref="E1574">
    <cfRule type="duplicateValues" dxfId="118" priority="172"/>
  </conditionalFormatting>
  <conditionalFormatting sqref="A595:A596 S595:XFD596">
    <cfRule type="duplicateValues" dxfId="117" priority="11029"/>
  </conditionalFormatting>
  <conditionalFormatting sqref="A595:A596 S595:XFD596">
    <cfRule type="duplicateValues" dxfId="116" priority="11034"/>
    <cfRule type="duplicateValues" dxfId="115" priority="11035"/>
  </conditionalFormatting>
  <conditionalFormatting sqref="E595:E596">
    <cfRule type="duplicateValues" dxfId="114" priority="145"/>
  </conditionalFormatting>
  <conditionalFormatting sqref="E595:E596">
    <cfRule type="duplicateValues" dxfId="113" priority="146"/>
  </conditionalFormatting>
  <conditionalFormatting sqref="E595:E596">
    <cfRule type="duplicateValues" dxfId="112" priority="147"/>
  </conditionalFormatting>
  <conditionalFormatting sqref="E595:E596">
    <cfRule type="duplicateValues" dxfId="111" priority="140"/>
  </conditionalFormatting>
  <conditionalFormatting sqref="E595:E596">
    <cfRule type="duplicateValues" dxfId="110" priority="135"/>
  </conditionalFormatting>
  <conditionalFormatting sqref="E595:E596">
    <cfRule type="duplicateValues" dxfId="109" priority="137"/>
  </conditionalFormatting>
  <conditionalFormatting sqref="E595:E596">
    <cfRule type="duplicateValues" dxfId="108" priority="138"/>
  </conditionalFormatting>
  <conditionalFormatting sqref="E595:E596">
    <cfRule type="duplicateValues" dxfId="107" priority="136"/>
  </conditionalFormatting>
  <conditionalFormatting sqref="E595:E596">
    <cfRule type="duplicateValues" dxfId="106" priority="142"/>
  </conditionalFormatting>
  <conditionalFormatting sqref="E595:E596">
    <cfRule type="duplicateValues" dxfId="105" priority="141"/>
  </conditionalFormatting>
  <conditionalFormatting sqref="E595:E596">
    <cfRule type="duplicateValues" dxfId="104" priority="143"/>
  </conditionalFormatting>
  <conditionalFormatting sqref="E595:E596">
    <cfRule type="duplicateValues" dxfId="103" priority="144"/>
  </conditionalFormatting>
  <conditionalFormatting sqref="E595:E596">
    <cfRule type="duplicateValues" dxfId="102" priority="139"/>
  </conditionalFormatting>
  <conditionalFormatting sqref="E595:E596">
    <cfRule type="duplicateValues" dxfId="101" priority="133"/>
    <cfRule type="duplicateValues" dxfId="100" priority="134"/>
  </conditionalFormatting>
  <conditionalFormatting sqref="U696">
    <cfRule type="duplicateValues" dxfId="99" priority="130"/>
  </conditionalFormatting>
  <conditionalFormatting sqref="U696">
    <cfRule type="duplicateValues" dxfId="98" priority="131"/>
  </conditionalFormatting>
  <conditionalFormatting sqref="U696">
    <cfRule type="duplicateValues" dxfId="97" priority="132"/>
  </conditionalFormatting>
  <conditionalFormatting sqref="U696">
    <cfRule type="duplicateValues" dxfId="96" priority="125"/>
  </conditionalFormatting>
  <conditionalFormatting sqref="U696">
    <cfRule type="duplicateValues" dxfId="95" priority="120"/>
  </conditionalFormatting>
  <conditionalFormatting sqref="U696">
    <cfRule type="duplicateValues" dxfId="94" priority="122"/>
  </conditionalFormatting>
  <conditionalFormatting sqref="U696">
    <cfRule type="duplicateValues" dxfId="93" priority="123"/>
  </conditionalFormatting>
  <conditionalFormatting sqref="U696">
    <cfRule type="duplicateValues" dxfId="92" priority="121"/>
  </conditionalFormatting>
  <conditionalFormatting sqref="U696">
    <cfRule type="duplicateValues" dxfId="91" priority="127"/>
  </conditionalFormatting>
  <conditionalFormatting sqref="U696">
    <cfRule type="duplicateValues" dxfId="90" priority="126"/>
  </conditionalFormatting>
  <conditionalFormatting sqref="U696">
    <cfRule type="duplicateValues" dxfId="89" priority="128"/>
  </conditionalFormatting>
  <conditionalFormatting sqref="U696">
    <cfRule type="duplicateValues" dxfId="88" priority="129"/>
  </conditionalFormatting>
  <conditionalFormatting sqref="U696">
    <cfRule type="duplicateValues" dxfId="87" priority="124"/>
  </conditionalFormatting>
  <conditionalFormatting sqref="U696">
    <cfRule type="duplicateValues" dxfId="86" priority="118"/>
    <cfRule type="duplicateValues" dxfId="85" priority="119"/>
  </conditionalFormatting>
  <conditionalFormatting sqref="A1405:A1406 S1405:XFD1406">
    <cfRule type="duplicateValues" dxfId="84" priority="11097"/>
  </conditionalFormatting>
  <conditionalFormatting sqref="E1405:E1406">
    <cfRule type="duplicateValues" dxfId="83" priority="94"/>
  </conditionalFormatting>
  <conditionalFormatting sqref="E1405:E1406">
    <cfRule type="duplicateValues" dxfId="82" priority="93"/>
  </conditionalFormatting>
  <conditionalFormatting sqref="E1405:E1406">
    <cfRule type="duplicateValues" dxfId="81" priority="92"/>
  </conditionalFormatting>
  <conditionalFormatting sqref="E1405:E1406">
    <cfRule type="duplicateValues" dxfId="80" priority="90"/>
  </conditionalFormatting>
  <conditionalFormatting sqref="E1405:E1406">
    <cfRule type="duplicateValues" dxfId="79" priority="89"/>
  </conditionalFormatting>
  <conditionalFormatting sqref="E1405:E1406">
    <cfRule type="duplicateValues" dxfId="78" priority="91"/>
  </conditionalFormatting>
  <conditionalFormatting sqref="E1405:E1406">
    <cfRule type="duplicateValues" dxfId="77" priority="88"/>
  </conditionalFormatting>
  <conditionalFormatting sqref="E1405:E1406">
    <cfRule type="duplicateValues" dxfId="76" priority="95"/>
  </conditionalFormatting>
  <conditionalFormatting sqref="E1405:E1406">
    <cfRule type="duplicateValues" dxfId="75" priority="96"/>
  </conditionalFormatting>
  <conditionalFormatting sqref="E1405:E1406">
    <cfRule type="duplicateValues" dxfId="74" priority="97"/>
  </conditionalFormatting>
  <conditionalFormatting sqref="E1405:E1406">
    <cfRule type="duplicateValues" dxfId="73" priority="98"/>
  </conditionalFormatting>
  <conditionalFormatting sqref="E1405:E1406">
    <cfRule type="duplicateValues" dxfId="72" priority="99"/>
  </conditionalFormatting>
  <conditionalFormatting sqref="E1405:E1406">
    <cfRule type="duplicateValues" dxfId="71" priority="100"/>
  </conditionalFormatting>
  <conditionalFormatting sqref="E1405:E1406">
    <cfRule type="duplicateValues" dxfId="70" priority="101"/>
  </conditionalFormatting>
  <conditionalFormatting sqref="E1405:E1406">
    <cfRule type="duplicateValues" dxfId="69" priority="102"/>
  </conditionalFormatting>
  <conditionalFormatting sqref="S360:XFD360 E360 A360">
    <cfRule type="duplicateValues" dxfId="68" priority="11165"/>
  </conditionalFormatting>
  <conditionalFormatting sqref="S360:XFD360 E360 A360">
    <cfRule type="duplicateValues" dxfId="67" priority="11215"/>
    <cfRule type="duplicateValues" dxfId="66" priority="11216"/>
  </conditionalFormatting>
  <conditionalFormatting sqref="E529">
    <cfRule type="duplicateValues" dxfId="65" priority="64"/>
  </conditionalFormatting>
  <conditionalFormatting sqref="E529">
    <cfRule type="duplicateValues" dxfId="64" priority="65"/>
  </conditionalFormatting>
  <conditionalFormatting sqref="E529">
    <cfRule type="duplicateValues" dxfId="63" priority="66"/>
  </conditionalFormatting>
  <conditionalFormatting sqref="E529">
    <cfRule type="duplicateValues" dxfId="62" priority="67"/>
  </conditionalFormatting>
  <conditionalFormatting sqref="E529">
    <cfRule type="duplicateValues" dxfId="61" priority="68"/>
  </conditionalFormatting>
  <conditionalFormatting sqref="E529">
    <cfRule type="duplicateValues" dxfId="60" priority="69"/>
  </conditionalFormatting>
  <conditionalFormatting sqref="E530">
    <cfRule type="duplicateValues" dxfId="59" priority="58"/>
  </conditionalFormatting>
  <conditionalFormatting sqref="E530">
    <cfRule type="duplicateValues" dxfId="58" priority="59"/>
  </conditionalFormatting>
  <conditionalFormatting sqref="E530">
    <cfRule type="duplicateValues" dxfId="57" priority="60"/>
  </conditionalFormatting>
  <conditionalFormatting sqref="E530">
    <cfRule type="duplicateValues" dxfId="56" priority="61"/>
  </conditionalFormatting>
  <conditionalFormatting sqref="E530">
    <cfRule type="duplicateValues" dxfId="55" priority="62"/>
  </conditionalFormatting>
  <conditionalFormatting sqref="E530">
    <cfRule type="duplicateValues" dxfId="54" priority="63"/>
  </conditionalFormatting>
  <conditionalFormatting sqref="A529:A530 N529:N530 S529:XFD530">
    <cfRule type="duplicateValues" dxfId="53" priority="11356"/>
  </conditionalFormatting>
  <conditionalFormatting sqref="A129:A137">
    <cfRule type="uniqueValues" dxfId="52" priority="57"/>
  </conditionalFormatting>
  <conditionalFormatting sqref="E88:E89">
    <cfRule type="duplicateValues" dxfId="51" priority="55"/>
  </conditionalFormatting>
  <conditionalFormatting sqref="E88:E89">
    <cfRule type="duplicateValues" dxfId="50" priority="56"/>
  </conditionalFormatting>
  <conditionalFormatting sqref="E690">
    <cfRule type="duplicateValues" dxfId="49" priority="47"/>
  </conditionalFormatting>
  <conditionalFormatting sqref="E690">
    <cfRule type="duplicateValues" dxfId="48" priority="48"/>
  </conditionalFormatting>
  <conditionalFormatting sqref="E690">
    <cfRule type="duplicateValues" dxfId="47" priority="49"/>
  </conditionalFormatting>
  <conditionalFormatting sqref="E690">
    <cfRule type="duplicateValues" dxfId="46" priority="42"/>
  </conditionalFormatting>
  <conditionalFormatting sqref="E690">
    <cfRule type="duplicateValues" dxfId="45" priority="37"/>
  </conditionalFormatting>
  <conditionalFormatting sqref="E690">
    <cfRule type="duplicateValues" dxfId="44" priority="39"/>
  </conditionalFormatting>
  <conditionalFormatting sqref="E690">
    <cfRule type="duplicateValues" dxfId="43" priority="40"/>
  </conditionalFormatting>
  <conditionalFormatting sqref="E690">
    <cfRule type="duplicateValues" dxfId="42" priority="38"/>
  </conditionalFormatting>
  <conditionalFormatting sqref="E690">
    <cfRule type="duplicateValues" dxfId="41" priority="44"/>
  </conditionalFormatting>
  <conditionalFormatting sqref="E690">
    <cfRule type="duplicateValues" dxfId="40" priority="43"/>
  </conditionalFormatting>
  <conditionalFormatting sqref="E690">
    <cfRule type="duplicateValues" dxfId="39" priority="45"/>
  </conditionalFormatting>
  <conditionalFormatting sqref="E690">
    <cfRule type="duplicateValues" dxfId="38" priority="46"/>
  </conditionalFormatting>
  <conditionalFormatting sqref="E690">
    <cfRule type="duplicateValues" dxfId="37" priority="41"/>
  </conditionalFormatting>
  <conditionalFormatting sqref="E690">
    <cfRule type="duplicateValues" dxfId="36" priority="35"/>
    <cfRule type="duplicateValues" dxfId="35" priority="36"/>
  </conditionalFormatting>
  <conditionalFormatting sqref="E687">
    <cfRule type="duplicateValues" dxfId="34" priority="32"/>
  </conditionalFormatting>
  <conditionalFormatting sqref="E687">
    <cfRule type="duplicateValues" dxfId="33" priority="33"/>
  </conditionalFormatting>
  <conditionalFormatting sqref="E687">
    <cfRule type="duplicateValues" dxfId="32" priority="34"/>
  </conditionalFormatting>
  <conditionalFormatting sqref="E687">
    <cfRule type="duplicateValues" dxfId="31" priority="27"/>
  </conditionalFormatting>
  <conditionalFormatting sqref="E687">
    <cfRule type="duplicateValues" dxfId="30" priority="22"/>
  </conditionalFormatting>
  <conditionalFormatting sqref="E687">
    <cfRule type="duplicateValues" dxfId="29" priority="24"/>
  </conditionalFormatting>
  <conditionalFormatting sqref="E687">
    <cfRule type="duplicateValues" dxfId="28" priority="25"/>
  </conditionalFormatting>
  <conditionalFormatting sqref="E687">
    <cfRule type="duplicateValues" dxfId="27" priority="23"/>
  </conditionalFormatting>
  <conditionalFormatting sqref="E687">
    <cfRule type="duplicateValues" dxfId="26" priority="29"/>
  </conditionalFormatting>
  <conditionalFormatting sqref="E687">
    <cfRule type="duplicateValues" dxfId="25" priority="28"/>
  </conditionalFormatting>
  <conditionalFormatting sqref="E687">
    <cfRule type="duplicateValues" dxfId="24" priority="30"/>
  </conditionalFormatting>
  <conditionalFormatting sqref="E687">
    <cfRule type="duplicateValues" dxfId="23" priority="31"/>
  </conditionalFormatting>
  <conditionalFormatting sqref="E687">
    <cfRule type="duplicateValues" dxfId="22" priority="26"/>
  </conditionalFormatting>
  <conditionalFormatting sqref="E687">
    <cfRule type="duplicateValues" dxfId="21" priority="20"/>
    <cfRule type="duplicateValues" dxfId="20" priority="21"/>
  </conditionalFormatting>
  <conditionalFormatting sqref="E688">
    <cfRule type="duplicateValues" dxfId="19" priority="17"/>
  </conditionalFormatting>
  <conditionalFormatting sqref="E688">
    <cfRule type="duplicateValues" dxfId="18" priority="18"/>
  </conditionalFormatting>
  <conditionalFormatting sqref="E688">
    <cfRule type="duplicateValues" dxfId="17" priority="19"/>
  </conditionalFormatting>
  <conditionalFormatting sqref="E688">
    <cfRule type="duplicateValues" dxfId="16" priority="12"/>
  </conditionalFormatting>
  <conditionalFormatting sqref="E688">
    <cfRule type="duplicateValues" dxfId="15" priority="7"/>
  </conditionalFormatting>
  <conditionalFormatting sqref="E688">
    <cfRule type="duplicateValues" dxfId="14" priority="9"/>
  </conditionalFormatting>
  <conditionalFormatting sqref="E688">
    <cfRule type="duplicateValues" dxfId="13" priority="10"/>
  </conditionalFormatting>
  <conditionalFormatting sqref="E688">
    <cfRule type="duplicateValues" dxfId="12" priority="8"/>
  </conditionalFormatting>
  <conditionalFormatting sqref="E688">
    <cfRule type="duplicateValues" dxfId="11" priority="14"/>
  </conditionalFormatting>
  <conditionalFormatting sqref="E688">
    <cfRule type="duplicateValues" dxfId="10" priority="13"/>
  </conditionalFormatting>
  <conditionalFormatting sqref="E688">
    <cfRule type="duplicateValues" dxfId="9" priority="15"/>
  </conditionalFormatting>
  <conditionalFormatting sqref="E688">
    <cfRule type="duplicateValues" dxfId="8" priority="16"/>
  </conditionalFormatting>
  <conditionalFormatting sqref="E688">
    <cfRule type="duplicateValues" dxfId="7" priority="11"/>
  </conditionalFormatting>
  <conditionalFormatting sqref="E688">
    <cfRule type="duplicateValues" dxfId="6" priority="5"/>
    <cfRule type="duplicateValues" dxfId="5" priority="6"/>
  </conditionalFormatting>
  <conditionalFormatting sqref="E2252:E2264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E8554-DBD8-4DB4-BE12-C0D2D16C94DC}">
  <dimension ref="A1:I14"/>
  <sheetViews>
    <sheetView workbookViewId="0">
      <selection activeCell="G8" sqref="G8"/>
    </sheetView>
  </sheetViews>
  <sheetFormatPr defaultRowHeight="18" customHeight="1" x14ac:dyDescent="0.35"/>
  <cols>
    <col min="2" max="2" width="22.54296875" customWidth="1"/>
    <col min="7" max="7" width="12.7265625" bestFit="1" customWidth="1"/>
    <col min="9" max="9" width="16.81640625" bestFit="1" customWidth="1"/>
  </cols>
  <sheetData>
    <row r="1" spans="1:9" ht="18" customHeight="1" x14ac:dyDescent="0.35">
      <c r="A1" s="322"/>
      <c r="B1" s="547" t="s">
        <v>5940</v>
      </c>
    </row>
    <row r="2" spans="1:9" ht="18" customHeight="1" x14ac:dyDescent="0.35">
      <c r="A2" s="322" t="s">
        <v>5941</v>
      </c>
      <c r="B2" s="547" t="s">
        <v>5942</v>
      </c>
    </row>
    <row r="3" spans="1:9" ht="18" customHeight="1" x14ac:dyDescent="0.35">
      <c r="A3" s="322" t="s">
        <v>5941</v>
      </c>
      <c r="B3" s="547" t="s">
        <v>5943</v>
      </c>
    </row>
    <row r="4" spans="1:9" ht="18" customHeight="1" x14ac:dyDescent="0.35">
      <c r="A4" s="322" t="s">
        <v>5941</v>
      </c>
      <c r="B4" s="547" t="s">
        <v>5944</v>
      </c>
    </row>
    <row r="5" spans="1:9" ht="18" customHeight="1" x14ac:dyDescent="0.35">
      <c r="A5" s="322" t="s">
        <v>5941</v>
      </c>
      <c r="B5" s="547" t="s">
        <v>5945</v>
      </c>
    </row>
    <row r="6" spans="1:9" ht="18" customHeight="1" x14ac:dyDescent="0.35">
      <c r="A6" s="322" t="s">
        <v>5941</v>
      </c>
      <c r="B6" s="547" t="s">
        <v>5946</v>
      </c>
    </row>
    <row r="7" spans="1:9" ht="18" customHeight="1" x14ac:dyDescent="0.35">
      <c r="A7" s="322" t="s">
        <v>5941</v>
      </c>
      <c r="B7" s="547" t="s">
        <v>5947</v>
      </c>
    </row>
    <row r="8" spans="1:9" ht="18" customHeight="1" x14ac:dyDescent="0.35">
      <c r="A8" s="322" t="s">
        <v>5941</v>
      </c>
      <c r="B8" s="547" t="s">
        <v>5948</v>
      </c>
      <c r="G8" s="550">
        <v>100000000</v>
      </c>
      <c r="H8">
        <v>32</v>
      </c>
      <c r="I8" s="551">
        <f>+G8*H8</f>
        <v>3200000000</v>
      </c>
    </row>
    <row r="9" spans="1:9" ht="18" customHeight="1" x14ac:dyDescent="0.35">
      <c r="A9" s="322" t="s">
        <v>5941</v>
      </c>
      <c r="B9" s="322" t="s">
        <v>5949</v>
      </c>
    </row>
    <row r="10" spans="1:9" ht="18" customHeight="1" x14ac:dyDescent="0.35">
      <c r="A10" s="322" t="s">
        <v>5941</v>
      </c>
      <c r="B10" s="322" t="s">
        <v>5950</v>
      </c>
    </row>
    <row r="11" spans="1:9" ht="18" customHeight="1" x14ac:dyDescent="0.35">
      <c r="A11" s="322" t="s">
        <v>5941</v>
      </c>
      <c r="B11" s="322" t="s">
        <v>5951</v>
      </c>
    </row>
    <row r="12" spans="1:9" ht="18" customHeight="1" x14ac:dyDescent="0.35">
      <c r="A12" s="322" t="s">
        <v>5941</v>
      </c>
      <c r="B12" s="322" t="s">
        <v>5952</v>
      </c>
    </row>
    <row r="13" spans="1:9" ht="18" customHeight="1" x14ac:dyDescent="0.35">
      <c r="A13" s="322" t="s">
        <v>5941</v>
      </c>
      <c r="B13" s="322" t="s">
        <v>5953</v>
      </c>
    </row>
    <row r="14" spans="1:9" ht="18" customHeight="1" x14ac:dyDescent="0.35">
      <c r="A14" s="322" t="s">
        <v>5941</v>
      </c>
      <c r="B14" s="322" t="s">
        <v>5954</v>
      </c>
    </row>
  </sheetData>
  <conditionalFormatting sqref="B1:B1048576">
    <cfRule type="duplicateValues" dxfId="4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Laptop</vt:lpstr>
      <vt:lpstr>Monitor</vt:lpstr>
      <vt:lpstr>System unit</vt:lpstr>
      <vt:lpstr>Docking station</vt:lpstr>
      <vt:lpstr>IP Phone</vt:lpstr>
      <vt:lpstr>Server</vt:lpstr>
      <vt:lpstr>Printer</vt:lpstr>
      <vt:lpstr>Plotter</vt:lpstr>
      <vt:lpstr>Switch&amp;Router&amp;Firewall</vt:lpstr>
      <vt:lpstr>Projector</vt:lpstr>
      <vt:lpstr>Video Conferencing</vt:lpstr>
      <vt:lpstr>Mobile Phone</vt:lpstr>
      <vt:lpstr>Smartboard</vt:lpstr>
      <vt:lpstr>Access control</vt:lpstr>
      <vt:lpstr>Camera</vt:lpstr>
      <vt:lpstr>Radio</vt:lpstr>
      <vt:lpstr>Drone</vt:lpstr>
      <vt:lpstr>Software</vt:lpstr>
      <vt:lpstr>Wireless controller</vt:lpstr>
      <vt:lpstr>Outstanding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Agyemang-nartey Nina Kuor</dc:creator>
  <cp:keywords/>
  <dc:description/>
  <cp:lastModifiedBy>Agyemang-nartey Nina Kuor</cp:lastModifiedBy>
  <cp:revision/>
  <dcterms:created xsi:type="dcterms:W3CDTF">2025-04-03T14:19:57Z</dcterms:created>
  <dcterms:modified xsi:type="dcterms:W3CDTF">2025-10-17T10:24:08Z</dcterms:modified>
  <cp:category/>
  <cp:contentStatus/>
</cp:coreProperties>
</file>